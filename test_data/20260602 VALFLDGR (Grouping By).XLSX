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2026 Testing/06 2026/Q2 X-Checks/"/>
    </mc:Choice>
  </mc:AlternateContent>
  <xr:revisionPtr revIDLastSave="69" documentId="14_{CBE6B080-B4B0-41F6-998B-31D9C73DD668}" xr6:coauthVersionLast="47" xr6:coauthVersionMax="47" xr10:uidLastSave="{648C8AE2-5ED9-47E3-A000-573AD045C8F4}"/>
  <bookViews>
    <workbookView xWindow="1860" yWindow="1725" windowWidth="29835" windowHeight="16665" activeTab="3" xr2:uid="{00000000-000D-0000-FFFF-FFFF00000000}"/>
  </bookViews>
  <sheets>
    <sheet name="grouping by" sheetId="1" r:id="rId1"/>
    <sheet name="lookup table" sheetId="3" r:id="rId2"/>
    <sheet name="cross checks all" sheetId="2" r:id="rId3"/>
    <sheet name="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C2" i="4"/>
  <c r="B4" i="4"/>
  <c r="B3" i="4"/>
  <c r="B2" i="4"/>
  <c r="I3" i="2"/>
  <c r="J2" i="2"/>
  <c r="I2" i="2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<sst xmlns="http://schemas.openxmlformats.org/spreadsheetml/2006/main" count="37113" uniqueCount="3687">
  <si>
    <t/>
  </si>
  <si>
    <t>Intermediate DE Val.: ZIP Accounts only</t>
  </si>
  <si>
    <t>/1FB/CURKEY_GC</t>
  </si>
  <si>
    <t>Intermediate DE Val.: ZIP LOB: PN02-PN09</t>
  </si>
  <si>
    <t>Intermediate DE Val.: IFRS MAT only ZZZ / blank - Segm.</t>
  </si>
  <si>
    <t>/1FB/CURKEY_LC</t>
  </si>
  <si>
    <t>/1FB/CURKEY_TC</t>
  </si>
  <si>
    <t>Blocked combinations of accounts and maturity</t>
  </si>
  <si>
    <t>Blocked combinations of accounts and Asset/Liability</t>
  </si>
  <si>
    <t>/BIC/ZZF_ACQPE</t>
  </si>
  <si>
    <t>/BIC/ZZF_ACQYE</t>
  </si>
  <si>
    <t>/BIC/ZZF_ALLSE</t>
  </si>
  <si>
    <t>/BIC/ZZF_ALLUN</t>
  </si>
  <si>
    <t>AL068_00: Block Posting for inactive accounts - Segm.</t>
  </si>
  <si>
    <t>/BIC/ZZF_ASSLI</t>
  </si>
  <si>
    <t>AL141_00: Posting on divested TP Seg. not possible on P&amp;L</t>
  </si>
  <si>
    <t>TR020_17: FPR 2022 YTD IFRS 4 equals IFRS 17 - SF stat acc</t>
  </si>
  <si>
    <t>TR018_17: P12 IFRS 4=P14 IFRS 17 &amp; FPR 2022-BS Overlay IFRS</t>
  </si>
  <si>
    <t>TR019_17: FPR 2022 YTD IFRS 4 = IFRS 17-P&amp;L Overlay IFRS9</t>
  </si>
  <si>
    <t>L151_00: Disc loss res-Cess-3rd-undiscounted amount Q4 2016</t>
  </si>
  <si>
    <t>/BIC/ZZF_AYEAR</t>
  </si>
  <si>
    <t>L153_00: Disc loss res-Cess-aff-undiscounted amount</t>
  </si>
  <si>
    <t>L155_00: Disc loss res-retrocess-3rd-undiscounted amount</t>
  </si>
  <si>
    <t>L157_00: Disc loss res-retr-3rd-undiscounted amount Q4 2016</t>
  </si>
  <si>
    <t>L159_00: Disc loss res-retrocess-aff-undiscounted amount</t>
  </si>
  <si>
    <t>L161_00: Discounted loss reserves-Direct-undiscounted amount</t>
  </si>
  <si>
    <t>L163_00: Disc loss res-Direct-undiscounted amount Q4 2016</t>
  </si>
  <si>
    <t>L165_00: Discounted loss res-Assumed-3rd-undiscounted amount</t>
  </si>
  <si>
    <t>L167_00: Disc loss res-Ass-3rd-undiscounted amount Q4 2016</t>
  </si>
  <si>
    <t>L169_00: Discounted loss res-Assumed-aff-undiscounted amount</t>
  </si>
  <si>
    <t>LE169_00: Change in Res for LAE-Allocat.(IBNR)-Retrocess-3rd</t>
  </si>
  <si>
    <t>LE166_00: Change in Reserve for losses-retroceded-3rd</t>
  </si>
  <si>
    <t>LE170_00: Change in Res for LAE-Allocat.(Case)-Retrocess-3rd</t>
  </si>
  <si>
    <t>LE176_00: Change in Res. for Non-Life Ann. - retroceded -3rd</t>
  </si>
  <si>
    <t>LE171_00: Change in Res. for LAE-Unalloc(IBNR)-Retrocess-3rd</t>
  </si>
  <si>
    <t>AL108_00: Balance of inactive TP must be zero (P&amp;L accts)</t>
  </si>
  <si>
    <t>LE058_17: PAA - Change in loss component - assumed - aff</t>
  </si>
  <si>
    <t>LE059_00:Change in Reserve f.LAE - Unalloc (IBNR)-Assum.-3rd</t>
  </si>
  <si>
    <t>LE059_17: PAA - Change in loss component - retroceded - 3rd</t>
  </si>
  <si>
    <t>LE060_17: PAA - Change in loss component - retroceded - aff</t>
  </si>
  <si>
    <t>LE061_00:Change in Reser.f.LAE - Unalloc (IBNR)- Cess.- 3rd.</t>
  </si>
  <si>
    <t>LE063_17: PAA - Initial recognition discount - direct</t>
  </si>
  <si>
    <t>LE064_17: PAA - Unwind of discount - direct</t>
  </si>
  <si>
    <t>LE065_17: PAA - Initial recognition discount - assumed - 3rd</t>
  </si>
  <si>
    <t>LE066_17: PAA - Unwind of discount - assumed - 3rd</t>
  </si>
  <si>
    <t>LE067_17: PAA - Initial recognition discount - ceded - 3rd</t>
  </si>
  <si>
    <t>LE068_17: PAA - Unwind of discount - ceded - 3rd</t>
  </si>
  <si>
    <t>LE069_17: PAA - Initial recognition discount - retr - 3rd</t>
  </si>
  <si>
    <t>LE071_17: PAA - Initial recognition discount - assumed - aff</t>
  </si>
  <si>
    <t>LE072_17: PAA - Unwind of discount - assumed - aff</t>
  </si>
  <si>
    <t>LE073_17: PAA - Initial recognition discount - ceded - aff</t>
  </si>
  <si>
    <t>LE074_17: PAA - Unwind of discount - ceded - aff</t>
  </si>
  <si>
    <t>LE075_17: PAA - Initial recognition discount - retr - aff</t>
  </si>
  <si>
    <t>LE076_17: PAA - Unwind of discount - retroceded - aff</t>
  </si>
  <si>
    <t>LE078_17: PAA - Change in risk adjustment - direct</t>
  </si>
  <si>
    <t>LE079_17: PAA - Change in risk adjustment - annuities - dir</t>
  </si>
  <si>
    <t>LE080_17: PAA - Change in risk adjustment - assumed - 3rd</t>
  </si>
  <si>
    <t>LE081_17: PAA - Change in risk adjustment-annuities-ass-3rd</t>
  </si>
  <si>
    <t>LE082_17: PAA - Change in risk adjustment - ceded&amp;retr - 3rd</t>
  </si>
  <si>
    <t>LE083_17: PAA-Change in risk adjustm-annuities-ced&amp;retr-3rd</t>
  </si>
  <si>
    <t>LE084_17: PAA - Change in risk adjustment - assumed - aff</t>
  </si>
  <si>
    <t>LE085_17: PAA - Change in risk adjustment-annuities-ass-aff</t>
  </si>
  <si>
    <t>LE087_17: PAA - Change in risk adjustment - ceded&amp;retr - aff</t>
  </si>
  <si>
    <t>LE089_17: PAA-Change in risk adjustm-annuities-ced&amp;retr-aff</t>
  </si>
  <si>
    <t>LE098_00: Change in Reserve for losses-assumed-aff</t>
  </si>
  <si>
    <t>LE099_00: Change in Reserve for LAE (allocated)-assumed-aff</t>
  </si>
  <si>
    <t>LE100_00: Change in Reserve for LAE(unallocated)-assumed-aff</t>
  </si>
  <si>
    <t>LE101_00: Change in Reserve for losses-ceded-aff</t>
  </si>
  <si>
    <t>LE102_00: Change in Reserve for LAE (allocated)-ceded-aff</t>
  </si>
  <si>
    <t>AL044_00: Affiliated Accounts require affiliated/subcons. TP</t>
  </si>
  <si>
    <t>TR113_17: 12.2020 TOM's n. relev. for IACF need 0 in IFRS17</t>
  </si>
  <si>
    <t>TR104_17: P14 (YTD) is equal to 0 (IFRS17 inactive accounts)</t>
  </si>
  <si>
    <t>TR115_17: 12.2020 TOM 42C n.relev. for IACF need 0 in IFRS17</t>
  </si>
  <si>
    <t>TR317_17: P14 2021 Only TOM E24 for accounts 29421 &amp; 29431</t>
  </si>
  <si>
    <t>LE017_17: PAA - DAC Amortization - Other - retr - 3rd</t>
  </si>
  <si>
    <t>LE020_17: PAA - DAC Additions - Other - direct</t>
  </si>
  <si>
    <t>LE048_00:Change i.t.Reserve for LAE-Alloc.LAE (IBNR)-direct</t>
  </si>
  <si>
    <t>LE049_00: Change i.the Reserve f.LAE-Alloc.LAE (Case)-direct</t>
  </si>
  <si>
    <t>LE050_00:Change i.t. Reserve for LAE-Unalloc.(IBNR) - Direct</t>
  </si>
  <si>
    <t>LE051_00: Change in Reserve for Losses (IBNR) - direct</t>
  </si>
  <si>
    <t>LE052_00: Change in Reserve for Losses (Case) - direct</t>
  </si>
  <si>
    <t>LE053_00: Change in Reserve f.LAE - Alloc.(IBNR)- Ass. - 3rd</t>
  </si>
  <si>
    <t>LE054_00:Change in Reser. f.LAE - Alloc. (Case)- Ass. - 3rd.</t>
  </si>
  <si>
    <t>LE057_00: Change in Reserve f.LAE - Alloc.(IBNR)-Cess.- 3rd.</t>
  </si>
  <si>
    <t>LE058_00: Change in Reserve f.LAE - Alloc.(Case)-Cess. - 3rd</t>
  </si>
  <si>
    <t>LE020_00: Change in Reserve for losses-assumed-3rd</t>
  </si>
  <si>
    <t>LE026_00: Change in Reserve for losses-ceded-3rd</t>
  </si>
  <si>
    <t>LE033_17: PAA - Change in annuities reserves  - direct</t>
  </si>
  <si>
    <t>LE034_17: PAA-Initial recognition discount annuities-direct</t>
  </si>
  <si>
    <t>LE035_17: PAA - Unwind of discount annuities - direct</t>
  </si>
  <si>
    <t>LE036_17: PAA - Change in annuities reserves  - ass - 3rd</t>
  </si>
  <si>
    <t>LE037_17: PAA-Initial recognition discount annuities-ass-3rd</t>
  </si>
  <si>
    <t>LE038_17: PAA - Unwind of discount annuities - ass - 3rd</t>
  </si>
  <si>
    <t>LE039_17: PAA - Change in annuities reserves  - ced - 3rd</t>
  </si>
  <si>
    <t>LE040_17: PAA-Initial recognition discount annuities-ced-3rd</t>
  </si>
  <si>
    <t>LE041_17: PAA - Unwind of discount annuities - ced - 3rd</t>
  </si>
  <si>
    <t>LE042_17: PAA - Change in annuities reserves  - ass - aff</t>
  </si>
  <si>
    <t>LE043_17: PAA-Initial recognition discount annuities-ass-aff</t>
  </si>
  <si>
    <t>LE044_17: PAA - Unwind of discount annuities - ass - aff</t>
  </si>
  <si>
    <t>LE045_17: PAA - Change in annuities reserves  - ced - aff</t>
  </si>
  <si>
    <t>LE046_17: PAA-Initial recognition discount annuities-ced-aff</t>
  </si>
  <si>
    <t>LE047_17: PAA - Unwind of discount annuities - ced - aff</t>
  </si>
  <si>
    <t>LE048_17: PAA - Change in annuities reserves  - retr - 3rd</t>
  </si>
  <si>
    <t>LE049_17 PAA-Initial recognition discount annuities-retr-3rd</t>
  </si>
  <si>
    <t>LE050_17: PAA - Unwind of discount annuities - retr - 3rd</t>
  </si>
  <si>
    <t>TR004_17: P14 (YTD) is equal to 0 (IFRS17 inactive accounts)</t>
  </si>
  <si>
    <t>TR006_17: 12.2020 and 6.2021 IFRS 17 YTD balance is 0 - BS</t>
  </si>
  <si>
    <t>TR007_17: 12.2020 &amp; 6.2021 IFRS 17 YTD balance is 0- P&amp;L</t>
  </si>
  <si>
    <t>LE103_00: Change in Reserve for LAE (unallocated)-ceded-aff</t>
  </si>
  <si>
    <t>LE173_00: Change in Reserve for losses-retroceded-aff</t>
  </si>
  <si>
    <t>LE174_00: Change in Res. for LAE (allocated)-retroceded-aff</t>
  </si>
  <si>
    <t>LE175_00: Change in Res for LAE (unallocated)-retroceded-aff</t>
  </si>
  <si>
    <t>LE051_17: PAA - Change in annuities reserves  - retr - aff</t>
  </si>
  <si>
    <t>LE052_17 PAA-Initial recognition discount annuities-retr-aff</t>
  </si>
  <si>
    <t>LE053_17: PAA - Unwind of discount annuities - retr - aff</t>
  </si>
  <si>
    <t>LE054_17: PAA - Change in loss component - direct</t>
  </si>
  <si>
    <t>LE055_17: PAA - Change in loss component - ceded - 3rd</t>
  </si>
  <si>
    <t>LE056_17: PAA - Change in loss component - assumed - 3rd</t>
  </si>
  <si>
    <t>LE057_17: PAA - Change in loss component - ceded - aff</t>
  </si>
  <si>
    <t>TR307_17: 12.2020  and 6.2021 IFRS 17 YTD balance is 0 - P&amp;L</t>
  </si>
  <si>
    <t>TR313_17: 12.2020 TOM's n. relev. for IACF need 0 in IFRS17</t>
  </si>
  <si>
    <t>TR314_17: 12.2020 TOM 42A n.relev. for IACF need 0 in IFRS17</t>
  </si>
  <si>
    <t>TR114_17: 12.2020 TOM 42A n.relev. for IACF need 0 in IFRS17</t>
  </si>
  <si>
    <t>L015_17: PAA - Change in discount rate -OCI- Gross - ass aff</t>
  </si>
  <si>
    <t>L016_17 PAA - Change in discount rate - OCI -Reinsurance-aff</t>
  </si>
  <si>
    <t>L017_17: PAA-Change in disc. rate-OCI-Gross -Annuit- ass 3rd</t>
  </si>
  <si>
    <t>L018_17: PAA - Change in discount rate-OCI-Reins-Annuit-3rd</t>
  </si>
  <si>
    <t>L019_17: PAA - Change in disc. rate-OCI-Gross-Annuit-ass aff</t>
  </si>
  <si>
    <t>L020_17: PAA - Change in discount rate-OCI-Reins-Annuit-aff</t>
  </si>
  <si>
    <t>AL102_00: LOB's S001 - S039 not allowed - Segm.</t>
  </si>
  <si>
    <t>TR117_70: P14 2021 Only TOM E24 for account 29421</t>
  </si>
  <si>
    <t>TR217_70: P14 2021 Only TOM E24 for account 29421</t>
  </si>
  <si>
    <t>TR306_17: 12.2020 and 6.2021 IFRS 17 YTD balance is 0 - BS</t>
  </si>
  <si>
    <t>TR306_70: Q122 YTD to be equal to 0 in ZIP IFRS-BS accounts</t>
  </si>
  <si>
    <t>TR307_70: Q122 YTD to be equal to 0 in ZIP IFRS-P&amp;L accounts</t>
  </si>
  <si>
    <t>LE307_17: Impairment of pre-coverage IACF assumed aff BBA</t>
  </si>
  <si>
    <t>/BIC/ZZF_BBACA</t>
  </si>
  <si>
    <t>LE170_17: BBA_ changes in estimates_direct</t>
  </si>
  <si>
    <t>LE125_17: BBA_ IACF amortization _retroceded</t>
  </si>
  <si>
    <t>LE132_17: BBA_loss component release_direct</t>
  </si>
  <si>
    <t>LE133_17: BBA_RA_loss component release_direct</t>
  </si>
  <si>
    <t>LE165_17: BBA_ Risk Adj incurred claims_direct</t>
  </si>
  <si>
    <t>LE308_17: Impairment of pre-coverage IACF ceded 3rd BBA</t>
  </si>
  <si>
    <t>LE309_17: Impairment of pre-coverage IACF ceded aff BBA</t>
  </si>
  <si>
    <t>LE310_17: Impairment of pre-coverage IACF retro 3rd BBA</t>
  </si>
  <si>
    <t>LE331_17: Interest income on Reins Deposits BBA 3rd</t>
  </si>
  <si>
    <t>LE332_17: Interest income on Reins Deposits BBA aff.</t>
  </si>
  <si>
    <t>LE333_17: Interest expense on Reins Deposits BBA 3rd</t>
  </si>
  <si>
    <t>LE134_17: BBA_loss component release_assumed</t>
  </si>
  <si>
    <t>LE135_17: BBA_RA_loss component release_assumed</t>
  </si>
  <si>
    <t>LE166_17: BBA_ Risk Adj incurred claims_assumed</t>
  </si>
  <si>
    <t>LE167_17: BBA_ Risk Adj incurred claims_ceded &amp; retro</t>
  </si>
  <si>
    <t>LE305_17: Impairment of pre-coverage IACF direct 3rd BBA</t>
  </si>
  <si>
    <t>LE306_17: Impairment of pre-coverage IACF assumed 3rd BBA</t>
  </si>
  <si>
    <t>LE171_17: BBA_ changes in estimates_assumed</t>
  </si>
  <si>
    <t>LE322_17: BBA_loss component_reve_recognition_other exp_ced.</t>
  </si>
  <si>
    <t>LE088_17: BBA_loss component_revenue_recognition_direct</t>
  </si>
  <si>
    <t>LE090_17: BBA_loss component_revenue_recognition_assumed</t>
  </si>
  <si>
    <t>LE101_17: BBA_Risk adjust. run off loss component (LRC)_dire</t>
  </si>
  <si>
    <t>LE097_17: BBA - RE Risk non performance - Credit Impairment</t>
  </si>
  <si>
    <t>LE212_17: BBA_interests PH deposits_direct</t>
  </si>
  <si>
    <t>LE224_17: BBA_loss component_revenue_recognition_assumed_aff</t>
  </si>
  <si>
    <t>LE225_17: BBA_Risk adj. run off loss comp. (LRC)_assumed_aff</t>
  </si>
  <si>
    <t>LE290_17: BBA-Change in disc. rate booked to OCI-Gross-aff</t>
  </si>
  <si>
    <t>LE291_17: BBA-Ch. discount rate booked to OCI-Reins-aff</t>
  </si>
  <si>
    <t>LE292_17 BBA - Impairment on RE Receivable-Disputed balances</t>
  </si>
  <si>
    <t>LR046_17: BBA_IACF amortization_revenue_expense_check_retro</t>
  </si>
  <si>
    <t>LR049_17: BBA_expected claims release (LRC)_assumed 3rd_aff</t>
  </si>
  <si>
    <t>LR050_17: BBA_expected claims release (LRC)_ceded 3rd_aff</t>
  </si>
  <si>
    <t>LE323_17: BBA_loss component_reve_recog._other exp_retro</t>
  </si>
  <si>
    <t>LE324_17: BBA_loss component_revenue_recognition_RA_ceded</t>
  </si>
  <si>
    <t>LE325_17: BBA_loss component_revenue_recognition_RA_retro</t>
  </si>
  <si>
    <t>LE326_17: BBA_loss component_revenue_recognition_claims_ced.</t>
  </si>
  <si>
    <t>LE327_17: BBA_loss component_reve_recognition_claims_retro</t>
  </si>
  <si>
    <t>LE328_17: BBA_loss component_reve_recognition_other exp_ced.</t>
  </si>
  <si>
    <t>LE312_17: BBA_ experience adjustment premium_retro</t>
  </si>
  <si>
    <t>LE313_17: BBA_ experience adjustment premium_retro_aff</t>
  </si>
  <si>
    <t>LR051_17: BBA_expected claims release (LRC)_retroced.3rd_aff</t>
  </si>
  <si>
    <t>LR052_17: BBA_expect. expense release. (LRC)_assumed 3rd_aff</t>
  </si>
  <si>
    <t>LR053_17: BBA_expected expense release (LRC)_ceded 3rd_aff</t>
  </si>
  <si>
    <t>LR054_17: BBA_expect. expense release (LRC)_retroced.3rd_aff</t>
  </si>
  <si>
    <t>LR055_17: BBA_Risk adjustment release (LRC)_assumed_aff</t>
  </si>
  <si>
    <t>LR056_17: BBA_Risk adjustment release (LRC)_ceded_aff</t>
  </si>
  <si>
    <t>LR057_17: BBA_Risk adjustment release (LRC)_retroceded_aff</t>
  </si>
  <si>
    <t>LR058_17 BBA_CSM_amortization_assumed_aff</t>
  </si>
  <si>
    <t>LR059_17: BBA_CSM_amortization_ceded_aff</t>
  </si>
  <si>
    <t>LR060_17: BBA_CSM_amortization_retro_aff</t>
  </si>
  <si>
    <t>LR061_17: BBA_IACF allocated to revenue _assumed_aff</t>
  </si>
  <si>
    <t>LR062_17: BBA_IACF allocated to revenue _ceded_aff</t>
  </si>
  <si>
    <t>LR063_17: BBA_IACF allocated to revenue _retroceded_aff</t>
  </si>
  <si>
    <t>LR064_17: BBA_IACF additions_assumed_aff</t>
  </si>
  <si>
    <t>LR065_17: BBA_IACF additions_ceded_aff</t>
  </si>
  <si>
    <t>LR066_17: BBA_IACF additions_retroceded_aff</t>
  </si>
  <si>
    <t>LR067_17: BBA_IACF amortization_revenue_expense_check_assum.</t>
  </si>
  <si>
    <t>LR068_17: BBA_IACF amort_revenue_expense_check_ceded_aff</t>
  </si>
  <si>
    <t>LR069_17: BBA_IACF amort_revenue_expense_check_retro_aff</t>
  </si>
  <si>
    <t>LR070_17: BBA_TOM 62E block</t>
  </si>
  <si>
    <t>LR071_17: BBA_expected claims release (LRC)_direct</t>
  </si>
  <si>
    <t>LR072_17: BBA_expected claims release (LRC)_assumed 3rd</t>
  </si>
  <si>
    <t>LE295_17: Interest credited to PH 3rd</t>
  </si>
  <si>
    <t>LR076_17 BBA_TOM 93L block</t>
  </si>
  <si>
    <t>L024_17: BBA - Block loss comp acc with TOM 66B</t>
  </si>
  <si>
    <t>LE172_17: BBA_ changes in estimates_ceded</t>
  </si>
  <si>
    <t>LE173_17: BBA_ changes in estimates_retro</t>
  </si>
  <si>
    <t>LE102_17: BBA_Risk adjust. run off loss component (LRC)_assu</t>
  </si>
  <si>
    <t>LE314_17: BBA_RA_loss component release_retro</t>
  </si>
  <si>
    <t>LE315_17: BBA_RA_loss component release_retro_aff</t>
  </si>
  <si>
    <t>LE316_17: BBA_RA_loss component release_ceded</t>
  </si>
  <si>
    <t>LE184_17: BBA - Ch. in discount rate booked to OCI-Gross-3rd</t>
  </si>
  <si>
    <t>LE215_17: BBA_unwind of discount_direct</t>
  </si>
  <si>
    <t>AL002_17: OCI recon. with ins./reins. contracts OCI movement</t>
  </si>
  <si>
    <t>LE121_17: BBA_ IACF amortization _direct</t>
  </si>
  <si>
    <t>LE123_17: BBA_ IACF amortization _assumed</t>
  </si>
  <si>
    <t>LE124_17: BBA_ IACF amortization _ceded</t>
  </si>
  <si>
    <t>LE294_17: Interest credited to PH UL</t>
  </si>
  <si>
    <t>LE296_17 BBA_ experience adjustment premium_assumed_aff</t>
  </si>
  <si>
    <t>LE297_17: BBA_ experience adjustment premium_reins_aff</t>
  </si>
  <si>
    <t>LE216_17: BBA_unwind of discount_assumed</t>
  </si>
  <si>
    <t>LE217_17: BBA_unwind of discount_ceded</t>
  </si>
  <si>
    <t>LE218_17: BBA_unwind of discount_retroceded</t>
  </si>
  <si>
    <t>LE219_17: BBA - Ch. discount rate booked to OCI-Reins-3rd</t>
  </si>
  <si>
    <t>LE220_17: BBA_LC revenue - expense check_direct</t>
  </si>
  <si>
    <t>LE221_17: BBA_LC revenue - expense check_assumed</t>
  </si>
  <si>
    <t>LE222_17: BBA_RA revenue - expense check_direct</t>
  </si>
  <si>
    <t>L021_17: BBA - IACF closing balances</t>
  </si>
  <si>
    <t>LE226_17: BBA NON PAR_ CSM assumed_ interest accretion_aff</t>
  </si>
  <si>
    <t>LE227_17: BBA NON PAR_ CSM ceded_ interest accretion_aff</t>
  </si>
  <si>
    <t>LE228_17: BBA NON PAR_CSM retroceded_ interest accretion_aff</t>
  </si>
  <si>
    <t>LE229_17: BBA CSM Remaining Coverage_assumed_aff</t>
  </si>
  <si>
    <t>LE230_17: BBA_CSM_interest_accretion_assumed_aff</t>
  </si>
  <si>
    <t>LE231_17: BBA_ CSM initial recognition_assumed_aff</t>
  </si>
  <si>
    <t>LE232_17: BBA_ CSM initial recognition_ceded_aff</t>
  </si>
  <si>
    <t>LE233_17: BBA_ CSM initial recognition_retroceded_aff</t>
  </si>
  <si>
    <t>LE234_17: BBA_ IACF amortization _assumed_aff</t>
  </si>
  <si>
    <t>LE235_17: BBA_ IACF amortization _ceded_aff</t>
  </si>
  <si>
    <t>LE236_17: BBA_ IACF amortization _retroceded_aff</t>
  </si>
  <si>
    <t>LE237_17: BBA_changes in loss component_assumed_aff</t>
  </si>
  <si>
    <t>LE238_17: BBA_changes in loss component_ceded_aff</t>
  </si>
  <si>
    <t>LE239_17: BBA_changes in loss component_retroceded_aff</t>
  </si>
  <si>
    <t>LE240_17: BBA_loss component initial recognition_assumed_aff</t>
  </si>
  <si>
    <t>LE241_17: BBA_loss component release_assumed_aff</t>
  </si>
  <si>
    <t>LE242_17: BBA_RA_loss component release_assumed_aff</t>
  </si>
  <si>
    <t>LE243_17: BBA_loss component release_ceded_aff</t>
  </si>
  <si>
    <t>LE244_17: BBA_loss component release_retroceded_aff</t>
  </si>
  <si>
    <t>LE245_17: BBA_ risk adj loss component _assumed_aff</t>
  </si>
  <si>
    <t>LE246_17: BBA_Claims paid Surrenders_assumed_aff</t>
  </si>
  <si>
    <t>LE247_17: BBA_Claims paid Surrenders_ceded_aff</t>
  </si>
  <si>
    <t>LE248_17: BBA_Claims paid Surrenders_retroceded_aff</t>
  </si>
  <si>
    <t>LE249_17: BBA_Claims paid Maturities_assumed_aff</t>
  </si>
  <si>
    <t>LE250_17: BBA_Claims paid Maturities_ceded_aff</t>
  </si>
  <si>
    <t>LE251_17: BBA_Claims paid Maturities_retroceded_aff</t>
  </si>
  <si>
    <t>LE252_17: BBA_Claims paid Annuities_assumed_aff</t>
  </si>
  <si>
    <t>LE253_17: BBA_Claims paid Annuities_ceded_aff</t>
  </si>
  <si>
    <t>LE254_17: BBA_Claims paid Annuities_retroceded_aff</t>
  </si>
  <si>
    <t>LE255_17: BBA_Claims paid Other benefits_assumed_aff</t>
  </si>
  <si>
    <t>LE256_17: BBA_Claims paid Other benefits_ceded_aff</t>
  </si>
  <si>
    <t>LE257_17: BBA_Claims paid Other benefits_retroceded_aff</t>
  </si>
  <si>
    <t>LE259_17: BBA_ LIC claims incurred_assumed_aff</t>
  </si>
  <si>
    <t>LE260_17: BBA_ LIC claims incurred_ceded_aff</t>
  </si>
  <si>
    <t>LE261_17: BBA_ LIC claims incurred_retroceded_aff</t>
  </si>
  <si>
    <t>LE262_17: BBA_ LAE incurred_assumed_aff</t>
  </si>
  <si>
    <t>LE263_17: BBA_ Risk Adj incurred claims_assumed_aff</t>
  </si>
  <si>
    <t>LE264_17: BBA_ Risk Adj incurred claims_ceded &amp; retro_aff</t>
  </si>
  <si>
    <t>LE265_17: BBA_ NDIC expected_assumed_aff</t>
  </si>
  <si>
    <t>LE266_17: BBA_ changes in estimates_assumed_aff</t>
  </si>
  <si>
    <t>LE267_17: BBA_ changes in estimates_ceded_aff</t>
  </si>
  <si>
    <t>LE268_17: BBA_ changes in estimates_retro_aff</t>
  </si>
  <si>
    <t>LE269_17: BBA_ experience variance - NDIC_assumed_aff</t>
  </si>
  <si>
    <t>LE270_17: BBA_ experience variance - NDIC_ceded_aff</t>
  </si>
  <si>
    <t>LE271_17: BBA_ experience variance - NDIC_retro_aff</t>
  </si>
  <si>
    <t>LE272_17: BBA_Loss Component Balance_assumed_aff</t>
  </si>
  <si>
    <t>LE273_17: BBA_Change in discretion_assumed_aff</t>
  </si>
  <si>
    <t>LE274_17: BBA_Change in discretion_ceded_aff</t>
  </si>
  <si>
    <t>LE275_17: BBA_Change in discretion_retro_aff</t>
  </si>
  <si>
    <t>LE276_17: BBA_Exp. Adj. Acquisition costs_assumed_aff</t>
  </si>
  <si>
    <t>LE277_17: BBA_Exp. Adj. Acquisition costs_ceded_aff</t>
  </si>
  <si>
    <t>LE278_17: BBA_Exp. Adj. Acquisition costs_retro_aff</t>
  </si>
  <si>
    <t>LE279_17: BBA_loss component initial recognition_assumed_aff</t>
  </si>
  <si>
    <t>LE280_17: BBA_unwind of discount_assumed_aff</t>
  </si>
  <si>
    <t>LE281_17: BBA_unwind of discount_ceded_aff</t>
  </si>
  <si>
    <t>LE282_17: BBA_unwind of discount_retroceded_aff</t>
  </si>
  <si>
    <t>LE283_17: BBA_LC revenue - expense check_assumed_aff</t>
  </si>
  <si>
    <t>LE284_17 BBA_RA revenue - expense check_assumed_aff</t>
  </si>
  <si>
    <t>LE318_17: BBA_loss component_revenue_recognition_RA_ceded</t>
  </si>
  <si>
    <t>LE319_17: BBA_loss component_revenue_recognition_RA_retro</t>
  </si>
  <si>
    <t>LE320_17: BBA_loss component_revenue_recognition_claims_ced.</t>
  </si>
  <si>
    <t>LE321_17: BBA_loss component_reve_recognition_claims_retro</t>
  </si>
  <si>
    <t>LE386_17: BBA_loss component release_ceded</t>
  </si>
  <si>
    <t>LE340_17: BBA_loss component initial recognition_ceded 3rd</t>
  </si>
  <si>
    <t>LE341_17: BBA_loss component initial recognition_retroced. 3</t>
  </si>
  <si>
    <t>LE342_17: BBA_loss component initial recognition_ceded aff</t>
  </si>
  <si>
    <t>LE343_17: BBA_loss comp. initial recognition_retroced aff</t>
  </si>
  <si>
    <t>LE344_17: BBA_loss component initial recognition_ceded</t>
  </si>
  <si>
    <t>LE345_17: BBA_loss component initial recognition_retroceded</t>
  </si>
  <si>
    <t>LE346_17: BBA_loss component initial recognition_ceded aff</t>
  </si>
  <si>
    <t>LE347_17: BBA_loss comp. initial recognition_retroced aff</t>
  </si>
  <si>
    <t>LE348_17: BBA_ NDIC expected_ceded</t>
  </si>
  <si>
    <t>LE349_17: BBA_ NDIC expected_retroceded</t>
  </si>
  <si>
    <t>LE350_17: BBA_ NDIC expected_ceded aff</t>
  </si>
  <si>
    <t>LE351_17: BBA_ NDIC expected_retroceded aff</t>
  </si>
  <si>
    <t>LE358_17: BBA_ recl_to_assets_PVFCF_direct</t>
  </si>
  <si>
    <t>LE360_17: BBA_ recl_to_assets_PVFCF_assumed_aff</t>
  </si>
  <si>
    <t>LE361_17: BBA_ recl_to_assets_PVFCF_ceded_3rd</t>
  </si>
  <si>
    <t>LE362_17: BBA_ recl_to_assets_PVFCF_ceded_aff</t>
  </si>
  <si>
    <t>LE363_17: BBA_ recl_to_assets_PVFCF_retroceded_3rd</t>
  </si>
  <si>
    <t>LE364_17: BBA_ recl_to_assets_PVFCF_retroceded_aff</t>
  </si>
  <si>
    <t>LE365_17: BBA_ recl_to_assets_CSM_direct</t>
  </si>
  <si>
    <t>LE366_17: BBA_ recl_to_assets_CSM_assumed_3rd</t>
  </si>
  <si>
    <t>LE367_17: BBA_ recl_to_assets_CSM_assumed_aff</t>
  </si>
  <si>
    <t>LE368_17: BBA_ recl_to_assets_CSM_ceded_3rd</t>
  </si>
  <si>
    <t>LE369_17: BBA_ recl_to_assets_CSM_ceded_aff</t>
  </si>
  <si>
    <t>LE370_17: BBA_ recl_to_assets_CSM_retroceded_3rd</t>
  </si>
  <si>
    <t>LE371_17: BBA_ recl_to_assets_CSM_retroceded_aff</t>
  </si>
  <si>
    <t>LE372_17: BBA_ recl_to_assets_RA_direct</t>
  </si>
  <si>
    <t>LE373_17: BBA_ recl_to_assets_RA_assumed_3rd</t>
  </si>
  <si>
    <t>LE374_17: BBA_ recl_to_assets_RA_assumed_aff</t>
  </si>
  <si>
    <t>LE375_17: BBA_ recl_to_assets_RA_ceded_3rd</t>
  </si>
  <si>
    <t>LE376_17: BBA_ recl_to_assets_RA_ceded_aff</t>
  </si>
  <si>
    <t>LE377_17: BBA_ recl_to_assets_RA_retroceded_3rd</t>
  </si>
  <si>
    <t>LE352_17: BBA_ changes in loss component_ceded</t>
  </si>
  <si>
    <t>LE353_17: BBA_ changes in loss component_retroceded</t>
  </si>
  <si>
    <t>LE354_17: BBA_ risk adj loss component _ceded 3rd</t>
  </si>
  <si>
    <t>LE355_17: BBA_ risk adj loss component _retroceded 3rd</t>
  </si>
  <si>
    <t>LE356_17: BBA_ risk adj loss component _ceded aff</t>
  </si>
  <si>
    <t>/BIC/ZZF_BUSRE</t>
  </si>
  <si>
    <t>/BIC/ZZF_CGRUN</t>
  </si>
  <si>
    <t>/BIC/ZZF_CGSEG</t>
  </si>
  <si>
    <t>/BIC/ZZF_COKEY</t>
  </si>
  <si>
    <t>/BIC/ZZF_DOCTY</t>
  </si>
  <si>
    <t>/BIC/ZZF_EQCOM</t>
  </si>
  <si>
    <t>S402_00: TTC &gt; 10 mio USD a Warnings Comment is required</t>
  </si>
  <si>
    <t>/BIC/ZZF_FSACC</t>
  </si>
  <si>
    <t>TOM027_17:Equity rest TOMs to be used only with GCU approval</t>
  </si>
  <si>
    <t>TOM025_17: Block equity restatements TOMs outside equity</t>
  </si>
  <si>
    <t>TR112_17: IFRS17 Trans.: G/L on FV hedges - IFRSN and IFRS</t>
  </si>
  <si>
    <t>TOM027_00:Equity rest TOMs to be used only with GCU approval</t>
  </si>
  <si>
    <t>TR012_17: IFRS17 Trans.: G/L on FV hedges - IFRSN equal IFRS</t>
  </si>
  <si>
    <t>AL095_00: Counterparty information</t>
  </si>
  <si>
    <t>S901_00 DTL's to be credits</t>
  </si>
  <si>
    <t>A183_00: Inv. unit 999999 not allowed HDM</t>
  </si>
  <si>
    <t>S255_00: DTA's to be debits</t>
  </si>
  <si>
    <t>A269_00: No Aquisistion ToM allowed with wrong carry forward</t>
  </si>
  <si>
    <t>S256_00: DTL's to be credits</t>
  </si>
  <si>
    <t>S257_00: DTL's to be credits</t>
  </si>
  <si>
    <t>S258_00: DTA's to be debits</t>
  </si>
  <si>
    <t>S259_00: DTL's to be credits</t>
  </si>
  <si>
    <t>S260_00: DTA's to be debits</t>
  </si>
  <si>
    <t>S261_00: DTA's to be debits</t>
  </si>
  <si>
    <t>S262_00: DTL's to be credits</t>
  </si>
  <si>
    <t>S263_00: DTA's to be debits</t>
  </si>
  <si>
    <t>S264_00: DTL's to be credits</t>
  </si>
  <si>
    <t>S265_00: Valuation allowance to be credit</t>
  </si>
  <si>
    <t>S266_00: Valuation allowance to be credit</t>
  </si>
  <si>
    <t>TOM025_00: Block equity restatements TOMs outside equity</t>
  </si>
  <si>
    <t>S238_00: DTA's to be debits</t>
  </si>
  <si>
    <t>S239_00: DTL's to be credits</t>
  </si>
  <si>
    <t>S240_00: DTA's to be debits</t>
  </si>
  <si>
    <t>S241_00: DTL's to be credits</t>
  </si>
  <si>
    <t>S242_00: DTA's to be debits</t>
  </si>
  <si>
    <t>S243_00: DTL's to be credits</t>
  </si>
  <si>
    <t>S244_00: DTA's to be debits</t>
  </si>
  <si>
    <t>S245_00: DTL's to be credits</t>
  </si>
  <si>
    <t>S246_00: DTA's to be debits</t>
  </si>
  <si>
    <t>S247_00: DTL's to be credits</t>
  </si>
  <si>
    <t>S248_00: DTA's to be debits</t>
  </si>
  <si>
    <t>S249_00: DTL's to be credits</t>
  </si>
  <si>
    <t>S250_00: DTA's to be debits</t>
  </si>
  <si>
    <t>S251_00: DTL's to be credits</t>
  </si>
  <si>
    <t>S252_00: DTA's to be debits</t>
  </si>
  <si>
    <t>S253_00: DTL's to be credits</t>
  </si>
  <si>
    <t>S254_00: DTA's to be debits</t>
  </si>
  <si>
    <t>A369_00: Block IFRS 16 TOMs in TOM-Set 133A</t>
  </si>
  <si>
    <t>A370_00: Block IFRS 16 TOMs in TOM-Set 133B</t>
  </si>
  <si>
    <t>A371_00: Block IFRS 16 TOMs in TOM-Set 102G</t>
  </si>
  <si>
    <t>A372_00: Block IFRS 16 TOMs in TOM-Set 161A</t>
  </si>
  <si>
    <t>A373_00: Block IFRS 16 TOMs in TOM-Set 161B</t>
  </si>
  <si>
    <t>A374_00: Block IFRS 16 TOMs in TOM-Set 180</t>
  </si>
  <si>
    <t>L173_00: Block IFRS 16 TOMs in TOM-Set RE3</t>
  </si>
  <si>
    <t>TR011_17: IFRS17 Trans.: PL - YTD IFRSN and IFRS to be equal</t>
  </si>
  <si>
    <t>E002_17: IFRS17_ Block acc. Int. Credited to PH</t>
  </si>
  <si>
    <t>LE293_17: Block accounts in IFRS 17 only</t>
  </si>
  <si>
    <t>TR101_17: IFRS17 Trans: BS acc.-YTD IFRS &amp; IFRSN to be equal</t>
  </si>
  <si>
    <t>TR102_17: IFRS17 Trans:PL acc.-YTD IFRSN &amp; IFRS to be equal</t>
  </si>
  <si>
    <t>L054_00: No Interest Income on Reinsurance Deposit Liab.</t>
  </si>
  <si>
    <t>L056_00: No debits on liability accounts</t>
  </si>
  <si>
    <t>L069_00:No change assumpt.&amp;loss recogn.f.Ph contr.depos.liab</t>
  </si>
  <si>
    <t>A336_00: Block SLST only ToMs 406/407 for accts 12602 &amp;12612</t>
  </si>
  <si>
    <t>TR105_17: IFRS17 Trans: BS-YTD must only change for Life RUs</t>
  </si>
  <si>
    <t>TR008_17: IFRS17 Trans: BS-YTD must only change for Life RUs</t>
  </si>
  <si>
    <t>S142_00: Z-CORE only accounts = 0 - Segm.</t>
  </si>
  <si>
    <t>TR008_17: 12.2020 YTD IFRS4 = 12.2020 YTD for Non-Life RUs</t>
  </si>
  <si>
    <t>LR048_17: Mandatory AY on BBA accts</t>
  </si>
  <si>
    <t>TR111_17: IFRS17 Trans.: PL - YTD IFRSN and IFRS to be equal</t>
  </si>
  <si>
    <t>TR310_17: 12.2020 YTD IFRS4 equals 12.2020 YTD IFRS17- BS</t>
  </si>
  <si>
    <t>TR311_17: 6.2021 IFRS4 equals 6.2021 IFRS17 - P&amp;L</t>
  </si>
  <si>
    <t>TR312_17: 6.2021 IFRS4 equals 6.2021 IFRS17-G/L on CF hedges</t>
  </si>
  <si>
    <t>TR010_17: 12.2020 YTD IFRS4 equals 12.2020 YTD IFRS17- BS</t>
  </si>
  <si>
    <t>S002_17: Fair Value split</t>
  </si>
  <si>
    <t>L014_17: IFRS 17 Block TOMs on policy loans accts</t>
  </si>
  <si>
    <t>A021_00: Prohibit write-ups AFS equity instr. in P&amp;L</t>
  </si>
  <si>
    <t>TOM024_00: Block IFRS 17 only TOMs in BAU</t>
  </si>
  <si>
    <t>A329_17: IFRS 17 Block TOMs on ceded/retroceded accts</t>
  </si>
  <si>
    <t>S414_00: "Undated" &amp; "On demand" SubA not allowed</t>
  </si>
  <si>
    <t>TOM026_00: Block equity restatements TOMs for SLST</t>
  </si>
  <si>
    <t>A149_00: No amortisation on land held for own use</t>
  </si>
  <si>
    <t>AL010_00: Equity submission equals IFRS submission - Segm.</t>
  </si>
  <si>
    <t>AL330_17: Block certain TOMs on RA accounts</t>
  </si>
  <si>
    <t>TR109_17:IFRS17 Trans:Remeasurem. Acc. only change in P14 PY</t>
  </si>
  <si>
    <t>S900_00: DTA's to be debits</t>
  </si>
  <si>
    <t>E038_00: Allocation accounts should not be used</t>
  </si>
  <si>
    <t>A046_00: No Write-Offs on Buildings held f investment at FV</t>
  </si>
  <si>
    <t>A144_00: No additions possible attorney in fact</t>
  </si>
  <si>
    <t>S001_17: IFRS17_ Block TOMs on stat. Tax acc.</t>
  </si>
  <si>
    <t>A390_17: Block movements in TOM L46</t>
  </si>
  <si>
    <t>TR309_17:IFRS17 Trans:Remeasurem. Acc. only change in P14 PY</t>
  </si>
  <si>
    <t>TR308_17: 12.2020 YTD IFRS4 = 12.2020 YTD for Non-Life RUs</t>
  </si>
  <si>
    <t>TR308_70: Q122 YTD ZIP IFRS&amp;IE GAAP equal for non-life units</t>
  </si>
  <si>
    <t>TR310_70: Q122 YTD ZIP IFRS&amp;IE GAAP to be equal-BS accounts</t>
  </si>
  <si>
    <t>TR311_70: Q122 YTD ZIP IFRS&amp;IE GAAP to be equal-P&amp;L accounts</t>
  </si>
  <si>
    <t>TR312_70: Q122 YTD ZIP IFRS equals IE GAAP- G/L on CF hedges</t>
  </si>
  <si>
    <t>TR011_17: x.2022 IFRS4 equals x.2022 IFRS17 - P&amp;L</t>
  </si>
  <si>
    <t>TR012_17: FPR 2022 YTD IFRS4 equals IFRS17-G/L on CF hedges</t>
  </si>
  <si>
    <t>/BIC/ZZF_GAAP</t>
  </si>
  <si>
    <t>/BIC/ZZF_GCOA</t>
  </si>
  <si>
    <t>/BIC/ZZF_GRCED</t>
  </si>
  <si>
    <t>/BIC/ZZF_INVSE</t>
  </si>
  <si>
    <t>/BIC/ZZF_INVUN</t>
  </si>
  <si>
    <t>LR700_10 / ZIP check penalty reserves</t>
  </si>
  <si>
    <t>/BIC/ZZF_LOB</t>
  </si>
  <si>
    <t>LR700_10 / ZIP check penalty reserves LoB PN03</t>
  </si>
  <si>
    <t>LR702_10 / ZIP check penalty reserves LoB PN04</t>
  </si>
  <si>
    <t>LR703_10 / ZIP check penalty reserves LoB PN05</t>
  </si>
  <si>
    <t>LR700_10 / ZIP check penalty reserves LoB PN02</t>
  </si>
  <si>
    <t>LR704_10 / ZIP check penalty reserves LoB PN06</t>
  </si>
  <si>
    <t>LR706_10 / ZIP check penalty reserves LoB PN08</t>
  </si>
  <si>
    <t>LR705_10 / ZIP check penalty reserves LoB PN07</t>
  </si>
  <si>
    <t>/BIC/ZZF_MATUR</t>
  </si>
  <si>
    <t>L148_00: TOMs 600,640,970 must be 0 on acc 25642 pos lev 0</t>
  </si>
  <si>
    <t>/BIC/ZZF_MOVTY</t>
  </si>
  <si>
    <t>AL136_00: Local BS accounts not allowed in FIP upload</t>
  </si>
  <si>
    <t>A164_00: No movements thru equity for current income tax</t>
  </si>
  <si>
    <t>/BIC/ZZF_PSEGM</t>
  </si>
  <si>
    <t>/BIC/ZZF_PUNIT</t>
  </si>
  <si>
    <t>LS202_00: Total Liabilities by Transaction Currency - aff</t>
  </si>
  <si>
    <t>AS202_00: Total Assets by Transaction Currency - aff</t>
  </si>
  <si>
    <t>LS202_00: Total Liabilities by Transaction Currency-aff-SLST</t>
  </si>
  <si>
    <t>A122_00: Additional information on Inv. in assoc. - linked</t>
  </si>
  <si>
    <t>/BIC/ZZF_REEXP</t>
  </si>
  <si>
    <t>/BIC/ZZF_REINP</t>
  </si>
  <si>
    <t>/BIC/ZZF_REPUN</t>
  </si>
  <si>
    <t>TR016_17: FPR 2022 Populate S36091 (if applicable)</t>
  </si>
  <si>
    <t>/BIC/ZZF_SEGM</t>
  </si>
  <si>
    <t>LE001_00: Current year profit: Balance sheet = P&amp;L</t>
  </si>
  <si>
    <t>AL001_17: Assets = Liabilities</t>
  </si>
  <si>
    <t>E039_00: Amounts on nature accounts equal to 0 in total</t>
  </si>
  <si>
    <t>/BIC/ZZF_UPPSE</t>
  </si>
  <si>
    <t>/BIC/ZZF_UPPUN</t>
  </si>
  <si>
    <t>/BIC/ZZF_VALUE</t>
  </si>
  <si>
    <t>/BIC/ZZF_VARIO</t>
  </si>
  <si>
    <t>/BIC/ZZF_VERS</t>
  </si>
  <si>
    <t>BCS_CTFLG</t>
  </si>
  <si>
    <t>CS_PLEVEL</t>
  </si>
  <si>
    <t>FISCPERIOD</t>
  </si>
  <si>
    <t>FISCVARNT</t>
  </si>
  <si>
    <t>FISCYEAR</t>
  </si>
  <si>
    <t>UNIT</t>
  </si>
  <si>
    <t>A004_70</t>
  </si>
  <si>
    <t>A004_70 No gains&amp;losses to equity - Derivatives</t>
  </si>
  <si>
    <t>A021_00</t>
  </si>
  <si>
    <t>A021_00: Block ToMs 406/407 for FVOCI Eq. securities FV Opt.</t>
  </si>
  <si>
    <t>A043_00</t>
  </si>
  <si>
    <t>A043_00: Pos. Impairm due to EGP chges FAS 97&amp;120 contract</t>
  </si>
  <si>
    <t>A043_60</t>
  </si>
  <si>
    <t>A043_60: Pos.Impairm due to EGP changes</t>
  </si>
  <si>
    <t>A045_00</t>
  </si>
  <si>
    <t>A045_00: No Amort./Impairm on Land held for Inv at FV</t>
  </si>
  <si>
    <t>A046_00</t>
  </si>
  <si>
    <t>A050_00</t>
  </si>
  <si>
    <t>A050_00: No Acc Amort. Buildings held f inv at FV fin lease</t>
  </si>
  <si>
    <t>A075_00</t>
  </si>
  <si>
    <t>A075_00: No FX-effects booked to p&amp;l- FVOCI Equity sec.</t>
  </si>
  <si>
    <t>A076_00</t>
  </si>
  <si>
    <t>A076_00: No pos. or neg. Diff. FV-to p&amp;l (FVOCI equity sec.)</t>
  </si>
  <si>
    <t>A078_00</t>
  </si>
  <si>
    <t>A078_00: No pos. or neg. Diff. FV - to Equity (trading)</t>
  </si>
  <si>
    <t>A079_00</t>
  </si>
  <si>
    <t>A079_00: No pos. or neg. Diff. FV - to FVPL Equity sec.</t>
  </si>
  <si>
    <t>A080_00</t>
  </si>
  <si>
    <t>A080_00: No FX-effects booked to Equity- Equity sec trading</t>
  </si>
  <si>
    <t>A081_00</t>
  </si>
  <si>
    <t>A081_00: No FX-effects booked to Equity- FVPL Equity sec</t>
  </si>
  <si>
    <t>A084_00</t>
  </si>
  <si>
    <t>A084_00: No unreal. forex g/l to p&amp;l- Priv Equ Funds</t>
  </si>
  <si>
    <t>A085_00</t>
  </si>
  <si>
    <t>A085_00: No pos. or neg. Diff. FV to p&amp;l- Priv Equ Funds</t>
  </si>
  <si>
    <t>A090_00</t>
  </si>
  <si>
    <t>A090_00: No pos Diff. FV to EQ on FVPL Open-end inv. funds</t>
  </si>
  <si>
    <t>A091_00</t>
  </si>
  <si>
    <t>A091_00: No neg Diff. FV on EQ for FVPL Open-end inv. funds</t>
  </si>
  <si>
    <t>A092_00</t>
  </si>
  <si>
    <t>A092_00: No pos Diff. FV- booked to p&amp;l (Open-end inv.funds)</t>
  </si>
  <si>
    <t>A093_00</t>
  </si>
  <si>
    <t>A093_00: No neg Diff. FV- booked to p&amp;l (Open-end inv.funds)</t>
  </si>
  <si>
    <t>A095_00</t>
  </si>
  <si>
    <t>A095_00: No FX-effects booked to P&amp;L-Open-end inv. funds AFS</t>
  </si>
  <si>
    <t>A096_00</t>
  </si>
  <si>
    <t>A096_00: No FX-effects booked to Equity-FVPL Open-end inv. f</t>
  </si>
  <si>
    <t>A100_70</t>
  </si>
  <si>
    <t>A100_70: No impairments on FVPL financial assets</t>
  </si>
  <si>
    <t>A106_00</t>
  </si>
  <si>
    <t>A106_00: No pos Impairm DAC- Use TOM 407 for pos EGP change</t>
  </si>
  <si>
    <t>A106_60</t>
  </si>
  <si>
    <t>A106_60: No pos Impairm DAC-Use TOM 406 for pos EGP change</t>
  </si>
  <si>
    <t>A107_00</t>
  </si>
  <si>
    <t>A107_00: Prevent positive amortization FAS 60 DAC</t>
  </si>
  <si>
    <t>A107_60</t>
  </si>
  <si>
    <t>A107_60: Prevent positive amortization DAC</t>
  </si>
  <si>
    <t>A108_60</t>
  </si>
  <si>
    <t>A108_60: No pos Impairm DAC-retr.TOM 406 for pos EGP change</t>
  </si>
  <si>
    <t>A109_60</t>
  </si>
  <si>
    <t>A109_60: Prevent positive amortization DAC Retroceded</t>
  </si>
  <si>
    <t>A122_00</t>
  </si>
  <si>
    <t>A137_00</t>
  </si>
  <si>
    <t>A137_00: No FV adjustm to Equity f Inv property: Buildings</t>
  </si>
  <si>
    <t>A142_00</t>
  </si>
  <si>
    <t>A142_00: No currency reval. for non-monetary at-cost accts</t>
  </si>
  <si>
    <t>A144_00</t>
  </si>
  <si>
    <t>A149_00</t>
  </si>
  <si>
    <t>A150_00</t>
  </si>
  <si>
    <t>A150_00: No pos Diff. FV- to p&amp;l- Non-red. Pref. Stocks AFS</t>
  </si>
  <si>
    <t>A151_00</t>
  </si>
  <si>
    <t>A151_00: No neg Diff. FV- to p&amp;l- Non-red. Pref. Stocks AFS</t>
  </si>
  <si>
    <t>A152_00</t>
  </si>
  <si>
    <t>A152_00: No pos Diff FV-to Equ.-Nred Pref.Stocks FVPL</t>
  </si>
  <si>
    <t>A153_00</t>
  </si>
  <si>
    <t>A153_00: No neg Diff FV-to Equ.-Nred Pref.Stocks FVPL</t>
  </si>
  <si>
    <t>A156_00</t>
  </si>
  <si>
    <t>A156_00: No FX booked to P&amp;L- Non-red. Pref. Stocks AFS</t>
  </si>
  <si>
    <t>A157_00</t>
  </si>
  <si>
    <t>A157_00: No FX booked to equity- Non-red. Pref. Stocks Trad</t>
  </si>
  <si>
    <t>A158_00</t>
  </si>
  <si>
    <t>A158_00: No FX booked to EQ-FVPL Non-red. Pref. Stocks</t>
  </si>
  <si>
    <t>A159_00</t>
  </si>
  <si>
    <t>A159_00: No gains&amp;losses to equity - Derivatives</t>
  </si>
  <si>
    <t>A159_09</t>
  </si>
  <si>
    <t>A159_09: No gains&amp;losses to equity - Derivatives</t>
  </si>
  <si>
    <t>A159_60</t>
  </si>
  <si>
    <t>A159_60: No gains&amp;losses to equity - Derivatives</t>
  </si>
  <si>
    <t>A162_00</t>
  </si>
  <si>
    <t>A162_00: No currency revalution on non-monetary items</t>
  </si>
  <si>
    <t>A164_00</t>
  </si>
  <si>
    <t>A169_00</t>
  </si>
  <si>
    <t>A169_00:Prohibit transact.f.mortg.loan given as collat.- 3rd</t>
  </si>
  <si>
    <t>A170_00</t>
  </si>
  <si>
    <t>A170_00:Prohibit transact.f.mortg.loan giv.as collat.-linked</t>
  </si>
  <si>
    <t>A179_00</t>
  </si>
  <si>
    <t>A179_00: No interest expense on Reinsurance Deposit Assets</t>
  </si>
  <si>
    <t>A180_00</t>
  </si>
  <si>
    <t>A180_00: No credits on asset accounts</t>
  </si>
  <si>
    <t>A182_00</t>
  </si>
  <si>
    <t>A182_00: only partner unit 999999 and p. segm. 999 allowed</t>
  </si>
  <si>
    <t>A183_00</t>
  </si>
  <si>
    <t>A184_00</t>
  </si>
  <si>
    <t>A184_00: Value on Inv. segm. 999 must be zero HDM</t>
  </si>
  <si>
    <t>A185_00</t>
  </si>
  <si>
    <t>A185_00: No sales of HtM investments</t>
  </si>
  <si>
    <t>A246_00</t>
  </si>
  <si>
    <t>A246_00: No Impair. on FV/Trading/short-term instrum. - Segm</t>
  </si>
  <si>
    <t>A246_09</t>
  </si>
  <si>
    <t>A246_09: No impairments on FVPL financial assets</t>
  </si>
  <si>
    <t>A269_00</t>
  </si>
  <si>
    <t>A269_00: No Aquisition TOM where not allowed by IFRS</t>
  </si>
  <si>
    <t>A275_00</t>
  </si>
  <si>
    <t>A275_00: No bookings through P&amp;L on AfS</t>
  </si>
  <si>
    <t>A275_09</t>
  </si>
  <si>
    <t>A275_09: No bookings through P&amp;L on FVOCI Debt</t>
  </si>
  <si>
    <t>A276_09</t>
  </si>
  <si>
    <t>A276_09: No bookings through P&amp;L on FVOCI Mortgages</t>
  </si>
  <si>
    <t>A286_00</t>
  </si>
  <si>
    <t>A286_00: Debt Sec FV &amp; Trad. no URGL through EQ</t>
  </si>
  <si>
    <t>A286_09</t>
  </si>
  <si>
    <t>A286_09: Debt Sec FVPL no URGL through EQ</t>
  </si>
  <si>
    <t>A286_60</t>
  </si>
  <si>
    <t>A286_60: Debt Sec FV &amp; Trad. no URGL through EQ</t>
  </si>
  <si>
    <t>A292_00</t>
  </si>
  <si>
    <t>A292_00: No unrealized gains/losses TOMs for UL assets</t>
  </si>
  <si>
    <t>A293_00</t>
  </si>
  <si>
    <t>A293_00: No proceeds from matured securities for equity sec.</t>
  </si>
  <si>
    <t>A293_09</t>
  </si>
  <si>
    <t>A293_09: No proceeds from matured secur. for equity securit.</t>
  </si>
  <si>
    <t>A302_00</t>
  </si>
  <si>
    <t>A302_00: Block Non-Life Annuities accounts (assets)</t>
  </si>
  <si>
    <t>A304_17</t>
  </si>
  <si>
    <t>A304_17: IFRS 17 Block TOMs on assets/liabilities</t>
  </si>
  <si>
    <t>A305_17</t>
  </si>
  <si>
    <t>A305_17: PAA - Block TOMs on liabilities</t>
  </si>
  <si>
    <t>A306_17</t>
  </si>
  <si>
    <t>A306_17: PAA - Block TOMs on assets</t>
  </si>
  <si>
    <t>A307_17</t>
  </si>
  <si>
    <t>A307_17: BBA - Block TOMs on liabilities</t>
  </si>
  <si>
    <t>A308_17</t>
  </si>
  <si>
    <t>A308_17: BBA - Block TOMs on assets</t>
  </si>
  <si>
    <t>A315_00</t>
  </si>
  <si>
    <t>A315_00: Block account 17412 for non-UK units</t>
  </si>
  <si>
    <t>A328_00</t>
  </si>
  <si>
    <t>A328_00: Block TOM 016 for Receivable accounts</t>
  </si>
  <si>
    <t>A328_17</t>
  </si>
  <si>
    <t>A328_17: Block TOM 016 for Receivable accounts</t>
  </si>
  <si>
    <t>A328_60</t>
  </si>
  <si>
    <t>A328_60: Block TOM 016 for Receivable accounts</t>
  </si>
  <si>
    <t>A329_17</t>
  </si>
  <si>
    <t>A330_17</t>
  </si>
  <si>
    <t>A330_17: Block TOM 60B and 60L for PVFCF and RA LIC</t>
  </si>
  <si>
    <t>A332_00</t>
  </si>
  <si>
    <t>A332_00: Block Account 16331</t>
  </si>
  <si>
    <t>A333_00</t>
  </si>
  <si>
    <t>A333_00: Block SII only ToMs 885/886 for AC investment acc.</t>
  </si>
  <si>
    <t>A335_00</t>
  </si>
  <si>
    <t>A335_00: Dep/impairm on leasehold improvements - inv prop.</t>
  </si>
  <si>
    <t>A336_00</t>
  </si>
  <si>
    <t>A336_00: Block ToMs 406/407 for accts 12602&amp;12612&amp;12622</t>
  </si>
  <si>
    <t>A337_00</t>
  </si>
  <si>
    <t>A337_00: Software disposals</t>
  </si>
  <si>
    <t>A338_00</t>
  </si>
  <si>
    <t>A338_00: No movements thru equity for current income tax</t>
  </si>
  <si>
    <t>A352_00</t>
  </si>
  <si>
    <t>A352_00 No debit balance for impairment allowance accounts</t>
  </si>
  <si>
    <t>A352_60</t>
  </si>
  <si>
    <t>A352_60: No debit balance for impairment allowance accounts</t>
  </si>
  <si>
    <t>A360_00</t>
  </si>
  <si>
    <t>A360_00 Block UL investment accounts UK</t>
  </si>
  <si>
    <t>A369_00</t>
  </si>
  <si>
    <t>A370_00</t>
  </si>
  <si>
    <t>A371_00</t>
  </si>
  <si>
    <t>A372_00</t>
  </si>
  <si>
    <t>A373_00</t>
  </si>
  <si>
    <t>A374_00</t>
  </si>
  <si>
    <t>A390_17</t>
  </si>
  <si>
    <t>A400_09</t>
  </si>
  <si>
    <t>A400_09 No impairments on IFRS17 receivables</t>
  </si>
  <si>
    <t>A400_17</t>
  </si>
  <si>
    <t>A400_17: BBA Block TOMs for reinsurance LRC accts</t>
  </si>
  <si>
    <t>A401_09</t>
  </si>
  <si>
    <t>A401_09: No bookings on ToMs Reclas gains/loss</t>
  </si>
  <si>
    <t>A415_00</t>
  </si>
  <si>
    <t>A415_00: FVOCI equity securities only with Group approval</t>
  </si>
  <si>
    <t>A416_00</t>
  </si>
  <si>
    <t>A416_00: Block Transfer between types of instruments</t>
  </si>
  <si>
    <t>A416_09</t>
  </si>
  <si>
    <t>A416_09: No FV diff. or FX booked to equity - FVPL loans</t>
  </si>
  <si>
    <t>A436_00</t>
  </si>
  <si>
    <t>A436_00:  No negative add. booked on Property and Equipment</t>
  </si>
  <si>
    <t>A437_00</t>
  </si>
  <si>
    <t>A437_00:  No negative add. on intangible assets</t>
  </si>
  <si>
    <t>A438_00</t>
  </si>
  <si>
    <t>A438_00: Report on S11303 if impair. is reported</t>
  </si>
  <si>
    <t>A439_00</t>
  </si>
  <si>
    <t>A439_00: Report on S11303 if impair. is reported</t>
  </si>
  <si>
    <t>A440_00</t>
  </si>
  <si>
    <t>A440_00: Report on S11303 if impair. is reported</t>
  </si>
  <si>
    <t>A441_00</t>
  </si>
  <si>
    <t>A441_00: Report on S11303 if impair. is reported</t>
  </si>
  <si>
    <t>A442_00</t>
  </si>
  <si>
    <t>A442_00: Report on S11303 if impair. is reported</t>
  </si>
  <si>
    <t>A443_00</t>
  </si>
  <si>
    <t>A443_00: Report on S11303 if impair. is reported</t>
  </si>
  <si>
    <t>A444_00</t>
  </si>
  <si>
    <t>A444_00: Report on S11303 if impair. is reported</t>
  </si>
  <si>
    <t>A445_00</t>
  </si>
  <si>
    <t>A445_00: Report on S11303 if impair. is reported</t>
  </si>
  <si>
    <t>A446_00</t>
  </si>
  <si>
    <t>A446_00: Report on S11303 if impair. is reported</t>
  </si>
  <si>
    <t>A447_00</t>
  </si>
  <si>
    <t>A447_00: Report on S11303 if impair. is reported</t>
  </si>
  <si>
    <t>A448_00</t>
  </si>
  <si>
    <t>A448_00: Report on S11303 if impair. is reported</t>
  </si>
  <si>
    <t>A449_00</t>
  </si>
  <si>
    <t>A449_00: Report on S11303 if impair. is reported</t>
  </si>
  <si>
    <t>A450_00</t>
  </si>
  <si>
    <t>A450_00: No positive depr.&amp; impair. booked on fix. ass. acc.</t>
  </si>
  <si>
    <t>A451_00</t>
  </si>
  <si>
    <t>A451_00: Block FVOCI eq. securities accounts</t>
  </si>
  <si>
    <t>A452_00</t>
  </si>
  <si>
    <t>A452_00: No amortisation on land held for own use</t>
  </si>
  <si>
    <t>A453_00</t>
  </si>
  <si>
    <t>A453_00: No amortisation on land held for own use</t>
  </si>
  <si>
    <t>A600_00</t>
  </si>
  <si>
    <t>A600_00: Block accts 14196/14206 for SLST</t>
  </si>
  <si>
    <t>A633_00</t>
  </si>
  <si>
    <t>A633_00: Block Goodwill accounts in SLST</t>
  </si>
  <si>
    <t>A800_00</t>
  </si>
  <si>
    <t>A800_00: 12602 SST TOM's equal IFRS TOM's</t>
  </si>
  <si>
    <t>A801_00</t>
  </si>
  <si>
    <t>A801_00: Attorney in fact contracts</t>
  </si>
  <si>
    <t>A802_00</t>
  </si>
  <si>
    <t>A802_00:Cred risk allow aff acc=0 for n-ZLIC RUs&amp;not RU10023</t>
  </si>
  <si>
    <t>A861_80</t>
  </si>
  <si>
    <t>A861_80: block accounts in SST</t>
  </si>
  <si>
    <t>AE033_00</t>
  </si>
  <si>
    <t>AE033_00: ZNA Cash pooling accounts to be zero in total</t>
  </si>
  <si>
    <t>AL001_17</t>
  </si>
  <si>
    <t>AL001_60</t>
  </si>
  <si>
    <t>AL001_60: Assets = Liabilities</t>
  </si>
  <si>
    <t>AL001_80</t>
  </si>
  <si>
    <t>AL001_80: Assets = Liabilities</t>
  </si>
  <si>
    <t>AL001_85</t>
  </si>
  <si>
    <t>AL001_85: Assets = Liabilities</t>
  </si>
  <si>
    <t>AL002_17</t>
  </si>
  <si>
    <t>AL003_17</t>
  </si>
  <si>
    <t>AL003_17: Sum of AY rollover TOM is zero for all AY in total</t>
  </si>
  <si>
    <t>AL005_17</t>
  </si>
  <si>
    <t>AL005_17: PAA-Block TOM L45 and L83 in TOM-Set 210</t>
  </si>
  <si>
    <t>AL006_17</t>
  </si>
  <si>
    <t>AL006_17: PAA-Block TOM L83 and L85 in TOM-Set 280A</t>
  </si>
  <si>
    <t>AL007_17</t>
  </si>
  <si>
    <t>AL007_17: PAA-Block TOM L45 and L83 in TOM-Set 290</t>
  </si>
  <si>
    <t>AL008_17</t>
  </si>
  <si>
    <t>AL008_17: PAA-Block RR TOMs in 102H 210 280A for non RR acc</t>
  </si>
  <si>
    <t>AL009_17</t>
  </si>
  <si>
    <t>AL009_17: LoB PL10 and ZZZ for Life RUs</t>
  </si>
  <si>
    <t>AL010_00</t>
  </si>
  <si>
    <t>AL010_14</t>
  </si>
  <si>
    <t>AL010_14: IFRSN subm equals IFRS equity submission (dry run)</t>
  </si>
  <si>
    <t>AL010_17</t>
  </si>
  <si>
    <t>AL010_17: Equity submission equals IFRSN sub.- Segm./29201ex</t>
  </si>
  <si>
    <t>AL011_00</t>
  </si>
  <si>
    <t>AL011_00: In subgroup incl. Trading Partner must be 0 - Segm</t>
  </si>
  <si>
    <t>AL011_10</t>
  </si>
  <si>
    <t>AL011_10: In subgroup incl. Trading Partner must be 0 - Segm</t>
  </si>
  <si>
    <t>AL011_14</t>
  </si>
  <si>
    <t>AL011_14 In subgroup incl.Trading Partner must be 0 - Seg.BS</t>
  </si>
  <si>
    <t>AL013_00</t>
  </si>
  <si>
    <t>AL013_00: No additions via TOM 124 DOC, DFEF, DOF</t>
  </si>
  <si>
    <t>AL014_00</t>
  </si>
  <si>
    <t>AL014_00: No additions via TOM 230 DOC, DFEF, DOF</t>
  </si>
  <si>
    <t>AL015_17</t>
  </si>
  <si>
    <t>AL015_17: BBA Block TOM 70B</t>
  </si>
  <si>
    <t>AL031_00</t>
  </si>
  <si>
    <t>AL031_00: X segm. not allowed on segm. accounts f. GI comp.</t>
  </si>
  <si>
    <t>AL031_10</t>
  </si>
  <si>
    <t>AL031_10: X segm. not allowed on segm. accounts f. GI comp.</t>
  </si>
  <si>
    <t>AL031_11</t>
  </si>
  <si>
    <t>AL031_11: X segm. not allowed on segm. accounts f. GI comp.</t>
  </si>
  <si>
    <t>AL031_13</t>
  </si>
  <si>
    <t>AL031_13: X segm. not allowed on segm. accounts f. GI comp.</t>
  </si>
  <si>
    <t>AL031_14</t>
  </si>
  <si>
    <t>AL031_14: X segm. not allowed on segm. acc. for GI comp. p14</t>
  </si>
  <si>
    <t>AL034_00</t>
  </si>
  <si>
    <t>AL034_00: Equity submission eq. IFRS submission MHC - Segm.</t>
  </si>
  <si>
    <t>AL035_00</t>
  </si>
  <si>
    <t>AL035_00: IC-accounts with OB ToMs must be zero at PL10 HDM</t>
  </si>
  <si>
    <t>AL036_00</t>
  </si>
  <si>
    <t>AL036_00: Linked Accounts require linked TP - Segm.</t>
  </si>
  <si>
    <t>AL036_01</t>
  </si>
  <si>
    <t>AL036_01: Linked Accounts require linked TP - Segm.</t>
  </si>
  <si>
    <t>AL036_02</t>
  </si>
  <si>
    <t>AL036_02: Linked Accounts require linked TP - Segm.</t>
  </si>
  <si>
    <t>AL036_09</t>
  </si>
  <si>
    <t>AL036_10</t>
  </si>
  <si>
    <t>AL036_10: Linked Accounts require linked TP - Segm.</t>
  </si>
  <si>
    <t>AL036_13</t>
  </si>
  <si>
    <t>AL036_13: Linked Accounts require linked TP - Segm.</t>
  </si>
  <si>
    <t>AL036_14</t>
  </si>
  <si>
    <t>AL036_14: Linked Accounts require linked TP - Segm.</t>
  </si>
  <si>
    <t>AL036_17</t>
  </si>
  <si>
    <t>AL036_17: Linked Accounts require linked TP - Segm.</t>
  </si>
  <si>
    <t>AL036_18</t>
  </si>
  <si>
    <t>AL036_18: Linked Accounts require linked TP - Segm.BS</t>
  </si>
  <si>
    <t>AL036_19</t>
  </si>
  <si>
    <t>AL036_19 Linked Accounts require linked TP - Segm.</t>
  </si>
  <si>
    <t>AL036_70</t>
  </si>
  <si>
    <t>AL036_70: Linked Accounts require linked TP - Segm.</t>
  </si>
  <si>
    <t>AL036_80</t>
  </si>
  <si>
    <t>AL036_80: Linked Accounts require linked TP</t>
  </si>
  <si>
    <t>AL037_00</t>
  </si>
  <si>
    <t>AL037_00: Affiliated Accts require aff.d/subcons. TP - Segm.</t>
  </si>
  <si>
    <t>AL037_10</t>
  </si>
  <si>
    <t>AL037_10: Affiliated Accts require aff.d/subcons. TP - Segm.</t>
  </si>
  <si>
    <t>AL037_17</t>
  </si>
  <si>
    <t>AL037_17: Affiliated Accts require aff.d/subcons. TP-Segm.</t>
  </si>
  <si>
    <t>AL037_18</t>
  </si>
  <si>
    <t>AL037_18: Affiliated Accts require aff.d/subcons.TP-Seg. SFD</t>
  </si>
  <si>
    <t>AL037_19</t>
  </si>
  <si>
    <t>AL037_19: Affiliated Accts require aff.d/subcons. TP-Segm.</t>
  </si>
  <si>
    <t>AL037_60</t>
  </si>
  <si>
    <t>AL037_60: Affiliated Accts require aff.d/subcons. TP - Segm.</t>
  </si>
  <si>
    <t>AL037_70</t>
  </si>
  <si>
    <t>AL037_70: Affiliated Accts require aff.d/subcons. TP-Segm.</t>
  </si>
  <si>
    <t>AL037_71</t>
  </si>
  <si>
    <t>AL037_71: Affiliated Accts require aff.d/subcons. TP-Segm.</t>
  </si>
  <si>
    <t>AL037_80</t>
  </si>
  <si>
    <t>AL037_80: Affiliated Accts require aff.d/subcons. TP-Segm.</t>
  </si>
  <si>
    <t>AL037_85</t>
  </si>
  <si>
    <t>AL037_85: Affiliated Accts require aff.d/subcons. TP-Segm.</t>
  </si>
  <si>
    <t>AL038_00</t>
  </si>
  <si>
    <t>AL038_00: Investee Unit must be affiliated - Segm.</t>
  </si>
  <si>
    <t>AL038_01</t>
  </si>
  <si>
    <t>AL038_01: Investee Unit must be affiliated - Segm.</t>
  </si>
  <si>
    <t>AL038_02</t>
  </si>
  <si>
    <t>AL038_02: Investee Unit must be affiliated - Segm.</t>
  </si>
  <si>
    <t>AL039_00</t>
  </si>
  <si>
    <t>AL039_00: Balance of an inactive Acct. must be zero - Segm.</t>
  </si>
  <si>
    <t>AL039_01</t>
  </si>
  <si>
    <t>AL039_01: Balance of an inactive SH Account must be zero</t>
  </si>
  <si>
    <t>AL039_02</t>
  </si>
  <si>
    <t>AL039_02: Balance of an inactive IEGAAP Account must be zero</t>
  </si>
  <si>
    <t>AL039_02I</t>
  </si>
  <si>
    <t>AL039_02I: Balance of inactive IEGAAP Account must be zero</t>
  </si>
  <si>
    <t>AL039_02T</t>
  </si>
  <si>
    <t>AL039_02T: Balance of an inactive Acct. must be zero - Segm.</t>
  </si>
  <si>
    <t>AL039_03</t>
  </si>
  <si>
    <t>AL039_03: Balance of an inactive SST Account must be zero</t>
  </si>
  <si>
    <t>AL039_03I</t>
  </si>
  <si>
    <t>AL039_03I: Balance of an inactive SST Account must be zero</t>
  </si>
  <si>
    <t>AL039_03T</t>
  </si>
  <si>
    <t>AL039_03T: Balance of an inactive Acct. must be zero - Segm.</t>
  </si>
  <si>
    <t>AL039_04</t>
  </si>
  <si>
    <t>AL039_04: Balance of an inactive SII Account must be zero</t>
  </si>
  <si>
    <t>AL039_04I</t>
  </si>
  <si>
    <t>AL039_04I: Balance of an inactive SII Account must be zero</t>
  </si>
  <si>
    <t>AL039_04T</t>
  </si>
  <si>
    <t>AL039_04T: Balance of an inactive Acct. must be zero - Segm.</t>
  </si>
  <si>
    <t>AL039_05</t>
  </si>
  <si>
    <t>AL039_05: Balance of an inactive Acct. must be zero - Segm.</t>
  </si>
  <si>
    <t>AL039_05I</t>
  </si>
  <si>
    <t>AL039_05I: Balance of an inactive Acct. must be zero - Segm.</t>
  </si>
  <si>
    <t>AL039_05T</t>
  </si>
  <si>
    <t>AL039_05T: Balance of an inactive Acct. must be zero - Segm.</t>
  </si>
  <si>
    <t>AL039_09</t>
  </si>
  <si>
    <t>AL039_09: Inactive Accounts IFRS9 - by BB ToM</t>
  </si>
  <si>
    <t>AL039_091</t>
  </si>
  <si>
    <t>AL039_091: Inactive Accounts IFRS9 - by BB ToM</t>
  </si>
  <si>
    <t>AL039_092</t>
  </si>
  <si>
    <t>AL039_092: Inactive Accounts IFRS9 - by BB ToM</t>
  </si>
  <si>
    <t>AL039_093</t>
  </si>
  <si>
    <t>AL039_093: Inactive Accounts IFRS9 - by BB ToM</t>
  </si>
  <si>
    <t>AL039_094</t>
  </si>
  <si>
    <t>AL039_094: Inactive Accounts IFRS9 - by BB ToM</t>
  </si>
  <si>
    <t>AL039_10</t>
  </si>
  <si>
    <t>AL039_10: Balance of an inact. Account &lt;= 0,1 USD - Segm.</t>
  </si>
  <si>
    <t>AL039_12</t>
  </si>
  <si>
    <t>AL039_12T</t>
  </si>
  <si>
    <t>AL039_02T: Balance of inactive ZIPIFRS Account must be zero</t>
  </si>
  <si>
    <t>AL039_13</t>
  </si>
  <si>
    <t>AL039_13: Balance of an inactive SST Account must be zero</t>
  </si>
  <si>
    <t>AL039_13T</t>
  </si>
  <si>
    <t>AL039_13T: Balance of an inactive SST Account must be zero</t>
  </si>
  <si>
    <t>AL039_14</t>
  </si>
  <si>
    <t>AL039_14: Balance of an inactive Account must be zero -Segm.</t>
  </si>
  <si>
    <t>AL039_14T</t>
  </si>
  <si>
    <t>AL039_14T: Balance of inactive Account must be zero -Segm.</t>
  </si>
  <si>
    <t>AL039_15</t>
  </si>
  <si>
    <t>AL039_15: Balance of an inactive Acct. must be zero - Segm.</t>
  </si>
  <si>
    <t>AL039_15T</t>
  </si>
  <si>
    <t>AL039_15T: Balance of an inactive Acct. must be zero - Segm.</t>
  </si>
  <si>
    <t>AL039_17</t>
  </si>
  <si>
    <t>AL039_17: IFRS17 accounts not available for Transition</t>
  </si>
  <si>
    <t>AL039_22</t>
  </si>
  <si>
    <t>AL039_02: Balance of an inactive ZIP-Stat. Acc. must be zero</t>
  </si>
  <si>
    <t>AL041_00</t>
  </si>
  <si>
    <t>AL041_00: X not allowed on Partn.segm. f. PartnGI - Segm</t>
  </si>
  <si>
    <t>AL041_10</t>
  </si>
  <si>
    <t>AL041_10: X not allowed on Partn.segm. f. PartnGI - Segm</t>
  </si>
  <si>
    <t>AL041_13</t>
  </si>
  <si>
    <t>AL041_13: X not allowed on Partn.segm. f. PartnGI - Segm</t>
  </si>
  <si>
    <t>AL041_14</t>
  </si>
  <si>
    <t>AL041_14: X not allowed on Partn.segm. f. PartnGI - Segm</t>
  </si>
  <si>
    <t>AL042_00</t>
  </si>
  <si>
    <t>AL042_00: G,C,P,M segm. not allow.on NonGI comp&amp;non segm acc</t>
  </si>
  <si>
    <t>AL042_14</t>
  </si>
  <si>
    <t>AL042_14: G,C,P,M segm. not allow.on NonGI comp&amp;non segm acc</t>
  </si>
  <si>
    <t>AL042_15</t>
  </si>
  <si>
    <t>AL042_15: G,C,P,M segm. not allow.on NonGI comp&amp;non segm acc</t>
  </si>
  <si>
    <t>AL042_17</t>
  </si>
  <si>
    <t>AL042_17: G,C,P,M segm. not allow.on NonGI comp&amp;non segm acc</t>
  </si>
  <si>
    <t>AL045_00</t>
  </si>
  <si>
    <t>AL045_00: Balance of an inactive Account must be zero</t>
  </si>
  <si>
    <t>AL045_05</t>
  </si>
  <si>
    <t>AL045_05: Balance of an inactive Account must be zero</t>
  </si>
  <si>
    <t>AL047_00</t>
  </si>
  <si>
    <t>AL047_00: ConsOnly accounts must be zero in LC - Segm.</t>
  </si>
  <si>
    <t>AL047_01</t>
  </si>
  <si>
    <t>AL047_10</t>
  </si>
  <si>
    <t>AL047_14</t>
  </si>
  <si>
    <t>AL047_14: ConsOnly accounts must be zero in LC - Segm.</t>
  </si>
  <si>
    <t>AL048_00</t>
  </si>
  <si>
    <t>AL048_00: CT ToM xxF &amp; Fxx have to be zero in LC - Segm.</t>
  </si>
  <si>
    <t>AL052_00</t>
  </si>
  <si>
    <t>AL052_00: invalid future Accident Years - Segm.</t>
  </si>
  <si>
    <t>AL052_14</t>
  </si>
  <si>
    <t>AL052_14: invalid future Accident Years - Segm. p14</t>
  </si>
  <si>
    <t>AL052_70</t>
  </si>
  <si>
    <t>AL052_70: invalid future Accident Years - Segm.</t>
  </si>
  <si>
    <t>AL053_00</t>
  </si>
  <si>
    <t>AL053_00: cum. value has to be zero per account - Segm.</t>
  </si>
  <si>
    <t>AL053_13</t>
  </si>
  <si>
    <t>AL053_13: cum. value has to be zero per account - Segm.</t>
  </si>
  <si>
    <t>AL053_14</t>
  </si>
  <si>
    <t>AL053_14: cum. value has to be zero per account - Segm.p14</t>
  </si>
  <si>
    <t>AL053_Q1</t>
  </si>
  <si>
    <t>AL053_Q1: cum. value has to be zero per account - Segm.Q1</t>
  </si>
  <si>
    <t>AL054_00</t>
  </si>
  <si>
    <t>AL054_00: Only Equity submission accounts allowed</t>
  </si>
  <si>
    <t>AL059_00</t>
  </si>
  <si>
    <t>AL059_00: Old LOBs and IN 01-19 LOBs not allowed</t>
  </si>
  <si>
    <t>AL059_01</t>
  </si>
  <si>
    <t>AL059_01: Old LOBs and IN 01-19 LOBs not allowed</t>
  </si>
  <si>
    <t>AL059_14</t>
  </si>
  <si>
    <t>AL059_14: Old LOBs and IN 01-19 LOBs not allowed p14</t>
  </si>
  <si>
    <t>AL061_00</t>
  </si>
  <si>
    <t>AL061_00: Data on Acquisition ToMs - Segm.</t>
  </si>
  <si>
    <t>AL061_17</t>
  </si>
  <si>
    <t>AL061_17: Data on Acquisition TOMs</t>
  </si>
  <si>
    <t>AL062_00</t>
  </si>
  <si>
    <t>AL062_00: No periodic values on BB TOMs - BCS only</t>
  </si>
  <si>
    <t>AL062_01</t>
  </si>
  <si>
    <t>AL063_00</t>
  </si>
  <si>
    <t>AL063_00: TP 999999 with ToMG01 not allowed (#12602) - Segm.</t>
  </si>
  <si>
    <t>AL064_00</t>
  </si>
  <si>
    <t>AL064_00: Trading Partner not allowed - Segm.</t>
  </si>
  <si>
    <t>AL064_01</t>
  </si>
  <si>
    <t>AL064_01: Trading Partner not allowed - Segm. v800</t>
  </si>
  <si>
    <t>AL064_14</t>
  </si>
  <si>
    <t>AL064_14: Trading Partner not allowed - Segm.</t>
  </si>
  <si>
    <t>AL064_Q1</t>
  </si>
  <si>
    <t>AL064_Q1: Trading Partner not allowed - Segm.</t>
  </si>
  <si>
    <t>AL065_00</t>
  </si>
  <si>
    <t>AL065_00: Data on Divesture ToMs</t>
  </si>
  <si>
    <t>AL065_17</t>
  </si>
  <si>
    <t>AL065_17: Data on Divesture ToMs</t>
  </si>
  <si>
    <t>AL066_00</t>
  </si>
  <si>
    <t>AL066_00: E00 of account 29210 must be booked out (ToM 648)</t>
  </si>
  <si>
    <t>AL067_00</t>
  </si>
  <si>
    <t>AL067_00: Invalid ToMs on account 29210 must be zero</t>
  </si>
  <si>
    <t>AL068_00</t>
  </si>
  <si>
    <t>AL068_01</t>
  </si>
  <si>
    <t>AL068_01: Block Posting for inactive accounts - Segm.</t>
  </si>
  <si>
    <t>AL068_17</t>
  </si>
  <si>
    <t>AL068_17: Block Posting for inactive accounts - Segm. (IFRN)</t>
  </si>
  <si>
    <t>AL068_17Q4</t>
  </si>
  <si>
    <t>AL068_19</t>
  </si>
  <si>
    <t>AL068_19: Block Posting for inactive accounts - Segm. (IFRN)</t>
  </si>
  <si>
    <t>AL069_00</t>
  </si>
  <si>
    <t>AL069_00: Block Posting for inactive accounts - Segm.</t>
  </si>
  <si>
    <t>AL070_00</t>
  </si>
  <si>
    <t>AL070_00: Acquis. TOM = zero for certain accrual/ EQ accts</t>
  </si>
  <si>
    <t>AL072_00</t>
  </si>
  <si>
    <t>AL072_00: Trading Partner = Reporting Unit not allowed</t>
  </si>
  <si>
    <t>AL072_14</t>
  </si>
  <si>
    <t>AL072_14: Trading Partner = Reporting Unit not allowed p14</t>
  </si>
  <si>
    <t>AL073_00</t>
  </si>
  <si>
    <t>AL073_00: Certain ToMs must be zero for Derivatives</t>
  </si>
  <si>
    <t>AL074_00</t>
  </si>
  <si>
    <t>AL074_00: Interest capitalized during period always &gt;= 0</t>
  </si>
  <si>
    <t>AL075_00</t>
  </si>
  <si>
    <t>AL075_00: Int. cap. during period not to be used for DOF/DOC</t>
  </si>
  <si>
    <t>AL080_00</t>
  </si>
  <si>
    <t>AL080_00: Deferred Income tax ass/liab - no T85</t>
  </si>
  <si>
    <t>AL082_00</t>
  </si>
  <si>
    <t>AL082_00: Sum of GAK adj. ToM is zero for all segm. in total</t>
  </si>
  <si>
    <t>AL082_17</t>
  </si>
  <si>
    <t>AL082_17: Sum of GAK adjust.TOM is zero for all segm. in tot</t>
  </si>
  <si>
    <t>AL082_60</t>
  </si>
  <si>
    <t>AL082_60: Sum of GAK adjust.TOM is zero for all segm. in tot</t>
  </si>
  <si>
    <t>AL083_00</t>
  </si>
  <si>
    <t>AL083_00: Sum of AY rollover ToM is zero for all AY in total</t>
  </si>
  <si>
    <t>AL083_17</t>
  </si>
  <si>
    <t>AL083_17: BBA insurance contracts reclass accounts = 0</t>
  </si>
  <si>
    <t>AL083_60</t>
  </si>
  <si>
    <t>AL083_60: Sum of AY rollover TOM is zero for all AY in total</t>
  </si>
  <si>
    <t>AL084_00</t>
  </si>
  <si>
    <t>AL084_00: ToM E58 just to be used on Equity accounts</t>
  </si>
  <si>
    <t>AL084_09</t>
  </si>
  <si>
    <t>AL084_09: TOM E58 just to be used on Equity accounts</t>
  </si>
  <si>
    <t>AL084_60</t>
  </si>
  <si>
    <t>AL084_60: TOM E58 just to be used on Equity accounts</t>
  </si>
  <si>
    <t>AL085_00</t>
  </si>
  <si>
    <t>AL085_00: Block Posting for inactive accounts - Segm.</t>
  </si>
  <si>
    <t>AL085_02</t>
  </si>
  <si>
    <t>AL086_00</t>
  </si>
  <si>
    <t>AL086_00: Only LoB IN01-IN19 allowed for ZIP</t>
  </si>
  <si>
    <t>AL090_00</t>
  </si>
  <si>
    <t>AL090_00: Validation of IC-Data v100/110</t>
  </si>
  <si>
    <t>AL091_00</t>
  </si>
  <si>
    <t>AL091_00: No impairments on DAC</t>
  </si>
  <si>
    <t>AL094_00</t>
  </si>
  <si>
    <t>AL094_00: Interest capitalized during period &lt;= 0</t>
  </si>
  <si>
    <t>AL095_00</t>
  </si>
  <si>
    <t>AL095_00: Wrong Counterparty not allowed</t>
  </si>
  <si>
    <t>AL095_01</t>
  </si>
  <si>
    <t>AL095_01: Equity comments required</t>
  </si>
  <si>
    <t>AL095_02</t>
  </si>
  <si>
    <t>AL095_02: Equity comments not required</t>
  </si>
  <si>
    <t>AL097_00</t>
  </si>
  <si>
    <t>AL097_00: RA data in Q1 and Q3 not allowed</t>
  </si>
  <si>
    <t>AL098_00</t>
  </si>
  <si>
    <t>AL098_00: CSV accounts just for RU910910 only</t>
  </si>
  <si>
    <t>AL099_00</t>
  </si>
  <si>
    <t>AL099_00: IU = RU and IU = PU not allowed</t>
  </si>
  <si>
    <t>AL100_70</t>
  </si>
  <si>
    <t>AL100_70: Assets = Liabilities</t>
  </si>
  <si>
    <t>AL101_00</t>
  </si>
  <si>
    <t>AL101_00: Equity comment mandatory</t>
  </si>
  <si>
    <t>AL101_70</t>
  </si>
  <si>
    <t>AL101_70: Sum of AY rollover TOM is zero for all AY in total</t>
  </si>
  <si>
    <t>AL102_00</t>
  </si>
  <si>
    <t>AL102_70</t>
  </si>
  <si>
    <t>AL102_70: Only DE GAAP LoBs Hxxx allowed in ZIE</t>
  </si>
  <si>
    <t>AL103_00</t>
  </si>
  <si>
    <t>AL103_00: Only LOB's S002 - S053 allowed - Segm.</t>
  </si>
  <si>
    <t>AL103_70</t>
  </si>
  <si>
    <t>AL103_70: Data on Acquisition TOMs</t>
  </si>
  <si>
    <t>AL104_00</t>
  </si>
  <si>
    <t>AL104_00: LoB's LN01 - LN11 not allowed - Segm.</t>
  </si>
  <si>
    <t>AL104_70</t>
  </si>
  <si>
    <t>AL104_70: Data on Divesture ToMs</t>
  </si>
  <si>
    <t>AL105_00</t>
  </si>
  <si>
    <t>AL105_00: Block Posting for inactive accounts-SST-Segm.</t>
  </si>
  <si>
    <t>AL106_00</t>
  </si>
  <si>
    <t>AL106_00: Accounts should be equal in IFRS and SST</t>
  </si>
  <si>
    <t>AL106_70</t>
  </si>
  <si>
    <t>AL106_70: Sum of GAK adjust. TOM is 0 for all segm. in total</t>
  </si>
  <si>
    <t>AL106_80</t>
  </si>
  <si>
    <t>AL106_80: Accounts should be equal in IFRS and SST</t>
  </si>
  <si>
    <t>AL107_00</t>
  </si>
  <si>
    <t>AL107_00: Accounts to be zero for SST</t>
  </si>
  <si>
    <t>AL107_70</t>
  </si>
  <si>
    <t>AL107_70: Block Posting for inactive accts DE GAAP-BCS only</t>
  </si>
  <si>
    <t>AL107_80</t>
  </si>
  <si>
    <t>AL107_80: Accounts to be zero for SST</t>
  </si>
  <si>
    <t>AL108_00</t>
  </si>
  <si>
    <t>AL108_01</t>
  </si>
  <si>
    <t>AL108_01: Balance of inactive TP must be zero (P&amp;L accts)</t>
  </si>
  <si>
    <t>AL108_10</t>
  </si>
  <si>
    <t>AL108_10: Balance of inactive TP must be zero (P&amp;L accts)</t>
  </si>
  <si>
    <t>AL108_14</t>
  </si>
  <si>
    <t>AL108_14: Balance of inactive TP must be zero (P&amp;L accts)</t>
  </si>
  <si>
    <t>AL108_70</t>
  </si>
  <si>
    <t>AL 108_70: Balance of an inactive Account must be zero</t>
  </si>
  <si>
    <t>AL108_Q1</t>
  </si>
  <si>
    <t>AL108_Q1: Balance of inactive TP must be zero (P&amp;L accts)</t>
  </si>
  <si>
    <t>AL109_00</t>
  </si>
  <si>
    <t>AL109_00: Reinsurance LOBs to be blocked</t>
  </si>
  <si>
    <t>AL109_70</t>
  </si>
  <si>
    <t>AL109_70: Block eq.prov accounts except ZIE HO</t>
  </si>
  <si>
    <t>AL110_00</t>
  </si>
  <si>
    <t>AL110_00: LOB on GWP only for GI units - Segm.</t>
  </si>
  <si>
    <t>AL110_70</t>
  </si>
  <si>
    <t>AL110_70: Block RR TOMs in 102H 210 280A for non RR acc</t>
  </si>
  <si>
    <t>AL111_70</t>
  </si>
  <si>
    <t>AL111_70: TOM E58 just to be used on Equity accounts</t>
  </si>
  <si>
    <t>AL112_00</t>
  </si>
  <si>
    <t>AL112_00: TP Segment must be X for Non GI Units</t>
  </si>
  <si>
    <t>AL112_14</t>
  </si>
  <si>
    <t>AL112_14: TP Segment must be X for Non GI Units p14</t>
  </si>
  <si>
    <t>AL112_70</t>
  </si>
  <si>
    <t>AL112_70: LoBs not allowed on Posting Level 00</t>
  </si>
  <si>
    <t>AL113_00</t>
  </si>
  <si>
    <t>AL113_00: Block Posting for inactive accounts-SII-Segm.</t>
  </si>
  <si>
    <t>AL114_00</t>
  </si>
  <si>
    <t>AL114_00: Z1 account validation</t>
  </si>
  <si>
    <t>AL115_00</t>
  </si>
  <si>
    <t>AL115_00: Z3 account validation</t>
  </si>
  <si>
    <t>AL116_00</t>
  </si>
  <si>
    <t>AL116_00: LOB breakdown for GI units</t>
  </si>
  <si>
    <t>AL116_01</t>
  </si>
  <si>
    <t>AL116_02</t>
  </si>
  <si>
    <t>AL116_60</t>
  </si>
  <si>
    <t>AL116_60: LoBs not allowed for foreign branches</t>
  </si>
  <si>
    <t>AL116_85</t>
  </si>
  <si>
    <t>AL116_85: Life LOBs (PL) not allowed for non-life accounts</t>
  </si>
  <si>
    <t>AL117_60</t>
  </si>
  <si>
    <t>AL117_60: LoBs not allowed for direct business for CH RUs</t>
  </si>
  <si>
    <t>AL117_85</t>
  </si>
  <si>
    <t>AL117_85: LoB PL01 and PL11 not allowed</t>
  </si>
  <si>
    <t>AL118_60</t>
  </si>
  <si>
    <t>AL118_60: LoBs not allowed for ceded business acc. CH RUs</t>
  </si>
  <si>
    <t>AL118_85</t>
  </si>
  <si>
    <t>AL118_85: LoB PL02 UL with Guar. not allowed</t>
  </si>
  <si>
    <t>AL119_60</t>
  </si>
  <si>
    <t>AL119_60: LoBs not allowed for assumed business acc. CH RUs</t>
  </si>
  <si>
    <t>AL119_85</t>
  </si>
  <si>
    <t>AL119_85: LoB PN01, PN02, PN14, PN15 not allowed</t>
  </si>
  <si>
    <t>AL120_60</t>
  </si>
  <si>
    <t>AL120_60: LoBs not allowed for retro business acc. CH RUs</t>
  </si>
  <si>
    <t>AL120_85</t>
  </si>
  <si>
    <t>AL120_85: Non-Life LOBs (PN) not allowed for life accounts</t>
  </si>
  <si>
    <t>AL122_60</t>
  </si>
  <si>
    <t>AL122_60: LoBs not allowed direct business acc. CH Life RU</t>
  </si>
  <si>
    <t>AL123_60</t>
  </si>
  <si>
    <t>AL123_60: LoBs not allowed direct business accs for ZIC/ZRe</t>
  </si>
  <si>
    <t>AL124_60</t>
  </si>
  <si>
    <t>AL124_60: LoBs not allow.ceded business accounts for ZIC/ZRe</t>
  </si>
  <si>
    <t>AL125_60</t>
  </si>
  <si>
    <t>AL125_60: LoBs not allow.retro &amp; ass.biz accounts ZIC / ZRe</t>
  </si>
  <si>
    <t>AL126_00</t>
  </si>
  <si>
    <t>AL126_00: Res. Losses/LAE Cess. LoB Debit balance</t>
  </si>
  <si>
    <t>AL126_01</t>
  </si>
  <si>
    <t>AL126_01: LOB Debit balance reported on asset accounts</t>
  </si>
  <si>
    <t>AL126_02</t>
  </si>
  <si>
    <t>AL126_02: LOB Debit balance reported on asset accounts</t>
  </si>
  <si>
    <t>AL126_03</t>
  </si>
  <si>
    <t>AL126_03: LOB Debit balance reported on asset accounts</t>
  </si>
  <si>
    <t>AL126_04</t>
  </si>
  <si>
    <t>AL126_04: LOB Debit balance reported on asset accounts</t>
  </si>
  <si>
    <t>AL126_05</t>
  </si>
  <si>
    <t>AL126_05: Reserves UPR Cess. LoB Debit balance</t>
  </si>
  <si>
    <t>AL126_80</t>
  </si>
  <si>
    <t>AL126_80: Reinsurance assets Debit balance</t>
  </si>
  <si>
    <t>AL127_00</t>
  </si>
  <si>
    <t>AL127_00: Res. Losses/LAE Dir&amp;Ass LoB Credit balance</t>
  </si>
  <si>
    <t>AL127_01</t>
  </si>
  <si>
    <t>AL127_01: LOB Credit balance reported on liability accounts</t>
  </si>
  <si>
    <t>AL127_02</t>
  </si>
  <si>
    <t>AL127_02: LOB Credit balance reported on liability accounts</t>
  </si>
  <si>
    <t>AL127_03</t>
  </si>
  <si>
    <t>AL127_03: LOB Credit balance reported on liability accounts</t>
  </si>
  <si>
    <t>AL127_04</t>
  </si>
  <si>
    <t>AL127_04: LOB Credit balance reported on liability accounts</t>
  </si>
  <si>
    <t>AL127_05</t>
  </si>
  <si>
    <t>AL127_05: Reserves UPR Dir&amp;Ass LoB Credit balance</t>
  </si>
  <si>
    <t>AL127_80</t>
  </si>
  <si>
    <t>AL127_80: Insurance assets Credit balance</t>
  </si>
  <si>
    <t>AL128_00</t>
  </si>
  <si>
    <t>AL128_00: Life LoBs not used on GI accounts</t>
  </si>
  <si>
    <t>AL128_01</t>
  </si>
  <si>
    <t>AL128_01: Life LoBs not used on GI accounts</t>
  </si>
  <si>
    <t>AL129_00</t>
  </si>
  <si>
    <t>AL129_00: Posting on divested RU Seg. C is not possible</t>
  </si>
  <si>
    <t>AL129_01</t>
  </si>
  <si>
    <t>AL129_01: Posting on divested RU Seg. G is not possible</t>
  </si>
  <si>
    <t>AL129_02</t>
  </si>
  <si>
    <t>AL129_02: Posting on divested RU Seg. P is not possible</t>
  </si>
  <si>
    <t>AL129_03</t>
  </si>
  <si>
    <t>AL129_03: Posting on divested RU Seg. X is not possible</t>
  </si>
  <si>
    <t>AL129_04</t>
  </si>
  <si>
    <t>AL129_04: Posting on divested RU Seg. M is not possible</t>
  </si>
  <si>
    <t>AL130_00</t>
  </si>
  <si>
    <t>AL130_00: Posting on divested Partner Seg. C is not possible</t>
  </si>
  <si>
    <t>AL130_01</t>
  </si>
  <si>
    <t>AL130_01: Posting on divested Partner Seg. G is not possible</t>
  </si>
  <si>
    <t>AL130_02</t>
  </si>
  <si>
    <t>AL130_02: Posting on divested Partner Seg. P is not possible</t>
  </si>
  <si>
    <t>AL130_03</t>
  </si>
  <si>
    <t>AL130_03: Posting on divested Partner Seg. X is not possible</t>
  </si>
  <si>
    <t>AL130_04</t>
  </si>
  <si>
    <t>AL130_04: Posting on divested Partner Seg. M is not possible</t>
  </si>
  <si>
    <t>AL130_10</t>
  </si>
  <si>
    <t>AL130_10: Posting on div.Partner Seg.C is not possible Q1.20</t>
  </si>
  <si>
    <t>AL130_11</t>
  </si>
  <si>
    <t>AL130_11: Posting on div.Partner Seg.G is not possible Q1.20</t>
  </si>
  <si>
    <t>AL130_12</t>
  </si>
  <si>
    <t>AL130_12: Posting on div.Partner Seg.P is not possible Q1.20</t>
  </si>
  <si>
    <t>AL130_13</t>
  </si>
  <si>
    <t>AL130_13: Posting on div.Partner Seg.X is not possible Q1.20</t>
  </si>
  <si>
    <t>AL130_14</t>
  </si>
  <si>
    <t>AL130_14: Posting on div.Partner Seg.M is not possible Q1.20</t>
  </si>
  <si>
    <t>AL131_00</t>
  </si>
  <si>
    <t>AL131_00: B/S Balance of divested RU Seg. C must be zero</t>
  </si>
  <si>
    <t>AL131_01</t>
  </si>
  <si>
    <t>AL131_01: B/S Balance of divested RU Seg. G must be zero</t>
  </si>
  <si>
    <t>AL131_02</t>
  </si>
  <si>
    <t>AL131_02: B/S Balance of divested RU Seg. P must be zero</t>
  </si>
  <si>
    <t>AL131_03</t>
  </si>
  <si>
    <t>AL131_03: B/S Balance of divested RU Seg. X must be zero</t>
  </si>
  <si>
    <t>AL131_04</t>
  </si>
  <si>
    <t>AL131_04: B/S Balance of divested RU Seg. M must be zero</t>
  </si>
  <si>
    <t>AL132_00</t>
  </si>
  <si>
    <t>AL132_00: B/S Balance of divested Partner Seg.C must be zero</t>
  </si>
  <si>
    <t>AL132_01</t>
  </si>
  <si>
    <t>AL132_01: B/S Balance of divested Partner Seg.G must be zero</t>
  </si>
  <si>
    <t>AL132_02</t>
  </si>
  <si>
    <t>AL132_02: B/S Balance of divested Partner Seg.P must be zero</t>
  </si>
  <si>
    <t>AL132_03</t>
  </si>
  <si>
    <t>AL132_03: B/S Balance of divested Partner Seg.X must be zero</t>
  </si>
  <si>
    <t>AL132_04</t>
  </si>
  <si>
    <t>AL132_04: B/S Balance of divested Partner Seg.M must be zero</t>
  </si>
  <si>
    <t>AL132_10</t>
  </si>
  <si>
    <t>AL132_10: BS Balance of div.Partner Seg.C must be zero p14</t>
  </si>
  <si>
    <t>AL132_11</t>
  </si>
  <si>
    <t>AL132_11: BS Balance of div.Partner Seg.G must be zero p14</t>
  </si>
  <si>
    <t>AL132_12</t>
  </si>
  <si>
    <t>AL132_12: BS Balance of div.Partner Seg.P must be zero p14</t>
  </si>
  <si>
    <t>AL132_13</t>
  </si>
  <si>
    <t>AL132_13: BS Balance of div.Partner Seg.X must be zero p14</t>
  </si>
  <si>
    <t>AL132_14</t>
  </si>
  <si>
    <t>AL132_14: BS Balance of div.Partner Seg.M must be zero p14</t>
  </si>
  <si>
    <t>AL132_20</t>
  </si>
  <si>
    <t>AL132_20: BS Balance of div.Partner Seg.C must be zero Q1.20</t>
  </si>
  <si>
    <t>AL132_21</t>
  </si>
  <si>
    <t>AL132_21: BS Balance of div.Partner Seg.G must be zero Q1.20</t>
  </si>
  <si>
    <t>AL132_22</t>
  </si>
  <si>
    <t>AL132_22: BS Balance of div.Partner Seg.P must be zero Q1.20</t>
  </si>
  <si>
    <t>AL132_23</t>
  </si>
  <si>
    <t>AL132_23: BS Balance of div.Partner Seg.X must be zero Q1.20</t>
  </si>
  <si>
    <t>AL132_24</t>
  </si>
  <si>
    <t>AL132_24: BS Balance of div.Partner Seg.M must be zero Q1.20</t>
  </si>
  <si>
    <t>AL133_00</t>
  </si>
  <si>
    <t>AL133_00: Life LoB's LL01-LL06 not required for B/S accounts</t>
  </si>
  <si>
    <t>AL136_00</t>
  </si>
  <si>
    <t>AL138_00</t>
  </si>
  <si>
    <t>AL138_00: Res. Losses/LAE Retrocess. LoB Debit balance</t>
  </si>
  <si>
    <t>AL138_05</t>
  </si>
  <si>
    <t>AL138_05: Reserves UPR Retrocess. LoB Debit balance</t>
  </si>
  <si>
    <t>AL140_00</t>
  </si>
  <si>
    <t>AL140_00: Posting on divested RU Seg. not possible on P&amp;L</t>
  </si>
  <si>
    <t>AL141_00</t>
  </si>
  <si>
    <t>AL156_00</t>
  </si>
  <si>
    <t>AL156_00 Only LoB IN01-IN19 &amp; default value allowed for ZIP</t>
  </si>
  <si>
    <t>AL158_17</t>
  </si>
  <si>
    <t>AL158_17: LoB GI BBA RE assets/insurance liabilities split</t>
  </si>
  <si>
    <t>AL159_17</t>
  </si>
  <si>
    <t>AL159_17: LoB GI BBA RE assets/insurance liabilities split</t>
  </si>
  <si>
    <t>AL160_17</t>
  </si>
  <si>
    <t>AL160_17: LoB GI PAA RE assets/insurance liabilities split</t>
  </si>
  <si>
    <t>AL160_70</t>
  </si>
  <si>
    <t>AL160_70: LoB GI PAA RE assets/insurance liabilities split</t>
  </si>
  <si>
    <t>AL161_17</t>
  </si>
  <si>
    <t>AL161_17 LoB Life BBA RE assets/insurance liabilities UL/non</t>
  </si>
  <si>
    <t>AL162_17</t>
  </si>
  <si>
    <t>AL162_17: LoB Life BBA RE assets/insurance liabilities split</t>
  </si>
  <si>
    <t>AL163_17</t>
  </si>
  <si>
    <t>AL163_17: LoB Life PAA RE assets/insurance liabilities split</t>
  </si>
  <si>
    <t>AL166_00</t>
  </si>
  <si>
    <t>AL166_00: Block tax transfer TOM 986 (excl. CH units)</t>
  </si>
  <si>
    <t>AL180_17</t>
  </si>
  <si>
    <t>AL180_17: Data reported on Portfolio Transfers TOM L81</t>
  </si>
  <si>
    <t>AL330_17</t>
  </si>
  <si>
    <t>AL601_60</t>
  </si>
  <si>
    <t>AL601_60: RU allowed to report on direct/ceded acc. in FIP</t>
  </si>
  <si>
    <t>AL602_60</t>
  </si>
  <si>
    <t>AL602_60: Block the TOM 109</t>
  </si>
  <si>
    <t>AL702_00</t>
  </si>
  <si>
    <t>AL702_00: Only LoB IN01-IN19 allowed for ZIP on acct level</t>
  </si>
  <si>
    <t>AL800_00</t>
  </si>
  <si>
    <t>AL800_00: Net inv in foreign ops</t>
  </si>
  <si>
    <t>AL801_00</t>
  </si>
  <si>
    <t>AL801_00: Internal proposed dividends</t>
  </si>
  <si>
    <t>AL802_00</t>
  </si>
  <si>
    <t>AL802_00: Account balances equal between SST and IFRS</t>
  </si>
  <si>
    <t>AL852_00</t>
  </si>
  <si>
    <t>AL852_00 Accounts should be equal in SII v850 and SST v800</t>
  </si>
  <si>
    <t>AL853_00</t>
  </si>
  <si>
    <t>AL853_00: Finance Investees / TPs only</t>
  </si>
  <si>
    <t>AL854_00</t>
  </si>
  <si>
    <t>AL854_00: Non-Finance Investees / TPs only</t>
  </si>
  <si>
    <t>AL856_00</t>
  </si>
  <si>
    <t>AL856_00: Net inv in foreign ops</t>
  </si>
  <si>
    <t>ALZF7_00</t>
  </si>
  <si>
    <t>ALZF7_00: TEST</t>
  </si>
  <si>
    <t>AS003_17</t>
  </si>
  <si>
    <t>AS003_17: BBA_CSM reins after transition</t>
  </si>
  <si>
    <t>AS004_17</t>
  </si>
  <si>
    <t>AS004_17: CSM maturity  - 3rd reinsurance</t>
  </si>
  <si>
    <t>AS075_00</t>
  </si>
  <si>
    <t>AS075_00: Percentage of Ownership of Holdings in affiliated</t>
  </si>
  <si>
    <t>AS075_10</t>
  </si>
  <si>
    <t>AS075_10: Percentage of Ownership of Holdings in affiliated</t>
  </si>
  <si>
    <t>AS202_00</t>
  </si>
  <si>
    <t>AS202_00: Total Assets by Transaction Currency - aff- SLST</t>
  </si>
  <si>
    <t>AS217_00</t>
  </si>
  <si>
    <t>AS217_00: Account 12602 by Transaction Currency-SLST</t>
  </si>
  <si>
    <t>AS219_17</t>
  </si>
  <si>
    <t>AS219_17: Values reported on LIC FCF accounts ceded</t>
  </si>
  <si>
    <t>AS221_17</t>
  </si>
  <si>
    <t>AS221_17: Values reported on LIC FCF accounts retroceded</t>
  </si>
  <si>
    <t>AS601_00</t>
  </si>
  <si>
    <t>AS601_00: Cash/Non-cash reporting on acct 12602, ToM 100</t>
  </si>
  <si>
    <t>AS602_00</t>
  </si>
  <si>
    <t>AS602_00: Cash/Non-cash reporting on acct 12602, ToM 200</t>
  </si>
  <si>
    <t>AS801_00</t>
  </si>
  <si>
    <t>AS801_00: Total Assets by Transaction Currency - aff - SST</t>
  </si>
  <si>
    <t>BL_ACA_00</t>
  </si>
  <si>
    <t>Blocked combinations of accounts and accounting approach</t>
  </si>
  <si>
    <t>BL_ALC_00</t>
  </si>
  <si>
    <t>BL_MAT_00</t>
  </si>
  <si>
    <t>BL_PL01_00</t>
  </si>
  <si>
    <t>BL_PL01_00: hyperinflation ArgBlue PL01</t>
  </si>
  <si>
    <t>BL_PL01_01</t>
  </si>
  <si>
    <t>BL_PL01_01: hyperinflation ArgBlue PL01</t>
  </si>
  <si>
    <t>BL_REX_00</t>
  </si>
  <si>
    <t>Blocked combinations of accounts and Revenue/Expense</t>
  </si>
  <si>
    <t>BL_REX_17</t>
  </si>
  <si>
    <t>BL_TOM_00</t>
  </si>
  <si>
    <t>Blocked combinations of accounts and TOM's</t>
  </si>
  <si>
    <t>BL_TOM_14</t>
  </si>
  <si>
    <t>Blocked combinations of accounts and Transition TOM's</t>
  </si>
  <si>
    <t>BL_TOM_14A</t>
  </si>
  <si>
    <t>BL_TOM_14B</t>
  </si>
  <si>
    <t>BL_TOM_14C</t>
  </si>
  <si>
    <t>BL_TOM_14D</t>
  </si>
  <si>
    <t>BL_VAR_00</t>
  </si>
  <si>
    <t>Blocked combinations of accounts and various</t>
  </si>
  <si>
    <t>DR1ACY_00</t>
  </si>
  <si>
    <t>Intermediate DE Val.: IFRS AY: no ZZZZ allowed - Segm.</t>
  </si>
  <si>
    <t>DR1ALC_00</t>
  </si>
  <si>
    <t>Intermediate DE Val.: IFRS ALC: no ZZZ allowed - Segm.</t>
  </si>
  <si>
    <t>DR1LOB_00</t>
  </si>
  <si>
    <t>Intermediate DE Val.: IFRS LoB: no ZZZZ allowed - Segm.</t>
  </si>
  <si>
    <t>DR1MAT_00</t>
  </si>
  <si>
    <t>Intermediate DE Val.: IFRS MAT: no ZZZ allowed - Segm</t>
  </si>
  <si>
    <t>DR1PRU_00</t>
  </si>
  <si>
    <t>Intermediate DE Val.: IFRS: TP no 999999 allowed - Segm.</t>
  </si>
  <si>
    <t>DR1PSE_00</t>
  </si>
  <si>
    <t>Intermediate DE Val.: IFRS: TP Segm. no 999 allowed - Segm.</t>
  </si>
  <si>
    <t>DR1REX_00</t>
  </si>
  <si>
    <t>Intermediate DE Val.: IFRS REX: no ZZZ allowed - Segm.</t>
  </si>
  <si>
    <t>DR1TOM_00</t>
  </si>
  <si>
    <t>Intermediate DE Val.: IFRS ToM: no ZZZ allowed - Segm</t>
  </si>
  <si>
    <t>DR1VAR_00</t>
  </si>
  <si>
    <t>Intermediate DE Val.: IFRS Various: no ZZZ allowed - Segm.</t>
  </si>
  <si>
    <t>DR2ACY_00</t>
  </si>
  <si>
    <t>Intermediate DE Val.: SLST: Accident Year: no ZZZZ allowed</t>
  </si>
  <si>
    <t>DR2LOB_00</t>
  </si>
  <si>
    <t>Intermediate DE Val.: SLST: Line of Business no ZZZZ allowed</t>
  </si>
  <si>
    <t>DR2PRU_00</t>
  </si>
  <si>
    <t>Intermediate DE Val.: SLST: Partner RU no 999999 allowed</t>
  </si>
  <si>
    <t>DR2PSE_00</t>
  </si>
  <si>
    <t>Intermediate DE Val.: SLST: Partner Segment no 999 allowed</t>
  </si>
  <si>
    <t>DR2REX_00</t>
  </si>
  <si>
    <t>Intermediate DE Val.: SLST: REX no ZZZ allowed</t>
  </si>
  <si>
    <t>DR2TOM_00</t>
  </si>
  <si>
    <t>Intermediate DE Val.: SLST: Movement type no ZZZ allowed</t>
  </si>
  <si>
    <t>DR2VAR_00</t>
  </si>
  <si>
    <t>Intermediate DE Val.: SLST: Various no ZZZ allowed</t>
  </si>
  <si>
    <t>DR3ACA_00</t>
  </si>
  <si>
    <t>Intermediate DE Val.: IE-GAAP ACA: no ZZZZZ allowed - Segm</t>
  </si>
  <si>
    <t>DR3ACY_00</t>
  </si>
  <si>
    <t>Intermediate DE Val.: IEGAAP AY: no ZZZZ allowed - Segm.</t>
  </si>
  <si>
    <t>DR3LOB_00</t>
  </si>
  <si>
    <t>Intermediate DE Val.: IEGAAP: LOB no ZZZZ allowed</t>
  </si>
  <si>
    <t>DR3LOB_14</t>
  </si>
  <si>
    <t>DR3PRU_00</t>
  </si>
  <si>
    <t>Intermediate DE Val.: IEGAAP: TP no 999999 allowed - Segm.</t>
  </si>
  <si>
    <t>DR3PRU_14</t>
  </si>
  <si>
    <t>DR3PSE_00</t>
  </si>
  <si>
    <t>Intermediate DE Val.: IEGAAP: TP Segm. no 999 allowed -Segm.</t>
  </si>
  <si>
    <t>DR3PSE_14</t>
  </si>
  <si>
    <t>DR3REX_00</t>
  </si>
  <si>
    <t>Intermediate DE Val.: IEGAAP REX: no ZZZ allowed - Segm.</t>
  </si>
  <si>
    <t>DR3TOM_00</t>
  </si>
  <si>
    <t>Intermediate DE Val.: IEGAAP: Movement type no ZZZ allowed</t>
  </si>
  <si>
    <t>DR3VAR_00</t>
  </si>
  <si>
    <t>Intermediate DE Val.: IEGAAP Various: no ZZZ allowed - Segm.</t>
  </si>
  <si>
    <t>DR4ACY_00</t>
  </si>
  <si>
    <t>Intermediate DE Val.: SST AY: no ZZZZ allowed - Segm.</t>
  </si>
  <si>
    <t>DR4LOB_00</t>
  </si>
  <si>
    <t>Intermediate DE Val.: SST LoB: no ZZZZ allowed - Segm.</t>
  </si>
  <si>
    <t>DR4LOB_14</t>
  </si>
  <si>
    <t>DR4PRU_00</t>
  </si>
  <si>
    <t>Intermediate DE Val.: SST: TP no 999999 allowed - Segm.</t>
  </si>
  <si>
    <t>DR4PRU_14</t>
  </si>
  <si>
    <t>DR4PSE_00</t>
  </si>
  <si>
    <t>Intermediate DE Val.: SST: TP Segm. no 999 allowed - Segm.</t>
  </si>
  <si>
    <t>DR4PSE_14</t>
  </si>
  <si>
    <t>DR4REX_00</t>
  </si>
  <si>
    <t>Intermediate DE Val.: SST REX: no ZZZ allowed - Segm.</t>
  </si>
  <si>
    <t>DR4TOM_00</t>
  </si>
  <si>
    <t>Intermediate DE Val.: SST ToM: no ZZZ allowed - Segm</t>
  </si>
  <si>
    <t>DR4VAR_00</t>
  </si>
  <si>
    <t>Intermediate DE Val.: SST Various: no ZZZ allowed - Segm.</t>
  </si>
  <si>
    <t>DR5ACY_00</t>
  </si>
  <si>
    <t>Intermediate DE Val.: SII AY: no ZZZZ allowed - Segm.</t>
  </si>
  <si>
    <t>DR5LOB_00</t>
  </si>
  <si>
    <t>Intermediate DE Val.: SII LoB: no ZZZZ allowed - Segm.</t>
  </si>
  <si>
    <t>DR5LOB_14</t>
  </si>
  <si>
    <t>DR5PRU_00</t>
  </si>
  <si>
    <t>Intermediate DE Val.: SII: TP no 999999 allowed - Segm.</t>
  </si>
  <si>
    <t>DR5PRU_14</t>
  </si>
  <si>
    <t>DR5PSE_00</t>
  </si>
  <si>
    <t>Intermediate DE Val.: SII: TP Segm. no 999 allowed - Segm.</t>
  </si>
  <si>
    <t>DR5PSE_14</t>
  </si>
  <si>
    <t>DR5REX_00</t>
  </si>
  <si>
    <t>Intermediate DE Val.: SII REX: no ZZZ allowed - Segm.</t>
  </si>
  <si>
    <t>DR5TOM_00</t>
  </si>
  <si>
    <t>Intermediate DE Val.: SII ToM: no ZZZ allowed - Segm</t>
  </si>
  <si>
    <t>DR5VAR_00</t>
  </si>
  <si>
    <t>Intermediate DE Val.: SII Various: no ZZZ allowed - Segm.</t>
  </si>
  <si>
    <t>DR6ACA_00</t>
  </si>
  <si>
    <t>Intermediate DE Val.: IFRSN ACA: no ZZZZZ allowed - Segm</t>
  </si>
  <si>
    <t>DR6ACA_14</t>
  </si>
  <si>
    <t>DR6ACY_00</t>
  </si>
  <si>
    <t>Intermediate DE Val.: IFRSN ACY: no ZZZZ allowed - Segm.</t>
  </si>
  <si>
    <t>DR6ACY_14</t>
  </si>
  <si>
    <t>DR6ALC_00</t>
  </si>
  <si>
    <t>Intermediate DE Val.: IFRSN ALC: no ZZZ allowed - Segm.</t>
  </si>
  <si>
    <t>DR6AR_00</t>
  </si>
  <si>
    <t>DR6LOB_00</t>
  </si>
  <si>
    <t>Intermediate DE Val.: IFRSN LoB: no ZZZZ allowed - Segm.</t>
  </si>
  <si>
    <t>DR6LOB_14</t>
  </si>
  <si>
    <t>DR6MAT_00</t>
  </si>
  <si>
    <t>Intermediate DE Val.: IFRSN MAT: no ZZZ allowed - Segm</t>
  </si>
  <si>
    <t>DR6PRU_00</t>
  </si>
  <si>
    <t>Intermediate DE Val.: IFRSN: TP no 999999 allowed - Segm.</t>
  </si>
  <si>
    <t>DR6PRU_14</t>
  </si>
  <si>
    <t>DR6PSE_00</t>
  </si>
  <si>
    <t>Intermediate DE Val.: IFRSN: TP Segm. no 999 allowed - Segm.</t>
  </si>
  <si>
    <t>DR6PSE_14</t>
  </si>
  <si>
    <t>DR6REX_00</t>
  </si>
  <si>
    <t>Intermediate DE Val.: IFRSN REX: no ZZZ allowed - Segm.</t>
  </si>
  <si>
    <t>DR6TOM_00</t>
  </si>
  <si>
    <t>Intermediate DE Val.: IFRSN ToM: no ZZZ allowed - Segm</t>
  </si>
  <si>
    <t>DR6TOM_14</t>
  </si>
  <si>
    <t>DR6VAR_00</t>
  </si>
  <si>
    <t>Intermediate DE Val.: IFRSN Various: no ZZZ allowed - Segm.</t>
  </si>
  <si>
    <t>DR7ACY_00</t>
  </si>
  <si>
    <t>Intermediate DE Val.: DEGAAP AY: no ZZZZ allowed - Segm.</t>
  </si>
  <si>
    <t>DR7LOB_00</t>
  </si>
  <si>
    <t>Intermediate DE Val.: DEGAAP: LOB no ZZZZ allowed</t>
  </si>
  <si>
    <t>DR7PRU_00</t>
  </si>
  <si>
    <t>Intermediate DE Val.: DEGAAP: TP no 999999 allowed - Segm.</t>
  </si>
  <si>
    <t>DR7PSE_00</t>
  </si>
  <si>
    <t>Intermediate DE Val.: DEGAAP: TP Segm. no 999 allowed -Segm.</t>
  </si>
  <si>
    <t>DR7REX_00</t>
  </si>
  <si>
    <t>Intermediate DE Val.: DEGAAP REX: no ZZZ allowed - Segm.</t>
  </si>
  <si>
    <t>DR7TOM_00</t>
  </si>
  <si>
    <t>Intermediate DE Val.: DEGAAP: Movement type no ZZZ allowed</t>
  </si>
  <si>
    <t>DR7VAR_00</t>
  </si>
  <si>
    <t>Intermediate DE Val.: DEGAAP Various: no ZZZ allowed - Segm.</t>
  </si>
  <si>
    <t>DZ1ACY_00</t>
  </si>
  <si>
    <t>Intermediate DE Val.: IFRS AY: only ZZZZ / blank - Segm.</t>
  </si>
  <si>
    <t>DZ1ALC_00</t>
  </si>
  <si>
    <t>Intermediate DE Val.: IFRS ALC only ZZZ / blank - Segm.</t>
  </si>
  <si>
    <t>DZ1LOB_00</t>
  </si>
  <si>
    <t>Intermediate DE Val.: IFRS LoB only ZZZ / blank - Segm.</t>
  </si>
  <si>
    <t>DZ1MAT_00</t>
  </si>
  <si>
    <t>DZ1REX_00</t>
  </si>
  <si>
    <t>Intermediate DE Val.: IFRS REX only ZZZ / blank - Segm.</t>
  </si>
  <si>
    <t>DZ1TOM_00</t>
  </si>
  <si>
    <t>Intermediate DE Val.: IFRS ToM only ZZZ / blank - Segm.</t>
  </si>
  <si>
    <t>DZ1VAR_00</t>
  </si>
  <si>
    <t>Intermediate DE Val.: IFRS Various only ZZZ / blank - Segm.</t>
  </si>
  <si>
    <t>DZ2ACY_00</t>
  </si>
  <si>
    <t>Intermediate DE Val.: SLST Accident Year: only ZZZZ / blank</t>
  </si>
  <si>
    <t>DZ2LOB_00</t>
  </si>
  <si>
    <t>Intermediate DE Val.: SLST Line of Business only ZZZ / blank</t>
  </si>
  <si>
    <t>DZ2REX_00</t>
  </si>
  <si>
    <t>Intermediate DE Val.: SLST REX only ZZZ / blank</t>
  </si>
  <si>
    <t>DZ2TOM_00</t>
  </si>
  <si>
    <t>Intermediate DE Val.: SLST Movement type only ZZZ / blank</t>
  </si>
  <si>
    <t>DZ2VAR_00</t>
  </si>
  <si>
    <t>Intermediate DE Val.: SLST Various only ZZZ / blank</t>
  </si>
  <si>
    <t>DZ3ACA_00</t>
  </si>
  <si>
    <t>Intermediate DE Val.: IE-GAAP ACA only ZZZZZ / blank - Segm.</t>
  </si>
  <si>
    <t>DZ3ACY_00</t>
  </si>
  <si>
    <t>Intermediate DE Val.: IEGAAP AY: only ZZZZ / blank - Segm.</t>
  </si>
  <si>
    <t>DZ3LOB_00</t>
  </si>
  <si>
    <t>Intermediate DE Val.: IEGAAP LOB only ZZZ / blank</t>
  </si>
  <si>
    <t>DZ3REX_00</t>
  </si>
  <si>
    <t>Intermediate DE Val.:IEGAAP REX only ZZZ / blank - Segm.</t>
  </si>
  <si>
    <t>DZ3TOM_00</t>
  </si>
  <si>
    <t>Intermediate DE Val.: IEGAAP ToM only ZZZ / blank - Segm.</t>
  </si>
  <si>
    <t>DZ3VAR_00</t>
  </si>
  <si>
    <t>Intermediate DE Val.:IEGAAP Various only ZZZ / blank - Segm.</t>
  </si>
  <si>
    <t>DZ4ACY_00</t>
  </si>
  <si>
    <t>Intermediate DE Val.: SST AY: only ZZZZ / blank - Segm.</t>
  </si>
  <si>
    <t>DZ4LOB_00</t>
  </si>
  <si>
    <t>Intermediate DE Val.: SST LoB only ZZZ / blank - Segm.</t>
  </si>
  <si>
    <t>DZ4LOB_14</t>
  </si>
  <si>
    <t>DZ4REX_00</t>
  </si>
  <si>
    <t>Intermediate DE Val.: SST REX only ZZZ / blank - Segm.</t>
  </si>
  <si>
    <t>DZ4TOM_00</t>
  </si>
  <si>
    <t>Intermediate DE Val.: SST ToM only ZZZ / blank - Segm.</t>
  </si>
  <si>
    <t>DZ4VAR_00</t>
  </si>
  <si>
    <t>Intermediate DE Val.: SST Various only ZZZ / blank - Segm.</t>
  </si>
  <si>
    <t>DZ5ACY_00</t>
  </si>
  <si>
    <t>Intermediate DE Val.: SII AY: only ZZZZ / blank - Segm.</t>
  </si>
  <si>
    <t>DZ5LOB_00</t>
  </si>
  <si>
    <t>Intermediate DE Val.: SII LoB only ZZZ / blank - Segm.</t>
  </si>
  <si>
    <t>DZ5LOB_14</t>
  </si>
  <si>
    <t>DZ5REX_00</t>
  </si>
  <si>
    <t>Intermediate DE Val.: SII REX only ZZZ / blank - Segm.</t>
  </si>
  <si>
    <t>DZ5TOM_00</t>
  </si>
  <si>
    <t>Intermediate DE Val.: SII ToM only ZZZ / blank - Segm.</t>
  </si>
  <si>
    <t>DZ5VAR_00</t>
  </si>
  <si>
    <t>Intermediate DE Val.: SII Various only ZZZ / blank - Segm.</t>
  </si>
  <si>
    <t>DZ6ACA_00</t>
  </si>
  <si>
    <t>Intermediate DE Val.: IFRSN ACA only ZZZZZ / blank - Segm.</t>
  </si>
  <si>
    <t>DZ6ACA_14</t>
  </si>
  <si>
    <t>DZ6ACY_00</t>
  </si>
  <si>
    <t>Intermediate DE Val.: IFRSN AY: only ZZZZ / blank - Segm.</t>
  </si>
  <si>
    <t>DZ6ACY_14</t>
  </si>
  <si>
    <t>DZ6ALC_00</t>
  </si>
  <si>
    <t>Intermediate DE Val.: IFRSN ALC only ZZZ / blank - Segm.</t>
  </si>
  <si>
    <t>DZ6LOB_00</t>
  </si>
  <si>
    <t>Intermediate DE Val.: IFRSN LoB only ZZZ / blank - Segm.</t>
  </si>
  <si>
    <t>DZ6LOB_14</t>
  </si>
  <si>
    <t>DZ6MAT_00</t>
  </si>
  <si>
    <t>Intermediate DE Val.: IFRSN MAT only ZZZ / blank - Segm.</t>
  </si>
  <si>
    <t>DZ6REX_00</t>
  </si>
  <si>
    <t>Intermediate DE Val.: IFRSN REX only ZZZ / blank - Segm.</t>
  </si>
  <si>
    <t>DZ6TOM_00</t>
  </si>
  <si>
    <t>Intermediate DE Val.: IFRSN ToM only ZZZ / blank - Segm.</t>
  </si>
  <si>
    <t>DZ6VAR_00</t>
  </si>
  <si>
    <t>Intermediate DE Val.: IFRSN Various only ZZZ / blank - Segm.</t>
  </si>
  <si>
    <t>DZ7ACY_00</t>
  </si>
  <si>
    <t>Intermediate DE Val.: DEGAAPAY: only ZZZZ / blank - Segm.</t>
  </si>
  <si>
    <t>DZ7LOB_00</t>
  </si>
  <si>
    <t>Intermediate DE Val.: DEGAAP LOB only ZZZ / blank</t>
  </si>
  <si>
    <t>DZ7REX_00</t>
  </si>
  <si>
    <t>Intermediate DE Val.:DEGAAP REX only ZZZ / blank - Segm.</t>
  </si>
  <si>
    <t>DZ7TOM_00</t>
  </si>
  <si>
    <t>Intermediate DE Val.: DEGAAP ToM only ZZZ / blank - Segm.</t>
  </si>
  <si>
    <t>DZ7VAR_00</t>
  </si>
  <si>
    <t>Intermediate DE Val.:DEGAAP Various only ZZZ / blank - Segm.</t>
  </si>
  <si>
    <t>E001_17</t>
  </si>
  <si>
    <t>E001_17: Block P&amp;L accounts in IFRS 17</t>
  </si>
  <si>
    <t>E001_60</t>
  </si>
  <si>
    <t>E001_60: Block SLST accounts</t>
  </si>
  <si>
    <t>E002_17</t>
  </si>
  <si>
    <t>E014_00</t>
  </si>
  <si>
    <t>E014_00: Renewal Comission accts just used by Life units</t>
  </si>
  <si>
    <t>E015_00</t>
  </si>
  <si>
    <t>E015_00: Acquis. TOM=zero for certain EQ accts</t>
  </si>
  <si>
    <t>E021_00</t>
  </si>
  <si>
    <t>E021_00: Block Non-Life Annuities accounts (expenses)</t>
  </si>
  <si>
    <t>E024_00</t>
  </si>
  <si>
    <t>E024_00: Block annuities P&amp;L accounts for Life RUs</t>
  </si>
  <si>
    <t>E025_00</t>
  </si>
  <si>
    <t>E025_00: Block loss reserves and LAE accts for Life RUs -P&amp;L</t>
  </si>
  <si>
    <t>E028_00</t>
  </si>
  <si>
    <t>E028_00: Block UK unit linked fees accounts for non-UK units</t>
  </si>
  <si>
    <t>E036_00</t>
  </si>
  <si>
    <t>E036_00: Unwind of discount non-life annuities</t>
  </si>
  <si>
    <t>E037_00</t>
  </si>
  <si>
    <t>E037_00 Unwind of discount other discounted non-life reserve</t>
  </si>
  <si>
    <t>E038_00</t>
  </si>
  <si>
    <t>E039_00</t>
  </si>
  <si>
    <t>E039_17</t>
  </si>
  <si>
    <t>E039_17: Amounts on nature accounts equal to 0 in total</t>
  </si>
  <si>
    <t>E039_60</t>
  </si>
  <si>
    <t>E039_60: Amounts on nature accounts equal to 0 in total</t>
  </si>
  <si>
    <t>E041_60</t>
  </si>
  <si>
    <t>E041_60: Block FLPHB Cash TOMs</t>
  </si>
  <si>
    <t>E043_00</t>
  </si>
  <si>
    <t>E043_00: Block GI UPR accts for Life RUs - P&amp;L</t>
  </si>
  <si>
    <t>E044_00</t>
  </si>
  <si>
    <t>E044_00: Block Life UPR accts for GI RUs - P&amp;L</t>
  </si>
  <si>
    <t>E046_17</t>
  </si>
  <si>
    <t>E048_17</t>
  </si>
  <si>
    <t>E048_17: Block account for all Rus except 51015 &amp; 51016</t>
  </si>
  <si>
    <t>E049_00</t>
  </si>
  <si>
    <t>E049_00: IC reclass out accounts should be &lt;=0</t>
  </si>
  <si>
    <t>E050_00</t>
  </si>
  <si>
    <t>E050_00 BOP exempted expense accounts that require approval</t>
  </si>
  <si>
    <t>E050_17</t>
  </si>
  <si>
    <t>E050_17: Block account for all Rus except 30054</t>
  </si>
  <si>
    <t>E057_17</t>
  </si>
  <si>
    <t>E057_17: LoB PAA insurance expenses GI</t>
  </si>
  <si>
    <t>E057_70</t>
  </si>
  <si>
    <t>E057_70: LoB PAA insurance expenses GI</t>
  </si>
  <si>
    <t>E058_17</t>
  </si>
  <si>
    <t>E058_17: LoB PAA insurance expenses Life</t>
  </si>
  <si>
    <t>E060_17</t>
  </si>
  <si>
    <t>E060_17: Block PH tax accounts</t>
  </si>
  <si>
    <t>E100_70</t>
  </si>
  <si>
    <t>E100_70: Number of claims - Details per AY and LoB</t>
  </si>
  <si>
    <t>E101_70</t>
  </si>
  <si>
    <t>E101_70: Number of claims - Details per LoB</t>
  </si>
  <si>
    <t>E102_70</t>
  </si>
  <si>
    <t>E102_70: Transport Claims Paid Details</t>
  </si>
  <si>
    <t>E103_70</t>
  </si>
  <si>
    <t>E103_70: Transport Commissions Details</t>
  </si>
  <si>
    <t>E104_70</t>
  </si>
  <si>
    <t>E104_70: Number of claims - Details</t>
  </si>
  <si>
    <t>E39_60</t>
  </si>
  <si>
    <t>E700_00</t>
  </si>
  <si>
    <t>E700_00: Block account 48052</t>
  </si>
  <si>
    <t>ES037_00</t>
  </si>
  <si>
    <t>ES037_00 Change in discounted loss res-Cess-3rd-Prior Year</t>
  </si>
  <si>
    <t>ES038_00</t>
  </si>
  <si>
    <t>ES038_00: Change in discounted loss res-Retro-3rd-Prior Year</t>
  </si>
  <si>
    <t>ES039_00</t>
  </si>
  <si>
    <t>ES039_00 Change in discounted loss reserve-Direct-Prior Year</t>
  </si>
  <si>
    <t>ES040_00</t>
  </si>
  <si>
    <t>ES040_00: Change in discounted loss res-Ass-3rd-Prior Year</t>
  </si>
  <si>
    <t>ES104_70</t>
  </si>
  <si>
    <t>ES104_70: Balance on the stat.acc. is equal to the node</t>
  </si>
  <si>
    <t>ES105_70</t>
  </si>
  <si>
    <t>ES105_70: Balance on the stat.acc. is equal to the node</t>
  </si>
  <si>
    <t>ES702_00</t>
  </si>
  <si>
    <t>ES702_00: Renewal and Acquisition Commissions - direct</t>
  </si>
  <si>
    <t>ES703_00</t>
  </si>
  <si>
    <t>ES703_00: Renewal and Acquisition Comm - Ass 3rd - prop</t>
  </si>
  <si>
    <t>ES704_00</t>
  </si>
  <si>
    <t>ES704_00: Renewal and Acquisition Comm - Ass aff - prop</t>
  </si>
  <si>
    <t>ES705_00</t>
  </si>
  <si>
    <t>ES705_00: Renewal and Acquisition Comm - Ass 3rd -  non prop</t>
  </si>
  <si>
    <t>ES706_00</t>
  </si>
  <si>
    <t>ES706_00: Renewal and Acquisition Comm - Ass aff -  non prop</t>
  </si>
  <si>
    <t>L001_17</t>
  </si>
  <si>
    <t>L001_17: PAA - Block TOMs not relevant for DAC</t>
  </si>
  <si>
    <t>L002_17</t>
  </si>
  <si>
    <t>L002_17: PAA - Prevent positive amortization DAC</t>
  </si>
  <si>
    <t>L003_17</t>
  </si>
  <si>
    <t>L003_17: Block PH participation equity accounts</t>
  </si>
  <si>
    <t>L004_17</t>
  </si>
  <si>
    <t>L004_17: Block TOM L79 used for shadow accounting</t>
  </si>
  <si>
    <t>L005_17</t>
  </si>
  <si>
    <t>L005_17: No bookings on TOM 77C</t>
  </si>
  <si>
    <t>L006_17</t>
  </si>
  <si>
    <t>L006_17: PAA - Block TOM 73L for premium rebates</t>
  </si>
  <si>
    <t>L007_17</t>
  </si>
  <si>
    <t>L007_17: PAA-Block TOM L46 on locked-in rate BS accounts</t>
  </si>
  <si>
    <t>L008_17</t>
  </si>
  <si>
    <t>L008_17: PAA-Block TOM L46 on locked-in rate BS accounts</t>
  </si>
  <si>
    <t>L011_17</t>
  </si>
  <si>
    <t>L011_17: PAA-Block TOMs L29 and L45 on unlocked rate OCI acc</t>
  </si>
  <si>
    <t>L012_17</t>
  </si>
  <si>
    <t>L012_17: Block acquisition TOM QL7</t>
  </si>
  <si>
    <t>L013_17</t>
  </si>
  <si>
    <t>L013_17: IFRS 17 Block TOMs on direct/assumed accts</t>
  </si>
  <si>
    <t>L014_17</t>
  </si>
  <si>
    <t>L017_00</t>
  </si>
  <si>
    <t>L017_00: Inv. Contracts UL: no assumption changes</t>
  </si>
  <si>
    <t>L020_00</t>
  </si>
  <si>
    <t>L020_00: Inv. Contracts non-UL: no bonus declaration</t>
  </si>
  <si>
    <t>L021_17</t>
  </si>
  <si>
    <t>L024_17</t>
  </si>
  <si>
    <t>L032_00</t>
  </si>
  <si>
    <t>L032_00: Other restruct. prov: right ToM for prov. increase</t>
  </si>
  <si>
    <t>L038_00</t>
  </si>
  <si>
    <t>L038_00: No currency revalution on non-monetary items</t>
  </si>
  <si>
    <t>L040_00</t>
  </si>
  <si>
    <t>L040_00: No movements thru equity for current income tax</t>
  </si>
  <si>
    <t>L041_00</t>
  </si>
  <si>
    <t>L041_00: No movements thru equity for current income tax</t>
  </si>
  <si>
    <t>L054_00</t>
  </si>
  <si>
    <t>L055_00</t>
  </si>
  <si>
    <t>L055_00: Impairments</t>
  </si>
  <si>
    <t>L056_00</t>
  </si>
  <si>
    <t>L057_00</t>
  </si>
  <si>
    <t>L057_00: Reserve for Losses (IBNR) and (Case)-assum.- direct</t>
  </si>
  <si>
    <t>L058_00</t>
  </si>
  <si>
    <t>L058_00: Reserve for Losses (IBNR) and (Case) - ced.- direct</t>
  </si>
  <si>
    <t>L060_00</t>
  </si>
  <si>
    <t>L060_00: Unit Linked TOM 77A,B,D,E bookings</t>
  </si>
  <si>
    <t>L061_00</t>
  </si>
  <si>
    <t>L061_00: IFRS 4 Inv.Contr. with DPF 3rd- Changes in assumpt</t>
  </si>
  <si>
    <t>L062_00</t>
  </si>
  <si>
    <t>L062_00: IFRS4 Inv.Contr.w/ DPF - ToM 77A,B,D,E debit</t>
  </si>
  <si>
    <t>L063_00</t>
  </si>
  <si>
    <t>L063_00: IFRS4 Inv.Contr.w/ DPF - ToM 77A,B,D,E debit</t>
  </si>
  <si>
    <t>L066_00</t>
  </si>
  <si>
    <t>L066_00: PHs' Contract Dep. Liab.-Direct- 77A,B,D,E debit</t>
  </si>
  <si>
    <t>L067_00</t>
  </si>
  <si>
    <t>L067_00: PHs' Contract Dep. Liab.-Ced.- 77A,B,D,E credit</t>
  </si>
  <si>
    <t>L068_00</t>
  </si>
  <si>
    <t>L068_00: PHs' Contract Dep. Liab. - Ass.- 77A,B,D,E debit</t>
  </si>
  <si>
    <t>L069_00</t>
  </si>
  <si>
    <t>L080_00</t>
  </si>
  <si>
    <t>L080_00: Fut.Life Policy Benefit Liab - shadow accounting</t>
  </si>
  <si>
    <t>L086_00</t>
  </si>
  <si>
    <t>L086_00: Unit Linked TOM 77A,B,D,E bookings</t>
  </si>
  <si>
    <t>L087_00</t>
  </si>
  <si>
    <t>L087_00: Change of capitalization ToM E91/E92  Segm.</t>
  </si>
  <si>
    <t>L092_00</t>
  </si>
  <si>
    <t>L092_00: ZZZ not allowed on dividend accounts - Segm.</t>
  </si>
  <si>
    <t>L093_00</t>
  </si>
  <si>
    <t>L093_00: TOM E57 to be used for revaluation reserves only</t>
  </si>
  <si>
    <t>L100_70</t>
  </si>
  <si>
    <t>L100_70: Transport Provisions Details</t>
  </si>
  <si>
    <t>L101_70</t>
  </si>
  <si>
    <t>L101_70: Health premium reserve</t>
  </si>
  <si>
    <t>L102_70</t>
  </si>
  <si>
    <t>L102_70: Gross Loss Reserve</t>
  </si>
  <si>
    <t>L103_70</t>
  </si>
  <si>
    <t>L103_70: Equalization provision Target</t>
  </si>
  <si>
    <t>L121_00</t>
  </si>
  <si>
    <t>L121_00: 'URL - def. Income tax' always credit</t>
  </si>
  <si>
    <t>L122_00</t>
  </si>
  <si>
    <t>L122_00: 'URG - def. Income' tax always debit</t>
  </si>
  <si>
    <t>L123_00</t>
  </si>
  <si>
    <t>L123_00: account 25571 to be zero for SST (excl. CH)</t>
  </si>
  <si>
    <t>L125_00</t>
  </si>
  <si>
    <t>L125_00: LAE accounts blocked for Life RUs</t>
  </si>
  <si>
    <t>L126_00</t>
  </si>
  <si>
    <t>L126_00: Block IC difference account 26319</t>
  </si>
  <si>
    <t>L127_00</t>
  </si>
  <si>
    <t>L127_00: Block Non-Life Annuities accounts (liabilities)</t>
  </si>
  <si>
    <t>L128_00</t>
  </si>
  <si>
    <t>L128_00: Block TOM L17 for STIP/LTIP</t>
  </si>
  <si>
    <t>L130_00</t>
  </si>
  <si>
    <t>L130_00: Block loss reserves and LAE accts for Life RUs -B/S</t>
  </si>
  <si>
    <t>L131_00</t>
  </si>
  <si>
    <t>L131_00: Block TOMs L32 and L33 on actual accounts</t>
  </si>
  <si>
    <t>L131_17</t>
  </si>
  <si>
    <t>L131_17: Block TOMs L32 and L33 on actual accounts</t>
  </si>
  <si>
    <t>L131_80</t>
  </si>
  <si>
    <t>L131_80: Block TOMs L32 and L33 on actual accounts</t>
  </si>
  <si>
    <t>L131_85</t>
  </si>
  <si>
    <t>L131_85: Block TOMs L32 and L33 on actual accounts</t>
  </si>
  <si>
    <t>L132_00</t>
  </si>
  <si>
    <t>L132_00: Block Account 26331</t>
  </si>
  <si>
    <t>L135_00</t>
  </si>
  <si>
    <t>L135_00: Block GI UPR accts for Life RUs -B/S</t>
  </si>
  <si>
    <t>L136_00</t>
  </si>
  <si>
    <t>L136_00: Block TOM L89 for UL Investment and Insurance Funds</t>
  </si>
  <si>
    <t>L142_00</t>
  </si>
  <si>
    <t>L142_00: No bookings outside FLPB on 77C</t>
  </si>
  <si>
    <t>L143_00</t>
  </si>
  <si>
    <t>L143_00: No sales inducements within FLPHB</t>
  </si>
  <si>
    <t>L144_00</t>
  </si>
  <si>
    <t>L144_00: PH Contract Dep Liab-Retroc-TOM 77A,B,D,E credit</t>
  </si>
  <si>
    <t>L146_00</t>
  </si>
  <si>
    <t>L146_00: BB TOM L00 to offset for Rus with bal on acc 25642</t>
  </si>
  <si>
    <t>L147_00</t>
  </si>
  <si>
    <t>L147_00 TOM 957 acc 25642 must be 0 RUs with no bal on 25642</t>
  </si>
  <si>
    <t>L148_00</t>
  </si>
  <si>
    <t>L148_00: TOM L10 must be 0 on acc 25642 pos lev 0</t>
  </si>
  <si>
    <t>L149_00</t>
  </si>
  <si>
    <t>L149_00: Disc loss res-Cess-3rd-undiscounted amount</t>
  </si>
  <si>
    <t>L151_00</t>
  </si>
  <si>
    <t>L153_00</t>
  </si>
  <si>
    <t>L155_00</t>
  </si>
  <si>
    <t>L157_00</t>
  </si>
  <si>
    <t>L159_00</t>
  </si>
  <si>
    <t>L161_00</t>
  </si>
  <si>
    <t>L163_00</t>
  </si>
  <si>
    <t>L165_00</t>
  </si>
  <si>
    <t>L167_00</t>
  </si>
  <si>
    <t>L169_00</t>
  </si>
  <si>
    <t>L171_00</t>
  </si>
  <si>
    <t>L171_00: Old TOMs TOM-Set C100 must be 0 on acc 25642</t>
  </si>
  <si>
    <t>L173_00</t>
  </si>
  <si>
    <t>L174_00</t>
  </si>
  <si>
    <t>L174_00: Block IFRS 16 TOMs in TOM-Set 205</t>
  </si>
  <si>
    <t>L176_00</t>
  </si>
  <si>
    <t>L176_00: Block Life UPR accts for GI RUs - B/S</t>
  </si>
  <si>
    <t>L178_00</t>
  </si>
  <si>
    <t>L178_00: Block account 29482 for all Rus except 260045</t>
  </si>
  <si>
    <t>L181_00</t>
  </si>
  <si>
    <t>L181_00: No movement Unrealised Gains/Losses Accounts</t>
  </si>
  <si>
    <t>L182_00</t>
  </si>
  <si>
    <t>L182_00 No movement on A/c 29311 except for G ToMs</t>
  </si>
  <si>
    <t>L600_00</t>
  </si>
  <si>
    <t>L600_00: Block ToM E69 for SLST</t>
  </si>
  <si>
    <t>L825_00</t>
  </si>
  <si>
    <t>L825_00: New SST only debt/equity accounts should be zero</t>
  </si>
  <si>
    <t>L826_00</t>
  </si>
  <si>
    <t>L826_00: 28101 SST TOM's equal IFRS TOM's</t>
  </si>
  <si>
    <t>L827_00</t>
  </si>
  <si>
    <t>L827_00: 28321 SST TOM's equal IFRS TOM's</t>
  </si>
  <si>
    <t>L828_00</t>
  </si>
  <si>
    <t>L828_00: Reserve for IBNR strength</t>
  </si>
  <si>
    <t>L836_00</t>
  </si>
  <si>
    <t>L836_00: Account 21962 to be zero for SST.</t>
  </si>
  <si>
    <t>L837_00</t>
  </si>
  <si>
    <t>L837_00: Block PL03-PL10 &amp; Non-Life LoBs on account 24686</t>
  </si>
  <si>
    <t>L838_00</t>
  </si>
  <si>
    <t>L838_00: Account 21852 &amp; 21972 should be zero in SST (Z3)</t>
  </si>
  <si>
    <t>L856_00</t>
  </si>
  <si>
    <t>L856_00: only Health LOBs PN01, PN02, PN14, PN15 are allowed</t>
  </si>
  <si>
    <t>L857_00</t>
  </si>
  <si>
    <t>L857_00: Accrued interest receivable</t>
  </si>
  <si>
    <t>LA001_17</t>
  </si>
  <si>
    <t>LA001_17: BBA reinsurance contracts reclass accounts = 0</t>
  </si>
  <si>
    <t>LE001_00</t>
  </si>
  <si>
    <t>LE001_60</t>
  </si>
  <si>
    <t>LE001_60: PH Rebates Change in Reserve - direct by LoB</t>
  </si>
  <si>
    <t>LE002_00</t>
  </si>
  <si>
    <t>LE002_00: Reserve for Losses (IBNR and Cases) - paid - dir</t>
  </si>
  <si>
    <t>LE002_60</t>
  </si>
  <si>
    <t>LE002_60: PH Rebates Change in Reserve - ass - 3rd by LoB</t>
  </si>
  <si>
    <t>LE003_00</t>
  </si>
  <si>
    <t>LE003_00: Reserve for LAE Allocated direct - paid</t>
  </si>
  <si>
    <t>LE003_60</t>
  </si>
  <si>
    <t>LE003_60: PH Rebates Change in Reserve - ced - 3rd by LoB</t>
  </si>
  <si>
    <t>LE004_00</t>
  </si>
  <si>
    <t>LE004_00: Reserve for LAE Unallocated direct - paid</t>
  </si>
  <si>
    <t>LE004_60</t>
  </si>
  <si>
    <t>LE004_60: PH Rebates Change in Reserve - retr - 3rd by LoB</t>
  </si>
  <si>
    <t>LE005_00</t>
  </si>
  <si>
    <t>LE005_00: Reserve for losses-paid-assumed 3rd</t>
  </si>
  <si>
    <t>LE005_60</t>
  </si>
  <si>
    <t>LE005_60: PH rebates paid - direct by LoB</t>
  </si>
  <si>
    <t>LE006_00</t>
  </si>
  <si>
    <t>LE006_00: Reserve for losses-paid-assumed - linked</t>
  </si>
  <si>
    <t>LE006_60</t>
  </si>
  <si>
    <t>LE006_60: PH rebates paid - ass - 3rd by LoB</t>
  </si>
  <si>
    <t>LE007_00</t>
  </si>
  <si>
    <t>LE007_00: Reserve for LAE Allocated paid - assumed - 3rd</t>
  </si>
  <si>
    <t>LE007_60</t>
  </si>
  <si>
    <t>LE007_60: PH rebates paid - ceded 3rd by LoB</t>
  </si>
  <si>
    <t>LE008_00</t>
  </si>
  <si>
    <t>LE008_00: Reserve for LAE (allocated) paid - assumed - lnk</t>
  </si>
  <si>
    <t>LE008_60</t>
  </si>
  <si>
    <t>LE008_60: PH rebates paid - retroceded 3rd by LoB</t>
  </si>
  <si>
    <t>LE009_00</t>
  </si>
  <si>
    <t>LE009_00: Reserve for LAE unallocated paid (allocated) - a</t>
  </si>
  <si>
    <t>LE009_60</t>
  </si>
  <si>
    <t>LE009_60: Change in Reserve for losses-ass(LD)-3rd by LoB,AY</t>
  </si>
  <si>
    <t>LE010_00</t>
  </si>
  <si>
    <t>LE010_00: Reserve for LAE unallocated paid - assumed - lnk</t>
  </si>
  <si>
    <t>LE010_60</t>
  </si>
  <si>
    <t>LE010_60: Change in Reserve for losses-ced-3rd(LD)-by LoB,AY</t>
  </si>
  <si>
    <t>LE011_00</t>
  </si>
  <si>
    <t>LE011_00: Reserve for losses-paid-ceded-3rd</t>
  </si>
  <si>
    <t>LE011_60</t>
  </si>
  <si>
    <t>LE011_60: Change in Reserve for LAE-Alloc-dir(LD) by LoB,AY</t>
  </si>
  <si>
    <t>LE012_00</t>
  </si>
  <si>
    <t>LE012_00: Reserve for losses - paid - ceded - linked</t>
  </si>
  <si>
    <t>LE012_60</t>
  </si>
  <si>
    <t>LE012_60: Change Res for LAE-Unalloc(IBNR)-dir(LD) by LoB,AY</t>
  </si>
  <si>
    <t>LE013_00</t>
  </si>
  <si>
    <t>LE013_00: Reserve for LAE allocated paid-ceded-3rd</t>
  </si>
  <si>
    <t>LE013_60</t>
  </si>
  <si>
    <t>LE013_60: Change in Reserve for Losses-dir(LD) by LoB,AY</t>
  </si>
  <si>
    <t>LE014_00</t>
  </si>
  <si>
    <t>LE014_00: Reserve for losses-paid-ceded-linked</t>
  </si>
  <si>
    <t>LE014_60</t>
  </si>
  <si>
    <t>LE014_60: Change in Reserve for losses-ass-aff(LD) by LoB,AY</t>
  </si>
  <si>
    <t>LE015_00</t>
  </si>
  <si>
    <t>LE015_00: Reserve for LAE (unallocated) - paid - ceded - 3</t>
  </si>
  <si>
    <t>LE015_60</t>
  </si>
  <si>
    <t>LE015_60: Change in Reserve for losses-ced-aff(LD) by LoB,AY</t>
  </si>
  <si>
    <t>LE016_00</t>
  </si>
  <si>
    <t>LE016_00: Reserve for LAE (unallocated) - paid - ceded - l</t>
  </si>
  <si>
    <t>LE016_60</t>
  </si>
  <si>
    <t>LE016_60: Change Reserve for losses(LD)-retro-3rd by LoB,AY</t>
  </si>
  <si>
    <t>LE017_00</t>
  </si>
  <si>
    <t>LE017_00: Reserve for Losses (IBNR and Cases) - incurred -</t>
  </si>
  <si>
    <t>LE017_60</t>
  </si>
  <si>
    <t>LE017_60: Change Reserve for LAE-Alloc-ass 3rd(LD) by LoB,AY</t>
  </si>
  <si>
    <t>LE018_00</t>
  </si>
  <si>
    <t>LE018_00: Reserve for LAE Allocated direct - paid</t>
  </si>
  <si>
    <t>LE018_60</t>
  </si>
  <si>
    <t>LE018_60: Change Reserve LAE-ass-aff (LD) by LoB and AY</t>
  </si>
  <si>
    <t>LE019_00</t>
  </si>
  <si>
    <t>LE019_00: Reserve for LAE Unallocated direct - incurred</t>
  </si>
  <si>
    <t>LE019_60</t>
  </si>
  <si>
    <t>LE019_60: Change Res for LAE-Unall(IBNR)ass 3rd(LD)by LoB,AY</t>
  </si>
  <si>
    <t>LE020_00</t>
  </si>
  <si>
    <t>LE020_60</t>
  </si>
  <si>
    <t>LE020_60: Change in Reserve for losses-ass(SD)-3rd by LoB,AY</t>
  </si>
  <si>
    <t>LE021_00</t>
  </si>
  <si>
    <t>LE021_00: Change in Reserve for losses-assumed-linked</t>
  </si>
  <si>
    <t>LE021_60</t>
  </si>
  <si>
    <t>LE021_60: Change in Reserve for losses-ass-3rd (long dur)LoB</t>
  </si>
  <si>
    <t>LE022_00</t>
  </si>
  <si>
    <t>LE022_00: Reserve for LAE (allocated) - incurred - assumed</t>
  </si>
  <si>
    <t>LE022_60</t>
  </si>
  <si>
    <t>LE022_60: Change LAE Res.-Unall.(IBNR)(LD)-ass aff by LoB,AY</t>
  </si>
  <si>
    <t>LE023_00</t>
  </si>
  <si>
    <t>LE023_00: Reserve for LAE (allocated) - incurred - assumed</t>
  </si>
  <si>
    <t>LE023_60</t>
  </si>
  <si>
    <t>LE023_60: Change in FLPHB Reserve(long dur) - ass aff by LoB</t>
  </si>
  <si>
    <t>LE024_00</t>
  </si>
  <si>
    <t>LE024_00: Reserve for LAE (unallocated) - incurred - assum</t>
  </si>
  <si>
    <t>LE024_60</t>
  </si>
  <si>
    <t>LE024_60: PH Rebates Change in Reserve - ass - aff by LoB</t>
  </si>
  <si>
    <t>LE025_00</t>
  </si>
  <si>
    <t>LE025_00: Reserve for LAE (unallocated) - incurred - assum</t>
  </si>
  <si>
    <t>LE025_60</t>
  </si>
  <si>
    <t>LE025_60: PH Rebates Change in Reserve - ass - aff by LoB</t>
  </si>
  <si>
    <t>LE026_00</t>
  </si>
  <si>
    <t>LE026_60</t>
  </si>
  <si>
    <t>LE026_60: Change in Reserve for losses-ced(SD)-3rd by LoB,AY</t>
  </si>
  <si>
    <t>LE027_00</t>
  </si>
  <si>
    <t>LE027_00: Change in Reserve for losses-ceded-linked</t>
  </si>
  <si>
    <t>LE027_60</t>
  </si>
  <si>
    <t>LE027_60: Change Reserve for losses(LD) -retro-3rd by LoB,AY</t>
  </si>
  <si>
    <t>LE028_00</t>
  </si>
  <si>
    <t>LE028_00: Reserve for LAE (allocated) - incurred - ceded -</t>
  </si>
  <si>
    <t>LE028_60</t>
  </si>
  <si>
    <t>LE028_60: Change in FLPHB Reserve (long dur) - Ceded by LoB</t>
  </si>
  <si>
    <t>LE029_00</t>
  </si>
  <si>
    <t>LE029_00: Reserve for LAE (allocated) - incurred - ceded -</t>
  </si>
  <si>
    <t>LE029_60</t>
  </si>
  <si>
    <t>LE029_60: Change LAE Res.-Alloc(IBNR)(LD)-ced 3rd by LoB,AY</t>
  </si>
  <si>
    <t>LE030_00</t>
  </si>
  <si>
    <t>LE030_00: Reserve for LAE (unallocated) - incurred - ceded</t>
  </si>
  <si>
    <t>LE030_60</t>
  </si>
  <si>
    <t>LE030_60: Change LAE Res.-Alloc.(IBNR)(LD)-ced aff by LoB,A</t>
  </si>
  <si>
    <t>LE031_00</t>
  </si>
  <si>
    <t>LE031_00: Reserve for LAE (unallocated) - incurred - ceded</t>
  </si>
  <si>
    <t>LE031_60</t>
  </si>
  <si>
    <t>LE031_60: Change LAE Res.-Alloc(IBNR)(LD)-ced 3rd by LoB,AY</t>
  </si>
  <si>
    <t>LE032_60</t>
  </si>
  <si>
    <t>LE032_60: Change LAE Res.-Alloc.(IBNR)(LD)-ced aff by LoB,AY</t>
  </si>
  <si>
    <t>LE033_17</t>
  </si>
  <si>
    <t>LE033_60</t>
  </si>
  <si>
    <t>LE033_60: Change in FLPHB Reserve (long dur) - Direct by LoB</t>
  </si>
  <si>
    <t>LE034_17</t>
  </si>
  <si>
    <t>LE034_60</t>
  </si>
  <si>
    <t>LE034_60: Change in FLPHB Reserve (long dur) - Ass by LoB</t>
  </si>
  <si>
    <t>LE035_17</t>
  </si>
  <si>
    <t>LE035_60</t>
  </si>
  <si>
    <t>LE035_60: Change in FLPHB Reserve (long dur) - Ceded by LoB</t>
  </si>
  <si>
    <t>LE036_17</t>
  </si>
  <si>
    <t>LE036_60</t>
  </si>
  <si>
    <t>LE036_60: Change LAE Res.-Unalloc(IBNR)(LD)-ced 3rd by LoB,</t>
  </si>
  <si>
    <t>LE037_17</t>
  </si>
  <si>
    <t>LE037_60</t>
  </si>
  <si>
    <t>LE037_60: Change LAE Res-Unalloc(IBNR)(LD)-ced aff by LoB,AY</t>
  </si>
  <si>
    <t>LE038_17</t>
  </si>
  <si>
    <t>LE038_60</t>
  </si>
  <si>
    <t>LE038_60: Change Res for Premium Deficiencies-ced-3rd by LoB</t>
  </si>
  <si>
    <t>LE039_17</t>
  </si>
  <si>
    <t>LE039_60</t>
  </si>
  <si>
    <t>LE039_60: Change LAE ResAlloc (IBNR)(LD)-retro 3rd by LoB,AY</t>
  </si>
  <si>
    <t>LE040_17</t>
  </si>
  <si>
    <t>LE040_60</t>
  </si>
  <si>
    <t>LE040_60: Change LAE ResAlloc (IBNR)(LD)-retro aff by LoB,AY</t>
  </si>
  <si>
    <t>LE041_17</t>
  </si>
  <si>
    <t>LE041_60</t>
  </si>
  <si>
    <t>LE041_60: Change LAE ResAlloc (Case)(LD)-retro 3rd by LoB,AY</t>
  </si>
  <si>
    <t>LE042_17</t>
  </si>
  <si>
    <t>LE042_60</t>
  </si>
  <si>
    <t>LE042_60: Change LAE Res.Alloc(Case)(LD)-retro aff by LoB,AY</t>
  </si>
  <si>
    <t>LE043_17</t>
  </si>
  <si>
    <t>LE044_17</t>
  </si>
  <si>
    <t>LE044_60</t>
  </si>
  <si>
    <t>LE044_60: Change LAE Res.Unall(IBNR)(LD)-retro 3rd by LoB,AY</t>
  </si>
  <si>
    <t>LE045_17</t>
  </si>
  <si>
    <t>LE045_60</t>
  </si>
  <si>
    <t>LE045_60: Change LAE Res.Unall(IBNR)(LD)-retro aff by LoB,AY</t>
  </si>
  <si>
    <t>LE046_17</t>
  </si>
  <si>
    <t>LE047_17</t>
  </si>
  <si>
    <t>LE048_00</t>
  </si>
  <si>
    <t>LE048_17</t>
  </si>
  <si>
    <t>LE048_60</t>
  </si>
  <si>
    <t>LE048_60: Change LAE Res.-Alloc LAE(IBNR)(SD)-dir by LoB,AY</t>
  </si>
  <si>
    <t>LE049_00</t>
  </si>
  <si>
    <t>LE049_17</t>
  </si>
  <si>
    <t>LE049_60</t>
  </si>
  <si>
    <t>LE049_60: Change LAE Reserve-Alloc(Case)(SD)-dir by LoB,AY</t>
  </si>
  <si>
    <t>LE050_00</t>
  </si>
  <si>
    <t>LE050_17</t>
  </si>
  <si>
    <t>LE050_60</t>
  </si>
  <si>
    <t>LE050_60: Change LAE Reserve-Unalloc(IBNR)(SD)-dir by LoB,AY</t>
  </si>
  <si>
    <t>LE051_00</t>
  </si>
  <si>
    <t>LE051_17</t>
  </si>
  <si>
    <t>LE051_60</t>
  </si>
  <si>
    <t>LE051_60: Change Reserve for Losses(IBNR)(SD)-dir by LoB,AY</t>
  </si>
  <si>
    <t>LE052_00</t>
  </si>
  <si>
    <t>LE052_17</t>
  </si>
  <si>
    <t>LE052_60</t>
  </si>
  <si>
    <t>LE052_60: Change Reserve for Losses(Case)(SD)-dir by LoB,AY</t>
  </si>
  <si>
    <t>LE053_00</t>
  </si>
  <si>
    <t>LE053_17</t>
  </si>
  <si>
    <t>LE053_60</t>
  </si>
  <si>
    <t>LE053_60: Change LAE Res.-Alloc(IBNR)(SD)-ass 3rd by LoB,AY</t>
  </si>
  <si>
    <t>LE054_00</t>
  </si>
  <si>
    <t>LE054_60</t>
  </si>
  <si>
    <t>LE054_60: Change LAE Res.-Alloc(Case)(SD)-ass 3rd by LoB,AY</t>
  </si>
  <si>
    <t>LE055_00</t>
  </si>
  <si>
    <t>LE055_00: Change in Reserve for LAE - Allocated - Ass. - lnk</t>
  </si>
  <si>
    <t>LE056_00</t>
  </si>
  <si>
    <t>LE056_00: Change in Reserve for LAE-Allocated-Cess-lnk</t>
  </si>
  <si>
    <t>LE057_00</t>
  </si>
  <si>
    <t>LE057_60</t>
  </si>
  <si>
    <t>LE057_60: Change LAE Res.-Alloc(IBNR)(SD)-ced 3rd by LoB,AY</t>
  </si>
  <si>
    <t>LE058_00</t>
  </si>
  <si>
    <t>LE058_60</t>
  </si>
  <si>
    <t>LE058_60: Change LAE Res.-Alloc(Case)(SD)-ced-3rd by LoB,AY</t>
  </si>
  <si>
    <t>LE059_00</t>
  </si>
  <si>
    <t>LE059_60</t>
  </si>
  <si>
    <t>LE059_60: Change LAE Res.-Unall.(IBNR)(SD)-ass 3rd by LoB,AY</t>
  </si>
  <si>
    <t>LE060_00</t>
  </si>
  <si>
    <t>LE060_00: Change in Reserve for LAE - Unalloc - Ass.- linked</t>
  </si>
  <si>
    <t>LE061_00</t>
  </si>
  <si>
    <t>LE061_60</t>
  </si>
  <si>
    <t>LE061_60: Change LAE Res.-Unall.(IBNR)(SD)-ced 3rd by LoB,AY</t>
  </si>
  <si>
    <t>LE062_00</t>
  </si>
  <si>
    <t>LE062_00: Change in Reserve for LAE - Unalloc. - Cess. - lnk</t>
  </si>
  <si>
    <t>LE063_17</t>
  </si>
  <si>
    <t>LE064_17</t>
  </si>
  <si>
    <t>LE065_00</t>
  </si>
  <si>
    <t>LE065_00: No Unit-Linked Fund -Assumed I</t>
  </si>
  <si>
    <t>LE065_17</t>
  </si>
  <si>
    <t>LE066_00</t>
  </si>
  <si>
    <t>LE066_00: No Unit-Linked Fund -Ceded I</t>
  </si>
  <si>
    <t>LE066_17</t>
  </si>
  <si>
    <t>LE067_17</t>
  </si>
  <si>
    <t>LE068_17</t>
  </si>
  <si>
    <t>LE069_17</t>
  </si>
  <si>
    <t>LE070_17</t>
  </si>
  <si>
    <t>LE070_17: PAA - Unwind of discount - retroceded - 3rd</t>
  </si>
  <si>
    <t>LE071_00</t>
  </si>
  <si>
    <t>LE071_00: Change in reserve for PH dividends, direct</t>
  </si>
  <si>
    <t>LE071_17</t>
  </si>
  <si>
    <t>LE072_00</t>
  </si>
  <si>
    <t>LE072_00: Change in reserve for PH dividends, assumed third</t>
  </si>
  <si>
    <t>LE072_17</t>
  </si>
  <si>
    <t>LE073_00</t>
  </si>
  <si>
    <t>LE073_00: Change in reserve for PH dividends, ceded third</t>
  </si>
  <si>
    <t>LE073_17</t>
  </si>
  <si>
    <t>LE074_17</t>
  </si>
  <si>
    <t>LE075_17</t>
  </si>
  <si>
    <t>LE076_17</t>
  </si>
  <si>
    <t>LE078_17</t>
  </si>
  <si>
    <t>LE079_17</t>
  </si>
  <si>
    <t>LE080_17</t>
  </si>
  <si>
    <t>LE081_17</t>
  </si>
  <si>
    <t>LE082_17</t>
  </si>
  <si>
    <t>LE082_17: PAA - Change in risk adjustment - ceded - 3rd</t>
  </si>
  <si>
    <t>LE083_17</t>
  </si>
  <si>
    <t>LE083_17: PAA-Change in risk adjustm-annuities-ceded-3rd</t>
  </si>
  <si>
    <t>LE084_17</t>
  </si>
  <si>
    <t>LE085_17</t>
  </si>
  <si>
    <t>LE086_00</t>
  </si>
  <si>
    <t>LE086_00: IC difference accounts need AY info</t>
  </si>
  <si>
    <t>LE086_17</t>
  </si>
  <si>
    <t>LE086_17: IC difference accts need AY inform.</t>
  </si>
  <si>
    <t>LE087_17</t>
  </si>
  <si>
    <t>LE087_17: PAA - Change in risk adjustment - ceded - aff</t>
  </si>
  <si>
    <t>LE088_17</t>
  </si>
  <si>
    <t>LE089_17</t>
  </si>
  <si>
    <t>LE089_17: PAA-Change in risk adjustm-annuities-ceded-aff</t>
  </si>
  <si>
    <t>LE090_17</t>
  </si>
  <si>
    <t>LE092_00</t>
  </si>
  <si>
    <t>LE092_00: Reserve for losses-paid-assumed aff</t>
  </si>
  <si>
    <t>LE093_00</t>
  </si>
  <si>
    <t>LE093_00: Reserve for LAE Allocated paid - assumed - aff</t>
  </si>
  <si>
    <t>LE094_00</t>
  </si>
  <si>
    <t>LE094_00: Reserve for LAE unalloc. Paid (allocated)-ass-aff</t>
  </si>
  <si>
    <t>LE095_00</t>
  </si>
  <si>
    <t>LE095_00: Reserve for losses-paid-ceded-aff</t>
  </si>
  <si>
    <t>LE096_00</t>
  </si>
  <si>
    <t>LE096_00: Reserve for LAE allocated paid-ceded-aff</t>
  </si>
  <si>
    <t>LE097_00</t>
  </si>
  <si>
    <t>LE097_00: Reserve for LAE (unallocated)-paid-ceded-aff</t>
  </si>
  <si>
    <t>LE097_17</t>
  </si>
  <si>
    <t>LE098_00</t>
  </si>
  <si>
    <t>LE098_17</t>
  </si>
  <si>
    <t>LE098_17: BBA - RE Risk non performance - Disputed balances</t>
  </si>
  <si>
    <t>LE098_60</t>
  </si>
  <si>
    <t>LE098_60: Change in Reserve for losses(SD)-ass-aff by LoB,AY</t>
  </si>
  <si>
    <t>LE099_00</t>
  </si>
  <si>
    <t>LE099_17</t>
  </si>
  <si>
    <t>LE099_17: BBA_ Reinsurance Risk of non perf_ceded</t>
  </si>
  <si>
    <t>LE099_60</t>
  </si>
  <si>
    <t>LE099_60: Change in LAE Reserve(alloc)(SD)-ass aff by LoB,AY</t>
  </si>
  <si>
    <t>LE100_00</t>
  </si>
  <si>
    <t>LE100_17</t>
  </si>
  <si>
    <t>LE100_17: BBA_ Reinsurance Risk of non perf_retroceded</t>
  </si>
  <si>
    <t>LE100_60</t>
  </si>
  <si>
    <t>LE100_60: Change LAE Reserve (unalloc)(SD)-ass aff by LoB,AY</t>
  </si>
  <si>
    <t>LE100_70</t>
  </si>
  <si>
    <t>LE100_70: Change SSZ</t>
  </si>
  <si>
    <t>LE101_00</t>
  </si>
  <si>
    <t>LE101_17</t>
  </si>
  <si>
    <t>LE101_60</t>
  </si>
  <si>
    <t>LE101_60: Change in Reserve for losses(SD)-ced aff by LoB,AY</t>
  </si>
  <si>
    <t>LE101_70</t>
  </si>
  <si>
    <t>LE101_70: Change SSZ</t>
  </si>
  <si>
    <t>LE102_00</t>
  </si>
  <si>
    <t>LE102_17</t>
  </si>
  <si>
    <t>LE102_60</t>
  </si>
  <si>
    <t>LE102_60: Change LAE Reserve (alloc)(SD)-ced aff by LoB,AY</t>
  </si>
  <si>
    <t>LE102_70</t>
  </si>
  <si>
    <t>LE102_70: Change SSZ</t>
  </si>
  <si>
    <t>LE103_00</t>
  </si>
  <si>
    <t>LE103_60</t>
  </si>
  <si>
    <t>LE103_60: Change LAE Reserve(unalloc) (SD)-ced aff by LoB,A</t>
  </si>
  <si>
    <t>LE103_70</t>
  </si>
  <si>
    <t>LE103_70: Change SSZ</t>
  </si>
  <si>
    <t>LE104_70</t>
  </si>
  <si>
    <t>LE104_70: Change RPT</t>
  </si>
  <si>
    <t>LE105_00</t>
  </si>
  <si>
    <t>LE105_00: Change in non-life annuities undiscounted - direc</t>
  </si>
  <si>
    <t>LE105_17</t>
  </si>
  <si>
    <t>LE105_17: BBA NON PAR_ CSM direct_ interest accretion</t>
  </si>
  <si>
    <t>LE106_00</t>
  </si>
  <si>
    <t>LE106_00: Reserve for Non-Life Annuities -paid - direct</t>
  </si>
  <si>
    <t>LE106_17</t>
  </si>
  <si>
    <t>LE106_17: BBA NON PAR_ CSM assumed_ interest accretion</t>
  </si>
  <si>
    <t>LE107_00</t>
  </si>
  <si>
    <t>LE107_00: Change in non-life annuities undiscounted-ass-3rd</t>
  </si>
  <si>
    <t>LE107_17</t>
  </si>
  <si>
    <t>LE107_17: BBA NON PAR_ CSM ceded_ interest accretion</t>
  </si>
  <si>
    <t>LE108_00</t>
  </si>
  <si>
    <t>LE108_00: Reserve for Non-Life Annuities -paid -assumed -3rd</t>
  </si>
  <si>
    <t>LE108_17</t>
  </si>
  <si>
    <t>LE108_17: BBA NON PAR_ CSM retroceded_ interest accretion</t>
  </si>
  <si>
    <t>LE109_00</t>
  </si>
  <si>
    <t>LE109_00: Change in non-life annuities undiscounted-ceded-3r</t>
  </si>
  <si>
    <t>LE109_17</t>
  </si>
  <si>
    <t>LE109_17: BBA CSM Remaining Coverage_direct</t>
  </si>
  <si>
    <t>LE110_00</t>
  </si>
  <si>
    <t>LE110_00: Reserve for Non-Life Annuities - paid - ceded -3rd</t>
  </si>
  <si>
    <t>LE110_17</t>
  </si>
  <si>
    <t>LE110_17 BBA CSM Remaining Coverage_assumed</t>
  </si>
  <si>
    <t>LE111_00</t>
  </si>
  <si>
    <t>LE111_00: Change in non-life annuities undiscounted-ass-aff</t>
  </si>
  <si>
    <t>LE112_00</t>
  </si>
  <si>
    <t>LE112_00: Reserve for Non-Life Annuities -paid -assumed -aff</t>
  </si>
  <si>
    <t>LE113_00</t>
  </si>
  <si>
    <t>LE113_00: Change in non-life annuities undiscounted-ceded-af</t>
  </si>
  <si>
    <t>LE114_00</t>
  </si>
  <si>
    <t>LE114_00: Reserve for Non-Life Annuities -paid -ceded -aff</t>
  </si>
  <si>
    <t>LE115_00</t>
  </si>
  <si>
    <t>LE115_00: Change in Res for Non-Life Prem Deficienc.-Direct</t>
  </si>
  <si>
    <t>LE115_60</t>
  </si>
  <si>
    <t>LE115_60: Change in Reserve for Premium Deficiencies-ced-af</t>
  </si>
  <si>
    <t>LE116_00</t>
  </si>
  <si>
    <t>LE116_00: Change in Reserve f NonLife Prem.Def.-Cessions-3rd</t>
  </si>
  <si>
    <t>LE117_17</t>
  </si>
  <si>
    <t>LE117_17: BBA_ CSM initial recognition_direct 3rd</t>
  </si>
  <si>
    <t>LE117_60</t>
  </si>
  <si>
    <t>LE117_60: Change in Res. Prem. Defi. (long dur)-dir by LoB</t>
  </si>
  <si>
    <t>LE118_17</t>
  </si>
  <si>
    <t>LE118_17: BBA_ CSM initial recognition_assumed</t>
  </si>
  <si>
    <t>LE118_60</t>
  </si>
  <si>
    <t>LE118_60: Change in Res for Premium Deficiencies-ced-3rd by</t>
  </si>
  <si>
    <t>LE119_17</t>
  </si>
  <si>
    <t>LE119_17: BBA_ CSM initial recognition_ceded</t>
  </si>
  <si>
    <t>LE120_17</t>
  </si>
  <si>
    <t>LE120_17: BBA_ CSM initial recognition_retroceded</t>
  </si>
  <si>
    <t>LE121_17</t>
  </si>
  <si>
    <t>LE123_00</t>
  </si>
  <si>
    <t>LE123_00: Change in Res for Non-Life Prem.Deficienc.-Ass 3rd</t>
  </si>
  <si>
    <t>LE123_17</t>
  </si>
  <si>
    <t>LE124_00</t>
  </si>
  <si>
    <t>LE124_00: Change in Res for Non-Life Prem.Deficienc.-Ass aff</t>
  </si>
  <si>
    <t>LE124_17</t>
  </si>
  <si>
    <t>LE125_00</t>
  </si>
  <si>
    <t>LE125_00: Change in Res for Non-Life Prem.Deficienc.-Ass lnk</t>
  </si>
  <si>
    <t>LE125_17</t>
  </si>
  <si>
    <t>LE126_00</t>
  </si>
  <si>
    <t>LE126_00: Change in Res for Non-Life Prem. Defic.-Ceded aff</t>
  </si>
  <si>
    <t>LE126_17</t>
  </si>
  <si>
    <t>LE126_17: BBA_ changes in loss component_direct</t>
  </si>
  <si>
    <t>LE127_00</t>
  </si>
  <si>
    <t>LE127_00: Change in Res for Non-Life Prem. Defic.-Ceded lnk</t>
  </si>
  <si>
    <t>LE127_17</t>
  </si>
  <si>
    <t>LE127_17: BBA_changes in loss component_assumed</t>
  </si>
  <si>
    <t>LE128_60</t>
  </si>
  <si>
    <t>LE128_60: Change in Res. Prem Deficiencies-ass-3rd by LoB</t>
  </si>
  <si>
    <t>LE129_60</t>
  </si>
  <si>
    <t>LE129_60: Change in Res. Prem Deficiencies-ass-aff by LoB</t>
  </si>
  <si>
    <t>LE130_17</t>
  </si>
  <si>
    <t>LE130_17: BBA_loss component initial recognition_direct</t>
  </si>
  <si>
    <t>LE131_17</t>
  </si>
  <si>
    <t>LE131_17: BBA_loss component initial recognition_assumed</t>
  </si>
  <si>
    <t>LE132_17</t>
  </si>
  <si>
    <t>LE133_17</t>
  </si>
  <si>
    <t>LE134_17</t>
  </si>
  <si>
    <t>LE135_17</t>
  </si>
  <si>
    <t>LE136_00</t>
  </si>
  <si>
    <t>LE136_00: Change in other discounted non-life reserves - dir</t>
  </si>
  <si>
    <t>LE138_17</t>
  </si>
  <si>
    <t>LE138_17: BBA_ risk adj loss component _direct</t>
  </si>
  <si>
    <t>LE139_17</t>
  </si>
  <si>
    <t>LE139_17: BBA_ risk adj loss component _assumed</t>
  </si>
  <si>
    <t>LE140_17</t>
  </si>
  <si>
    <t>LE140_17: BBA_Claims paid Surrenders_direct</t>
  </si>
  <si>
    <t>LE140_60</t>
  </si>
  <si>
    <t>LE140_60: Change in annuities discounted(LD)direct by LoB,AY</t>
  </si>
  <si>
    <t>LE141_17</t>
  </si>
  <si>
    <t>LE141_17: BBA_Claims paid Surrenders_assumed</t>
  </si>
  <si>
    <t>LE141_60</t>
  </si>
  <si>
    <t>LE141_60: Change in annuities disc.(LD)ass 3rd by LoB,AY</t>
  </si>
  <si>
    <t>LE142_17</t>
  </si>
  <si>
    <t>LE142_17: BBA_Claims paid Surrenders_ceded</t>
  </si>
  <si>
    <t>LE142_60</t>
  </si>
  <si>
    <t>LE142_60: Change in annuities disc.(LD)ced 3rd by LoB,AY</t>
  </si>
  <si>
    <t>LE143_17</t>
  </si>
  <si>
    <t>LE143_17: BBA_Claims paid Surrenders_retroceded</t>
  </si>
  <si>
    <t>LE143_60</t>
  </si>
  <si>
    <t>LE143_60: Change in annuities disc.(LD) retro 3rd by LoB,AY</t>
  </si>
  <si>
    <t>LE144_17</t>
  </si>
  <si>
    <t>LE144_17: BBA_Claims paid Maturities_direct</t>
  </si>
  <si>
    <t>LE144_60</t>
  </si>
  <si>
    <t>LE144_60: Claims paid Maturities (long dur)_direct by LoB</t>
  </si>
  <si>
    <t>LE145_17</t>
  </si>
  <si>
    <t>LE145_17: BBA_Claims paid Maturities_assumed</t>
  </si>
  <si>
    <t>LE145_60</t>
  </si>
  <si>
    <t>LE145_60: Claims paid Maturities (long dur)_assumed by LoB</t>
  </si>
  <si>
    <t>LE146_17</t>
  </si>
  <si>
    <t>LE146_17: BBA_Claims paid Maturities_ceded</t>
  </si>
  <si>
    <t>LE146_60</t>
  </si>
  <si>
    <t>LE146_60: Claims paid Maturities (long dur) ceded by LoB</t>
  </si>
  <si>
    <t>LE147_17</t>
  </si>
  <si>
    <t>LE147_17: BBA_Claims paid Maturities_retroceded</t>
  </si>
  <si>
    <t>LE147_60</t>
  </si>
  <si>
    <t>LE147_60: Claims paid Maturities(long dur) retroceded by LoB</t>
  </si>
  <si>
    <t>LE148_17</t>
  </si>
  <si>
    <t>LE148_17: BBA_Claims paid Annuities_direct</t>
  </si>
  <si>
    <t>LE148_60</t>
  </si>
  <si>
    <t>LE148_60: Claims paid Annuities (long dur) direct by LoB</t>
  </si>
  <si>
    <t>LE149_17</t>
  </si>
  <si>
    <t>LE149_17: BBA_Claims paid Annuities_assumed</t>
  </si>
  <si>
    <t>LE149_60</t>
  </si>
  <si>
    <t>LE149_60: Claims paid Annuities (long dur) assumed by LoB</t>
  </si>
  <si>
    <t>LE150_17</t>
  </si>
  <si>
    <t>LE150_17: BBA_Claims paid Annuities_ceded</t>
  </si>
  <si>
    <t>LE150_60</t>
  </si>
  <si>
    <t>LE150_60: Claims paid Annuities (long dur) ced 3rd by Lob</t>
  </si>
  <si>
    <t>LE151_17</t>
  </si>
  <si>
    <t>LE151_17: BBA_Claims paid Annuities_retroceded</t>
  </si>
  <si>
    <t>LE151_60</t>
  </si>
  <si>
    <t>LE151_60: Claims paid Annuities (long dur) retro by LoB</t>
  </si>
  <si>
    <t>LE152_17</t>
  </si>
  <si>
    <t>LE152_17: BBA_Claims paid Other benefits_direct</t>
  </si>
  <si>
    <t>LE152_60</t>
  </si>
  <si>
    <t>LE152_60: Change in Res for Prem Deficiencies - retro 3rd by</t>
  </si>
  <si>
    <t>LE153_17</t>
  </si>
  <si>
    <t>LE153_17: BBA_Claims paid Other benefits_assumed</t>
  </si>
  <si>
    <t>LE153_60</t>
  </si>
  <si>
    <t>LE153_60: Change in Res for Prem Deficiencies - retro aff by</t>
  </si>
  <si>
    <t>LE154_00</t>
  </si>
  <si>
    <t>LE154_00:Change in reserve for PH dividends, retroced third</t>
  </si>
  <si>
    <t>LE154_17</t>
  </si>
  <si>
    <t>LE154_17: BBA_Claims paid Other benefits_ceded</t>
  </si>
  <si>
    <t>LE155_00</t>
  </si>
  <si>
    <t>LE155_00: PH dividends paid, direct</t>
  </si>
  <si>
    <t>LE155_17</t>
  </si>
  <si>
    <t>LE155_17: BBA_Claims paid Other benefits_retroceded</t>
  </si>
  <si>
    <t>LE156_00</t>
  </si>
  <si>
    <t>LE156_00: PH dividends paid, assumed third</t>
  </si>
  <si>
    <t>LE156_17</t>
  </si>
  <si>
    <t>LE156_17: BBA_LAE paid direct</t>
  </si>
  <si>
    <t>LE157_00</t>
  </si>
  <si>
    <t>LE157_00: PH dividends paid, ceded third</t>
  </si>
  <si>
    <t>LE157_17</t>
  </si>
  <si>
    <t>LE157_17: BBA_LAE paid assumed</t>
  </si>
  <si>
    <t>LE158_00</t>
  </si>
  <si>
    <t>LE158_00: PH dividends paid, retroceded third</t>
  </si>
  <si>
    <t>LE158_17</t>
  </si>
  <si>
    <t>LE158_17: BBA_ LIC claims incurred_direct</t>
  </si>
  <si>
    <t>LE159_17</t>
  </si>
  <si>
    <t>LE159_17: BBA_ LIC claims incurred_assumed</t>
  </si>
  <si>
    <t>LE160_17</t>
  </si>
  <si>
    <t>LE160_17: BBA_ LIC claims incurred_ceded</t>
  </si>
  <si>
    <t>LE161_17</t>
  </si>
  <si>
    <t>LE161_17: BBA_ LIC claims incurred_retroceded</t>
  </si>
  <si>
    <t>LE162_17</t>
  </si>
  <si>
    <t>LE162_17: BBA_TOM 80F not to use with Incurred Claims acc.</t>
  </si>
  <si>
    <t>LE162_60</t>
  </si>
  <si>
    <t>LE162_60: Change in FLPHB Reserve (LD) - retro 3rd by LoB</t>
  </si>
  <si>
    <t>LE163_17</t>
  </si>
  <si>
    <t>LE163_17: BBA_ LAE incurred_direct</t>
  </si>
  <si>
    <t>LE163_60</t>
  </si>
  <si>
    <t>LE163_60: Change in FLPHB Reserve (LD) - retro Aff by LoB</t>
  </si>
  <si>
    <t>LE164_17</t>
  </si>
  <si>
    <t>LE164_17: BBA_ LAE incurred_assumed</t>
  </si>
  <si>
    <t>LE165_17</t>
  </si>
  <si>
    <t>LE166_00</t>
  </si>
  <si>
    <t>LE166_17</t>
  </si>
  <si>
    <t>LE166_60</t>
  </si>
  <si>
    <t>LE166_60: Change Reserve for losses(SD)-retro-3rd by LoB,AY</t>
  </si>
  <si>
    <t>LE167_00</t>
  </si>
  <si>
    <t>LE167_00: Change in Reserve for losses-retroceded-linked</t>
  </si>
  <si>
    <t>LE167_17</t>
  </si>
  <si>
    <t>LE167_17: BBA_ Risk Adj incurred claims - ceded - 3rd</t>
  </si>
  <si>
    <t>LE168_00</t>
  </si>
  <si>
    <t>LE168_00: Change in Reserve for LAE-Allocated-Retrocess-lnk</t>
  </si>
  <si>
    <t>LE168_17</t>
  </si>
  <si>
    <t>LE168_17: BBA_ NDIC expected_direct</t>
  </si>
  <si>
    <t>LE169_00</t>
  </si>
  <si>
    <t>LE169_17</t>
  </si>
  <si>
    <t>LE169_17: BBA_ NDIC expected_assumed</t>
  </si>
  <si>
    <t>LE169_60</t>
  </si>
  <si>
    <t>LE169_60: Change LAE Res-Alloc(IBNR)(SD)-retro 3rd by LoB,AY</t>
  </si>
  <si>
    <t>LE170_00</t>
  </si>
  <si>
    <t>LE170_17</t>
  </si>
  <si>
    <t>LE170_60</t>
  </si>
  <si>
    <t>LE170_60: Change LAE Res.Alloc(Case)(SD)-retro 3rd by LoB,AY</t>
  </si>
  <si>
    <t>LE171_00</t>
  </si>
  <si>
    <t>LE171_17</t>
  </si>
  <si>
    <t>LE171_60</t>
  </si>
  <si>
    <t>LE171_60: Change LAE Res.Unall(IBNR)(SD)-retro 3rd by LoB,AY</t>
  </si>
  <si>
    <t>LE172_00</t>
  </si>
  <si>
    <t>LE172_00: Change in Res. for LAE-Unallocated-Retrocess-lnk</t>
  </si>
  <si>
    <t>LE172_17</t>
  </si>
  <si>
    <t>LE173_00</t>
  </si>
  <si>
    <t>LE173_17</t>
  </si>
  <si>
    <t>LE173_60</t>
  </si>
  <si>
    <t>LE173_60: Change Reserve for losses (SD)-retro aff by LoB,AY</t>
  </si>
  <si>
    <t>LE174_00</t>
  </si>
  <si>
    <t>LE174_17</t>
  </si>
  <si>
    <t>LE174_17: BBA_ experience adjustment premium_direct</t>
  </si>
  <si>
    <t>LE174_60</t>
  </si>
  <si>
    <t>LE174_60: Change Res.for LAE (alloc)(SD)-retro aff by LoB,AY</t>
  </si>
  <si>
    <t>LE175_00</t>
  </si>
  <si>
    <t>LE175_17</t>
  </si>
  <si>
    <t>LE175_17: BBA_ experience adjustment premium_assumed</t>
  </si>
  <si>
    <t>LE175_60</t>
  </si>
  <si>
    <t>LE175_60: Change in LAE Res(unalloc)(SD)-retro aff by LoB,AY</t>
  </si>
  <si>
    <t>LE176_00</t>
  </si>
  <si>
    <t>LE176_00: Change in non-life annuities undiscounted-retro-3r</t>
  </si>
  <si>
    <t>LE176_17</t>
  </si>
  <si>
    <t>LE176_17: BBA_ experience adjustment premium_ceded</t>
  </si>
  <si>
    <t>LE177_00</t>
  </si>
  <si>
    <t>LE177_00: Change in non-life annuities undiscounted-retro-af</t>
  </si>
  <si>
    <t>LE178_00</t>
  </si>
  <si>
    <t>LE178_00: Chg in Res. for Non-Life Prem. Def.-Retrocessions</t>
  </si>
  <si>
    <t>LE178_60</t>
  </si>
  <si>
    <t>LE178_60: Chg in Res. for Prem. Def.(short dur)-retro by LoB</t>
  </si>
  <si>
    <t>LE179_00</t>
  </si>
  <si>
    <t>LE179_00: Chg in Res for Non-Life Prem. Def..-Retroceded-aff</t>
  </si>
  <si>
    <t>LE179_60</t>
  </si>
  <si>
    <t>LE179_60: Chg in Res for Prem.Def.(shrt dur)retro-aff by LoB</t>
  </si>
  <si>
    <t>LE180_00</t>
  </si>
  <si>
    <t>LE180_00: Chg in Res for Non-Life Prem. Def..-Retroceded-lnk</t>
  </si>
  <si>
    <t>LE180_17</t>
  </si>
  <si>
    <t>LE180_17: BBA_ experience variance - NDIC_direct</t>
  </si>
  <si>
    <t>LE181_17</t>
  </si>
  <si>
    <t>LE181_17: BBA_ experience variance - NDIC_assumed</t>
  </si>
  <si>
    <t>LE182_17</t>
  </si>
  <si>
    <t>LE182_17: BBA_ experience variance - NDIC_ceded</t>
  </si>
  <si>
    <t>LE183_17</t>
  </si>
  <si>
    <t>LE183_17: BBA_ experience variance - NDIC_retro</t>
  </si>
  <si>
    <t>LE183_60</t>
  </si>
  <si>
    <t>LE183_60: Change in Life FLPH Equalization Provision</t>
  </si>
  <si>
    <t>LE184_17</t>
  </si>
  <si>
    <t>LE185_00</t>
  </si>
  <si>
    <t>LE185_00: AY mandatory for premium deficiencies acc in BAU</t>
  </si>
  <si>
    <t>LE186_00</t>
  </si>
  <si>
    <t>LE186_00: Change in discount on non-life annuities - direct</t>
  </si>
  <si>
    <t>LE187_00</t>
  </si>
  <si>
    <t>LE187_00: Change in discount on non-life annuities-ass-3rd</t>
  </si>
  <si>
    <t>LE187_17</t>
  </si>
  <si>
    <t>LE187_17: BBA_Loss Component Balance_direct</t>
  </si>
  <si>
    <t>LE188_00</t>
  </si>
  <si>
    <t>LE188_00: Change in discount on non-life annuities-ass-aff</t>
  </si>
  <si>
    <t>LE188_17</t>
  </si>
  <si>
    <t>LE188_17: BBA_Loss Component Balance_assumed</t>
  </si>
  <si>
    <t>LE189_00</t>
  </si>
  <si>
    <t>LE189_00: Change in discount on non-life annuities-ceded-3rd</t>
  </si>
  <si>
    <t>LE190_00</t>
  </si>
  <si>
    <t>LE190_00: Change in discount on non-life annuities-ceded-aff</t>
  </si>
  <si>
    <t>LE191_00</t>
  </si>
  <si>
    <t>LE191_00: Change in discount on non-life annuities-retro-3rd</t>
  </si>
  <si>
    <t>LE191_17</t>
  </si>
  <si>
    <t>LE191_17: BBA_Change in discretion_direct</t>
  </si>
  <si>
    <t>LE191_60</t>
  </si>
  <si>
    <t>LE191_60: Change in discount on non-life annuities-retro-aff</t>
  </si>
  <si>
    <t>LE192_00</t>
  </si>
  <si>
    <t>LE192_00: Change in discount on non-life annuities-retro-aff</t>
  </si>
  <si>
    <t>LE192_17</t>
  </si>
  <si>
    <t>LE192_17: BBA_Change in discretion_assumed</t>
  </si>
  <si>
    <t>LE193_00</t>
  </si>
  <si>
    <t>LE193_00: Change Res Non-Life Prem Deficiencies - Ced Capti</t>
  </si>
  <si>
    <t>LE193_17</t>
  </si>
  <si>
    <t>LE193_17: BBA_Change in discretion_ceded</t>
  </si>
  <si>
    <t>LE194_00</t>
  </si>
  <si>
    <t>LE194_00: Change Res Non-Life Prem Deficiencies-Retro Capti</t>
  </si>
  <si>
    <t>LE194_17</t>
  </si>
  <si>
    <t>LE194_17: BBA_Change in discretion_retro</t>
  </si>
  <si>
    <t>LE195_17</t>
  </si>
  <si>
    <t>LE195_17 BBA_Policy loans CF as expected_direct</t>
  </si>
  <si>
    <t>LE200_17</t>
  </si>
  <si>
    <t>LE200_17: BBA_Exp. Adj. Acquisition costs_direct</t>
  </si>
  <si>
    <t>LE201_17</t>
  </si>
  <si>
    <t>LE201_17: BBA_Exp. Adj. Acquisition costs_assumed</t>
  </si>
  <si>
    <t>LE202_17</t>
  </si>
  <si>
    <t>LE202_17: BBA_Exp. Adj. Acquisition costs_ceded</t>
  </si>
  <si>
    <t>LE203_17</t>
  </si>
  <si>
    <t>LE203_17: BBA_Exp. Adj. Acquisition costs_retro</t>
  </si>
  <si>
    <t>LE210_17</t>
  </si>
  <si>
    <t>LE210_17: BBA_loss component initial recognition_direct</t>
  </si>
  <si>
    <t>LE211_17</t>
  </si>
  <si>
    <t>LE211_17: BBA_loss component initial recognition_assumed</t>
  </si>
  <si>
    <t>LE212_17</t>
  </si>
  <si>
    <t>LE215_17</t>
  </si>
  <si>
    <t>LE216_17</t>
  </si>
  <si>
    <t>LE217_17</t>
  </si>
  <si>
    <t>LE218_17</t>
  </si>
  <si>
    <t>LE219_17</t>
  </si>
  <si>
    <t>LE220_17</t>
  </si>
  <si>
    <t>LE221_17</t>
  </si>
  <si>
    <t>LE222_17</t>
  </si>
  <si>
    <t>LE223_17</t>
  </si>
  <si>
    <t>LE223_17: BBA_RA revenue - expense check_assumed</t>
  </si>
  <si>
    <t>LE224_17</t>
  </si>
  <si>
    <t>LE225_17</t>
  </si>
  <si>
    <t>LE226_17</t>
  </si>
  <si>
    <t>LE227_17</t>
  </si>
  <si>
    <t>LE228_17</t>
  </si>
  <si>
    <t>LE229_17</t>
  </si>
  <si>
    <t>LE230_17</t>
  </si>
  <si>
    <t>LE231_17</t>
  </si>
  <si>
    <t>LE232_17</t>
  </si>
  <si>
    <t>LE233_17</t>
  </si>
  <si>
    <t>LE234_17</t>
  </si>
  <si>
    <t>LE235_17</t>
  </si>
  <si>
    <t>LE236_17</t>
  </si>
  <si>
    <t>LE237_17</t>
  </si>
  <si>
    <t>LE238_17</t>
  </si>
  <si>
    <t>LE239_17</t>
  </si>
  <si>
    <t>LE240_17</t>
  </si>
  <si>
    <t>LE241_17</t>
  </si>
  <si>
    <t>LE242_17</t>
  </si>
  <si>
    <t>LE243_17</t>
  </si>
  <si>
    <t>LE244_17</t>
  </si>
  <si>
    <t>LE245_17</t>
  </si>
  <si>
    <t>LE246_17</t>
  </si>
  <si>
    <t>LE246_60</t>
  </si>
  <si>
    <t>LE246_60: Claims paid Surrenders (long dur) ass aff by LoB</t>
  </si>
  <si>
    <t>LE247_17</t>
  </si>
  <si>
    <t>LE247_60</t>
  </si>
  <si>
    <t>LE247_60: BBA_Claims paid Surrenders_ceded_aff by LoB</t>
  </si>
  <si>
    <t>LE248_17</t>
  </si>
  <si>
    <t>LE248_60</t>
  </si>
  <si>
    <t>LE248_60: Claims paid Surrenders (long dur) retro_aff by LoB</t>
  </si>
  <si>
    <t>LE249_17</t>
  </si>
  <si>
    <t>LE249_60</t>
  </si>
  <si>
    <t>LE249_60: Claims paid Maturities (long dur) ass aff by LoB</t>
  </si>
  <si>
    <t>LE250_17</t>
  </si>
  <si>
    <t>LE250_60</t>
  </si>
  <si>
    <t>LE250_60: Change in annuities disc.(LD) - ced aff by LoB,AY</t>
  </si>
  <si>
    <t>LE251_17</t>
  </si>
  <si>
    <t>LE251_60</t>
  </si>
  <si>
    <t>LE251_60: Change in annuities disc.(LD)-retro aff by LoB,AY</t>
  </si>
  <si>
    <t>LE252_17</t>
  </si>
  <si>
    <t>LE252_60</t>
  </si>
  <si>
    <t>LE252_60: Change in annuities disc.(LD)ass aff by LoB,AY</t>
  </si>
  <si>
    <t>LE253_17</t>
  </si>
  <si>
    <t>LE253_60</t>
  </si>
  <si>
    <t>LE253_60: Claims paid Annuities (long dur) ced aff by LoB</t>
  </si>
  <si>
    <t>LE254_17</t>
  </si>
  <si>
    <t>LE254_60</t>
  </si>
  <si>
    <t>LE254_60: Claims paid Annuities (long dur) retro aff by LoB</t>
  </si>
  <si>
    <t>LE255_17</t>
  </si>
  <si>
    <t>LE255_60</t>
  </si>
  <si>
    <t>LE255_60: Claims paid Other benefits(long dur)ass aff by LoB</t>
  </si>
  <si>
    <t>LE256_17</t>
  </si>
  <si>
    <t>LE256_60</t>
  </si>
  <si>
    <t>LE256_60: Claims paid Other benefits(long dur)ced aff by LoB</t>
  </si>
  <si>
    <t>LE257_17</t>
  </si>
  <si>
    <t>LE257_60</t>
  </si>
  <si>
    <t>LE257_60: Claims paid Other benefits (long dur)retro aff LoB</t>
  </si>
  <si>
    <t>LE258_17</t>
  </si>
  <si>
    <t>LE259_17</t>
  </si>
  <si>
    <t>LE260_17</t>
  </si>
  <si>
    <t>LE261_17</t>
  </si>
  <si>
    <t>LE262_17</t>
  </si>
  <si>
    <t>LE263_17</t>
  </si>
  <si>
    <t>LE264_17</t>
  </si>
  <si>
    <t>LE264_17: BBA_ Risk Adj incurred claims - ceded - aff</t>
  </si>
  <si>
    <t>LE265_17</t>
  </si>
  <si>
    <t>LE266_17</t>
  </si>
  <si>
    <t>LE267_17</t>
  </si>
  <si>
    <t>LE268_17</t>
  </si>
  <si>
    <t>LE269_17</t>
  </si>
  <si>
    <t>LE270_17</t>
  </si>
  <si>
    <t>LE271_17</t>
  </si>
  <si>
    <t>LE272_17</t>
  </si>
  <si>
    <t>LE273_17</t>
  </si>
  <si>
    <t>LE274_17</t>
  </si>
  <si>
    <t>LE275_17</t>
  </si>
  <si>
    <t>LE276_17</t>
  </si>
  <si>
    <t>LE277_17</t>
  </si>
  <si>
    <t>LE278_17</t>
  </si>
  <si>
    <t>LE279_17</t>
  </si>
  <si>
    <t>LE280_17</t>
  </si>
  <si>
    <t>LE281_17</t>
  </si>
  <si>
    <t>LE282_17</t>
  </si>
  <si>
    <t>LE283_17</t>
  </si>
  <si>
    <t>LE284_17</t>
  </si>
  <si>
    <t>LE285_17</t>
  </si>
  <si>
    <t>LE290_17</t>
  </si>
  <si>
    <t>LE291_17</t>
  </si>
  <si>
    <t>LE292_17</t>
  </si>
  <si>
    <t>LE293_17</t>
  </si>
  <si>
    <t>LE296_17</t>
  </si>
  <si>
    <t>LE297_17</t>
  </si>
  <si>
    <t>LE297_17: BBA_experience adjustment premium_ceded_aff</t>
  </si>
  <si>
    <t>LE298_17</t>
  </si>
  <si>
    <t>LE298_17: BBA_ risk mitigation derivatives</t>
  </si>
  <si>
    <t>LE305_17</t>
  </si>
  <si>
    <t>LE306_17</t>
  </si>
  <si>
    <t>LE307_17</t>
  </si>
  <si>
    <t>LE308_17</t>
  </si>
  <si>
    <t>LE309_17</t>
  </si>
  <si>
    <t>LE310_17</t>
  </si>
  <si>
    <t>LE311_17</t>
  </si>
  <si>
    <t>LE311_17: Impairment of pre-coverage IACF retro aff BBA</t>
  </si>
  <si>
    <t>LE312_17</t>
  </si>
  <si>
    <t>LE313_17</t>
  </si>
  <si>
    <t>LE314_17</t>
  </si>
  <si>
    <t>LE315_17</t>
  </si>
  <si>
    <t>LE316_17</t>
  </si>
  <si>
    <t>LE317_17</t>
  </si>
  <si>
    <t>LE317_17: BBA_RA_loss component release_ceded_aff</t>
  </si>
  <si>
    <t>LE318_17</t>
  </si>
  <si>
    <t>LE319_17</t>
  </si>
  <si>
    <t>LE320_17</t>
  </si>
  <si>
    <t>LE321_17</t>
  </si>
  <si>
    <t>LE322_17</t>
  </si>
  <si>
    <t>LE323_17</t>
  </si>
  <si>
    <t>LE324_17</t>
  </si>
  <si>
    <t>LE325_17</t>
  </si>
  <si>
    <t>LE326_17</t>
  </si>
  <si>
    <t>LE327_17</t>
  </si>
  <si>
    <t>LE328_17</t>
  </si>
  <si>
    <t>LE329_17</t>
  </si>
  <si>
    <t>LE329_17: BBA_loss component_reve_recog._other exp_retro</t>
  </si>
  <si>
    <t>LE331_17</t>
  </si>
  <si>
    <t>LE332_17</t>
  </si>
  <si>
    <t>LE333_17</t>
  </si>
  <si>
    <t>LE334_17</t>
  </si>
  <si>
    <t>LE334_17: Interest expense on Reins Deposits BBA aff</t>
  </si>
  <si>
    <t>LE340_17</t>
  </si>
  <si>
    <t>LE341_17</t>
  </si>
  <si>
    <t>LE342_17</t>
  </si>
  <si>
    <t>LE343_17</t>
  </si>
  <si>
    <t>LE344_17</t>
  </si>
  <si>
    <t>LE345_17</t>
  </si>
  <si>
    <t>LE346_17</t>
  </si>
  <si>
    <t>LE347_17</t>
  </si>
  <si>
    <t>LE348_17</t>
  </si>
  <si>
    <t>LE349_17</t>
  </si>
  <si>
    <t>LE350_17</t>
  </si>
  <si>
    <t>LE351_17</t>
  </si>
  <si>
    <t>LE352_17</t>
  </si>
  <si>
    <t>LE353_17</t>
  </si>
  <si>
    <t>LE354_17</t>
  </si>
  <si>
    <t>LE355_17</t>
  </si>
  <si>
    <t>LE356_17</t>
  </si>
  <si>
    <t>LE357_17</t>
  </si>
  <si>
    <t>LE357_17: BBA_ risk adj loss component _retroceded aff</t>
  </si>
  <si>
    <t>LE358_17</t>
  </si>
  <si>
    <t>LE359_17</t>
  </si>
  <si>
    <t>LE359_17: BBA_ recl_to_assets_PVFCF_assumed_3rd</t>
  </si>
  <si>
    <t>LE360_17</t>
  </si>
  <si>
    <t>LE361_17</t>
  </si>
  <si>
    <t>LE362_17</t>
  </si>
  <si>
    <t>LE363_17</t>
  </si>
  <si>
    <t>LE364_17</t>
  </si>
  <si>
    <t>LE365_17</t>
  </si>
  <si>
    <t>LE366_17</t>
  </si>
  <si>
    <t>LE367_17</t>
  </si>
  <si>
    <t>LE368_17</t>
  </si>
  <si>
    <t>LE369_17</t>
  </si>
  <si>
    <t>LE370_17</t>
  </si>
  <si>
    <t>LE371_17</t>
  </si>
  <si>
    <t>LE372_17</t>
  </si>
  <si>
    <t>LE373_17</t>
  </si>
  <si>
    <t>LE374_17</t>
  </si>
  <si>
    <t>LE375_17</t>
  </si>
  <si>
    <t>LE376_17</t>
  </si>
  <si>
    <t>LE377_17</t>
  </si>
  <si>
    <t>LE378_17</t>
  </si>
  <si>
    <t>LE378_17: BBA_ recl_to_assets_RA_retroceded_aff</t>
  </si>
  <si>
    <t>LE379_60</t>
  </si>
  <si>
    <t>LE379_60: Change in suspension provision - non-life direct</t>
  </si>
  <si>
    <t>LE386_17</t>
  </si>
  <si>
    <t>LE387_17</t>
  </si>
  <si>
    <t>LE387_17: BBA_loss component release_retroceded</t>
  </si>
  <si>
    <t>LE390_00</t>
  </si>
  <si>
    <t>LE390_00: Change in Reserve for losses-ceded-Captive</t>
  </si>
  <si>
    <t>LE391_00</t>
  </si>
  <si>
    <t>LE391_00: Change in Reserve for losses-retroceded-Captive</t>
  </si>
  <si>
    <t>LE391_60</t>
  </si>
  <si>
    <t>LE391_60: Change in Reserve for losses-retroceded-Captive</t>
  </si>
  <si>
    <t>LE392_00</t>
  </si>
  <si>
    <t>LE392_00: Change Reserve for LAE-Allocat (IBNR)-Cess-Captiv</t>
  </si>
  <si>
    <t>LE393_00</t>
  </si>
  <si>
    <t>LE393_00: Change Reserve for LAE-Allocat (IBNR)-Retro-Capti</t>
  </si>
  <si>
    <t>LE393_60</t>
  </si>
  <si>
    <t>LE393_60: Change Reserve for LAE-Allocat(IBNR)-Retro-Captive</t>
  </si>
  <si>
    <t>LE394_00</t>
  </si>
  <si>
    <t>LE394_00: Change Reserve for LAE-Allocat (Case)-Cess-Captiv</t>
  </si>
  <si>
    <t>LE394_60</t>
  </si>
  <si>
    <t>LE394_60: Change Reserve for LAE-Allocat (Case)-Cess-Captive</t>
  </si>
  <si>
    <t>LE395_00</t>
  </si>
  <si>
    <t>LE395_00: Change Reserve for LAE-Allocat (Case)-Retro-Capti</t>
  </si>
  <si>
    <t>LE395_60</t>
  </si>
  <si>
    <t>LE395_60: Change Reserve for LAE-Allocat(Case)-Retro-Captive</t>
  </si>
  <si>
    <t>LE396_00</t>
  </si>
  <si>
    <t>LE396_00: Change Reserve for LAE-Unalloc (IBNR)-Cess-Captiv</t>
  </si>
  <si>
    <t>LE396_60</t>
  </si>
  <si>
    <t>LE396_60: Change Reserve for LAE-Unalloc (IBNR)-Cess-Captive</t>
  </si>
  <si>
    <t>LE397_00</t>
  </si>
  <si>
    <t>LE397_00: Change Reserve for LAE-Unalloc (IBNR)-Retro-Capti</t>
  </si>
  <si>
    <t>LE397_60</t>
  </si>
  <si>
    <t>LE397_60: Change Reserve for LAE-Unalloc(IBNR)-Retro-Captive</t>
  </si>
  <si>
    <t>LE398_17</t>
  </si>
  <si>
    <t>LE398_17: PAA - Change in risk adjustment - Captive net</t>
  </si>
  <si>
    <t>LE399_17</t>
  </si>
  <si>
    <t>LE399_17: PAA - Initial recognition discount - Captive net</t>
  </si>
  <si>
    <t>LE400_17</t>
  </si>
  <si>
    <t>LE400_17: PAA - Unwind of discount - Captive net</t>
  </si>
  <si>
    <t>LE401_17</t>
  </si>
  <si>
    <t>LE401_17: PAA - Change in risk adjustment - retro - aff</t>
  </si>
  <si>
    <t>LE402_17</t>
  </si>
  <si>
    <t>LE402_17: PAA - Change in risk adjustment - retro - 3rd</t>
  </si>
  <si>
    <t>LE403_17</t>
  </si>
  <si>
    <t>LE403_17: PAA-Change in risk adjustm-annuities-retro-3rd</t>
  </si>
  <si>
    <t>LE404_17</t>
  </si>
  <si>
    <t>LE404_17: PAA-Change in risk adjustm-annuities-retro-aff</t>
  </si>
  <si>
    <t>LE405_17</t>
  </si>
  <si>
    <t>LE405_17: PAA - Changes in disc rate at curr mark rates-dir</t>
  </si>
  <si>
    <t>LE406_17</t>
  </si>
  <si>
    <t>LE406_17: PAA-Ann changes in disc rate at curr mark rates-d.</t>
  </si>
  <si>
    <t>LE407_17</t>
  </si>
  <si>
    <t>LE407_17: PAA - Change in disc rate at curr mark rate-ass-3r</t>
  </si>
  <si>
    <t>LE408_17</t>
  </si>
  <si>
    <t>LE408_17: PAA-Ann change disc rate at curr mark rate-ass-3rd</t>
  </si>
  <si>
    <t>LE410_17</t>
  </si>
  <si>
    <t>LE410_17: BBA_ Risk Adj incurred claims - retro - 3rd</t>
  </si>
  <si>
    <t>LE411_17</t>
  </si>
  <si>
    <t>LE411_17: BBA_ Risk Adj incurred claims - retro - aff</t>
  </si>
  <si>
    <t>LE415_17</t>
  </si>
  <si>
    <t>LE415 17: PAA - Chg. in disc rate at curr. mark rates-ced3rd</t>
  </si>
  <si>
    <t>LE416_17</t>
  </si>
  <si>
    <t>LE416_17: PAA Chg. in disc rate ann at curr mark rates-ced3</t>
  </si>
  <si>
    <t>LE418_17</t>
  </si>
  <si>
    <t>LE418_17: PAA Chg. in disc rate at curr mark rates-retro3rd</t>
  </si>
  <si>
    <t>LE419_17</t>
  </si>
  <si>
    <t>LE419_17: Chg. in disc rate ann at curr mark rates retro3rd</t>
  </si>
  <si>
    <t>LE421_00</t>
  </si>
  <si>
    <t>LE421_00:  Change in Reserve for Losses (IBNR) - direct</t>
  </si>
  <si>
    <t>LE421_17</t>
  </si>
  <si>
    <t>LE421_17: PAA - Initial recognition discount - direct</t>
  </si>
  <si>
    <t>LE422_17</t>
  </si>
  <si>
    <t>LE422_17: PAA - Chg. disc rate at curr. mark rates-ced aff</t>
  </si>
  <si>
    <t>LE423_17</t>
  </si>
  <si>
    <t>LE423_17: PAA Chg. disc rate ann curr mark rates-ced aff</t>
  </si>
  <si>
    <t>LE424_17</t>
  </si>
  <si>
    <t>LE424_17: PAA Chg. disc rate ann at curr mark rates-retro af</t>
  </si>
  <si>
    <t>LE425_17</t>
  </si>
  <si>
    <t>LE425_17: PAA Chg. disc rate ann at curr mark rates-retr aff</t>
  </si>
  <si>
    <t>LE426_17</t>
  </si>
  <si>
    <t>LE426_17: PAA - Change in disc rate at curr mark rate-ass-af</t>
  </si>
  <si>
    <t>LE427_17</t>
  </si>
  <si>
    <t>LE427_17: PAA-Ann change disc rate at curr mark rate-ass-af</t>
  </si>
  <si>
    <t>LE607_00</t>
  </si>
  <si>
    <t>LE607_00: Block Life Equalization Provision direct accounts</t>
  </si>
  <si>
    <t>LR001_17</t>
  </si>
  <si>
    <t>LR001_17: BBA_expected claims release (LRC)_direct</t>
  </si>
  <si>
    <t>LR002_17</t>
  </si>
  <si>
    <t>LR002_17: BBA_expected claims release (LRC)_assumed 3rd</t>
  </si>
  <si>
    <t>LR003_60</t>
  </si>
  <si>
    <t>LR003_60: Change in UPR (short dur) ass 3rd by LoB</t>
  </si>
  <si>
    <t>LR004_17</t>
  </si>
  <si>
    <t>LR004_17: BBA_expected claims release (LRC)_ceded 3rd</t>
  </si>
  <si>
    <t>LR005_60</t>
  </si>
  <si>
    <t>LR005_60: Change in UPR (short dur) ced 3rd by LoB</t>
  </si>
  <si>
    <t>LR006_17</t>
  </si>
  <si>
    <t>LR006_17: BBA_expected claims release (LRC)_retroceded 3rd</t>
  </si>
  <si>
    <t>LR007_17</t>
  </si>
  <si>
    <t>LR007_17: BBA_expected expense release (LRC)_direct</t>
  </si>
  <si>
    <t>LR008_17</t>
  </si>
  <si>
    <t>LR008_17: BBA_expected expense release (LRC)_assumed 3rd</t>
  </si>
  <si>
    <t>LR009_17</t>
  </si>
  <si>
    <t>LR009_17: BBA_expected expense release (LRC)_ceded 3rd</t>
  </si>
  <si>
    <t>LR010_17</t>
  </si>
  <si>
    <t>LR010_17: BBA_expected expense release (LRC)_retroceded 3rd</t>
  </si>
  <si>
    <t>LR014_60</t>
  </si>
  <si>
    <t>LR014_60: Change in the UPR (short dur) dir by LoB</t>
  </si>
  <si>
    <t>LR016_17</t>
  </si>
  <si>
    <t>LR016_17: BBA_Risk adjustment release (LRC)_direct</t>
  </si>
  <si>
    <t>LR017_17</t>
  </si>
  <si>
    <t>LR017_17: BBA_Risk adjustment release (LRC)_assumed</t>
  </si>
  <si>
    <t>LR018_17</t>
  </si>
  <si>
    <t>LR018_17: BBA_Risk adjustment release (LRC)_ceded</t>
  </si>
  <si>
    <t>LR019_17</t>
  </si>
  <si>
    <t>LR019_17: BBA_Risk adjustment release (LRC)_retroceded</t>
  </si>
  <si>
    <t>LR020_17</t>
  </si>
  <si>
    <t>LR020_17: BBA_CSM_amortization_direct</t>
  </si>
  <si>
    <t>LR021_17</t>
  </si>
  <si>
    <t>LR021_17: BBA_CSM_amortization_assumed</t>
  </si>
  <si>
    <t>LR022_17</t>
  </si>
  <si>
    <t>LR022_17: BBA_CSM_amortization_ceded</t>
  </si>
  <si>
    <t>LR023_17</t>
  </si>
  <si>
    <t>LR023_17: BBA_CSM_amortization_retro</t>
  </si>
  <si>
    <t>LR024_17</t>
  </si>
  <si>
    <t>LR024_17: BBA_IACF allocated to revenue_direct</t>
  </si>
  <si>
    <t>LR025_17</t>
  </si>
  <si>
    <t>LR025_17: BBA_IACF allocated to revenue _assumed</t>
  </si>
  <si>
    <t>LR026_17</t>
  </si>
  <si>
    <t>LR026_17: BBA_IACF allocated to revenue_ceded</t>
  </si>
  <si>
    <t>LR027_17</t>
  </si>
  <si>
    <t>LR027_17: BBA_IACF allocated to revenue_retroceded</t>
  </si>
  <si>
    <t>LR028_17</t>
  </si>
  <si>
    <t>LR028_17: BBA_ IACF additions_direct</t>
  </si>
  <si>
    <t>LR030_17</t>
  </si>
  <si>
    <t>LR030_17: BBA_ IACF additions_assumed</t>
  </si>
  <si>
    <t>LR031_17</t>
  </si>
  <si>
    <t>LR031_17: BBA_ IACF additions_ceded</t>
  </si>
  <si>
    <t>LR032_17</t>
  </si>
  <si>
    <t>LR032_17: BBA_ IACF additions_retroceded</t>
  </si>
  <si>
    <t>LR034_60</t>
  </si>
  <si>
    <t>LR034_60: Change in UPR (SD) - retro 3rd by LoB</t>
  </si>
  <si>
    <t>LR035_60</t>
  </si>
  <si>
    <t>LR035_60: Change in UPR (SD) - retro aff by LoB</t>
  </si>
  <si>
    <t>LR040_60</t>
  </si>
  <si>
    <t>LR040_60: Change in UPR (short dur) ass aff by LoB</t>
  </si>
  <si>
    <t>LR041_60</t>
  </si>
  <si>
    <t>LR041_60: Change in UPR (short dur) cess aff by LoB</t>
  </si>
  <si>
    <t>LR043_17</t>
  </si>
  <si>
    <t>LR043_17: BBA_IACF amortization_revenue_expense_check_direct</t>
  </si>
  <si>
    <t>LR044_17</t>
  </si>
  <si>
    <t>LR044_17: BBA_IACF amortization_revenue_expense_check_ass</t>
  </si>
  <si>
    <t>LR045_17</t>
  </si>
  <si>
    <t>LR045_17: BBA_IACF amortization_revenue_expense_check_ceded</t>
  </si>
  <si>
    <t>LR046_17</t>
  </si>
  <si>
    <t>LR047_17</t>
  </si>
  <si>
    <t>LR047_17: Block BBA accts for P&amp;C RUs</t>
  </si>
  <si>
    <t>LR048_17</t>
  </si>
  <si>
    <t>LR049_17</t>
  </si>
  <si>
    <t>LR050_17</t>
  </si>
  <si>
    <t>LR051_17</t>
  </si>
  <si>
    <t>LR052_17</t>
  </si>
  <si>
    <t>LR053_17</t>
  </si>
  <si>
    <t>LR054_17</t>
  </si>
  <si>
    <t>LR055_17</t>
  </si>
  <si>
    <t>LR056_17</t>
  </si>
  <si>
    <t>LR057_17</t>
  </si>
  <si>
    <t>LR058_17</t>
  </si>
  <si>
    <t>LR059_17</t>
  </si>
  <si>
    <t>LR060_17</t>
  </si>
  <si>
    <t>LR061_17</t>
  </si>
  <si>
    <t>LR062_17</t>
  </si>
  <si>
    <t>LR063_17</t>
  </si>
  <si>
    <t>LR064_17</t>
  </si>
  <si>
    <t>LR065_17</t>
  </si>
  <si>
    <t>LR066_17</t>
  </si>
  <si>
    <t>LR067_17</t>
  </si>
  <si>
    <t>LR068_17</t>
  </si>
  <si>
    <t>LR069_17</t>
  </si>
  <si>
    <t>LR070_17</t>
  </si>
  <si>
    <t>LR071_17</t>
  </si>
  <si>
    <t>LR072_17</t>
  </si>
  <si>
    <t>LR073_17</t>
  </si>
  <si>
    <t>LR073_17: BBA_expected claims release (LRC)_ceded 3rd</t>
  </si>
  <si>
    <t>LR074_17</t>
  </si>
  <si>
    <t>LR074_17: BBA_expected claims release (LRC)_retroceded 3rd</t>
  </si>
  <si>
    <t>LR076_17</t>
  </si>
  <si>
    <t>LR077_17</t>
  </si>
  <si>
    <t>LR077_17: BBA_expected PH tax release (LRC)_direct</t>
  </si>
  <si>
    <t>LR078_17</t>
  </si>
  <si>
    <t>LR078_17: BBA_experience adjustment PH tax_direct</t>
  </si>
  <si>
    <t>LR088_17</t>
  </si>
  <si>
    <t>LR088_17: BBA TOM65B to be 0 over IACF &amp; PVFCF LRC acc. dir.</t>
  </si>
  <si>
    <t>LR089_17</t>
  </si>
  <si>
    <t>LR089_17: BBA TOM65B to be 0 over IACF &amp; PVFCF LRC acc. 3rd</t>
  </si>
  <si>
    <t>LR090_17</t>
  </si>
  <si>
    <t>LR090_17: BBA TOM65B to be 0 over IACF&amp;PVFCF LRC assumed aff</t>
  </si>
  <si>
    <t>LR700_10</t>
  </si>
  <si>
    <t>LS003_17</t>
  </si>
  <si>
    <t>LS003_17: BBA - Maturity Liab. Remaining Coverage-Ins. Contr</t>
  </si>
  <si>
    <t>LS004_17</t>
  </si>
  <si>
    <t>LS004_17: BBA - Maturity Liab. Incurred Claims-Ins. Liab.</t>
  </si>
  <si>
    <t>LS005_17</t>
  </si>
  <si>
    <t>LS005_17: BBA-Maturity Liab. Remaining Coverage-Reins. Liab.</t>
  </si>
  <si>
    <t>LS006_17</t>
  </si>
  <si>
    <t>LS006_17: BBA - Maturity Liab. Incurred Claims-Reins. Liab.</t>
  </si>
  <si>
    <t>LS007_17</t>
  </si>
  <si>
    <t>LS007_17: BBA_CSM gross after transition</t>
  </si>
  <si>
    <t>LS008_17</t>
  </si>
  <si>
    <t>LS008_17: BBA_ Revenue - contracts after transition</t>
  </si>
  <si>
    <t>LS013_17</t>
  </si>
  <si>
    <t>LS013_17: CSM maturity 3rd gross</t>
  </si>
  <si>
    <t>LS100_70</t>
  </si>
  <si>
    <t>LS100_70: Similar Nature to equal. prov. details direct</t>
  </si>
  <si>
    <t>LS101_70</t>
  </si>
  <si>
    <t>LS101_70: Similar Nature to equal. prov. details assumed</t>
  </si>
  <si>
    <t>LS161_00</t>
  </si>
  <si>
    <t>LS161_00: UPR split direct - SST only</t>
  </si>
  <si>
    <t>LS163_00</t>
  </si>
  <si>
    <t>LS163_00: UPR split assumed - SST only</t>
  </si>
  <si>
    <t>LS167_00</t>
  </si>
  <si>
    <t>LS167_00: UPR Split direct - SII only</t>
  </si>
  <si>
    <t>LS168_00</t>
  </si>
  <si>
    <t>LS168_00: UPR Split assumed - SII only</t>
  </si>
  <si>
    <t>LS202_00</t>
  </si>
  <si>
    <t>LS215_17</t>
  </si>
  <si>
    <t>LS215_17: BBA- Maturity Liab. Remaining Coverage-Ins. Assets</t>
  </si>
  <si>
    <t>LS221_17</t>
  </si>
  <si>
    <t>LS221_17: Values reported on LIC FCF accounts direct</t>
  </si>
  <si>
    <t>LS223_17</t>
  </si>
  <si>
    <t>LS223_17: Values reported on LIC FCF accounts assumed</t>
  </si>
  <si>
    <t>LS239_17</t>
  </si>
  <si>
    <t>LS239_17: BBA_ CSM economic and operating var_net</t>
  </si>
  <si>
    <t>LS601_00</t>
  </si>
  <si>
    <t>LS601_00: Fluctuation prov acc. to be used by CH RUs only</t>
  </si>
  <si>
    <t>LS801_00</t>
  </si>
  <si>
    <t>LS801_00: Total Liabilities by Transaction Currency-aff-SST</t>
  </si>
  <si>
    <t>R001_60</t>
  </si>
  <si>
    <t>R001_60: Written Premium Income Direct -PP by LoB</t>
  </si>
  <si>
    <t>R002_00</t>
  </si>
  <si>
    <t>R002_00: Written Premiums only as income</t>
  </si>
  <si>
    <t>R002_60</t>
  </si>
  <si>
    <t>R002_60: Written Premiums only as income by LoB</t>
  </si>
  <si>
    <t>R007_00</t>
  </si>
  <si>
    <t>R007_00: Only Farmers units to book on specific Farmers acc.</t>
  </si>
  <si>
    <t>R008_00</t>
  </si>
  <si>
    <t>R008_00: Block GI GWP accts for Life RUs</t>
  </si>
  <si>
    <t>R009_00</t>
  </si>
  <si>
    <t>R009_00: Block Life GWP accts for GI RUs</t>
  </si>
  <si>
    <t>R010_00</t>
  </si>
  <si>
    <t>R010_00 Gains/loss accounts included in BOP require approval</t>
  </si>
  <si>
    <t>R011_17</t>
  </si>
  <si>
    <t>R011_17: LoB PAA insurance revenue GI</t>
  </si>
  <si>
    <t>R011_70</t>
  </si>
  <si>
    <t>R011_70: LoB PAA insurance revenue GI</t>
  </si>
  <si>
    <t>R012_17</t>
  </si>
  <si>
    <t>R012_17: LoB BBA insurance revenue split GI</t>
  </si>
  <si>
    <t>R013_17</t>
  </si>
  <si>
    <t>R013_17: LoB PAA insurance revenue Life</t>
  </si>
  <si>
    <t>R014_17</t>
  </si>
  <si>
    <t>R014_17: LoB BBA insurance revenue split Life</t>
  </si>
  <si>
    <t>R100_70</t>
  </si>
  <si>
    <t>R100_70: Number of contracts - Details per LoB</t>
  </si>
  <si>
    <t>R101_70</t>
  </si>
  <si>
    <t>R101_70: Transport Written Premium Detail</t>
  </si>
  <si>
    <t>R600_00</t>
  </si>
  <si>
    <t>R600_00: Block cap gains&amp;loss on design FV Asset portf acc</t>
  </si>
  <si>
    <t>RE001_17</t>
  </si>
  <si>
    <t>RE001_17: Revenues = Expenses</t>
  </si>
  <si>
    <t>RE001_60</t>
  </si>
  <si>
    <t>RE001_60: Revenues = Expenses</t>
  </si>
  <si>
    <t>RE005_17</t>
  </si>
  <si>
    <t>RE005_17: IFRS 17 - BBA Current Market Rates</t>
  </si>
  <si>
    <t>RE006_17</t>
  </si>
  <si>
    <t>RE006_17: BBA Coinsurance</t>
  </si>
  <si>
    <t>RE100_70</t>
  </si>
  <si>
    <t>RE100_70: Revenues = Expenses</t>
  </si>
  <si>
    <t>RS101_70</t>
  </si>
  <si>
    <t>RS101_70: Balance on the stat. acct. is equal to the node</t>
  </si>
  <si>
    <t>RS102_70</t>
  </si>
  <si>
    <t>RS102_70: Balance on the stat. acct. is equal to the node</t>
  </si>
  <si>
    <t>RS103_70</t>
  </si>
  <si>
    <t>RS103_70: Balance on the stat. acct. is equal to the node</t>
  </si>
  <si>
    <t>RS104_70</t>
  </si>
  <si>
    <t>RS104_70: Balance on the stat. acct. is equal to the node</t>
  </si>
  <si>
    <t>RS105_70</t>
  </si>
  <si>
    <t>RS105_70: Balance on the stat. acct. is equal to the node</t>
  </si>
  <si>
    <t>RS106_70</t>
  </si>
  <si>
    <t>RS106_70: S24340DE Booked Premiums Ceded RI</t>
  </si>
  <si>
    <t>S001_17</t>
  </si>
  <si>
    <t>S001_70</t>
  </si>
  <si>
    <t>S001_70: Block stat acc not in scope for ZIP IFRS</t>
  </si>
  <si>
    <t>S003_17</t>
  </si>
  <si>
    <t>S003_17: Block old SubAss MAT-Set 917 for V190 stat acc</t>
  </si>
  <si>
    <t>S006_17</t>
  </si>
  <si>
    <t>S006_17: FV underlying items - direct participating contrac</t>
  </si>
  <si>
    <t>S014_17</t>
  </si>
  <si>
    <t>S014_17: Block  new business ToM 60F.</t>
  </si>
  <si>
    <t>S030_70</t>
  </si>
  <si>
    <t>S030_70: Block SFV accounts</t>
  </si>
  <si>
    <t>S053_00</t>
  </si>
  <si>
    <t>S053_00: Additional information on Inv. in assoc. - linked</t>
  </si>
  <si>
    <t>S057_09</t>
  </si>
  <si>
    <t>S057_09: Block credit impaired ToMs for statistical S11301</t>
  </si>
  <si>
    <t>S094_09</t>
  </si>
  <si>
    <t>S094_09: Stage Movements sign check debits</t>
  </si>
  <si>
    <t>S095_09</t>
  </si>
  <si>
    <t>S095_09: Stage Movements sign check credits</t>
  </si>
  <si>
    <t>S098_80</t>
  </si>
  <si>
    <t>S098_80: RA Statisticals should be zero.</t>
  </si>
  <si>
    <t>S100_70</t>
  </si>
  <si>
    <t>S100_70: Additions to Number of Insured</t>
  </si>
  <si>
    <t>S101_70</t>
  </si>
  <si>
    <t>S101_70: Disposals to Number of Insured</t>
  </si>
  <si>
    <t>S102_70</t>
  </si>
  <si>
    <t>S102_70: Changes Number of Insured</t>
  </si>
  <si>
    <t>S103_70</t>
  </si>
  <si>
    <t>S103_70: YE Detail Number of Insured</t>
  </si>
  <si>
    <t>S104_70</t>
  </si>
  <si>
    <t>S104_70: Additions to Monthly and one-off Premiums</t>
  </si>
  <si>
    <t>S105_70</t>
  </si>
  <si>
    <t>S105_70: Disposals Monthly and one-off Premiums</t>
  </si>
  <si>
    <t>S106_70</t>
  </si>
  <si>
    <t>S106_70: Changes Monthly and one-off Premiums</t>
  </si>
  <si>
    <t>S107_70</t>
  </si>
  <si>
    <t>S107_70: YE Detail Monthly and one-off Premiums</t>
  </si>
  <si>
    <t>S108_70</t>
  </si>
  <si>
    <t>S108_70: NW 604 statistics to be provided quarterly</t>
  </si>
  <si>
    <t>S109_70</t>
  </si>
  <si>
    <t>S109_70:  Number of claims - Details</t>
  </si>
  <si>
    <t>S110_70</t>
  </si>
  <si>
    <t>S110_70: Number of claims - Details</t>
  </si>
  <si>
    <t>S111_70</t>
  </si>
  <si>
    <t>S111_70: Number of claims - Details</t>
  </si>
  <si>
    <t>S112_70</t>
  </si>
  <si>
    <t>S112_70: Movements in number of Claims</t>
  </si>
  <si>
    <t>S113_70</t>
  </si>
  <si>
    <t>S113_70: Movements in number of Claims</t>
  </si>
  <si>
    <t>S114_70</t>
  </si>
  <si>
    <t>S114_70: Gross Claims Payments in FY for PY</t>
  </si>
  <si>
    <t>S115_70</t>
  </si>
  <si>
    <t>S115_70: Number of contracts - Details per LoB</t>
  </si>
  <si>
    <t>S116_70</t>
  </si>
  <si>
    <t>S116_70: Number of claims - Details</t>
  </si>
  <si>
    <t>S117_70</t>
  </si>
  <si>
    <t>S117_70: Number of claims - Details</t>
  </si>
  <si>
    <t>S118_70</t>
  </si>
  <si>
    <t>S118_70: Contracts with special features</t>
  </si>
  <si>
    <t>S119_70</t>
  </si>
  <si>
    <t>S119_70: Number of ins contracts - type of business</t>
  </si>
  <si>
    <t>S120_70</t>
  </si>
  <si>
    <t>S120_70: Portfolio premiums - type of business</t>
  </si>
  <si>
    <t>S121_70</t>
  </si>
  <si>
    <t>S121_70: Monthly Premiums Details</t>
  </si>
  <si>
    <t>S122_00</t>
  </si>
  <si>
    <t>S122_00: Definite maturities for GI products</t>
  </si>
  <si>
    <t>S123_70</t>
  </si>
  <si>
    <t>S123_70: No reporting by non-German units</t>
  </si>
  <si>
    <t>S124_70</t>
  </si>
  <si>
    <t>S124_70: Monthly Premiums</t>
  </si>
  <si>
    <t>S125_70</t>
  </si>
  <si>
    <t>S125_70: Number of Insured - Group Ins</t>
  </si>
  <si>
    <t>S126_70</t>
  </si>
  <si>
    <t>S126_70: Number of Insured - Group Ins</t>
  </si>
  <si>
    <t>S127_70</t>
  </si>
  <si>
    <t>S127_70: Transport GWP Subscription Year Details</t>
  </si>
  <si>
    <t>S129_70</t>
  </si>
  <si>
    <t>S129_70: Transport Claims Paid Subscription Year Details</t>
  </si>
  <si>
    <t>S130_70</t>
  </si>
  <si>
    <t>S130_70: Transport Gross expense Subscription Year Details</t>
  </si>
  <si>
    <t>S136_70</t>
  </si>
  <si>
    <t>S136_70: Movements in number of Claims Germany</t>
  </si>
  <si>
    <t>S137_70</t>
  </si>
  <si>
    <t>S137_70: Movements in number of Claims Germany</t>
  </si>
  <si>
    <t>S138_70</t>
  </si>
  <si>
    <t>S138_70: Number of ins contracts - Details</t>
  </si>
  <si>
    <t>S139_70</t>
  </si>
  <si>
    <t>S139_70: Ceded RI - Details</t>
  </si>
  <si>
    <t>S140_70</t>
  </si>
  <si>
    <t>S140_70: Ceded RI - Details</t>
  </si>
  <si>
    <t>S141_70</t>
  </si>
  <si>
    <t>S141_70: Portfolio Premiums - Germany</t>
  </si>
  <si>
    <t>S142_00</t>
  </si>
  <si>
    <t>S142_70</t>
  </si>
  <si>
    <t>S142_70: Portfolio Premiums - Germany</t>
  </si>
  <si>
    <t>S143_70</t>
  </si>
  <si>
    <t>S143_70: Portfolio Premiums - Non-leading ins</t>
  </si>
  <si>
    <t>S144_70</t>
  </si>
  <si>
    <t>S144_70: Ceded RI - Details</t>
  </si>
  <si>
    <t>S145_70</t>
  </si>
  <si>
    <t>S145_70: Booked Premiums - special features</t>
  </si>
  <si>
    <t>S146_70</t>
  </si>
  <si>
    <t>S146_70: Number of insured</t>
  </si>
  <si>
    <t>S147_70</t>
  </si>
  <si>
    <t>S147_70: Monthly and one-off Premiums</t>
  </si>
  <si>
    <t>S148_70</t>
  </si>
  <si>
    <t>S148_70: Gross Loss Reserve - known claims</t>
  </si>
  <si>
    <t>S149_70</t>
  </si>
  <si>
    <t>S149_70: Partial Gross Loss Reserve - beginning of CY</t>
  </si>
  <si>
    <t>S150_70</t>
  </si>
  <si>
    <t>S150_70: Equalization provision Target</t>
  </si>
  <si>
    <t>S203_00</t>
  </si>
  <si>
    <t>S203_00: Farmers Exchges statistical for RU 201000 only</t>
  </si>
  <si>
    <t>S204_00</t>
  </si>
  <si>
    <t>S204_00: Block statistical accounts S82011 and S82012</t>
  </si>
  <si>
    <t>S238_00</t>
  </si>
  <si>
    <t>S238_17</t>
  </si>
  <si>
    <t>S238_17: DTA's to be debits</t>
  </si>
  <si>
    <t>S239_00</t>
  </si>
  <si>
    <t>S239_17</t>
  </si>
  <si>
    <t>S239_17: DTL's to be credits</t>
  </si>
  <si>
    <t>S240_00</t>
  </si>
  <si>
    <t>S240_17</t>
  </si>
  <si>
    <t>S240_17: DTA's to be debits</t>
  </si>
  <si>
    <t>S241_00</t>
  </si>
  <si>
    <t>S241_17</t>
  </si>
  <si>
    <t>S241_17: DTL's to be credits</t>
  </si>
  <si>
    <t>S242_00</t>
  </si>
  <si>
    <t>S242_17</t>
  </si>
  <si>
    <t>S242_17: DTA's to be debits</t>
  </si>
  <si>
    <t>S243_00</t>
  </si>
  <si>
    <t>S243_17</t>
  </si>
  <si>
    <t>S243_17: DTL's to be credits</t>
  </si>
  <si>
    <t>S244_00</t>
  </si>
  <si>
    <t>S245_00</t>
  </si>
  <si>
    <t>S246_00</t>
  </si>
  <si>
    <t>S247_00</t>
  </si>
  <si>
    <t>S248_00</t>
  </si>
  <si>
    <t>S249_00</t>
  </si>
  <si>
    <t>S250_00</t>
  </si>
  <si>
    <t>S251_00</t>
  </si>
  <si>
    <t>S252_00</t>
  </si>
  <si>
    <t>S253_00</t>
  </si>
  <si>
    <t>S254_00</t>
  </si>
  <si>
    <t>S255_00</t>
  </si>
  <si>
    <t>S256_00</t>
  </si>
  <si>
    <t>S257_00</t>
  </si>
  <si>
    <t>S258_00</t>
  </si>
  <si>
    <t>S259_00</t>
  </si>
  <si>
    <t>S260_00</t>
  </si>
  <si>
    <t>S261_00</t>
  </si>
  <si>
    <t>S262_00</t>
  </si>
  <si>
    <t>S263_00</t>
  </si>
  <si>
    <t>S264_00</t>
  </si>
  <si>
    <t>S265_00</t>
  </si>
  <si>
    <t>S266_00</t>
  </si>
  <si>
    <t>S267_00</t>
  </si>
  <si>
    <t>S267_00: Valuation allowance to be credit</t>
  </si>
  <si>
    <t>S268_00</t>
  </si>
  <si>
    <t>S268_00: Ownership share must be between 0 and 100%</t>
  </si>
  <si>
    <t>S269_00</t>
  </si>
  <si>
    <t>S269_00: Stat. Tax acct. only allowed in vers. 105  - Segm.</t>
  </si>
  <si>
    <t>S276_00</t>
  </si>
  <si>
    <t>S276_00: "On demand" SubA not allowed</t>
  </si>
  <si>
    <t>S277_00</t>
  </si>
  <si>
    <t>S277_00: "On demand" SubA not allowed</t>
  </si>
  <si>
    <t>S293_00</t>
  </si>
  <si>
    <t>S293_00: ToM for "Gain/Loss in OCI" to be used for AFS only</t>
  </si>
  <si>
    <t>S294_00</t>
  </si>
  <si>
    <t>S294_00: ToM F35 in Level 3 r/f not to be used f asset accts</t>
  </si>
  <si>
    <t>S295_00</t>
  </si>
  <si>
    <t>S295_00: ToM F34 Level 3 r/f not to be used f liab accts</t>
  </si>
  <si>
    <t>S320_00</t>
  </si>
  <si>
    <t>S320_00: Sub-ass P98 "Other investments" requires comment</t>
  </si>
  <si>
    <t>S370_00</t>
  </si>
  <si>
    <t>S370_00: Marketing expense should always be debit</t>
  </si>
  <si>
    <t>S372_17</t>
  </si>
  <si>
    <t>S372_17: Block S36081 in IFRS 17</t>
  </si>
  <si>
    <t>S377_00</t>
  </si>
  <si>
    <t>S377_00: Comparative statistical accts to be blocked</t>
  </si>
  <si>
    <t>S378_00</t>
  </si>
  <si>
    <t>S378_00: Farmers only SubA BOP not used by other RUs</t>
  </si>
  <si>
    <t>S379_00</t>
  </si>
  <si>
    <t>S379_00: Please comment on SubA 'Other'-accts S47011/S48881</t>
  </si>
  <si>
    <t>S381_00</t>
  </si>
  <si>
    <t>S381_00: No past due split for debt securities</t>
  </si>
  <si>
    <t>S387_00</t>
  </si>
  <si>
    <t>S387_00: Block TOM P38</t>
  </si>
  <si>
    <t>S388_00</t>
  </si>
  <si>
    <t>S388_00: Block TOM P19</t>
  </si>
  <si>
    <t>S400_00</t>
  </si>
  <si>
    <t>S400_00: Block certain SII only statistical accounts</t>
  </si>
  <si>
    <t>S413_00</t>
  </si>
  <si>
    <t>S413_00: Only positive GAKs</t>
  </si>
  <si>
    <t>S414_00</t>
  </si>
  <si>
    <t>S415_00</t>
  </si>
  <si>
    <t>S415_00: No GAK values outside period 2</t>
  </si>
  <si>
    <t>S416_00</t>
  </si>
  <si>
    <t>S416_00: Block certain SST only statistical accounts</t>
  </si>
  <si>
    <t>S417_00</t>
  </si>
  <si>
    <t>S417_00: Block statistical maturity account S81311</t>
  </si>
  <si>
    <t>S423_00</t>
  </si>
  <si>
    <t>S423_00: No negative reporting on comm.&amp;conting.Statisticals</t>
  </si>
  <si>
    <t>S424_00</t>
  </si>
  <si>
    <t>S424_00: No negative reporting on comm.&amp;conting.Statisticals</t>
  </si>
  <si>
    <t>S438_00</t>
  </si>
  <si>
    <t>S438_00: Aggregated assets of Inv. in assoc.</t>
  </si>
  <si>
    <t>S439_00</t>
  </si>
  <si>
    <t>S439_00: Aggregated assets of joint arrangements</t>
  </si>
  <si>
    <t>S440_00</t>
  </si>
  <si>
    <t>S440_00: Aggregated liabilities of Inv. in assoc.</t>
  </si>
  <si>
    <t>S441_00</t>
  </si>
  <si>
    <t>S441_00: Aggregated liabilities of joint arrangements</t>
  </si>
  <si>
    <t>S442_00</t>
  </si>
  <si>
    <t>S442_00: Total comprehensive income of Inv. in assoc.</t>
  </si>
  <si>
    <t>S443_00</t>
  </si>
  <si>
    <t>S443_00: Total comprehensive income of joint arrangements</t>
  </si>
  <si>
    <t>S447_00</t>
  </si>
  <si>
    <t>S447_00: Cost-sharing agreements costs - Q4</t>
  </si>
  <si>
    <t>S448_00</t>
  </si>
  <si>
    <t>S448_00: Comment on cost-sharing agreement costs</t>
  </si>
  <si>
    <t>S451_00</t>
  </si>
  <si>
    <t>S451_00: Block TOM L26/L29 on statistical accounts</t>
  </si>
  <si>
    <t>S453_00</t>
  </si>
  <si>
    <t>S453_00: GI units not to populate BOP Statisticals S36011/12</t>
  </si>
  <si>
    <t>S461_00</t>
  </si>
  <si>
    <t>S461_00: Block certain SubA's on FV hierarchy comparatives</t>
  </si>
  <si>
    <t>S474_00</t>
  </si>
  <si>
    <t>S474_00: Net fair value asset position</t>
  </si>
  <si>
    <t>S475_00</t>
  </si>
  <si>
    <t>S475_00: Net fair value liability position</t>
  </si>
  <si>
    <t>S484_00</t>
  </si>
  <si>
    <t>S484_00: Block ToMs 705/706 on CCP Statisticals</t>
  </si>
  <si>
    <t>S504_00</t>
  </si>
  <si>
    <t>S504_00: TOMs F42/F43 only to be used for Real Estate stat</t>
  </si>
  <si>
    <t>S505_00</t>
  </si>
  <si>
    <t>S505_00: Cost-sharing agreements costs - Q2</t>
  </si>
  <si>
    <t>S508_00</t>
  </si>
  <si>
    <t>S508_00: Block IAIS statistical accounts</t>
  </si>
  <si>
    <t>S510_00</t>
  </si>
  <si>
    <t>S510_00: Unwind of discount non-life annuities</t>
  </si>
  <si>
    <t>S511_00</t>
  </si>
  <si>
    <t>S511_00: Unwind of discount other discounted non-life reserv</t>
  </si>
  <si>
    <t>S517_00</t>
  </si>
  <si>
    <t>S517_00: Disc loss res-Cess-3rd-undiscounted amount</t>
  </si>
  <si>
    <t>S519_00</t>
  </si>
  <si>
    <t>S519_00: Disc loss res-Cess-3rd-undiscounted amount Q4 2016</t>
  </si>
  <si>
    <t>S521_00</t>
  </si>
  <si>
    <t>S521_00: Disc loss res-Cess-aff-undiscounted amount</t>
  </si>
  <si>
    <t>S523_00</t>
  </si>
  <si>
    <t>S523_00: Disc loss res-retrocess-3rd-undiscounted amount</t>
  </si>
  <si>
    <t>S525_00</t>
  </si>
  <si>
    <t>S525_00: Disc loss res-retr-3rd-undiscounted amount Q4 2016</t>
  </si>
  <si>
    <t>S527_00</t>
  </si>
  <si>
    <t>S527_00: Disc loss res-retrocess-aff-undiscounted amount</t>
  </si>
  <si>
    <t>S529_00</t>
  </si>
  <si>
    <t>S529_00: Discounted loss reserves-Direct-undiscounted amount</t>
  </si>
  <si>
    <t>S531_00</t>
  </si>
  <si>
    <t>S531_00 Disc loss res-Direct-undiscounted amount Q4 2016</t>
  </si>
  <si>
    <t>S533_00</t>
  </si>
  <si>
    <t>S533_00: Discounted loss res-Assumed-3rd-undiscounted amount</t>
  </si>
  <si>
    <t>S535_00</t>
  </si>
  <si>
    <t>S535_00: Disc loss res-Ass-3rd-undiscounted amount Q4 2016</t>
  </si>
  <si>
    <t>S537_00</t>
  </si>
  <si>
    <t>S537_00: Discounted loss res-Assumed-aff-undiscounted amount</t>
  </si>
  <si>
    <t>S558_00</t>
  </si>
  <si>
    <t>S558_00: Gross CV SPPI split by credit risk-No AFS debt sec.</t>
  </si>
  <si>
    <t>S576_00</t>
  </si>
  <si>
    <t>S576_00: Block sub-ass 731/2/3 stat acc not in scope for CCP</t>
  </si>
  <si>
    <t>S577_00</t>
  </si>
  <si>
    <t>S577_00: Block statistical accounts S71072 and S71075</t>
  </si>
  <si>
    <t>S583_00</t>
  </si>
  <si>
    <t>S583_00: Block statistical accounts S12641 and S12642</t>
  </si>
  <si>
    <t>S633_00</t>
  </si>
  <si>
    <t>S633_00: Block SCV accounts to be deactivated</t>
  </si>
  <si>
    <t>S652_00</t>
  </si>
  <si>
    <t>S652_00: Outstanding direct - US split</t>
  </si>
  <si>
    <t>S654_00</t>
  </si>
  <si>
    <t>S654_00: IBNR direct - US split</t>
  </si>
  <si>
    <t>S656_00</t>
  </si>
  <si>
    <t>S656_00: GWP direct - US split</t>
  </si>
  <si>
    <t>S658_00</t>
  </si>
  <si>
    <t>S658_00: Change in UPR direct - US split</t>
  </si>
  <si>
    <t>S660_00</t>
  </si>
  <si>
    <t>S660_00 Claims direct - US split</t>
  </si>
  <si>
    <t>S662_00</t>
  </si>
  <si>
    <t>S662_00: Change in reserves direct - US split</t>
  </si>
  <si>
    <t>S708_00</t>
  </si>
  <si>
    <t>S708_00: ZIP Tax Amounts</t>
  </si>
  <si>
    <t>S709_00</t>
  </si>
  <si>
    <t>S709_00: ZIP Tax Rate</t>
  </si>
  <si>
    <t>S825_00</t>
  </si>
  <si>
    <t>S825_00: Block SII only SubA 003 for UPR Split accts in SST</t>
  </si>
  <si>
    <t>S827_00</t>
  </si>
  <si>
    <t>S827_00: Block transaction currency statistical accounts-SST</t>
  </si>
  <si>
    <t>S900_00</t>
  </si>
  <si>
    <t>S901_00</t>
  </si>
  <si>
    <t>S914_00</t>
  </si>
  <si>
    <t>S914_00: DTA's to be debits</t>
  </si>
  <si>
    <t>S917_00</t>
  </si>
  <si>
    <t>S917_00: No Level 1 for debt securities</t>
  </si>
  <si>
    <t>S921_00</t>
  </si>
  <si>
    <t>S921_00: No FVOCI equity securities</t>
  </si>
  <si>
    <t>S922_00</t>
  </si>
  <si>
    <t>S922_00: Only Cash and Equity securities as quoted assets.</t>
  </si>
  <si>
    <t>S924_00</t>
  </si>
  <si>
    <t>S924_00: DTA's to be debits</t>
  </si>
  <si>
    <t>S925_00</t>
  </si>
  <si>
    <t>S925_00: DTL's to be credits</t>
  </si>
  <si>
    <t>S926_17</t>
  </si>
  <si>
    <t>S926_17: BBA_CSM gross modified tran approach</t>
  </si>
  <si>
    <t>S927_17</t>
  </si>
  <si>
    <t>S927_17: BBA_CSM gross FV tran approach</t>
  </si>
  <si>
    <t>S928_17</t>
  </si>
  <si>
    <t>S928_17: BBA_CSM gross other tran approach</t>
  </si>
  <si>
    <t>S929_17</t>
  </si>
  <si>
    <t>S929_17: Block account for all RUs except RR units</t>
  </si>
  <si>
    <t>S933_00</t>
  </si>
  <si>
    <t>S933_00: Report on S11303 if impair. is reported</t>
  </si>
  <si>
    <t>S934_00</t>
  </si>
  <si>
    <t>S934_00: Report on S11303 if impair. is reported</t>
  </si>
  <si>
    <t>S935_00</t>
  </si>
  <si>
    <t>S935_00: Report on S11303 if impair. is reported</t>
  </si>
  <si>
    <t>S936_00</t>
  </si>
  <si>
    <t>S936_00: Report on S11303 if impair. is reported</t>
  </si>
  <si>
    <t>S937_00</t>
  </si>
  <si>
    <t>S937_00: Report on S11303 if impair. is reported</t>
  </si>
  <si>
    <t>S938_00</t>
  </si>
  <si>
    <t>S938_00: Report on S11303 if impair. is reported</t>
  </si>
  <si>
    <t>S939_00</t>
  </si>
  <si>
    <t>S939_00: Report on S11303 if impair. is reported</t>
  </si>
  <si>
    <t>S940_00</t>
  </si>
  <si>
    <t>S940_00: Report on S11303 if impair. is reported</t>
  </si>
  <si>
    <t>S941_00</t>
  </si>
  <si>
    <t>S941_00: Report on S11303 if impair. is reported</t>
  </si>
  <si>
    <t>S942_00</t>
  </si>
  <si>
    <t>S942_00: Report on S11303 if impair. is reported</t>
  </si>
  <si>
    <t>S943_00</t>
  </si>
  <si>
    <t>S943_00: Report on S11303 if impair. is reported</t>
  </si>
  <si>
    <t>S944_00</t>
  </si>
  <si>
    <t>S944_00: Report on S11303 if impair. is reported</t>
  </si>
  <si>
    <t>SR001_00</t>
  </si>
  <si>
    <t>SR001_00: Derivatives G/L</t>
  </si>
  <si>
    <t>SR002_00</t>
  </si>
  <si>
    <t>SR002_00: Alternative Investments G/L</t>
  </si>
  <si>
    <t>SR003_00</t>
  </si>
  <si>
    <t>SR003_00: Equities and similar investments G/L</t>
  </si>
  <si>
    <t>SR004_00</t>
  </si>
  <si>
    <t>SR004_00: Fixed interest securities G/L</t>
  </si>
  <si>
    <t>SR005_00</t>
  </si>
  <si>
    <t>SR005_00: Land and Buildings G/L</t>
  </si>
  <si>
    <t>SR006_00</t>
  </si>
  <si>
    <t>SR006_00: Loans and book-entry claims G/L</t>
  </si>
  <si>
    <t>SR007_00</t>
  </si>
  <si>
    <t>SR007_00: Mortgage loans G/L</t>
  </si>
  <si>
    <t>SR008_00</t>
  </si>
  <si>
    <t>SR008_00: Other Investments G/L</t>
  </si>
  <si>
    <t>SR009_00</t>
  </si>
  <si>
    <t>SR009_00: Collective Investments G/L</t>
  </si>
  <si>
    <t>SR010_00</t>
  </si>
  <si>
    <t>SR010_00: Participations G/L</t>
  </si>
  <si>
    <t>SR107_00</t>
  </si>
  <si>
    <t>SR107_00: Accounts not applicable for ZIC Units Abroad</t>
  </si>
  <si>
    <t>SR108_00</t>
  </si>
  <si>
    <t>SR108_00: Accounts not applicable for ZIC Swiss Units</t>
  </si>
  <si>
    <t>SROE001_00</t>
  </si>
  <si>
    <t>SROE001_00: RU910163 + 910164 + 910165 + 910166 = 0</t>
  </si>
  <si>
    <t>SROE002_00</t>
  </si>
  <si>
    <t>SROE002_00: RU910924 + 910925 + 910926 + 910927 = 0</t>
  </si>
  <si>
    <t>SROE002_60</t>
  </si>
  <si>
    <t>SROE002_60: RU910924 + 910925 + 910926 + 910927 = 0</t>
  </si>
  <si>
    <t>SROE003_00</t>
  </si>
  <si>
    <t>SROE003_00:  RU910930 + 910931 + 910932 + 910933 = 0</t>
  </si>
  <si>
    <t>SROE003_60</t>
  </si>
  <si>
    <t>SROE003_60: RU910930 + 910931 + 910932 + 910933 = 0</t>
  </si>
  <si>
    <t>SROE004_00</t>
  </si>
  <si>
    <t>SROE004_00: RU910133 + 910163 = 0</t>
  </si>
  <si>
    <t>SROE005_00</t>
  </si>
  <si>
    <t>SROE005_00: RU910910 + 910924 = 0</t>
  </si>
  <si>
    <t>SROE006_00</t>
  </si>
  <si>
    <t>SROE006_00: RU910919 + 910930 = 0</t>
  </si>
  <si>
    <t>SROE006_60</t>
  </si>
  <si>
    <t>SROE006_60: RU910919 + 910930 = 0</t>
  </si>
  <si>
    <t>SROE007_00</t>
  </si>
  <si>
    <t>SROE007_00: RU910925-26-27 should only use TP 910924</t>
  </si>
  <si>
    <t>SROE007_60</t>
  </si>
  <si>
    <t>SROE007_60: RU910925-26-27 should only use TP 910924</t>
  </si>
  <si>
    <t>SROE008_00</t>
  </si>
  <si>
    <t>SROE008_00: RU910164-65-66 should only use TP 910163</t>
  </si>
  <si>
    <t>SROE009_00</t>
  </si>
  <si>
    <t>SROE009_00: RU910931-32-33 should only use TP 910930</t>
  </si>
  <si>
    <t>SROE009_60</t>
  </si>
  <si>
    <t>SROE009_60: RU910931-32-33 should only use TP 910930</t>
  </si>
  <si>
    <t>SROE010_00</t>
  </si>
  <si>
    <t>SROE010_00: RU910924 should only use TPs 910925-26-27</t>
  </si>
  <si>
    <t>SROE010_60</t>
  </si>
  <si>
    <t>SROE010_60: RU910924 should only use TPs 910925-26-27</t>
  </si>
  <si>
    <t>SROE011_00</t>
  </si>
  <si>
    <t>SROE011_00: RU910930 should only use TPs 910931-32-33</t>
  </si>
  <si>
    <t>SROE011_60</t>
  </si>
  <si>
    <t>SROE011_60: RU910930 should only use TPs 910931-32-33</t>
  </si>
  <si>
    <t>SROE012_00</t>
  </si>
  <si>
    <t>SROE012_00: RU910163 should only use TPs 910164-65-66</t>
  </si>
  <si>
    <t>SROE013_00</t>
  </si>
  <si>
    <t>SROE013_00: Sister serv. RU cannot have IC w/ non-serv. RU</t>
  </si>
  <si>
    <t>SROE013_60</t>
  </si>
  <si>
    <t>SROE013_60: Sister serv. RU cannot have IC w/ non-serv. RU</t>
  </si>
  <si>
    <t>SROE014_00</t>
  </si>
  <si>
    <t>SROE014_00: RU10064 should have Hold (voting) in GI aff only</t>
  </si>
  <si>
    <t>SROE015_00</t>
  </si>
  <si>
    <t>SROE015_00: RU10064 should have Hold-APIC-Div in GI aff.only</t>
  </si>
  <si>
    <t>SROE016_00</t>
  </si>
  <si>
    <t>SROE016_00: RU10065 should have Hold.(voting) in LI aff.only</t>
  </si>
  <si>
    <t>SROE017_00</t>
  </si>
  <si>
    <t>SROE017_00: RU10065 should have Hold-APIC-Div in LI aff.only</t>
  </si>
  <si>
    <t>SROE018_00</t>
  </si>
  <si>
    <t>SROE018_00: RU10066 should have Hold (voting) in FA aff only</t>
  </si>
  <si>
    <t>SROE019_00</t>
  </si>
  <si>
    <t>SROE019_00: RU10066 should have Hold-APIC-Div in FA aff.only</t>
  </si>
  <si>
    <t>SROE020_00</t>
  </si>
  <si>
    <t>SROE020_00: RU10067 should have Hold(voting) in NCB aff only</t>
  </si>
  <si>
    <t>SROE021_00</t>
  </si>
  <si>
    <t>SROE021_00: RU10067 should have Hold-APIC-Div inNCB aff.only</t>
  </si>
  <si>
    <t>SROE022_01</t>
  </si>
  <si>
    <t>SROE022_00: RU10000 should have Hold (voting) in GH af. only</t>
  </si>
  <si>
    <t>SROE022_02</t>
  </si>
  <si>
    <t>SROE023_01</t>
  </si>
  <si>
    <t>SROE023_00: RU10000 should have Hold-APIC-Div in GH aff.only</t>
  </si>
  <si>
    <t>SROE023_02</t>
  </si>
  <si>
    <t>SROE024_00</t>
  </si>
  <si>
    <t>SROE024_00: GI RUs should have stock-APIC-divid. w/ TP10064</t>
  </si>
  <si>
    <t>SROE025_00</t>
  </si>
  <si>
    <t>SROE025_00: LI RUs should have stock-APIC-divid. w/ TP10065</t>
  </si>
  <si>
    <t>SROE026_00</t>
  </si>
  <si>
    <t>SROE026_00: FA RUs should have stock-APIC-divid. w/ TP10066</t>
  </si>
  <si>
    <t>SROE027_00</t>
  </si>
  <si>
    <t>SROE027_00: NCB RUs should have stock-APIC-divid. w/ TP10067</t>
  </si>
  <si>
    <t>SROE028_00</t>
  </si>
  <si>
    <t>SROE028_00: GH RUs should have stock-APIC-divid. w/ TP10000</t>
  </si>
  <si>
    <t>SROE029_00</t>
  </si>
  <si>
    <t>SROE029_00: GH RUs should have stock-APIC-divid. w/ TP10000</t>
  </si>
  <si>
    <t>SROE900_00</t>
  </si>
  <si>
    <t>SROE900_00: RU10000 + 10064-65-66-67 = 0</t>
  </si>
  <si>
    <t>SROE901_00</t>
  </si>
  <si>
    <t>SROE901_00: RU10055 + 10068 = 0</t>
  </si>
  <si>
    <t>SROE902_00</t>
  </si>
  <si>
    <t>SROE902_00: RU51132 + 51349 = 0</t>
  </si>
  <si>
    <t>SROE903_00</t>
  </si>
  <si>
    <t>SROE903_00: RU51259 + 51260 = 0</t>
  </si>
  <si>
    <t>SROE904_00</t>
  </si>
  <si>
    <t>SROE904_00: RU51347 + 51348 = 0</t>
  </si>
  <si>
    <t>SROE905_00</t>
  </si>
  <si>
    <t>SROE905_00: RU110030 + 110036 = 0</t>
  </si>
  <si>
    <t>SROE906_00</t>
  </si>
  <si>
    <t>SROE906_00: RU200000 + 200100-101 = 0</t>
  </si>
  <si>
    <t>SROE907_00</t>
  </si>
  <si>
    <t>SROE907_00: RU200017 + 200117 = 0</t>
  </si>
  <si>
    <t>SROE908_00</t>
  </si>
  <si>
    <t>SROE908_00: RU270464 + 270537 = 0</t>
  </si>
  <si>
    <t>SROE909_00</t>
  </si>
  <si>
    <t>SROE909_00: RU910128 + 910158-59-60-61 = 0</t>
  </si>
  <si>
    <t>SROE910_00</t>
  </si>
  <si>
    <t>SROE910_00: TP10000 + 10064-65-66-67 = 0</t>
  </si>
  <si>
    <t>SROE911_00</t>
  </si>
  <si>
    <t>SROE911_00: TP10055 + 10068 = 0</t>
  </si>
  <si>
    <t>SROE912_00</t>
  </si>
  <si>
    <t>SROE912_00: TP51132 + 51349 = 0</t>
  </si>
  <si>
    <t>SROE913_00</t>
  </si>
  <si>
    <t>SROE913_00: TP51259 + 51260 = 0</t>
  </si>
  <si>
    <t>SROE914_00</t>
  </si>
  <si>
    <t>SROE914_00: TP51347 + 51348 = 0</t>
  </si>
  <si>
    <t>SROE915_00</t>
  </si>
  <si>
    <t>SROE915_00: TP110030 + 110036 = 0</t>
  </si>
  <si>
    <t>SROE916_00</t>
  </si>
  <si>
    <t>SROE916_00: TP200000 + 200100-101 = 0</t>
  </si>
  <si>
    <t>SROE917_00</t>
  </si>
  <si>
    <t>SROE917_00: TP200017 + 200117 = 0</t>
  </si>
  <si>
    <t>SROE918_00</t>
  </si>
  <si>
    <t>SROE918_00: TP270464 + 270537 = 0</t>
  </si>
  <si>
    <t>SROE919_00</t>
  </si>
  <si>
    <t>SROE919_00: TP910128 + 910158-59-60-61 = 0</t>
  </si>
  <si>
    <t>SROE920_00</t>
  </si>
  <si>
    <t>SROE920_00: Non-split RUs shouldn't change their balances</t>
  </si>
  <si>
    <t>TOM001_00</t>
  </si>
  <si>
    <t>TOM001_00: Check for GI, if movements (only GI)</t>
  </si>
  <si>
    <t>TOM001_09</t>
  </si>
  <si>
    <t>TOM001_09 No bookings in ToM 350 and ToM 351</t>
  </si>
  <si>
    <t>TOM002_00</t>
  </si>
  <si>
    <t>TOM002_00: ToM Check</t>
  </si>
  <si>
    <t>TOM002_09</t>
  </si>
  <si>
    <t>TOM002_09 No bookings in ToM 352 and ToM 353</t>
  </si>
  <si>
    <t>TOM003_00</t>
  </si>
  <si>
    <t>TOM003_00: Comment on Corrections booked via Correction TOM</t>
  </si>
  <si>
    <t>TOM003_09</t>
  </si>
  <si>
    <t>TOM003_09: No bookings on ToM 352 and ToM 353</t>
  </si>
  <si>
    <t>TOM003_60</t>
  </si>
  <si>
    <t>TOM003_60: Block V190 sub-assignments on SLST accounts</t>
  </si>
  <si>
    <t>TOM004_00</t>
  </si>
  <si>
    <t>TOM004_00: Comment on Corrections booked via Correction TOM</t>
  </si>
  <si>
    <t>TOM004_09</t>
  </si>
  <si>
    <t>TOM004_09: Block IFRS17  ToMs in IFRS9 Loss allow. Accounts</t>
  </si>
  <si>
    <t>TOM004_60</t>
  </si>
  <si>
    <t>TOM004_60: Comment on Corrections booked via Correction TOM</t>
  </si>
  <si>
    <t>TOM005_00</t>
  </si>
  <si>
    <t>TOM005_00: Comment on Corrections booked via Correction TOM</t>
  </si>
  <si>
    <t>TOM005_09</t>
  </si>
  <si>
    <t>TOM005_09: Block ToMs 011 and 012 for loss allow. accounts</t>
  </si>
  <si>
    <t>TOM006_00</t>
  </si>
  <si>
    <t>TOM006_00: Comment on Corrections booked via Correction TOM</t>
  </si>
  <si>
    <t>TOM006_09</t>
  </si>
  <si>
    <t>TOM006_09: Block ToM E71 &amp; E72 for loss allow.and UNRGL OCI</t>
  </si>
  <si>
    <t>TOM007_00</t>
  </si>
  <si>
    <t>TOM007_00: Comment on Corrections booked via Correction TOM</t>
  </si>
  <si>
    <t>TOM007_09</t>
  </si>
  <si>
    <t>TOM007_09: Block ToM E12,E28,E29,E57 on loss allow.OCI acc.</t>
  </si>
  <si>
    <t>TOM008_00</t>
  </si>
  <si>
    <t>TOM008_00: Comment on Corrections booked via Correction TOM</t>
  </si>
  <si>
    <t>TOM008_09</t>
  </si>
  <si>
    <t>TOM008_09: Block ToM EX1 and EX5 for LA IFRS9 receiv. &amp; cash</t>
  </si>
  <si>
    <t>TOM009_09</t>
  </si>
  <si>
    <t>TOM009_09: Block TOMs with E00 CF on Loss Allowance</t>
  </si>
  <si>
    <t>TOM010_00</t>
  </si>
  <si>
    <t>TOM010_00: Comment on Corrections booked via Correction TOM</t>
  </si>
  <si>
    <t>TOM011_00</t>
  </si>
  <si>
    <t>TOM011_00: Comment on Corrections booked via Correction TOM</t>
  </si>
  <si>
    <t>TOM012_00</t>
  </si>
  <si>
    <t>TOM012_00: Comment on Corrections booked via Correction TOM</t>
  </si>
  <si>
    <t>TOM013_00</t>
  </si>
  <si>
    <t>TOM013_00: Comment on Corrections booked via Correction TOM</t>
  </si>
  <si>
    <t>TOM014_00</t>
  </si>
  <si>
    <t>TOM014_00: Comment on Corrections booked via Correction TOM</t>
  </si>
  <si>
    <t>TOM015_00</t>
  </si>
  <si>
    <t>TOM015_00: Comment on Corrections booked via Correction TOM</t>
  </si>
  <si>
    <t>TOM016_00</t>
  </si>
  <si>
    <t>TOM016_00: Comment on Corrections booked via Correction TOM</t>
  </si>
  <si>
    <t>TOM017_00</t>
  </si>
  <si>
    <t>TOM017_00: Comment on Corrections booked via Correction TOM</t>
  </si>
  <si>
    <t>TOM018_00</t>
  </si>
  <si>
    <t>TOM018_00: Comment on Corrections booked via Correction TOM</t>
  </si>
  <si>
    <t>TOM019_00</t>
  </si>
  <si>
    <t>TOM019_00: Comment on Corrections booked via Correction TOM</t>
  </si>
  <si>
    <t>TOM020_00</t>
  </si>
  <si>
    <t>TOM020_00: Comment on Corrections booked via Correction TOM</t>
  </si>
  <si>
    <t>TOM021_00</t>
  </si>
  <si>
    <t>TOM021_00: Comment on Corrections booked via Correction TOM</t>
  </si>
  <si>
    <t>TOM024_00</t>
  </si>
  <si>
    <t>TOM024_60</t>
  </si>
  <si>
    <t>TOM024_60: Block IFRS 17 only TOMs in BAU</t>
  </si>
  <si>
    <t>TOM025_00</t>
  </si>
  <si>
    <t>TOM025_17</t>
  </si>
  <si>
    <t>TOM025_80</t>
  </si>
  <si>
    <t>TOM025_80: Block equity restatements TOMs outside equity</t>
  </si>
  <si>
    <t>TOM025_85</t>
  </si>
  <si>
    <t>TOM025_85: Block equity restatements TOMs outside equity</t>
  </si>
  <si>
    <t>TOM026_00</t>
  </si>
  <si>
    <t>TOM027_00</t>
  </si>
  <si>
    <t>TOM027_17</t>
  </si>
  <si>
    <t>TOM027_85</t>
  </si>
  <si>
    <t>TOM027_85:Equity rest TOMs to be used only with GCU approval</t>
  </si>
  <si>
    <t>TOM028_00</t>
  </si>
  <si>
    <t>TOM028_00: Block V190 IFRS 17 only sub-assignments in BAU</t>
  </si>
  <si>
    <t>TOM028_17</t>
  </si>
  <si>
    <t>TOM028_17: Block V190 IFRS 17 only sub-assignments</t>
  </si>
  <si>
    <t>TOM029_00</t>
  </si>
  <si>
    <t>TOM029_00: Block SLST only sub-assignments in other GAAPs</t>
  </si>
  <si>
    <t>TOM029_17</t>
  </si>
  <si>
    <t>TOM029_17: Block SLST only sub-assignments in the other GAA</t>
  </si>
  <si>
    <t>TOM030_00</t>
  </si>
  <si>
    <t>TOM030_00: Block TOM E40 for all accounts except 29482</t>
  </si>
  <si>
    <t>TOM101_70</t>
  </si>
  <si>
    <t>TOM101_70: Block equity restatements TOMs outside equity</t>
  </si>
  <si>
    <t>TR001_00</t>
  </si>
  <si>
    <t>TR001_00: Block ZIP IFRS only accounts included in TRNZIP n</t>
  </si>
  <si>
    <t>TR001_17</t>
  </si>
  <si>
    <t>TR001_17:P12 (YTD) IFRS 4 equals P14 (YTD) IFRS 17 - BS acc</t>
  </si>
  <si>
    <t>TR002_17</t>
  </si>
  <si>
    <t>TR002_17:P12 (YTD) IFRS 4 equals P14 (YTD) IFRS 17 - P&amp;L acc</t>
  </si>
  <si>
    <t>TR003_09</t>
  </si>
  <si>
    <t>TR003_09: Block TOM's which only can be used for FVOCI</t>
  </si>
  <si>
    <t>TR003_17</t>
  </si>
  <si>
    <t>TR003_17: IFRS17 Trans.: BS restatement must total to "0"</t>
  </si>
  <si>
    <t>TR004_17</t>
  </si>
  <si>
    <t>TR005_17</t>
  </si>
  <si>
    <t>TR005_17: IFRS17 Trans: BS-YTD must only change for Life RUs</t>
  </si>
  <si>
    <t>TR006_17</t>
  </si>
  <si>
    <t>TR006_17: FPR 2022 YTD (P3, P6, P9, P12 22 YTD) balance 0-BS</t>
  </si>
  <si>
    <t>TR006_70</t>
  </si>
  <si>
    <t>TR006_70: Q122 YTD to be equal to 0 in ZIP IFRS-BS accounts</t>
  </si>
  <si>
    <t>TR007_17</t>
  </si>
  <si>
    <t>TR007_17: FPR 2022 YTD (P3, P6, P9, P12 22 YTD) balance 0-P</t>
  </si>
  <si>
    <t>TR007_70</t>
  </si>
  <si>
    <t>TR007_70: Q122 YTD to be equal to 0 in ZIP IFRS-P&amp;L accounts</t>
  </si>
  <si>
    <t>TR008_17</t>
  </si>
  <si>
    <t>TR008_17: FPR 2022 YTD IFRS4 = 2022 YTD IFRSN f. Non-Life RU</t>
  </si>
  <si>
    <t>TR008_70</t>
  </si>
  <si>
    <t>TR008_70: Q122 YTD ZIP IFRS&amp;IE GAAP equal for Non-Life units</t>
  </si>
  <si>
    <t>TR009_17</t>
  </si>
  <si>
    <t>TR009_17: No movement on IFRS 17 remeasurement accounts</t>
  </si>
  <si>
    <t>TR009_70</t>
  </si>
  <si>
    <t>TR009_70: Q122 No movements in IFRS 17 remeasurement account</t>
  </si>
  <si>
    <t>TR01_SST</t>
  </si>
  <si>
    <t>TR01_SST: No change between P12 and P14 2022</t>
  </si>
  <si>
    <t>TR010_17</t>
  </si>
  <si>
    <t>TR010_17: x.2022 YTD IFRS4 equals x.2022 YTD IFRS17- BS</t>
  </si>
  <si>
    <t>TR010_70</t>
  </si>
  <si>
    <t>TR010_70: Q122 YTD ZIP IFRS&amp; IE GAAP to be equal-BS accounts</t>
  </si>
  <si>
    <t>TR011_09</t>
  </si>
  <si>
    <t>TR011_09: IFRS9 reclassification unit linked</t>
  </si>
  <si>
    <t>TR011_17</t>
  </si>
  <si>
    <t>TR011_70</t>
  </si>
  <si>
    <t>TR011_70: Q122 YTD ZIP IFRS&amp;IE GAAP to be equal-P&amp;L accounts</t>
  </si>
  <si>
    <t>TR012_09</t>
  </si>
  <si>
    <t>TR012_09: IFRS9 reclassification receivables and OA</t>
  </si>
  <si>
    <t>TR012_17</t>
  </si>
  <si>
    <t>TR012_70</t>
  </si>
  <si>
    <t>TR012_70: Q122 YTD ZIP IFRS equals IE GAAP -G/L on CF hedges</t>
  </si>
  <si>
    <t>TR013_09</t>
  </si>
  <si>
    <t>TR013_09: IFRS9 reclas. derivative liabilities</t>
  </si>
  <si>
    <t>TR013_17</t>
  </si>
  <si>
    <t>TR013_17: P14 2021 IACF TOMs with 0 balance in IFRS17</t>
  </si>
  <si>
    <t>TR013_70</t>
  </si>
  <si>
    <t>TR013_70: Q421 IACF TOM's that need to equal 0 in ZIP IFRS</t>
  </si>
  <si>
    <t>TR014_09</t>
  </si>
  <si>
    <t>TR014_09: IFRS9 reclass. liab.for inv.cont.</t>
  </si>
  <si>
    <t>TR014_17</t>
  </si>
  <si>
    <t>TR014_17: 12.2020 TOM 42A n.relev. for IACF need 0 in IFRS17</t>
  </si>
  <si>
    <t>TR015_09</t>
  </si>
  <si>
    <t>TR015_09: IFRS9 reclas. liab.for inv.cont. UL</t>
  </si>
  <si>
    <t>TR015_17</t>
  </si>
  <si>
    <t>TR015_17: P14 2021 IACF TOM 42C with 0 balance in IFRS17</t>
  </si>
  <si>
    <t>TR016_09</t>
  </si>
  <si>
    <t>TR016_09: IFRS9 reclas. derivative liabilities</t>
  </si>
  <si>
    <t>TR016_17</t>
  </si>
  <si>
    <t>TR017_09</t>
  </si>
  <si>
    <t>TR017_09: IFRS9 reclas. derivative liabilities UL</t>
  </si>
  <si>
    <t>TR017_17</t>
  </si>
  <si>
    <t>TR017_17: P14 2021 Only TOM E24 for accounts 29421 &amp; 29431</t>
  </si>
  <si>
    <t>TR017_70</t>
  </si>
  <si>
    <t>TR017_70: Block ZIP accounts in transition</t>
  </si>
  <si>
    <t>TR018_17</t>
  </si>
  <si>
    <t>TR018_17: P12 IFRS 4=P14 IFRS 17 &amp; FPR 2022-BS Overlay IFRS9</t>
  </si>
  <si>
    <t>TR019_17</t>
  </si>
  <si>
    <t>TR02_SST</t>
  </si>
  <si>
    <t>TR02_SST: Z1 accounts equal to IFRS9</t>
  </si>
  <si>
    <t>TR020_17</t>
  </si>
  <si>
    <t>TR021_17</t>
  </si>
  <si>
    <t>TR021_17: FPR 2022 YTD IFRS 4 equals IFRS 17 - S36061 REX191</t>
  </si>
  <si>
    <t>TR023_09</t>
  </si>
  <si>
    <t>TR023_09: IFRS9 block reclassification all other assets</t>
  </si>
  <si>
    <t>TR026_09</t>
  </si>
  <si>
    <t>TR026_09:  IFRS9 reclassification cash and cash equiv</t>
  </si>
  <si>
    <t>TR027_09</t>
  </si>
  <si>
    <t>TR027_09: IFRS9 Block ToM 393</t>
  </si>
  <si>
    <t>TR028_09</t>
  </si>
  <si>
    <t>TR028_09: IFRS9 Block ToM 384</t>
  </si>
  <si>
    <t>TR029_09</t>
  </si>
  <si>
    <t>TR029_09:  IFRS9 Block ToMs in def tax accounts</t>
  </si>
  <si>
    <t>TR03_SST</t>
  </si>
  <si>
    <t>TR03_SST: Z3 accounts equal to 0</t>
  </si>
  <si>
    <t>TR030_09</t>
  </si>
  <si>
    <t>TR030_09: IFRS9 Block TOM reclassification out of IAS39</t>
  </si>
  <si>
    <t>TR031_09</t>
  </si>
  <si>
    <t>TR031_09:  IFRS9 Block ToMs in UNRGL accounts</t>
  </si>
  <si>
    <t>TR032_09</t>
  </si>
  <si>
    <t>TR032_09:  IFRS9 Block ToMs in BS accounts</t>
  </si>
  <si>
    <t>TR033_09</t>
  </si>
  <si>
    <t>TR033_09:  Reclass out of IAS39 ToMs always credit</t>
  </si>
  <si>
    <t>TR034_09</t>
  </si>
  <si>
    <t>TR034_09:  Reclass out of IAS39 ToMs always DEBIT</t>
  </si>
  <si>
    <t>TR035_09</t>
  </si>
  <si>
    <t>TR035_09: No changes in P14 IFRS9 transition</t>
  </si>
  <si>
    <t>TR035A_09</t>
  </si>
  <si>
    <t>TR035A_09: No changes in P14 IFRS9 transition</t>
  </si>
  <si>
    <t>TR035B_09</t>
  </si>
  <si>
    <t>TR035B_09: Block accounts in transition</t>
  </si>
  <si>
    <t>TR036_09</t>
  </si>
  <si>
    <t>TR036_09: Only transition TOMs allowed in P14</t>
  </si>
  <si>
    <t>TR036B_09</t>
  </si>
  <si>
    <t>TR036B_09: Deactivated accounts with 0 balance in P16</t>
  </si>
  <si>
    <t>TR036C_09</t>
  </si>
  <si>
    <t>TR036C_09: Statistical accounts changed in P16</t>
  </si>
  <si>
    <t>TR036D_09</t>
  </si>
  <si>
    <t>TR036D_09: ZIP statistical accounts changed in P16</t>
  </si>
  <si>
    <t>TR036E_FIP</t>
  </si>
  <si>
    <t>TR036E_FIP: Only transition TOMs allowed in P14</t>
  </si>
  <si>
    <t>TR036F_FIP</t>
  </si>
  <si>
    <t>TR036F_FIP: Only transition TOMs allowed in P14</t>
  </si>
  <si>
    <t>TR036G_FIP</t>
  </si>
  <si>
    <t>TR036G:_FIP Only transition TOMs allowed in P14</t>
  </si>
  <si>
    <t>TR036H_FIP</t>
  </si>
  <si>
    <t>TR036H: FIP Only transition TOMs allowed in P14</t>
  </si>
  <si>
    <t>TR036I_FIP</t>
  </si>
  <si>
    <t>TR036I_FIP: Only transition TOMs allowed in P14</t>
  </si>
  <si>
    <t>TR036J_FIP</t>
  </si>
  <si>
    <t>TR036J_FIP: Only transition TOMs allowed in P14</t>
  </si>
  <si>
    <t>TR036K_FIP</t>
  </si>
  <si>
    <t>TR036K_FIP: Only transition TOMs allowed in P14</t>
  </si>
  <si>
    <t>TR036L_FIP</t>
  </si>
  <si>
    <t>TR036L_FIP: Only transition TOMs allowed in P14</t>
  </si>
  <si>
    <t>TR036M_FIP</t>
  </si>
  <si>
    <t>TR036M_FIP: Only transition TOMs allowed in P14</t>
  </si>
  <si>
    <t>TR036N_FIP</t>
  </si>
  <si>
    <t>TR036N_FIP: Only transition TOMs allowed in P14</t>
  </si>
  <si>
    <t>TR036O_FIP</t>
  </si>
  <si>
    <t>TR036O_FIP: Only transition TOMs allowed in P14</t>
  </si>
  <si>
    <t>TR036P_FIP</t>
  </si>
  <si>
    <t>TR036P_FIP: Only transition TOMs allowed in P14</t>
  </si>
  <si>
    <t>TR036Q_FIP</t>
  </si>
  <si>
    <t>TR036Q_FIP: Only transition TOMs allowed in P14</t>
  </si>
  <si>
    <t>TR036R_FIP</t>
  </si>
  <si>
    <t>TR036R_FIP: Only transition TOMs allowed in P14</t>
  </si>
  <si>
    <t>TR036S_FIP</t>
  </si>
  <si>
    <t>TR036S_FIP: Only transition TOMs allowed in P14</t>
  </si>
  <si>
    <t>TR036T_FIP</t>
  </si>
  <si>
    <t>TR036T_FIP: Account should have 0 balance at transition</t>
  </si>
  <si>
    <t>TR038_09</t>
  </si>
  <si>
    <t>TR038_09: Overlay approach check vs IFRS4 RU 920011&amp;RU 30054</t>
  </si>
  <si>
    <t>TR044_09</t>
  </si>
  <si>
    <t>TR044_09: No change in P14 Total value of Insurance account</t>
  </si>
  <si>
    <t>TR101_17</t>
  </si>
  <si>
    <t>TR001_17: P12 (YTD) IFRS 4 equals P14 (YTD) IFRS 17 - BS acc</t>
  </si>
  <si>
    <t>TR101_70</t>
  </si>
  <si>
    <t>TR101_70: Q421 YTD ZIP IFRS&amp;IE GAAP to be equal-BS accounts</t>
  </si>
  <si>
    <t>TR102_17</t>
  </si>
  <si>
    <t>TR102_70</t>
  </si>
  <si>
    <t>TR102_70: Q421 YTD ZIP IFRS&amp;IE GAAP to be equal-P&amp;L account</t>
  </si>
  <si>
    <t>TR104_17</t>
  </si>
  <si>
    <t>TR104_70</t>
  </si>
  <si>
    <t>TR104_70: Q421 YTD to be equal to 0 in ZIP IFRS</t>
  </si>
  <si>
    <t>TR105_17</t>
  </si>
  <si>
    <t>TR105_70</t>
  </si>
  <si>
    <t>TR105_70: Q421 YTD ZIP IFRS&amp;IE GAAP equal for non-life unit</t>
  </si>
  <si>
    <t>TR106_17</t>
  </si>
  <si>
    <t>TR106_70</t>
  </si>
  <si>
    <t>TR106_70: FPR YTD to be equal to 0 in ZIP IFRS-BS accounts</t>
  </si>
  <si>
    <t>TR107_17</t>
  </si>
  <si>
    <t>TR007_17: FPR 2022 YTD (P3, P6, P9, P12 22 YTD) balance 0-PL</t>
  </si>
  <si>
    <t>TR107_70</t>
  </si>
  <si>
    <t>TR107_70: FPR YTD to be equal to 0 in ZIP IFRS-P&amp;L accounts</t>
  </si>
  <si>
    <t>TR108_17</t>
  </si>
  <si>
    <t>TR108_70</t>
  </si>
  <si>
    <t>TR108_70: FPR YTD ZIP IFRS&amp;IE GAAP equal for non-life units</t>
  </si>
  <si>
    <t>TR109_17</t>
  </si>
  <si>
    <t>TR109_70</t>
  </si>
  <si>
    <t>TR109_70: No movements in remeasurement account during FPR</t>
  </si>
  <si>
    <t>TR110_17</t>
  </si>
  <si>
    <t>TR110_70</t>
  </si>
  <si>
    <t>TR110_70: FPR YTD ZIP IFRS&amp;IE GAAP to be equal-BS accounts</t>
  </si>
  <si>
    <t>TR111_17</t>
  </si>
  <si>
    <t>TR111_70</t>
  </si>
  <si>
    <t>TR111_70: FPR YTD ZIP IFRS&amp;IE GAAP to be equal-P&amp;L accounts</t>
  </si>
  <si>
    <t>TR112_17</t>
  </si>
  <si>
    <t>TR112_70</t>
  </si>
  <si>
    <t>TR112_70: FPR YTD ZIP IFRS equals IE GAAP - G/L on CF hedge</t>
  </si>
  <si>
    <t>TR113_70</t>
  </si>
  <si>
    <t>TR113_70: Q421 IACF TOM's that need to equal 0 in ZIP IFRS</t>
  </si>
  <si>
    <t>TR114_70</t>
  </si>
  <si>
    <t>TR114_70: Q421 IACF TOM 42A need to be cleaned in ZIP IFRS</t>
  </si>
  <si>
    <t>TR115_70</t>
  </si>
  <si>
    <t>TR115_70: Q421 IACF TOM 42C need to be cleaned in ZIP IFRS</t>
  </si>
  <si>
    <t>TR116_17</t>
  </si>
  <si>
    <t>TR117_17</t>
  </si>
  <si>
    <t>TR117_70</t>
  </si>
  <si>
    <t>TR118_17</t>
  </si>
  <si>
    <t>TR119_17</t>
  </si>
  <si>
    <t>TR120_17</t>
  </si>
  <si>
    <t>TR120_70</t>
  </si>
  <si>
    <t>TR120_70: ZIP inactive accounts to be cleared in 2023</t>
  </si>
  <si>
    <t>TR201_70</t>
  </si>
  <si>
    <t>TR202_70</t>
  </si>
  <si>
    <t>TR204_70</t>
  </si>
  <si>
    <t>TR205_70</t>
  </si>
  <si>
    <t>TR105_70: Q421 YTD ZIP IFRS&amp;IE GAAP equal for non-life units</t>
  </si>
  <si>
    <t>TR206_70</t>
  </si>
  <si>
    <t>TR207_70</t>
  </si>
  <si>
    <t>TR208_70</t>
  </si>
  <si>
    <t>TR209_70</t>
  </si>
  <si>
    <t>TR210_70</t>
  </si>
  <si>
    <t>TR211_17</t>
  </si>
  <si>
    <t>TR211_17: IFRS17 Trans.: PL - YTD IFRSN and IFRS to be equal</t>
  </si>
  <si>
    <t>TR211_70</t>
  </si>
  <si>
    <t>TR212_70</t>
  </si>
  <si>
    <t>TR216_70</t>
  </si>
  <si>
    <t>TR217_70</t>
  </si>
  <si>
    <t>TR301_17</t>
  </si>
  <si>
    <t>TR301_70</t>
  </si>
  <si>
    <t>TR301_70: Q421 YTD ZIP IFRS&amp;IE GAAP to be equal-BS accounts</t>
  </si>
  <si>
    <t>TR302_17</t>
  </si>
  <si>
    <t>TR302_70</t>
  </si>
  <si>
    <t>TR302_70: Q421 YTD ZIP IFRS&amp;IE GAAP to be equal-P&amp;L account</t>
  </si>
  <si>
    <t>TR304_17</t>
  </si>
  <si>
    <t>TR304_70</t>
  </si>
  <si>
    <t>TR304_70: Q421 YTD to be equal to 0 in ZIP IFRS</t>
  </si>
  <si>
    <t>TR305_17</t>
  </si>
  <si>
    <t>TR305_70</t>
  </si>
  <si>
    <t>TR305_70: Q421 YTD ZIP IFRS&amp;IE GAAP equal for non-life units</t>
  </si>
  <si>
    <t>TR306_17</t>
  </si>
  <si>
    <t>TR306_70</t>
  </si>
  <si>
    <t>TR307_17</t>
  </si>
  <si>
    <t>TR307_70</t>
  </si>
  <si>
    <t>TR308_17</t>
  </si>
  <si>
    <t>TR308_70</t>
  </si>
  <si>
    <t>TR309_17</t>
  </si>
  <si>
    <t>TR309_70</t>
  </si>
  <si>
    <t>TR309_70: Q122 No movements in IFRS 17 remeasurement account</t>
  </si>
  <si>
    <t>TR310_17</t>
  </si>
  <si>
    <t>TR310_70</t>
  </si>
  <si>
    <t>TR311_17</t>
  </si>
  <si>
    <t>TR311_70</t>
  </si>
  <si>
    <t>TR312_17</t>
  </si>
  <si>
    <t>TR312_70</t>
  </si>
  <si>
    <t>TR316_17</t>
  </si>
  <si>
    <t>TR316_70</t>
  </si>
  <si>
    <t>TR317_70</t>
  </si>
  <si>
    <t>TR318_17</t>
  </si>
  <si>
    <t>TR319_17</t>
  </si>
  <si>
    <t>TR320_17</t>
  </si>
  <si>
    <t>ValidRule</t>
  </si>
  <si>
    <t>Long Text</t>
  </si>
  <si>
    <t>Field name</t>
  </si>
  <si>
    <t>Type of change</t>
  </si>
  <si>
    <t>Status</t>
  </si>
  <si>
    <t>Category</t>
  </si>
  <si>
    <t>Sense Check</t>
  </si>
  <si>
    <t>X-Check No.</t>
  </si>
  <si>
    <t>Grouping By</t>
  </si>
  <si>
    <t>Changed</t>
  </si>
  <si>
    <t>ACTIVE</t>
  </si>
  <si>
    <t>Fixed Assets</t>
  </si>
  <si>
    <t>FS Item, ToM</t>
  </si>
  <si>
    <t>New xcheck or association</t>
  </si>
  <si>
    <t>Stammhaus / SLST</t>
  </si>
  <si>
    <t>FS Item</t>
  </si>
  <si>
    <t>FIP Data</t>
  </si>
  <si>
    <t>EBS item</t>
  </si>
  <si>
    <t>ALC</t>
  </si>
  <si>
    <t>AY</t>
  </si>
  <si>
    <t>BBA Set</t>
  </si>
  <si>
    <t>GRC</t>
  </si>
  <si>
    <t>ignore</t>
  </si>
  <si>
    <t>Investee Segment</t>
  </si>
  <si>
    <t>Investee Unit</t>
  </si>
  <si>
    <t>LoB</t>
  </si>
  <si>
    <t>MAT</t>
  </si>
  <si>
    <t>Partner Segment</t>
  </si>
  <si>
    <t>Partner Unit</t>
  </si>
  <si>
    <t>Posting Level</t>
  </si>
  <si>
    <t>REX</t>
  </si>
  <si>
    <t>Segment</t>
  </si>
  <si>
    <t>ToM</t>
  </si>
  <si>
    <t>VAR</t>
  </si>
  <si>
    <t>VLT</t>
  </si>
  <si>
    <t>Lookup</t>
  </si>
  <si>
    <t>Key</t>
  </si>
  <si>
    <t>A450_00|FS Item</t>
  </si>
  <si>
    <t>A450_00|ToM</t>
  </si>
  <si>
    <t>AL602_60|FS Item</t>
  </si>
  <si>
    <t>EBX</t>
  </si>
  <si>
    <t>FIP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</si>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</sst>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indexed="8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left"/>
    </xf>
    <xf numFmtId="0" fontId="0" fillId="0" borderId="0" xfId="0"/>
    <xf numFmtId="0" fontId="2" fillId="0" borderId="0" xfId="1"/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1" applyFill="1" applyBorder="1" applyAlignment="1">
      <alignment horizontal="left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2349"/>
  <sheetViews>
    <sheetView workbookViewId="0">
      <selection activeCell="E2" sqref="E2:E12349"/>
    </sheetView>
  </sheetViews>
  <sheetFormatPr defaultRowHeight="12.75" x14ac:dyDescent="0.2"/>
  <cols>
    <col min="1" max="1" width="12" bestFit="1" customWidth="1"/>
    <col min="2" max="2" width="62" bestFit="1" customWidth="1"/>
    <col min="3" max="3" width="16" bestFit="1" customWidth="1"/>
    <col min="5" max="5" width="28.28515625" bestFit="1" customWidth="1"/>
  </cols>
  <sheetData>
    <row r="1" spans="1:5" x14ac:dyDescent="0.2">
      <c r="A1" s="1" t="s">
        <v>3644</v>
      </c>
      <c r="B1" s="1" t="s">
        <v>3645</v>
      </c>
      <c r="C1" s="1" t="s">
        <v>3646</v>
      </c>
      <c r="D1" t="s">
        <v>3679</v>
      </c>
      <c r="E1" t="s">
        <v>3680</v>
      </c>
    </row>
    <row r="2" spans="1:5" x14ac:dyDescent="0.2">
      <c r="A2" t="s">
        <v>0</v>
      </c>
      <c r="B2" t="s">
        <v>1</v>
      </c>
      <c r="C2" t="s">
        <v>2</v>
      </c>
      <c r="D2" t="e">
        <f>VLOOKUP(C2,'lookup table'!$A$2:$B$19,2,FALSE)</f>
        <v>#N/A</v>
      </c>
      <c r="E2" t="str">
        <f>IF(ISNA(D2),"",IF(A2="","",A2) &amp; "|" &amp; D2)</f>
        <v/>
      </c>
    </row>
    <row r="3" spans="1:5" x14ac:dyDescent="0.2">
      <c r="A3" t="s">
        <v>0</v>
      </c>
      <c r="B3" t="s">
        <v>3</v>
      </c>
      <c r="C3" t="s">
        <v>2</v>
      </c>
      <c r="D3" t="e">
        <f>VLOOKUP(C3,'lookup table'!$A$2:$B$19,2,FALSE)</f>
        <v>#N/A</v>
      </c>
      <c r="E3" t="str">
        <f t="shared" ref="E3:E66" si="0">IF(ISNA(D3),"",IF(A3="","",A3) &amp; "|" &amp; D3)</f>
        <v/>
      </c>
    </row>
    <row r="4" spans="1:5" x14ac:dyDescent="0.2">
      <c r="A4" t="s">
        <v>0</v>
      </c>
      <c r="B4" t="s">
        <v>4</v>
      </c>
      <c r="C4" t="s">
        <v>2</v>
      </c>
      <c r="D4" t="e">
        <f>VLOOKUP(C4,'lookup table'!$A$2:$B$19,2,FALSE)</f>
        <v>#N/A</v>
      </c>
      <c r="E4" t="str">
        <f t="shared" si="0"/>
        <v/>
      </c>
    </row>
    <row r="5" spans="1:5" x14ac:dyDescent="0.2">
      <c r="A5" t="s">
        <v>0</v>
      </c>
      <c r="B5" t="s">
        <v>1</v>
      </c>
      <c r="C5" t="s">
        <v>5</v>
      </c>
      <c r="D5" t="e">
        <f>VLOOKUP(C5,'lookup table'!$A$2:$B$19,2,FALSE)</f>
        <v>#N/A</v>
      </c>
      <c r="E5" t="str">
        <f t="shared" si="0"/>
        <v/>
      </c>
    </row>
    <row r="6" spans="1:5" x14ac:dyDescent="0.2">
      <c r="A6" t="s">
        <v>0</v>
      </c>
      <c r="B6" t="s">
        <v>3</v>
      </c>
      <c r="C6" t="s">
        <v>5</v>
      </c>
      <c r="D6" t="e">
        <f>VLOOKUP(C6,'lookup table'!$A$2:$B$19,2,FALSE)</f>
        <v>#N/A</v>
      </c>
      <c r="E6" t="str">
        <f t="shared" si="0"/>
        <v/>
      </c>
    </row>
    <row r="7" spans="1:5" x14ac:dyDescent="0.2">
      <c r="A7" t="s">
        <v>0</v>
      </c>
      <c r="B7" t="s">
        <v>4</v>
      </c>
      <c r="C7" t="s">
        <v>5</v>
      </c>
      <c r="D7" t="e">
        <f>VLOOKUP(C7,'lookup table'!$A$2:$B$19,2,FALSE)</f>
        <v>#N/A</v>
      </c>
      <c r="E7" t="str">
        <f t="shared" si="0"/>
        <v/>
      </c>
    </row>
    <row r="8" spans="1:5" x14ac:dyDescent="0.2">
      <c r="A8" t="s">
        <v>0</v>
      </c>
      <c r="B8" t="s">
        <v>1</v>
      </c>
      <c r="C8" t="s">
        <v>6</v>
      </c>
      <c r="D8" t="e">
        <f>VLOOKUP(C8,'lookup table'!$A$2:$B$19,2,FALSE)</f>
        <v>#N/A</v>
      </c>
      <c r="E8" t="str">
        <f t="shared" si="0"/>
        <v/>
      </c>
    </row>
    <row r="9" spans="1:5" x14ac:dyDescent="0.2">
      <c r="A9" t="s">
        <v>0</v>
      </c>
      <c r="B9" t="s">
        <v>3</v>
      </c>
      <c r="C9" t="s">
        <v>6</v>
      </c>
      <c r="D9" t="e">
        <f>VLOOKUP(C9,'lookup table'!$A$2:$B$19,2,FALSE)</f>
        <v>#N/A</v>
      </c>
      <c r="E9" t="str">
        <f t="shared" si="0"/>
        <v/>
      </c>
    </row>
    <row r="10" spans="1:5" x14ac:dyDescent="0.2">
      <c r="A10" t="s">
        <v>0</v>
      </c>
      <c r="B10" t="s">
        <v>7</v>
      </c>
      <c r="C10" t="s">
        <v>6</v>
      </c>
      <c r="D10" t="e">
        <f>VLOOKUP(C10,'lookup table'!$A$2:$B$19,2,FALSE)</f>
        <v>#N/A</v>
      </c>
      <c r="E10" t="str">
        <f t="shared" si="0"/>
        <v/>
      </c>
    </row>
    <row r="11" spans="1:5" x14ac:dyDescent="0.2">
      <c r="A11" t="s">
        <v>0</v>
      </c>
      <c r="B11" t="s">
        <v>7</v>
      </c>
      <c r="C11" t="s">
        <v>6</v>
      </c>
      <c r="D11" t="e">
        <f>VLOOKUP(C11,'lookup table'!$A$2:$B$19,2,FALSE)</f>
        <v>#N/A</v>
      </c>
      <c r="E11" t="str">
        <f t="shared" si="0"/>
        <v/>
      </c>
    </row>
    <row r="12" spans="1:5" x14ac:dyDescent="0.2">
      <c r="A12" t="s">
        <v>0</v>
      </c>
      <c r="B12" t="s">
        <v>4</v>
      </c>
      <c r="C12" t="s">
        <v>6</v>
      </c>
      <c r="D12" t="e">
        <f>VLOOKUP(C12,'lookup table'!$A$2:$B$19,2,FALSE)</f>
        <v>#N/A</v>
      </c>
      <c r="E12" t="str">
        <f t="shared" si="0"/>
        <v/>
      </c>
    </row>
    <row r="13" spans="1:5" x14ac:dyDescent="0.2">
      <c r="A13" t="s">
        <v>0</v>
      </c>
      <c r="B13" t="s">
        <v>8</v>
      </c>
      <c r="C13" t="s">
        <v>6</v>
      </c>
      <c r="D13" t="e">
        <f>VLOOKUP(C13,'lookup table'!$A$2:$B$19,2,FALSE)</f>
        <v>#N/A</v>
      </c>
      <c r="E13" t="str">
        <f t="shared" si="0"/>
        <v/>
      </c>
    </row>
    <row r="14" spans="1:5" x14ac:dyDescent="0.2">
      <c r="A14" t="s">
        <v>0</v>
      </c>
      <c r="B14" t="s">
        <v>8</v>
      </c>
      <c r="C14" t="s">
        <v>6</v>
      </c>
      <c r="D14" t="e">
        <f>VLOOKUP(C14,'lookup table'!$A$2:$B$19,2,FALSE)</f>
        <v>#N/A</v>
      </c>
      <c r="E14" t="str">
        <f t="shared" si="0"/>
        <v/>
      </c>
    </row>
    <row r="15" spans="1:5" x14ac:dyDescent="0.2">
      <c r="A15" t="s">
        <v>0</v>
      </c>
      <c r="B15" t="s">
        <v>1</v>
      </c>
      <c r="C15" t="s">
        <v>9</v>
      </c>
      <c r="D15" t="e">
        <f>VLOOKUP(C15,'lookup table'!$A$2:$B$19,2,FALSE)</f>
        <v>#N/A</v>
      </c>
      <c r="E15" t="str">
        <f t="shared" si="0"/>
        <v/>
      </c>
    </row>
    <row r="16" spans="1:5" x14ac:dyDescent="0.2">
      <c r="A16" t="s">
        <v>0</v>
      </c>
      <c r="B16" t="s">
        <v>3</v>
      </c>
      <c r="C16" t="s">
        <v>9</v>
      </c>
      <c r="D16" t="e">
        <f>VLOOKUP(C16,'lookup table'!$A$2:$B$19,2,FALSE)</f>
        <v>#N/A</v>
      </c>
      <c r="E16" t="str">
        <f t="shared" si="0"/>
        <v/>
      </c>
    </row>
    <row r="17" spans="1:5" x14ac:dyDescent="0.2">
      <c r="A17" t="s">
        <v>0</v>
      </c>
      <c r="B17" t="s">
        <v>7</v>
      </c>
      <c r="C17" t="s">
        <v>9</v>
      </c>
      <c r="D17" t="e">
        <f>VLOOKUP(C17,'lookup table'!$A$2:$B$19,2,FALSE)</f>
        <v>#N/A</v>
      </c>
      <c r="E17" t="str">
        <f t="shared" si="0"/>
        <v/>
      </c>
    </row>
    <row r="18" spans="1:5" x14ac:dyDescent="0.2">
      <c r="A18" t="s">
        <v>0</v>
      </c>
      <c r="B18" t="s">
        <v>7</v>
      </c>
      <c r="C18" t="s">
        <v>9</v>
      </c>
      <c r="D18" t="e">
        <f>VLOOKUP(C18,'lookup table'!$A$2:$B$19,2,FALSE)</f>
        <v>#N/A</v>
      </c>
      <c r="E18" t="str">
        <f t="shared" si="0"/>
        <v/>
      </c>
    </row>
    <row r="19" spans="1:5" x14ac:dyDescent="0.2">
      <c r="A19" t="s">
        <v>0</v>
      </c>
      <c r="B19" t="s">
        <v>4</v>
      </c>
      <c r="C19" t="s">
        <v>9</v>
      </c>
      <c r="D19" t="e">
        <f>VLOOKUP(C19,'lookup table'!$A$2:$B$19,2,FALSE)</f>
        <v>#N/A</v>
      </c>
      <c r="E19" t="str">
        <f t="shared" si="0"/>
        <v/>
      </c>
    </row>
    <row r="20" spans="1:5" x14ac:dyDescent="0.2">
      <c r="A20" t="s">
        <v>0</v>
      </c>
      <c r="B20" t="s">
        <v>8</v>
      </c>
      <c r="C20" t="s">
        <v>9</v>
      </c>
      <c r="D20" t="e">
        <f>VLOOKUP(C20,'lookup table'!$A$2:$B$19,2,FALSE)</f>
        <v>#N/A</v>
      </c>
      <c r="E20" t="str">
        <f t="shared" si="0"/>
        <v/>
      </c>
    </row>
    <row r="21" spans="1:5" x14ac:dyDescent="0.2">
      <c r="A21" t="s">
        <v>0</v>
      </c>
      <c r="B21" t="s">
        <v>8</v>
      </c>
      <c r="C21" t="s">
        <v>9</v>
      </c>
      <c r="D21" t="e">
        <f>VLOOKUP(C21,'lookup table'!$A$2:$B$19,2,FALSE)</f>
        <v>#N/A</v>
      </c>
      <c r="E21" t="str">
        <f t="shared" si="0"/>
        <v/>
      </c>
    </row>
    <row r="22" spans="1:5" x14ac:dyDescent="0.2">
      <c r="A22" t="s">
        <v>0</v>
      </c>
      <c r="B22" t="s">
        <v>1</v>
      </c>
      <c r="C22" t="s">
        <v>10</v>
      </c>
      <c r="D22" t="e">
        <f>VLOOKUP(C22,'lookup table'!$A$2:$B$19,2,FALSE)</f>
        <v>#N/A</v>
      </c>
      <c r="E22" t="str">
        <f t="shared" si="0"/>
        <v/>
      </c>
    </row>
    <row r="23" spans="1:5" x14ac:dyDescent="0.2">
      <c r="A23" t="s">
        <v>0</v>
      </c>
      <c r="B23" t="s">
        <v>3</v>
      </c>
      <c r="C23" t="s">
        <v>10</v>
      </c>
      <c r="D23" t="e">
        <f>VLOOKUP(C23,'lookup table'!$A$2:$B$19,2,FALSE)</f>
        <v>#N/A</v>
      </c>
      <c r="E23" t="str">
        <f t="shared" si="0"/>
        <v/>
      </c>
    </row>
    <row r="24" spans="1:5" x14ac:dyDescent="0.2">
      <c r="A24" t="s">
        <v>0</v>
      </c>
      <c r="B24" t="s">
        <v>7</v>
      </c>
      <c r="C24" t="s">
        <v>10</v>
      </c>
      <c r="D24" t="e">
        <f>VLOOKUP(C24,'lookup table'!$A$2:$B$19,2,FALSE)</f>
        <v>#N/A</v>
      </c>
      <c r="E24" t="str">
        <f t="shared" si="0"/>
        <v/>
      </c>
    </row>
    <row r="25" spans="1:5" x14ac:dyDescent="0.2">
      <c r="A25" t="s">
        <v>0</v>
      </c>
      <c r="B25" t="s">
        <v>7</v>
      </c>
      <c r="C25" t="s">
        <v>10</v>
      </c>
      <c r="D25" t="e">
        <f>VLOOKUP(C25,'lookup table'!$A$2:$B$19,2,FALSE)</f>
        <v>#N/A</v>
      </c>
      <c r="E25" t="str">
        <f t="shared" si="0"/>
        <v/>
      </c>
    </row>
    <row r="26" spans="1:5" x14ac:dyDescent="0.2">
      <c r="A26" t="s">
        <v>0</v>
      </c>
      <c r="B26" t="s">
        <v>4</v>
      </c>
      <c r="C26" t="s">
        <v>10</v>
      </c>
      <c r="D26" t="e">
        <f>VLOOKUP(C26,'lookup table'!$A$2:$B$19,2,FALSE)</f>
        <v>#N/A</v>
      </c>
      <c r="E26" t="str">
        <f t="shared" si="0"/>
        <v/>
      </c>
    </row>
    <row r="27" spans="1:5" x14ac:dyDescent="0.2">
      <c r="A27" t="s">
        <v>0</v>
      </c>
      <c r="B27" t="s">
        <v>8</v>
      </c>
      <c r="C27" t="s">
        <v>10</v>
      </c>
      <c r="D27" t="e">
        <f>VLOOKUP(C27,'lookup table'!$A$2:$B$19,2,FALSE)</f>
        <v>#N/A</v>
      </c>
      <c r="E27" t="str">
        <f t="shared" si="0"/>
        <v/>
      </c>
    </row>
    <row r="28" spans="1:5" x14ac:dyDescent="0.2">
      <c r="A28" t="s">
        <v>0</v>
      </c>
      <c r="B28" t="s">
        <v>8</v>
      </c>
      <c r="C28" t="s">
        <v>10</v>
      </c>
      <c r="D28" t="e">
        <f>VLOOKUP(C28,'lookup table'!$A$2:$B$19,2,FALSE)</f>
        <v>#N/A</v>
      </c>
      <c r="E28" t="str">
        <f t="shared" si="0"/>
        <v/>
      </c>
    </row>
    <row r="29" spans="1:5" x14ac:dyDescent="0.2">
      <c r="A29" t="s">
        <v>0</v>
      </c>
      <c r="B29" t="s">
        <v>1</v>
      </c>
      <c r="C29" t="s">
        <v>11</v>
      </c>
      <c r="D29" t="e">
        <f>VLOOKUP(C29,'lookup table'!$A$2:$B$19,2,FALSE)</f>
        <v>#N/A</v>
      </c>
      <c r="E29" t="str">
        <f t="shared" si="0"/>
        <v/>
      </c>
    </row>
    <row r="30" spans="1:5" x14ac:dyDescent="0.2">
      <c r="A30" t="s">
        <v>0</v>
      </c>
      <c r="B30" t="s">
        <v>3</v>
      </c>
      <c r="C30" t="s">
        <v>11</v>
      </c>
      <c r="D30" t="e">
        <f>VLOOKUP(C30,'lookup table'!$A$2:$B$19,2,FALSE)</f>
        <v>#N/A</v>
      </c>
      <c r="E30" t="str">
        <f t="shared" si="0"/>
        <v/>
      </c>
    </row>
    <row r="31" spans="1:5" x14ac:dyDescent="0.2">
      <c r="A31" t="s">
        <v>0</v>
      </c>
      <c r="B31" t="s">
        <v>7</v>
      </c>
      <c r="C31" t="s">
        <v>11</v>
      </c>
      <c r="D31" t="e">
        <f>VLOOKUP(C31,'lookup table'!$A$2:$B$19,2,FALSE)</f>
        <v>#N/A</v>
      </c>
      <c r="E31" t="str">
        <f t="shared" si="0"/>
        <v/>
      </c>
    </row>
    <row r="32" spans="1:5" x14ac:dyDescent="0.2">
      <c r="A32" t="s">
        <v>0</v>
      </c>
      <c r="B32" t="s">
        <v>7</v>
      </c>
      <c r="C32" t="s">
        <v>11</v>
      </c>
      <c r="D32" t="e">
        <f>VLOOKUP(C32,'lookup table'!$A$2:$B$19,2,FALSE)</f>
        <v>#N/A</v>
      </c>
      <c r="E32" t="str">
        <f t="shared" si="0"/>
        <v/>
      </c>
    </row>
    <row r="33" spans="1:5" x14ac:dyDescent="0.2">
      <c r="A33" t="s">
        <v>0</v>
      </c>
      <c r="B33" t="s">
        <v>4</v>
      </c>
      <c r="C33" t="s">
        <v>11</v>
      </c>
      <c r="D33" t="e">
        <f>VLOOKUP(C33,'lookup table'!$A$2:$B$19,2,FALSE)</f>
        <v>#N/A</v>
      </c>
      <c r="E33" t="str">
        <f t="shared" si="0"/>
        <v/>
      </c>
    </row>
    <row r="34" spans="1:5" x14ac:dyDescent="0.2">
      <c r="A34" t="s">
        <v>0</v>
      </c>
      <c r="B34" t="s">
        <v>8</v>
      </c>
      <c r="C34" t="s">
        <v>11</v>
      </c>
      <c r="D34" t="e">
        <f>VLOOKUP(C34,'lookup table'!$A$2:$B$19,2,FALSE)</f>
        <v>#N/A</v>
      </c>
      <c r="E34" t="str">
        <f t="shared" si="0"/>
        <v/>
      </c>
    </row>
    <row r="35" spans="1:5" x14ac:dyDescent="0.2">
      <c r="A35" t="s">
        <v>0</v>
      </c>
      <c r="B35" t="s">
        <v>8</v>
      </c>
      <c r="C35" t="s">
        <v>11</v>
      </c>
      <c r="D35" t="e">
        <f>VLOOKUP(C35,'lookup table'!$A$2:$B$19,2,FALSE)</f>
        <v>#N/A</v>
      </c>
      <c r="E35" t="str">
        <f t="shared" si="0"/>
        <v/>
      </c>
    </row>
    <row r="36" spans="1:5" x14ac:dyDescent="0.2">
      <c r="A36" t="s">
        <v>0</v>
      </c>
      <c r="B36" t="s">
        <v>1</v>
      </c>
      <c r="C36" t="s">
        <v>12</v>
      </c>
      <c r="D36" t="e">
        <f>VLOOKUP(C36,'lookup table'!$A$2:$B$19,2,FALSE)</f>
        <v>#N/A</v>
      </c>
      <c r="E36" t="str">
        <f t="shared" si="0"/>
        <v/>
      </c>
    </row>
    <row r="37" spans="1:5" x14ac:dyDescent="0.2">
      <c r="A37" t="s">
        <v>0</v>
      </c>
      <c r="B37" t="s">
        <v>3</v>
      </c>
      <c r="C37" t="s">
        <v>12</v>
      </c>
      <c r="D37" t="e">
        <f>VLOOKUP(C37,'lookup table'!$A$2:$B$19,2,FALSE)</f>
        <v>#N/A</v>
      </c>
      <c r="E37" t="str">
        <f t="shared" si="0"/>
        <v/>
      </c>
    </row>
    <row r="38" spans="1:5" x14ac:dyDescent="0.2">
      <c r="A38" t="s">
        <v>0</v>
      </c>
      <c r="B38" t="s">
        <v>7</v>
      </c>
      <c r="C38" t="s">
        <v>12</v>
      </c>
      <c r="D38" t="e">
        <f>VLOOKUP(C38,'lookup table'!$A$2:$B$19,2,FALSE)</f>
        <v>#N/A</v>
      </c>
      <c r="E38" t="str">
        <f t="shared" si="0"/>
        <v/>
      </c>
    </row>
    <row r="39" spans="1:5" x14ac:dyDescent="0.2">
      <c r="A39" t="s">
        <v>0</v>
      </c>
      <c r="B39" t="s">
        <v>7</v>
      </c>
      <c r="C39" t="s">
        <v>12</v>
      </c>
      <c r="D39" t="e">
        <f>VLOOKUP(C39,'lookup table'!$A$2:$B$19,2,FALSE)</f>
        <v>#N/A</v>
      </c>
      <c r="E39" t="str">
        <f t="shared" si="0"/>
        <v/>
      </c>
    </row>
    <row r="40" spans="1:5" x14ac:dyDescent="0.2">
      <c r="A40" t="s">
        <v>0</v>
      </c>
      <c r="B40" t="s">
        <v>4</v>
      </c>
      <c r="C40" t="s">
        <v>12</v>
      </c>
      <c r="D40" t="e">
        <f>VLOOKUP(C40,'lookup table'!$A$2:$B$19,2,FALSE)</f>
        <v>#N/A</v>
      </c>
      <c r="E40" t="str">
        <f t="shared" si="0"/>
        <v/>
      </c>
    </row>
    <row r="41" spans="1:5" x14ac:dyDescent="0.2">
      <c r="A41" t="s">
        <v>0</v>
      </c>
      <c r="B41" t="s">
        <v>8</v>
      </c>
      <c r="C41" t="s">
        <v>12</v>
      </c>
      <c r="D41" t="e">
        <f>VLOOKUP(C41,'lookup table'!$A$2:$B$19,2,FALSE)</f>
        <v>#N/A</v>
      </c>
      <c r="E41" t="str">
        <f t="shared" si="0"/>
        <v/>
      </c>
    </row>
    <row r="42" spans="1:5" x14ac:dyDescent="0.2">
      <c r="A42" t="s">
        <v>0</v>
      </c>
      <c r="B42" t="s">
        <v>8</v>
      </c>
      <c r="C42" t="s">
        <v>12</v>
      </c>
      <c r="D42" t="e">
        <f>VLOOKUP(C42,'lookup table'!$A$2:$B$19,2,FALSE)</f>
        <v>#N/A</v>
      </c>
      <c r="E42" t="str">
        <f t="shared" si="0"/>
        <v/>
      </c>
    </row>
    <row r="43" spans="1:5" x14ac:dyDescent="0.2">
      <c r="A43" t="s">
        <v>0</v>
      </c>
      <c r="B43" t="s">
        <v>13</v>
      </c>
      <c r="C43" t="s">
        <v>14</v>
      </c>
      <c r="D43" t="str">
        <f>VLOOKUP(C43,'lookup table'!$A$2:$B$19,2,FALSE)</f>
        <v>ALC</v>
      </c>
      <c r="E43" t="str">
        <f t="shared" si="0"/>
        <v>|ALC</v>
      </c>
    </row>
    <row r="44" spans="1:5" x14ac:dyDescent="0.2">
      <c r="A44" t="s">
        <v>0</v>
      </c>
      <c r="B44" t="s">
        <v>1</v>
      </c>
      <c r="C44" t="s">
        <v>14</v>
      </c>
      <c r="D44" t="str">
        <f>VLOOKUP(C44,'lookup table'!$A$2:$B$19,2,FALSE)</f>
        <v>ALC</v>
      </c>
      <c r="E44" t="str">
        <f t="shared" si="0"/>
        <v>|ALC</v>
      </c>
    </row>
    <row r="45" spans="1:5" x14ac:dyDescent="0.2">
      <c r="A45" t="s">
        <v>0</v>
      </c>
      <c r="B45" t="s">
        <v>3</v>
      </c>
      <c r="C45" t="s">
        <v>14</v>
      </c>
      <c r="D45" t="str">
        <f>VLOOKUP(C45,'lookup table'!$A$2:$B$19,2,FALSE)</f>
        <v>ALC</v>
      </c>
      <c r="E45" t="str">
        <f t="shared" si="0"/>
        <v>|ALC</v>
      </c>
    </row>
    <row r="46" spans="1:5" x14ac:dyDescent="0.2">
      <c r="A46" t="s">
        <v>0</v>
      </c>
      <c r="B46" t="s">
        <v>7</v>
      </c>
      <c r="C46" t="s">
        <v>14</v>
      </c>
      <c r="D46" t="str">
        <f>VLOOKUP(C46,'lookup table'!$A$2:$B$19,2,FALSE)</f>
        <v>ALC</v>
      </c>
      <c r="E46" t="str">
        <f t="shared" si="0"/>
        <v>|ALC</v>
      </c>
    </row>
    <row r="47" spans="1:5" x14ac:dyDescent="0.2">
      <c r="A47" t="s">
        <v>0</v>
      </c>
      <c r="B47" t="s">
        <v>7</v>
      </c>
      <c r="C47" t="s">
        <v>14</v>
      </c>
      <c r="D47" t="str">
        <f>VLOOKUP(C47,'lookup table'!$A$2:$B$19,2,FALSE)</f>
        <v>ALC</v>
      </c>
      <c r="E47" t="str">
        <f t="shared" si="0"/>
        <v>|ALC</v>
      </c>
    </row>
    <row r="48" spans="1:5" x14ac:dyDescent="0.2">
      <c r="A48" t="s">
        <v>0</v>
      </c>
      <c r="B48" t="s">
        <v>4</v>
      </c>
      <c r="C48" t="s">
        <v>14</v>
      </c>
      <c r="D48" t="str">
        <f>VLOOKUP(C48,'lookup table'!$A$2:$B$19,2,FALSE)</f>
        <v>ALC</v>
      </c>
      <c r="E48" t="str">
        <f t="shared" si="0"/>
        <v>|ALC</v>
      </c>
    </row>
    <row r="49" spans="1:5" x14ac:dyDescent="0.2">
      <c r="A49" t="s">
        <v>0</v>
      </c>
      <c r="B49" t="s">
        <v>8</v>
      </c>
      <c r="C49" t="s">
        <v>14</v>
      </c>
      <c r="D49" t="str">
        <f>VLOOKUP(C49,'lookup table'!$A$2:$B$19,2,FALSE)</f>
        <v>ALC</v>
      </c>
      <c r="E49" t="str">
        <f t="shared" si="0"/>
        <v>|ALC</v>
      </c>
    </row>
    <row r="50" spans="1:5" x14ac:dyDescent="0.2">
      <c r="A50" t="s">
        <v>0</v>
      </c>
      <c r="B50" t="s">
        <v>8</v>
      </c>
      <c r="C50" t="s">
        <v>14</v>
      </c>
      <c r="D50" t="str">
        <f>VLOOKUP(C50,'lookup table'!$A$2:$B$19,2,FALSE)</f>
        <v>ALC</v>
      </c>
      <c r="E50" t="str">
        <f t="shared" si="0"/>
        <v>|ALC</v>
      </c>
    </row>
    <row r="51" spans="1:5" x14ac:dyDescent="0.2">
      <c r="A51" t="s">
        <v>0</v>
      </c>
      <c r="B51" t="s">
        <v>15</v>
      </c>
      <c r="C51" t="s">
        <v>14</v>
      </c>
      <c r="D51" t="str">
        <f>VLOOKUP(C51,'lookup table'!$A$2:$B$19,2,FALSE)</f>
        <v>ALC</v>
      </c>
      <c r="E51" t="str">
        <f t="shared" si="0"/>
        <v>|ALC</v>
      </c>
    </row>
    <row r="52" spans="1:5" x14ac:dyDescent="0.2">
      <c r="A52" t="s">
        <v>0</v>
      </c>
      <c r="B52" t="s">
        <v>15</v>
      </c>
      <c r="C52" t="s">
        <v>14</v>
      </c>
      <c r="D52" t="str">
        <f>VLOOKUP(C52,'lookup table'!$A$2:$B$19,2,FALSE)</f>
        <v>ALC</v>
      </c>
      <c r="E52" t="str">
        <f t="shared" si="0"/>
        <v>|ALC</v>
      </c>
    </row>
    <row r="53" spans="1:5" x14ac:dyDescent="0.2">
      <c r="A53" t="s">
        <v>0</v>
      </c>
      <c r="B53" t="s">
        <v>16</v>
      </c>
      <c r="C53" t="s">
        <v>14</v>
      </c>
      <c r="D53" t="str">
        <f>VLOOKUP(C53,'lookup table'!$A$2:$B$19,2,FALSE)</f>
        <v>ALC</v>
      </c>
      <c r="E53" t="str">
        <f t="shared" si="0"/>
        <v>|ALC</v>
      </c>
    </row>
    <row r="54" spans="1:5" x14ac:dyDescent="0.2">
      <c r="A54" t="s">
        <v>0</v>
      </c>
      <c r="B54" t="s">
        <v>16</v>
      </c>
      <c r="C54" t="s">
        <v>14</v>
      </c>
      <c r="D54" t="str">
        <f>VLOOKUP(C54,'lookup table'!$A$2:$B$19,2,FALSE)</f>
        <v>ALC</v>
      </c>
      <c r="E54" t="str">
        <f t="shared" si="0"/>
        <v>|ALC</v>
      </c>
    </row>
    <row r="55" spans="1:5" x14ac:dyDescent="0.2">
      <c r="A55" t="s">
        <v>0</v>
      </c>
      <c r="B55" t="s">
        <v>16</v>
      </c>
      <c r="C55" t="s">
        <v>14</v>
      </c>
      <c r="D55" t="str">
        <f>VLOOKUP(C55,'lookup table'!$A$2:$B$19,2,FALSE)</f>
        <v>ALC</v>
      </c>
      <c r="E55" t="str">
        <f t="shared" si="0"/>
        <v>|ALC</v>
      </c>
    </row>
    <row r="56" spans="1:5" x14ac:dyDescent="0.2">
      <c r="A56" t="s">
        <v>0</v>
      </c>
      <c r="B56" t="s">
        <v>17</v>
      </c>
      <c r="C56" t="s">
        <v>14</v>
      </c>
      <c r="D56" t="str">
        <f>VLOOKUP(C56,'lookup table'!$A$2:$B$19,2,FALSE)</f>
        <v>ALC</v>
      </c>
      <c r="E56" t="str">
        <f t="shared" si="0"/>
        <v>|ALC</v>
      </c>
    </row>
    <row r="57" spans="1:5" x14ac:dyDescent="0.2">
      <c r="A57" t="s">
        <v>0</v>
      </c>
      <c r="B57" t="s">
        <v>18</v>
      </c>
      <c r="C57" t="s">
        <v>14</v>
      </c>
      <c r="D57" t="str">
        <f>VLOOKUP(C57,'lookup table'!$A$2:$B$19,2,FALSE)</f>
        <v>ALC</v>
      </c>
      <c r="E57" t="str">
        <f t="shared" si="0"/>
        <v>|ALC</v>
      </c>
    </row>
    <row r="58" spans="1:5" x14ac:dyDescent="0.2">
      <c r="A58" t="s">
        <v>0</v>
      </c>
      <c r="B58" t="s">
        <v>19</v>
      </c>
      <c r="C58" t="s">
        <v>20</v>
      </c>
      <c r="D58" t="str">
        <f>VLOOKUP(C58,'lookup table'!$A$2:$B$19,2,FALSE)</f>
        <v>AY</v>
      </c>
      <c r="E58" t="str">
        <f t="shared" si="0"/>
        <v>|AY</v>
      </c>
    </row>
    <row r="59" spans="1:5" x14ac:dyDescent="0.2">
      <c r="A59" t="s">
        <v>0</v>
      </c>
      <c r="B59" t="s">
        <v>21</v>
      </c>
      <c r="C59" t="s">
        <v>20</v>
      </c>
      <c r="D59" t="str">
        <f>VLOOKUP(C59,'lookup table'!$A$2:$B$19,2,FALSE)</f>
        <v>AY</v>
      </c>
      <c r="E59" t="str">
        <f t="shared" si="0"/>
        <v>|AY</v>
      </c>
    </row>
    <row r="60" spans="1:5" x14ac:dyDescent="0.2">
      <c r="A60" t="s">
        <v>0</v>
      </c>
      <c r="B60" t="s">
        <v>22</v>
      </c>
      <c r="C60" t="s">
        <v>20</v>
      </c>
      <c r="D60" t="str">
        <f>VLOOKUP(C60,'lookup table'!$A$2:$B$19,2,FALSE)</f>
        <v>AY</v>
      </c>
      <c r="E60" t="str">
        <f t="shared" si="0"/>
        <v>|AY</v>
      </c>
    </row>
    <row r="61" spans="1:5" x14ac:dyDescent="0.2">
      <c r="A61" t="s">
        <v>0</v>
      </c>
      <c r="B61" t="s">
        <v>23</v>
      </c>
      <c r="C61" t="s">
        <v>20</v>
      </c>
      <c r="D61" t="str">
        <f>VLOOKUP(C61,'lookup table'!$A$2:$B$19,2,FALSE)</f>
        <v>AY</v>
      </c>
      <c r="E61" t="str">
        <f t="shared" si="0"/>
        <v>|AY</v>
      </c>
    </row>
    <row r="62" spans="1:5" x14ac:dyDescent="0.2">
      <c r="A62" t="s">
        <v>0</v>
      </c>
      <c r="B62" t="s">
        <v>24</v>
      </c>
      <c r="C62" t="s">
        <v>20</v>
      </c>
      <c r="D62" t="str">
        <f>VLOOKUP(C62,'lookup table'!$A$2:$B$19,2,FALSE)</f>
        <v>AY</v>
      </c>
      <c r="E62" t="str">
        <f t="shared" si="0"/>
        <v>|AY</v>
      </c>
    </row>
    <row r="63" spans="1:5" x14ac:dyDescent="0.2">
      <c r="A63" t="s">
        <v>0</v>
      </c>
      <c r="B63" t="s">
        <v>25</v>
      </c>
      <c r="C63" t="s">
        <v>20</v>
      </c>
      <c r="D63" t="str">
        <f>VLOOKUP(C63,'lookup table'!$A$2:$B$19,2,FALSE)</f>
        <v>AY</v>
      </c>
      <c r="E63" t="str">
        <f t="shared" si="0"/>
        <v>|AY</v>
      </c>
    </row>
    <row r="64" spans="1:5" x14ac:dyDescent="0.2">
      <c r="A64" t="s">
        <v>0</v>
      </c>
      <c r="B64" t="s">
        <v>26</v>
      </c>
      <c r="C64" t="s">
        <v>20</v>
      </c>
      <c r="D64" t="str">
        <f>VLOOKUP(C64,'lookup table'!$A$2:$B$19,2,FALSE)</f>
        <v>AY</v>
      </c>
      <c r="E64" t="str">
        <f t="shared" si="0"/>
        <v>|AY</v>
      </c>
    </row>
    <row r="65" spans="1:5" x14ac:dyDescent="0.2">
      <c r="A65" t="s">
        <v>0</v>
      </c>
      <c r="B65" t="s">
        <v>27</v>
      </c>
      <c r="C65" t="s">
        <v>20</v>
      </c>
      <c r="D65" t="str">
        <f>VLOOKUP(C65,'lookup table'!$A$2:$B$19,2,FALSE)</f>
        <v>AY</v>
      </c>
      <c r="E65" t="str">
        <f t="shared" si="0"/>
        <v>|AY</v>
      </c>
    </row>
    <row r="66" spans="1:5" x14ac:dyDescent="0.2">
      <c r="A66" t="s">
        <v>0</v>
      </c>
      <c r="B66" t="s">
        <v>28</v>
      </c>
      <c r="C66" t="s">
        <v>20</v>
      </c>
      <c r="D66" t="str">
        <f>VLOOKUP(C66,'lookup table'!$A$2:$B$19,2,FALSE)</f>
        <v>AY</v>
      </c>
      <c r="E66" t="str">
        <f t="shared" si="0"/>
        <v>|AY</v>
      </c>
    </row>
    <row r="67" spans="1:5" x14ac:dyDescent="0.2">
      <c r="A67" t="s">
        <v>0</v>
      </c>
      <c r="B67" t="s">
        <v>29</v>
      </c>
      <c r="C67" t="s">
        <v>20</v>
      </c>
      <c r="D67" t="str">
        <f>VLOOKUP(C67,'lookup table'!$A$2:$B$19,2,FALSE)</f>
        <v>AY</v>
      </c>
      <c r="E67" t="str">
        <f t="shared" ref="E67:E130" si="1">IF(ISNA(D67),"",IF(A67="","",A67) &amp; "|" &amp; D67)</f>
        <v>|AY</v>
      </c>
    </row>
    <row r="68" spans="1:5" x14ac:dyDescent="0.2">
      <c r="A68" t="s">
        <v>0</v>
      </c>
      <c r="B68" t="s">
        <v>29</v>
      </c>
      <c r="C68" t="s">
        <v>20</v>
      </c>
      <c r="D68" t="str">
        <f>VLOOKUP(C68,'lookup table'!$A$2:$B$19,2,FALSE)</f>
        <v>AY</v>
      </c>
      <c r="E68" t="str">
        <f t="shared" si="1"/>
        <v>|AY</v>
      </c>
    </row>
    <row r="69" spans="1:5" x14ac:dyDescent="0.2">
      <c r="A69" t="s">
        <v>0</v>
      </c>
      <c r="B69" t="s">
        <v>30</v>
      </c>
      <c r="C69" t="s">
        <v>20</v>
      </c>
      <c r="D69" t="str">
        <f>VLOOKUP(C69,'lookup table'!$A$2:$B$19,2,FALSE)</f>
        <v>AY</v>
      </c>
      <c r="E69" t="str">
        <f t="shared" si="1"/>
        <v>|AY</v>
      </c>
    </row>
    <row r="70" spans="1:5" x14ac:dyDescent="0.2">
      <c r="A70" t="s">
        <v>0</v>
      </c>
      <c r="B70" t="s">
        <v>31</v>
      </c>
      <c r="C70" t="s">
        <v>20</v>
      </c>
      <c r="D70" t="str">
        <f>VLOOKUP(C70,'lookup table'!$A$2:$B$19,2,FALSE)</f>
        <v>AY</v>
      </c>
      <c r="E70" t="str">
        <f t="shared" si="1"/>
        <v>|AY</v>
      </c>
    </row>
    <row r="71" spans="1:5" x14ac:dyDescent="0.2">
      <c r="A71" t="s">
        <v>0</v>
      </c>
      <c r="B71" t="s">
        <v>13</v>
      </c>
      <c r="C71" t="s">
        <v>20</v>
      </c>
      <c r="D71" t="str">
        <f>VLOOKUP(C71,'lookup table'!$A$2:$B$19,2,FALSE)</f>
        <v>AY</v>
      </c>
      <c r="E71" t="str">
        <f t="shared" si="1"/>
        <v>|AY</v>
      </c>
    </row>
    <row r="72" spans="1:5" x14ac:dyDescent="0.2">
      <c r="A72" t="s">
        <v>0</v>
      </c>
      <c r="B72" t="s">
        <v>32</v>
      </c>
      <c r="C72" t="s">
        <v>20</v>
      </c>
      <c r="D72" t="str">
        <f>VLOOKUP(C72,'lookup table'!$A$2:$B$19,2,FALSE)</f>
        <v>AY</v>
      </c>
      <c r="E72" t="str">
        <f t="shared" si="1"/>
        <v>|AY</v>
      </c>
    </row>
    <row r="73" spans="1:5" x14ac:dyDescent="0.2">
      <c r="A73" t="s">
        <v>0</v>
      </c>
      <c r="B73" t="s">
        <v>1</v>
      </c>
      <c r="C73" t="s">
        <v>20</v>
      </c>
      <c r="D73" t="str">
        <f>VLOOKUP(C73,'lookup table'!$A$2:$B$19,2,FALSE)</f>
        <v>AY</v>
      </c>
      <c r="E73" t="str">
        <f t="shared" si="1"/>
        <v>|AY</v>
      </c>
    </row>
    <row r="74" spans="1:5" x14ac:dyDescent="0.2">
      <c r="A74" t="s">
        <v>0</v>
      </c>
      <c r="B74" t="s">
        <v>3</v>
      </c>
      <c r="C74" t="s">
        <v>20</v>
      </c>
      <c r="D74" t="str">
        <f>VLOOKUP(C74,'lookup table'!$A$2:$B$19,2,FALSE)</f>
        <v>AY</v>
      </c>
      <c r="E74" t="str">
        <f t="shared" si="1"/>
        <v>|AY</v>
      </c>
    </row>
    <row r="75" spans="1:5" x14ac:dyDescent="0.2">
      <c r="A75" t="s">
        <v>0</v>
      </c>
      <c r="B75" t="s">
        <v>7</v>
      </c>
      <c r="C75" t="s">
        <v>20</v>
      </c>
      <c r="D75" t="str">
        <f>VLOOKUP(C75,'lookup table'!$A$2:$B$19,2,FALSE)</f>
        <v>AY</v>
      </c>
      <c r="E75" t="str">
        <f t="shared" si="1"/>
        <v>|AY</v>
      </c>
    </row>
    <row r="76" spans="1:5" x14ac:dyDescent="0.2">
      <c r="A76" t="s">
        <v>0</v>
      </c>
      <c r="B76" t="s">
        <v>7</v>
      </c>
      <c r="C76" t="s">
        <v>20</v>
      </c>
      <c r="D76" t="str">
        <f>VLOOKUP(C76,'lookup table'!$A$2:$B$19,2,FALSE)</f>
        <v>AY</v>
      </c>
      <c r="E76" t="str">
        <f t="shared" si="1"/>
        <v>|AY</v>
      </c>
    </row>
    <row r="77" spans="1:5" x14ac:dyDescent="0.2">
      <c r="A77" t="s">
        <v>0</v>
      </c>
      <c r="B77" t="s">
        <v>33</v>
      </c>
      <c r="C77" t="s">
        <v>20</v>
      </c>
      <c r="D77" t="str">
        <f>VLOOKUP(C77,'lookup table'!$A$2:$B$19,2,FALSE)</f>
        <v>AY</v>
      </c>
      <c r="E77" t="str">
        <f t="shared" si="1"/>
        <v>|AY</v>
      </c>
    </row>
    <row r="78" spans="1:5" x14ac:dyDescent="0.2">
      <c r="A78" t="s">
        <v>0</v>
      </c>
      <c r="B78" t="s">
        <v>34</v>
      </c>
      <c r="C78" t="s">
        <v>20</v>
      </c>
      <c r="D78" t="str">
        <f>VLOOKUP(C78,'lookup table'!$A$2:$B$19,2,FALSE)</f>
        <v>AY</v>
      </c>
      <c r="E78" t="str">
        <f t="shared" si="1"/>
        <v>|AY</v>
      </c>
    </row>
    <row r="79" spans="1:5" x14ac:dyDescent="0.2">
      <c r="A79" t="s">
        <v>0</v>
      </c>
      <c r="B79" t="s">
        <v>4</v>
      </c>
      <c r="C79" t="s">
        <v>20</v>
      </c>
      <c r="D79" t="str">
        <f>VLOOKUP(C79,'lookup table'!$A$2:$B$19,2,FALSE)</f>
        <v>AY</v>
      </c>
      <c r="E79" t="str">
        <f t="shared" si="1"/>
        <v>|AY</v>
      </c>
    </row>
    <row r="80" spans="1:5" x14ac:dyDescent="0.2">
      <c r="A80" t="s">
        <v>0</v>
      </c>
      <c r="B80" t="s">
        <v>35</v>
      </c>
      <c r="C80" t="s">
        <v>20</v>
      </c>
      <c r="D80" t="str">
        <f>VLOOKUP(C80,'lookup table'!$A$2:$B$19,2,FALSE)</f>
        <v>AY</v>
      </c>
      <c r="E80" t="str">
        <f t="shared" si="1"/>
        <v>|AY</v>
      </c>
    </row>
    <row r="81" spans="1:5" x14ac:dyDescent="0.2">
      <c r="A81" t="s">
        <v>0</v>
      </c>
      <c r="B81" t="s">
        <v>36</v>
      </c>
      <c r="C81" t="s">
        <v>20</v>
      </c>
      <c r="D81" t="str">
        <f>VLOOKUP(C81,'lookup table'!$A$2:$B$19,2,FALSE)</f>
        <v>AY</v>
      </c>
      <c r="E81" t="str">
        <f t="shared" si="1"/>
        <v>|AY</v>
      </c>
    </row>
    <row r="82" spans="1:5" x14ac:dyDescent="0.2">
      <c r="A82" t="s">
        <v>0</v>
      </c>
      <c r="B82" t="s">
        <v>37</v>
      </c>
      <c r="C82" t="s">
        <v>20</v>
      </c>
      <c r="D82" t="str">
        <f>VLOOKUP(C82,'lookup table'!$A$2:$B$19,2,FALSE)</f>
        <v>AY</v>
      </c>
      <c r="E82" t="str">
        <f t="shared" si="1"/>
        <v>|AY</v>
      </c>
    </row>
    <row r="83" spans="1:5" x14ac:dyDescent="0.2">
      <c r="A83" t="s">
        <v>0</v>
      </c>
      <c r="B83" t="s">
        <v>38</v>
      </c>
      <c r="C83" t="s">
        <v>20</v>
      </c>
      <c r="D83" t="str">
        <f>VLOOKUP(C83,'lookup table'!$A$2:$B$19,2,FALSE)</f>
        <v>AY</v>
      </c>
      <c r="E83" t="str">
        <f t="shared" si="1"/>
        <v>|AY</v>
      </c>
    </row>
    <row r="84" spans="1:5" x14ac:dyDescent="0.2">
      <c r="A84" t="s">
        <v>0</v>
      </c>
      <c r="B84" t="s">
        <v>39</v>
      </c>
      <c r="C84" t="s">
        <v>20</v>
      </c>
      <c r="D84" t="str">
        <f>VLOOKUP(C84,'lookup table'!$A$2:$B$19,2,FALSE)</f>
        <v>AY</v>
      </c>
      <c r="E84" t="str">
        <f t="shared" si="1"/>
        <v>|AY</v>
      </c>
    </row>
    <row r="85" spans="1:5" x14ac:dyDescent="0.2">
      <c r="A85" t="s">
        <v>0</v>
      </c>
      <c r="B85" t="s">
        <v>40</v>
      </c>
      <c r="C85" t="s">
        <v>20</v>
      </c>
      <c r="D85" t="str">
        <f>VLOOKUP(C85,'lookup table'!$A$2:$B$19,2,FALSE)</f>
        <v>AY</v>
      </c>
      <c r="E85" t="str">
        <f t="shared" si="1"/>
        <v>|AY</v>
      </c>
    </row>
    <row r="86" spans="1:5" x14ac:dyDescent="0.2">
      <c r="A86" t="s">
        <v>0</v>
      </c>
      <c r="B86" t="s">
        <v>41</v>
      </c>
      <c r="C86" t="s">
        <v>20</v>
      </c>
      <c r="D86" t="str">
        <f>VLOOKUP(C86,'lookup table'!$A$2:$B$19,2,FALSE)</f>
        <v>AY</v>
      </c>
      <c r="E86" t="str">
        <f t="shared" si="1"/>
        <v>|AY</v>
      </c>
    </row>
    <row r="87" spans="1:5" x14ac:dyDescent="0.2">
      <c r="A87" t="s">
        <v>0</v>
      </c>
      <c r="B87" t="s">
        <v>42</v>
      </c>
      <c r="C87" t="s">
        <v>20</v>
      </c>
      <c r="D87" t="str">
        <f>VLOOKUP(C87,'lookup table'!$A$2:$B$19,2,FALSE)</f>
        <v>AY</v>
      </c>
      <c r="E87" t="str">
        <f t="shared" si="1"/>
        <v>|AY</v>
      </c>
    </row>
    <row r="88" spans="1:5" x14ac:dyDescent="0.2">
      <c r="A88" t="s">
        <v>0</v>
      </c>
      <c r="B88" t="s">
        <v>43</v>
      </c>
      <c r="C88" t="s">
        <v>20</v>
      </c>
      <c r="D88" t="str">
        <f>VLOOKUP(C88,'lookup table'!$A$2:$B$19,2,FALSE)</f>
        <v>AY</v>
      </c>
      <c r="E88" t="str">
        <f t="shared" si="1"/>
        <v>|AY</v>
      </c>
    </row>
    <row r="89" spans="1:5" x14ac:dyDescent="0.2">
      <c r="A89" t="s">
        <v>0</v>
      </c>
      <c r="B89" t="s">
        <v>44</v>
      </c>
      <c r="C89" t="s">
        <v>20</v>
      </c>
      <c r="D89" t="str">
        <f>VLOOKUP(C89,'lookup table'!$A$2:$B$19,2,FALSE)</f>
        <v>AY</v>
      </c>
      <c r="E89" t="str">
        <f t="shared" si="1"/>
        <v>|AY</v>
      </c>
    </row>
    <row r="90" spans="1:5" x14ac:dyDescent="0.2">
      <c r="A90" t="s">
        <v>0</v>
      </c>
      <c r="B90" t="s">
        <v>45</v>
      </c>
      <c r="C90" t="s">
        <v>20</v>
      </c>
      <c r="D90" t="str">
        <f>VLOOKUP(C90,'lookup table'!$A$2:$B$19,2,FALSE)</f>
        <v>AY</v>
      </c>
      <c r="E90" t="str">
        <f t="shared" si="1"/>
        <v>|AY</v>
      </c>
    </row>
    <row r="91" spans="1:5" x14ac:dyDescent="0.2">
      <c r="A91" t="s">
        <v>0</v>
      </c>
      <c r="B91" t="s">
        <v>46</v>
      </c>
      <c r="C91" t="s">
        <v>20</v>
      </c>
      <c r="D91" t="str">
        <f>VLOOKUP(C91,'lookup table'!$A$2:$B$19,2,FALSE)</f>
        <v>AY</v>
      </c>
      <c r="E91" t="str">
        <f t="shared" si="1"/>
        <v>|AY</v>
      </c>
    </row>
    <row r="92" spans="1:5" x14ac:dyDescent="0.2">
      <c r="A92" t="s">
        <v>0</v>
      </c>
      <c r="B92" t="s">
        <v>47</v>
      </c>
      <c r="C92" t="s">
        <v>20</v>
      </c>
      <c r="D92" t="str">
        <f>VLOOKUP(C92,'lookup table'!$A$2:$B$19,2,FALSE)</f>
        <v>AY</v>
      </c>
      <c r="E92" t="str">
        <f t="shared" si="1"/>
        <v>|AY</v>
      </c>
    </row>
    <row r="93" spans="1:5" x14ac:dyDescent="0.2">
      <c r="A93" t="s">
        <v>0</v>
      </c>
      <c r="B93" t="s">
        <v>48</v>
      </c>
      <c r="C93" t="s">
        <v>20</v>
      </c>
      <c r="D93" t="str">
        <f>VLOOKUP(C93,'lookup table'!$A$2:$B$19,2,FALSE)</f>
        <v>AY</v>
      </c>
      <c r="E93" t="str">
        <f t="shared" si="1"/>
        <v>|AY</v>
      </c>
    </row>
    <row r="94" spans="1:5" x14ac:dyDescent="0.2">
      <c r="A94" t="s">
        <v>0</v>
      </c>
      <c r="B94" t="s">
        <v>49</v>
      </c>
      <c r="C94" t="s">
        <v>20</v>
      </c>
      <c r="D94" t="str">
        <f>VLOOKUP(C94,'lookup table'!$A$2:$B$19,2,FALSE)</f>
        <v>AY</v>
      </c>
      <c r="E94" t="str">
        <f t="shared" si="1"/>
        <v>|AY</v>
      </c>
    </row>
    <row r="95" spans="1:5" x14ac:dyDescent="0.2">
      <c r="A95" t="s">
        <v>0</v>
      </c>
      <c r="B95" t="s">
        <v>50</v>
      </c>
      <c r="C95" t="s">
        <v>20</v>
      </c>
      <c r="D95" t="str">
        <f>VLOOKUP(C95,'lookup table'!$A$2:$B$19,2,FALSE)</f>
        <v>AY</v>
      </c>
      <c r="E95" t="str">
        <f t="shared" si="1"/>
        <v>|AY</v>
      </c>
    </row>
    <row r="96" spans="1:5" x14ac:dyDescent="0.2">
      <c r="A96" t="s">
        <v>0</v>
      </c>
      <c r="B96" t="s">
        <v>51</v>
      </c>
      <c r="C96" t="s">
        <v>20</v>
      </c>
      <c r="D96" t="str">
        <f>VLOOKUP(C96,'lookup table'!$A$2:$B$19,2,FALSE)</f>
        <v>AY</v>
      </c>
      <c r="E96" t="str">
        <f t="shared" si="1"/>
        <v>|AY</v>
      </c>
    </row>
    <row r="97" spans="1:5" x14ac:dyDescent="0.2">
      <c r="A97" t="s">
        <v>0</v>
      </c>
      <c r="B97" t="s">
        <v>52</v>
      </c>
      <c r="C97" t="s">
        <v>20</v>
      </c>
      <c r="D97" t="str">
        <f>VLOOKUP(C97,'lookup table'!$A$2:$B$19,2,FALSE)</f>
        <v>AY</v>
      </c>
      <c r="E97" t="str">
        <f t="shared" si="1"/>
        <v>|AY</v>
      </c>
    </row>
    <row r="98" spans="1:5" x14ac:dyDescent="0.2">
      <c r="A98" t="s">
        <v>0</v>
      </c>
      <c r="B98" t="s">
        <v>53</v>
      </c>
      <c r="C98" t="s">
        <v>20</v>
      </c>
      <c r="D98" t="str">
        <f>VLOOKUP(C98,'lookup table'!$A$2:$B$19,2,FALSE)</f>
        <v>AY</v>
      </c>
      <c r="E98" t="str">
        <f t="shared" si="1"/>
        <v>|AY</v>
      </c>
    </row>
    <row r="99" spans="1:5" x14ac:dyDescent="0.2">
      <c r="A99" t="s">
        <v>0</v>
      </c>
      <c r="B99" t="s">
        <v>54</v>
      </c>
      <c r="C99" t="s">
        <v>20</v>
      </c>
      <c r="D99" t="str">
        <f>VLOOKUP(C99,'lookup table'!$A$2:$B$19,2,FALSE)</f>
        <v>AY</v>
      </c>
      <c r="E99" t="str">
        <f t="shared" si="1"/>
        <v>|AY</v>
      </c>
    </row>
    <row r="100" spans="1:5" x14ac:dyDescent="0.2">
      <c r="A100" t="s">
        <v>0</v>
      </c>
      <c r="B100" t="s">
        <v>55</v>
      </c>
      <c r="C100" t="s">
        <v>20</v>
      </c>
      <c r="D100" t="str">
        <f>VLOOKUP(C100,'lookup table'!$A$2:$B$19,2,FALSE)</f>
        <v>AY</v>
      </c>
      <c r="E100" t="str">
        <f t="shared" si="1"/>
        <v>|AY</v>
      </c>
    </row>
    <row r="101" spans="1:5" x14ac:dyDescent="0.2">
      <c r="A101" t="s">
        <v>0</v>
      </c>
      <c r="B101" t="s">
        <v>56</v>
      </c>
      <c r="C101" t="s">
        <v>20</v>
      </c>
      <c r="D101" t="str">
        <f>VLOOKUP(C101,'lookup table'!$A$2:$B$19,2,FALSE)</f>
        <v>AY</v>
      </c>
      <c r="E101" t="str">
        <f t="shared" si="1"/>
        <v>|AY</v>
      </c>
    </row>
    <row r="102" spans="1:5" x14ac:dyDescent="0.2">
      <c r="A102" t="s">
        <v>0</v>
      </c>
      <c r="B102" t="s">
        <v>57</v>
      </c>
      <c r="C102" t="s">
        <v>20</v>
      </c>
      <c r="D102" t="str">
        <f>VLOOKUP(C102,'lookup table'!$A$2:$B$19,2,FALSE)</f>
        <v>AY</v>
      </c>
      <c r="E102" t="str">
        <f t="shared" si="1"/>
        <v>|AY</v>
      </c>
    </row>
    <row r="103" spans="1:5" x14ac:dyDescent="0.2">
      <c r="A103" t="s">
        <v>0</v>
      </c>
      <c r="B103" t="s">
        <v>58</v>
      </c>
      <c r="C103" t="s">
        <v>20</v>
      </c>
      <c r="D103" t="str">
        <f>VLOOKUP(C103,'lookup table'!$A$2:$B$19,2,FALSE)</f>
        <v>AY</v>
      </c>
      <c r="E103" t="str">
        <f t="shared" si="1"/>
        <v>|AY</v>
      </c>
    </row>
    <row r="104" spans="1:5" x14ac:dyDescent="0.2">
      <c r="A104" t="s">
        <v>0</v>
      </c>
      <c r="B104" t="s">
        <v>59</v>
      </c>
      <c r="C104" t="s">
        <v>20</v>
      </c>
      <c r="D104" t="str">
        <f>VLOOKUP(C104,'lookup table'!$A$2:$B$19,2,FALSE)</f>
        <v>AY</v>
      </c>
      <c r="E104" t="str">
        <f t="shared" si="1"/>
        <v>|AY</v>
      </c>
    </row>
    <row r="105" spans="1:5" x14ac:dyDescent="0.2">
      <c r="A105" t="s">
        <v>0</v>
      </c>
      <c r="B105" t="s">
        <v>60</v>
      </c>
      <c r="C105" t="s">
        <v>20</v>
      </c>
      <c r="D105" t="str">
        <f>VLOOKUP(C105,'lookup table'!$A$2:$B$19,2,FALSE)</f>
        <v>AY</v>
      </c>
      <c r="E105" t="str">
        <f t="shared" si="1"/>
        <v>|AY</v>
      </c>
    </row>
    <row r="106" spans="1:5" x14ac:dyDescent="0.2">
      <c r="A106" t="s">
        <v>0</v>
      </c>
      <c r="B106" t="s">
        <v>61</v>
      </c>
      <c r="C106" t="s">
        <v>20</v>
      </c>
      <c r="D106" t="str">
        <f>VLOOKUP(C106,'lookup table'!$A$2:$B$19,2,FALSE)</f>
        <v>AY</v>
      </c>
      <c r="E106" t="str">
        <f t="shared" si="1"/>
        <v>|AY</v>
      </c>
    </row>
    <row r="107" spans="1:5" x14ac:dyDescent="0.2">
      <c r="A107" t="s">
        <v>0</v>
      </c>
      <c r="B107" t="s">
        <v>62</v>
      </c>
      <c r="C107" t="s">
        <v>20</v>
      </c>
      <c r="D107" t="str">
        <f>VLOOKUP(C107,'lookup table'!$A$2:$B$19,2,FALSE)</f>
        <v>AY</v>
      </c>
      <c r="E107" t="str">
        <f t="shared" si="1"/>
        <v>|AY</v>
      </c>
    </row>
    <row r="108" spans="1:5" x14ac:dyDescent="0.2">
      <c r="A108" t="s">
        <v>0</v>
      </c>
      <c r="B108" t="s">
        <v>63</v>
      </c>
      <c r="C108" t="s">
        <v>20</v>
      </c>
      <c r="D108" t="str">
        <f>VLOOKUP(C108,'lookup table'!$A$2:$B$19,2,FALSE)</f>
        <v>AY</v>
      </c>
      <c r="E108" t="str">
        <f t="shared" si="1"/>
        <v>|AY</v>
      </c>
    </row>
    <row r="109" spans="1:5" x14ac:dyDescent="0.2">
      <c r="A109" t="s">
        <v>0</v>
      </c>
      <c r="B109" t="s">
        <v>64</v>
      </c>
      <c r="C109" t="s">
        <v>20</v>
      </c>
      <c r="D109" t="str">
        <f>VLOOKUP(C109,'lookup table'!$A$2:$B$19,2,FALSE)</f>
        <v>AY</v>
      </c>
      <c r="E109" t="str">
        <f t="shared" si="1"/>
        <v>|AY</v>
      </c>
    </row>
    <row r="110" spans="1:5" x14ac:dyDescent="0.2">
      <c r="A110" t="s">
        <v>0</v>
      </c>
      <c r="B110" t="s">
        <v>65</v>
      </c>
      <c r="C110" t="s">
        <v>20</v>
      </c>
      <c r="D110" t="str">
        <f>VLOOKUP(C110,'lookup table'!$A$2:$B$19,2,FALSE)</f>
        <v>AY</v>
      </c>
      <c r="E110" t="str">
        <f t="shared" si="1"/>
        <v>|AY</v>
      </c>
    </row>
    <row r="111" spans="1:5" x14ac:dyDescent="0.2">
      <c r="A111" t="s">
        <v>0</v>
      </c>
      <c r="B111" t="s">
        <v>66</v>
      </c>
      <c r="C111" t="s">
        <v>20</v>
      </c>
      <c r="D111" t="str">
        <f>VLOOKUP(C111,'lookup table'!$A$2:$B$19,2,FALSE)</f>
        <v>AY</v>
      </c>
      <c r="E111" t="str">
        <f t="shared" si="1"/>
        <v>|AY</v>
      </c>
    </row>
    <row r="112" spans="1:5" x14ac:dyDescent="0.2">
      <c r="A112" t="s">
        <v>0</v>
      </c>
      <c r="B112" t="s">
        <v>67</v>
      </c>
      <c r="C112" t="s">
        <v>20</v>
      </c>
      <c r="D112" t="str">
        <f>VLOOKUP(C112,'lookup table'!$A$2:$B$19,2,FALSE)</f>
        <v>AY</v>
      </c>
      <c r="E112" t="str">
        <f t="shared" si="1"/>
        <v>|AY</v>
      </c>
    </row>
    <row r="113" spans="1:5" x14ac:dyDescent="0.2">
      <c r="A113" t="s">
        <v>0</v>
      </c>
      <c r="B113" t="s">
        <v>68</v>
      </c>
      <c r="C113" t="s">
        <v>20</v>
      </c>
      <c r="D113" t="str">
        <f>VLOOKUP(C113,'lookup table'!$A$2:$B$19,2,FALSE)</f>
        <v>AY</v>
      </c>
      <c r="E113" t="str">
        <f t="shared" si="1"/>
        <v>|AY</v>
      </c>
    </row>
    <row r="114" spans="1:5" x14ac:dyDescent="0.2">
      <c r="A114" t="s">
        <v>0</v>
      </c>
      <c r="B114" t="s">
        <v>69</v>
      </c>
      <c r="C114" t="s">
        <v>20</v>
      </c>
      <c r="D114" t="str">
        <f>VLOOKUP(C114,'lookup table'!$A$2:$B$19,2,FALSE)</f>
        <v>AY</v>
      </c>
      <c r="E114" t="str">
        <f t="shared" si="1"/>
        <v>|AY</v>
      </c>
    </row>
    <row r="115" spans="1:5" x14ac:dyDescent="0.2">
      <c r="A115" t="s">
        <v>0</v>
      </c>
      <c r="B115" t="s">
        <v>70</v>
      </c>
      <c r="C115" t="s">
        <v>20</v>
      </c>
      <c r="D115" t="str">
        <f>VLOOKUP(C115,'lookup table'!$A$2:$B$19,2,FALSE)</f>
        <v>AY</v>
      </c>
      <c r="E115" t="str">
        <f t="shared" si="1"/>
        <v>|AY</v>
      </c>
    </row>
    <row r="116" spans="1:5" x14ac:dyDescent="0.2">
      <c r="A116" t="s">
        <v>0</v>
      </c>
      <c r="B116" t="s">
        <v>71</v>
      </c>
      <c r="C116" t="s">
        <v>20</v>
      </c>
      <c r="D116" t="str">
        <f>VLOOKUP(C116,'lookup table'!$A$2:$B$19,2,FALSE)</f>
        <v>AY</v>
      </c>
      <c r="E116" t="str">
        <f t="shared" si="1"/>
        <v>|AY</v>
      </c>
    </row>
    <row r="117" spans="1:5" x14ac:dyDescent="0.2">
      <c r="A117" t="s">
        <v>0</v>
      </c>
      <c r="B117" t="s">
        <v>72</v>
      </c>
      <c r="C117" t="s">
        <v>20</v>
      </c>
      <c r="D117" t="str">
        <f>VLOOKUP(C117,'lookup table'!$A$2:$B$19,2,FALSE)</f>
        <v>AY</v>
      </c>
      <c r="E117" t="str">
        <f t="shared" si="1"/>
        <v>|AY</v>
      </c>
    </row>
    <row r="118" spans="1:5" x14ac:dyDescent="0.2">
      <c r="A118" t="s">
        <v>0</v>
      </c>
      <c r="B118" t="s">
        <v>72</v>
      </c>
      <c r="C118" t="s">
        <v>20</v>
      </c>
      <c r="D118" t="str">
        <f>VLOOKUP(C118,'lookup table'!$A$2:$B$19,2,FALSE)</f>
        <v>AY</v>
      </c>
      <c r="E118" t="str">
        <f t="shared" si="1"/>
        <v>|AY</v>
      </c>
    </row>
    <row r="119" spans="1:5" x14ac:dyDescent="0.2">
      <c r="A119" t="s">
        <v>0</v>
      </c>
      <c r="B119" t="s">
        <v>17</v>
      </c>
      <c r="C119" t="s">
        <v>20</v>
      </c>
      <c r="D119" t="str">
        <f>VLOOKUP(C119,'lookup table'!$A$2:$B$19,2,FALSE)</f>
        <v>AY</v>
      </c>
      <c r="E119" t="str">
        <f t="shared" si="1"/>
        <v>|AY</v>
      </c>
    </row>
    <row r="120" spans="1:5" x14ac:dyDescent="0.2">
      <c r="A120" t="s">
        <v>0</v>
      </c>
      <c r="B120" t="s">
        <v>73</v>
      </c>
      <c r="C120" t="s">
        <v>20</v>
      </c>
      <c r="D120" t="str">
        <f>VLOOKUP(C120,'lookup table'!$A$2:$B$19,2,FALSE)</f>
        <v>AY</v>
      </c>
      <c r="E120" t="str">
        <f t="shared" si="1"/>
        <v>|AY</v>
      </c>
    </row>
    <row r="121" spans="1:5" x14ac:dyDescent="0.2">
      <c r="A121" t="s">
        <v>0</v>
      </c>
      <c r="B121" t="s">
        <v>74</v>
      </c>
      <c r="C121" t="s">
        <v>20</v>
      </c>
      <c r="D121" t="str">
        <f>VLOOKUP(C121,'lookup table'!$A$2:$B$19,2,FALSE)</f>
        <v>AY</v>
      </c>
      <c r="E121" t="str">
        <f t="shared" si="1"/>
        <v>|AY</v>
      </c>
    </row>
    <row r="122" spans="1:5" x14ac:dyDescent="0.2">
      <c r="A122" t="s">
        <v>0</v>
      </c>
      <c r="B122" t="s">
        <v>75</v>
      </c>
      <c r="C122" t="s">
        <v>20</v>
      </c>
      <c r="D122" t="str">
        <f>VLOOKUP(C122,'lookup table'!$A$2:$B$19,2,FALSE)</f>
        <v>AY</v>
      </c>
      <c r="E122" t="str">
        <f t="shared" si="1"/>
        <v>|AY</v>
      </c>
    </row>
    <row r="123" spans="1:5" x14ac:dyDescent="0.2">
      <c r="A123" t="s">
        <v>0</v>
      </c>
      <c r="B123" t="s">
        <v>76</v>
      </c>
      <c r="C123" t="s">
        <v>20</v>
      </c>
      <c r="D123" t="str">
        <f>VLOOKUP(C123,'lookup table'!$A$2:$B$19,2,FALSE)</f>
        <v>AY</v>
      </c>
      <c r="E123" t="str">
        <f t="shared" si="1"/>
        <v>|AY</v>
      </c>
    </row>
    <row r="124" spans="1:5" x14ac:dyDescent="0.2">
      <c r="A124" t="s">
        <v>0</v>
      </c>
      <c r="B124" t="s">
        <v>77</v>
      </c>
      <c r="C124" t="s">
        <v>20</v>
      </c>
      <c r="D124" t="str">
        <f>VLOOKUP(C124,'lookup table'!$A$2:$B$19,2,FALSE)</f>
        <v>AY</v>
      </c>
      <c r="E124" t="str">
        <f t="shared" si="1"/>
        <v>|AY</v>
      </c>
    </row>
    <row r="125" spans="1:5" x14ac:dyDescent="0.2">
      <c r="A125" t="s">
        <v>0</v>
      </c>
      <c r="B125" t="s">
        <v>78</v>
      </c>
      <c r="C125" t="s">
        <v>20</v>
      </c>
      <c r="D125" t="str">
        <f>VLOOKUP(C125,'lookup table'!$A$2:$B$19,2,FALSE)</f>
        <v>AY</v>
      </c>
      <c r="E125" t="str">
        <f t="shared" si="1"/>
        <v>|AY</v>
      </c>
    </row>
    <row r="126" spans="1:5" x14ac:dyDescent="0.2">
      <c r="A126" t="s">
        <v>0</v>
      </c>
      <c r="B126" t="s">
        <v>79</v>
      </c>
      <c r="C126" t="s">
        <v>20</v>
      </c>
      <c r="D126" t="str">
        <f>VLOOKUP(C126,'lookup table'!$A$2:$B$19,2,FALSE)</f>
        <v>AY</v>
      </c>
      <c r="E126" t="str">
        <f t="shared" si="1"/>
        <v>|AY</v>
      </c>
    </row>
    <row r="127" spans="1:5" x14ac:dyDescent="0.2">
      <c r="A127" t="s">
        <v>0</v>
      </c>
      <c r="B127" t="s">
        <v>80</v>
      </c>
      <c r="C127" t="s">
        <v>20</v>
      </c>
      <c r="D127" t="str">
        <f>VLOOKUP(C127,'lookup table'!$A$2:$B$19,2,FALSE)</f>
        <v>AY</v>
      </c>
      <c r="E127" t="str">
        <f t="shared" si="1"/>
        <v>|AY</v>
      </c>
    </row>
    <row r="128" spans="1:5" x14ac:dyDescent="0.2">
      <c r="A128" t="s">
        <v>0</v>
      </c>
      <c r="B128" t="s">
        <v>81</v>
      </c>
      <c r="C128" t="s">
        <v>20</v>
      </c>
      <c r="D128" t="str">
        <f>VLOOKUP(C128,'lookup table'!$A$2:$B$19,2,FALSE)</f>
        <v>AY</v>
      </c>
      <c r="E128" t="str">
        <f t="shared" si="1"/>
        <v>|AY</v>
      </c>
    </row>
    <row r="129" spans="1:5" x14ac:dyDescent="0.2">
      <c r="A129" t="s">
        <v>0</v>
      </c>
      <c r="B129" t="s">
        <v>82</v>
      </c>
      <c r="C129" t="s">
        <v>20</v>
      </c>
      <c r="D129" t="str">
        <f>VLOOKUP(C129,'lookup table'!$A$2:$B$19,2,FALSE)</f>
        <v>AY</v>
      </c>
      <c r="E129" t="str">
        <f t="shared" si="1"/>
        <v>|AY</v>
      </c>
    </row>
    <row r="130" spans="1:5" x14ac:dyDescent="0.2">
      <c r="A130" t="s">
        <v>0</v>
      </c>
      <c r="B130" t="s">
        <v>83</v>
      </c>
      <c r="C130" t="s">
        <v>20</v>
      </c>
      <c r="D130" t="str">
        <f>VLOOKUP(C130,'lookup table'!$A$2:$B$19,2,FALSE)</f>
        <v>AY</v>
      </c>
      <c r="E130" t="str">
        <f t="shared" si="1"/>
        <v>|AY</v>
      </c>
    </row>
    <row r="131" spans="1:5" x14ac:dyDescent="0.2">
      <c r="A131" t="s">
        <v>0</v>
      </c>
      <c r="B131" t="s">
        <v>84</v>
      </c>
      <c r="C131" t="s">
        <v>20</v>
      </c>
      <c r="D131" t="str">
        <f>VLOOKUP(C131,'lookup table'!$A$2:$B$19,2,FALSE)</f>
        <v>AY</v>
      </c>
      <c r="E131" t="str">
        <f t="shared" ref="E131:E194" si="2">IF(ISNA(D131),"",IF(A131="","",A131) &amp; "|" &amp; D131)</f>
        <v>|AY</v>
      </c>
    </row>
    <row r="132" spans="1:5" x14ac:dyDescent="0.2">
      <c r="A132" t="s">
        <v>0</v>
      </c>
      <c r="B132" t="s">
        <v>37</v>
      </c>
      <c r="C132" t="s">
        <v>20</v>
      </c>
      <c r="D132" t="str">
        <f>VLOOKUP(C132,'lookup table'!$A$2:$B$19,2,FALSE)</f>
        <v>AY</v>
      </c>
      <c r="E132" t="str">
        <f t="shared" si="2"/>
        <v>|AY</v>
      </c>
    </row>
    <row r="133" spans="1:5" x14ac:dyDescent="0.2">
      <c r="A133" t="s">
        <v>0</v>
      </c>
      <c r="B133" t="s">
        <v>40</v>
      </c>
      <c r="C133" t="s">
        <v>20</v>
      </c>
      <c r="D133" t="str">
        <f>VLOOKUP(C133,'lookup table'!$A$2:$B$19,2,FALSE)</f>
        <v>AY</v>
      </c>
      <c r="E133" t="str">
        <f t="shared" si="2"/>
        <v>|AY</v>
      </c>
    </row>
    <row r="134" spans="1:5" x14ac:dyDescent="0.2">
      <c r="A134" t="s">
        <v>0</v>
      </c>
      <c r="B134" t="s">
        <v>64</v>
      </c>
      <c r="C134" t="s">
        <v>20</v>
      </c>
      <c r="D134" t="str">
        <f>VLOOKUP(C134,'lookup table'!$A$2:$B$19,2,FALSE)</f>
        <v>AY</v>
      </c>
      <c r="E134" t="str">
        <f t="shared" si="2"/>
        <v>|AY</v>
      </c>
    </row>
    <row r="135" spans="1:5" x14ac:dyDescent="0.2">
      <c r="A135" t="s">
        <v>0</v>
      </c>
      <c r="B135" t="s">
        <v>64</v>
      </c>
      <c r="C135" t="s">
        <v>20</v>
      </c>
      <c r="D135" t="str">
        <f>VLOOKUP(C135,'lookup table'!$A$2:$B$19,2,FALSE)</f>
        <v>AY</v>
      </c>
      <c r="E135" t="str">
        <f t="shared" si="2"/>
        <v>|AY</v>
      </c>
    </row>
    <row r="136" spans="1:5" x14ac:dyDescent="0.2">
      <c r="A136" t="s">
        <v>0</v>
      </c>
      <c r="B136" t="s">
        <v>74</v>
      </c>
      <c r="C136" t="s">
        <v>20</v>
      </c>
      <c r="D136" t="str">
        <f>VLOOKUP(C136,'lookup table'!$A$2:$B$19,2,FALSE)</f>
        <v>AY</v>
      </c>
      <c r="E136" t="str">
        <f t="shared" si="2"/>
        <v>|AY</v>
      </c>
    </row>
    <row r="137" spans="1:5" x14ac:dyDescent="0.2">
      <c r="A137" t="s">
        <v>0</v>
      </c>
      <c r="B137" t="s">
        <v>85</v>
      </c>
      <c r="C137" t="s">
        <v>20</v>
      </c>
      <c r="D137" t="str">
        <f>VLOOKUP(C137,'lookup table'!$A$2:$B$19,2,FALSE)</f>
        <v>AY</v>
      </c>
      <c r="E137" t="str">
        <f t="shared" si="2"/>
        <v>|AY</v>
      </c>
    </row>
    <row r="138" spans="1:5" x14ac:dyDescent="0.2">
      <c r="A138" t="s">
        <v>0</v>
      </c>
      <c r="B138" t="s">
        <v>86</v>
      </c>
      <c r="C138" t="s">
        <v>20</v>
      </c>
      <c r="D138" t="str">
        <f>VLOOKUP(C138,'lookup table'!$A$2:$B$19,2,FALSE)</f>
        <v>AY</v>
      </c>
      <c r="E138" t="str">
        <f t="shared" si="2"/>
        <v>|AY</v>
      </c>
    </row>
    <row r="139" spans="1:5" x14ac:dyDescent="0.2">
      <c r="A139" t="s">
        <v>0</v>
      </c>
      <c r="B139" t="s">
        <v>87</v>
      </c>
      <c r="C139" t="s">
        <v>20</v>
      </c>
      <c r="D139" t="str">
        <f>VLOOKUP(C139,'lookup table'!$A$2:$B$19,2,FALSE)</f>
        <v>AY</v>
      </c>
      <c r="E139" t="str">
        <f t="shared" si="2"/>
        <v>|AY</v>
      </c>
    </row>
    <row r="140" spans="1:5" x14ac:dyDescent="0.2">
      <c r="A140" t="s">
        <v>0</v>
      </c>
      <c r="B140" t="s">
        <v>88</v>
      </c>
      <c r="C140" t="s">
        <v>20</v>
      </c>
      <c r="D140" t="str">
        <f>VLOOKUP(C140,'lookup table'!$A$2:$B$19,2,FALSE)</f>
        <v>AY</v>
      </c>
      <c r="E140" t="str">
        <f t="shared" si="2"/>
        <v>|AY</v>
      </c>
    </row>
    <row r="141" spans="1:5" x14ac:dyDescent="0.2">
      <c r="A141" t="s">
        <v>0</v>
      </c>
      <c r="B141" t="s">
        <v>89</v>
      </c>
      <c r="C141" t="s">
        <v>20</v>
      </c>
      <c r="D141" t="str">
        <f>VLOOKUP(C141,'lookup table'!$A$2:$B$19,2,FALSE)</f>
        <v>AY</v>
      </c>
      <c r="E141" t="str">
        <f t="shared" si="2"/>
        <v>|AY</v>
      </c>
    </row>
    <row r="142" spans="1:5" x14ac:dyDescent="0.2">
      <c r="A142" t="s">
        <v>0</v>
      </c>
      <c r="B142" t="s">
        <v>90</v>
      </c>
      <c r="C142" t="s">
        <v>20</v>
      </c>
      <c r="D142" t="str">
        <f>VLOOKUP(C142,'lookup table'!$A$2:$B$19,2,FALSE)</f>
        <v>AY</v>
      </c>
      <c r="E142" t="str">
        <f t="shared" si="2"/>
        <v>|AY</v>
      </c>
    </row>
    <row r="143" spans="1:5" x14ac:dyDescent="0.2">
      <c r="A143" t="s">
        <v>0</v>
      </c>
      <c r="B143" t="s">
        <v>91</v>
      </c>
      <c r="C143" t="s">
        <v>20</v>
      </c>
      <c r="D143" t="str">
        <f>VLOOKUP(C143,'lookup table'!$A$2:$B$19,2,FALSE)</f>
        <v>AY</v>
      </c>
      <c r="E143" t="str">
        <f t="shared" si="2"/>
        <v>|AY</v>
      </c>
    </row>
    <row r="144" spans="1:5" x14ac:dyDescent="0.2">
      <c r="A144" t="s">
        <v>0</v>
      </c>
      <c r="B144" t="s">
        <v>92</v>
      </c>
      <c r="C144" t="s">
        <v>20</v>
      </c>
      <c r="D144" t="str">
        <f>VLOOKUP(C144,'lookup table'!$A$2:$B$19,2,FALSE)</f>
        <v>AY</v>
      </c>
      <c r="E144" t="str">
        <f t="shared" si="2"/>
        <v>|AY</v>
      </c>
    </row>
    <row r="145" spans="1:5" x14ac:dyDescent="0.2">
      <c r="A145" t="s">
        <v>0</v>
      </c>
      <c r="B145" t="s">
        <v>93</v>
      </c>
      <c r="C145" t="s">
        <v>20</v>
      </c>
      <c r="D145" t="str">
        <f>VLOOKUP(C145,'lookup table'!$A$2:$B$19,2,FALSE)</f>
        <v>AY</v>
      </c>
      <c r="E145" t="str">
        <f t="shared" si="2"/>
        <v>|AY</v>
      </c>
    </row>
    <row r="146" spans="1:5" x14ac:dyDescent="0.2">
      <c r="A146" t="s">
        <v>0</v>
      </c>
      <c r="B146" t="s">
        <v>94</v>
      </c>
      <c r="C146" t="s">
        <v>20</v>
      </c>
      <c r="D146" t="str">
        <f>VLOOKUP(C146,'lookup table'!$A$2:$B$19,2,FALSE)</f>
        <v>AY</v>
      </c>
      <c r="E146" t="str">
        <f t="shared" si="2"/>
        <v>|AY</v>
      </c>
    </row>
    <row r="147" spans="1:5" x14ac:dyDescent="0.2">
      <c r="A147" t="s">
        <v>0</v>
      </c>
      <c r="B147" t="s">
        <v>95</v>
      </c>
      <c r="C147" t="s">
        <v>20</v>
      </c>
      <c r="D147" t="str">
        <f>VLOOKUP(C147,'lookup table'!$A$2:$B$19,2,FALSE)</f>
        <v>AY</v>
      </c>
      <c r="E147" t="str">
        <f t="shared" si="2"/>
        <v>|AY</v>
      </c>
    </row>
    <row r="148" spans="1:5" x14ac:dyDescent="0.2">
      <c r="A148" t="s">
        <v>0</v>
      </c>
      <c r="B148" t="s">
        <v>96</v>
      </c>
      <c r="C148" t="s">
        <v>20</v>
      </c>
      <c r="D148" t="str">
        <f>VLOOKUP(C148,'lookup table'!$A$2:$B$19,2,FALSE)</f>
        <v>AY</v>
      </c>
      <c r="E148" t="str">
        <f t="shared" si="2"/>
        <v>|AY</v>
      </c>
    </row>
    <row r="149" spans="1:5" x14ac:dyDescent="0.2">
      <c r="A149" t="s">
        <v>0</v>
      </c>
      <c r="B149" t="s">
        <v>97</v>
      </c>
      <c r="C149" t="s">
        <v>20</v>
      </c>
      <c r="D149" t="str">
        <f>VLOOKUP(C149,'lookup table'!$A$2:$B$19,2,FALSE)</f>
        <v>AY</v>
      </c>
      <c r="E149" t="str">
        <f t="shared" si="2"/>
        <v>|AY</v>
      </c>
    </row>
    <row r="150" spans="1:5" x14ac:dyDescent="0.2">
      <c r="A150" t="s">
        <v>0</v>
      </c>
      <c r="B150" t="s">
        <v>98</v>
      </c>
      <c r="C150" t="s">
        <v>20</v>
      </c>
      <c r="D150" t="str">
        <f>VLOOKUP(C150,'lookup table'!$A$2:$B$19,2,FALSE)</f>
        <v>AY</v>
      </c>
      <c r="E150" t="str">
        <f t="shared" si="2"/>
        <v>|AY</v>
      </c>
    </row>
    <row r="151" spans="1:5" x14ac:dyDescent="0.2">
      <c r="A151" t="s">
        <v>0</v>
      </c>
      <c r="B151" t="s">
        <v>99</v>
      </c>
      <c r="C151" t="s">
        <v>20</v>
      </c>
      <c r="D151" t="str">
        <f>VLOOKUP(C151,'lookup table'!$A$2:$B$19,2,FALSE)</f>
        <v>AY</v>
      </c>
      <c r="E151" t="str">
        <f t="shared" si="2"/>
        <v>|AY</v>
      </c>
    </row>
    <row r="152" spans="1:5" x14ac:dyDescent="0.2">
      <c r="A152" t="s">
        <v>0</v>
      </c>
      <c r="B152" t="s">
        <v>100</v>
      </c>
      <c r="C152" t="s">
        <v>20</v>
      </c>
      <c r="D152" t="str">
        <f>VLOOKUP(C152,'lookup table'!$A$2:$B$19,2,FALSE)</f>
        <v>AY</v>
      </c>
      <c r="E152" t="str">
        <f t="shared" si="2"/>
        <v>|AY</v>
      </c>
    </row>
    <row r="153" spans="1:5" x14ac:dyDescent="0.2">
      <c r="A153" t="s">
        <v>0</v>
      </c>
      <c r="B153" t="s">
        <v>101</v>
      </c>
      <c r="C153" t="s">
        <v>20</v>
      </c>
      <c r="D153" t="str">
        <f>VLOOKUP(C153,'lookup table'!$A$2:$B$19,2,FALSE)</f>
        <v>AY</v>
      </c>
      <c r="E153" t="str">
        <f t="shared" si="2"/>
        <v>|AY</v>
      </c>
    </row>
    <row r="154" spans="1:5" x14ac:dyDescent="0.2">
      <c r="A154" t="s">
        <v>0</v>
      </c>
      <c r="B154" t="s">
        <v>76</v>
      </c>
      <c r="C154" t="s">
        <v>20</v>
      </c>
      <c r="D154" t="str">
        <f>VLOOKUP(C154,'lookup table'!$A$2:$B$19,2,FALSE)</f>
        <v>AY</v>
      </c>
      <c r="E154" t="str">
        <f t="shared" si="2"/>
        <v>|AY</v>
      </c>
    </row>
    <row r="155" spans="1:5" x14ac:dyDescent="0.2">
      <c r="A155" t="s">
        <v>0</v>
      </c>
      <c r="B155" t="s">
        <v>102</v>
      </c>
      <c r="C155" t="s">
        <v>20</v>
      </c>
      <c r="D155" t="str">
        <f>VLOOKUP(C155,'lookup table'!$A$2:$B$19,2,FALSE)</f>
        <v>AY</v>
      </c>
      <c r="E155" t="str">
        <f t="shared" si="2"/>
        <v>|AY</v>
      </c>
    </row>
    <row r="156" spans="1:5" x14ac:dyDescent="0.2">
      <c r="A156" t="s">
        <v>0</v>
      </c>
      <c r="B156" t="s">
        <v>77</v>
      </c>
      <c r="C156" t="s">
        <v>20</v>
      </c>
      <c r="D156" t="str">
        <f>VLOOKUP(C156,'lookup table'!$A$2:$B$19,2,FALSE)</f>
        <v>AY</v>
      </c>
      <c r="E156" t="str">
        <f t="shared" si="2"/>
        <v>|AY</v>
      </c>
    </row>
    <row r="157" spans="1:5" x14ac:dyDescent="0.2">
      <c r="A157" t="s">
        <v>0</v>
      </c>
      <c r="B157" t="s">
        <v>103</v>
      </c>
      <c r="C157" t="s">
        <v>20</v>
      </c>
      <c r="D157" t="str">
        <f>VLOOKUP(C157,'lookup table'!$A$2:$B$19,2,FALSE)</f>
        <v>AY</v>
      </c>
      <c r="E157" t="str">
        <f t="shared" si="2"/>
        <v>|AY</v>
      </c>
    </row>
    <row r="158" spans="1:5" x14ac:dyDescent="0.2">
      <c r="A158" t="s">
        <v>0</v>
      </c>
      <c r="B158" t="s">
        <v>78</v>
      </c>
      <c r="C158" t="s">
        <v>20</v>
      </c>
      <c r="D158" t="str">
        <f>VLOOKUP(C158,'lookup table'!$A$2:$B$19,2,FALSE)</f>
        <v>AY</v>
      </c>
      <c r="E158" t="str">
        <f t="shared" si="2"/>
        <v>|AY</v>
      </c>
    </row>
    <row r="159" spans="1:5" x14ac:dyDescent="0.2">
      <c r="A159" t="s">
        <v>0</v>
      </c>
      <c r="B159" t="s">
        <v>104</v>
      </c>
      <c r="C159" t="s">
        <v>20</v>
      </c>
      <c r="D159" t="str">
        <f>VLOOKUP(C159,'lookup table'!$A$2:$B$19,2,FALSE)</f>
        <v>AY</v>
      </c>
      <c r="E159" t="str">
        <f t="shared" si="2"/>
        <v>|AY</v>
      </c>
    </row>
    <row r="160" spans="1:5" x14ac:dyDescent="0.2">
      <c r="A160" t="s">
        <v>0</v>
      </c>
      <c r="B160" t="s">
        <v>105</v>
      </c>
      <c r="C160" t="s">
        <v>20</v>
      </c>
      <c r="D160" t="str">
        <f>VLOOKUP(C160,'lookup table'!$A$2:$B$19,2,FALSE)</f>
        <v>AY</v>
      </c>
      <c r="E160" t="str">
        <f t="shared" si="2"/>
        <v>|AY</v>
      </c>
    </row>
    <row r="161" spans="1:5" x14ac:dyDescent="0.2">
      <c r="A161" t="s">
        <v>0</v>
      </c>
      <c r="B161" t="s">
        <v>105</v>
      </c>
      <c r="C161" t="s">
        <v>20</v>
      </c>
      <c r="D161" t="str">
        <f>VLOOKUP(C161,'lookup table'!$A$2:$B$19,2,FALSE)</f>
        <v>AY</v>
      </c>
      <c r="E161" t="str">
        <f t="shared" si="2"/>
        <v>|AY</v>
      </c>
    </row>
    <row r="162" spans="1:5" x14ac:dyDescent="0.2">
      <c r="A162" t="s">
        <v>0</v>
      </c>
      <c r="B162" t="s">
        <v>105</v>
      </c>
      <c r="C162" t="s">
        <v>20</v>
      </c>
      <c r="D162" t="str">
        <f>VLOOKUP(C162,'lookup table'!$A$2:$B$19,2,FALSE)</f>
        <v>AY</v>
      </c>
      <c r="E162" t="str">
        <f t="shared" si="2"/>
        <v>|AY</v>
      </c>
    </row>
    <row r="163" spans="1:5" x14ac:dyDescent="0.2">
      <c r="A163" t="s">
        <v>0</v>
      </c>
      <c r="B163" t="s">
        <v>106</v>
      </c>
      <c r="C163" t="s">
        <v>20</v>
      </c>
      <c r="D163" t="str">
        <f>VLOOKUP(C163,'lookup table'!$A$2:$B$19,2,FALSE)</f>
        <v>AY</v>
      </c>
      <c r="E163" t="str">
        <f t="shared" si="2"/>
        <v>|AY</v>
      </c>
    </row>
    <row r="164" spans="1:5" x14ac:dyDescent="0.2">
      <c r="A164" t="s">
        <v>0</v>
      </c>
      <c r="B164" t="s">
        <v>107</v>
      </c>
      <c r="C164" t="s">
        <v>20</v>
      </c>
      <c r="D164" t="str">
        <f>VLOOKUP(C164,'lookup table'!$A$2:$B$19,2,FALSE)</f>
        <v>AY</v>
      </c>
      <c r="E164" t="str">
        <f t="shared" si="2"/>
        <v>|AY</v>
      </c>
    </row>
    <row r="165" spans="1:5" x14ac:dyDescent="0.2">
      <c r="A165" t="s">
        <v>0</v>
      </c>
      <c r="B165" t="s">
        <v>66</v>
      </c>
      <c r="C165" t="s">
        <v>20</v>
      </c>
      <c r="D165" t="str">
        <f>VLOOKUP(C165,'lookup table'!$A$2:$B$19,2,FALSE)</f>
        <v>AY</v>
      </c>
      <c r="E165" t="str">
        <f t="shared" si="2"/>
        <v>|AY</v>
      </c>
    </row>
    <row r="166" spans="1:5" x14ac:dyDescent="0.2">
      <c r="A166" t="s">
        <v>0</v>
      </c>
      <c r="B166" t="s">
        <v>67</v>
      </c>
      <c r="C166" t="s">
        <v>20</v>
      </c>
      <c r="D166" t="str">
        <f>VLOOKUP(C166,'lookup table'!$A$2:$B$19,2,FALSE)</f>
        <v>AY</v>
      </c>
      <c r="E166" t="str">
        <f t="shared" si="2"/>
        <v>|AY</v>
      </c>
    </row>
    <row r="167" spans="1:5" x14ac:dyDescent="0.2">
      <c r="A167" t="s">
        <v>0</v>
      </c>
      <c r="B167" t="s">
        <v>68</v>
      </c>
      <c r="C167" t="s">
        <v>20</v>
      </c>
      <c r="D167" t="str">
        <f>VLOOKUP(C167,'lookup table'!$A$2:$B$19,2,FALSE)</f>
        <v>AY</v>
      </c>
      <c r="E167" t="str">
        <f t="shared" si="2"/>
        <v>|AY</v>
      </c>
    </row>
    <row r="168" spans="1:5" x14ac:dyDescent="0.2">
      <c r="A168" t="s">
        <v>0</v>
      </c>
      <c r="B168" t="s">
        <v>108</v>
      </c>
      <c r="C168" t="s">
        <v>20</v>
      </c>
      <c r="D168" t="str">
        <f>VLOOKUP(C168,'lookup table'!$A$2:$B$19,2,FALSE)</f>
        <v>AY</v>
      </c>
      <c r="E168" t="str">
        <f t="shared" si="2"/>
        <v>|AY</v>
      </c>
    </row>
    <row r="169" spans="1:5" x14ac:dyDescent="0.2">
      <c r="A169" t="s">
        <v>0</v>
      </c>
      <c r="B169" t="s">
        <v>31</v>
      </c>
      <c r="C169" t="s">
        <v>20</v>
      </c>
      <c r="D169" t="str">
        <f>VLOOKUP(C169,'lookup table'!$A$2:$B$19,2,FALSE)</f>
        <v>AY</v>
      </c>
      <c r="E169" t="str">
        <f t="shared" si="2"/>
        <v>|AY</v>
      </c>
    </row>
    <row r="170" spans="1:5" x14ac:dyDescent="0.2">
      <c r="A170" t="s">
        <v>0</v>
      </c>
      <c r="B170" t="s">
        <v>30</v>
      </c>
      <c r="C170" t="s">
        <v>20</v>
      </c>
      <c r="D170" t="str">
        <f>VLOOKUP(C170,'lookup table'!$A$2:$B$19,2,FALSE)</f>
        <v>AY</v>
      </c>
      <c r="E170" t="str">
        <f t="shared" si="2"/>
        <v>|AY</v>
      </c>
    </row>
    <row r="171" spans="1:5" x14ac:dyDescent="0.2">
      <c r="A171" t="s">
        <v>0</v>
      </c>
      <c r="B171" t="s">
        <v>32</v>
      </c>
      <c r="C171" t="s">
        <v>20</v>
      </c>
      <c r="D171" t="str">
        <f>VLOOKUP(C171,'lookup table'!$A$2:$B$19,2,FALSE)</f>
        <v>AY</v>
      </c>
      <c r="E171" t="str">
        <f t="shared" si="2"/>
        <v>|AY</v>
      </c>
    </row>
    <row r="172" spans="1:5" x14ac:dyDescent="0.2">
      <c r="A172" t="s">
        <v>0</v>
      </c>
      <c r="B172" t="s">
        <v>34</v>
      </c>
      <c r="C172" t="s">
        <v>20</v>
      </c>
      <c r="D172" t="str">
        <f>VLOOKUP(C172,'lookup table'!$A$2:$B$19,2,FALSE)</f>
        <v>AY</v>
      </c>
      <c r="E172" t="str">
        <f t="shared" si="2"/>
        <v>|AY</v>
      </c>
    </row>
    <row r="173" spans="1:5" x14ac:dyDescent="0.2">
      <c r="A173" t="s">
        <v>0</v>
      </c>
      <c r="B173" t="s">
        <v>109</v>
      </c>
      <c r="C173" t="s">
        <v>20</v>
      </c>
      <c r="D173" t="str">
        <f>VLOOKUP(C173,'lookup table'!$A$2:$B$19,2,FALSE)</f>
        <v>AY</v>
      </c>
      <c r="E173" t="str">
        <f t="shared" si="2"/>
        <v>|AY</v>
      </c>
    </row>
    <row r="174" spans="1:5" x14ac:dyDescent="0.2">
      <c r="A174" t="s">
        <v>0</v>
      </c>
      <c r="B174" t="s">
        <v>110</v>
      </c>
      <c r="C174" t="s">
        <v>20</v>
      </c>
      <c r="D174" t="str">
        <f>VLOOKUP(C174,'lookup table'!$A$2:$B$19,2,FALSE)</f>
        <v>AY</v>
      </c>
      <c r="E174" t="str">
        <f t="shared" si="2"/>
        <v>|AY</v>
      </c>
    </row>
    <row r="175" spans="1:5" x14ac:dyDescent="0.2">
      <c r="A175" t="s">
        <v>0</v>
      </c>
      <c r="B175" t="s">
        <v>111</v>
      </c>
      <c r="C175" t="s">
        <v>20</v>
      </c>
      <c r="D175" t="str">
        <f>VLOOKUP(C175,'lookup table'!$A$2:$B$19,2,FALSE)</f>
        <v>AY</v>
      </c>
      <c r="E175" t="str">
        <f t="shared" si="2"/>
        <v>|AY</v>
      </c>
    </row>
    <row r="176" spans="1:5" x14ac:dyDescent="0.2">
      <c r="A176" t="s">
        <v>0</v>
      </c>
      <c r="B176" t="s">
        <v>108</v>
      </c>
      <c r="C176" t="s">
        <v>20</v>
      </c>
      <c r="D176" t="str">
        <f>VLOOKUP(C176,'lookup table'!$A$2:$B$19,2,FALSE)</f>
        <v>AY</v>
      </c>
      <c r="E176" t="str">
        <f t="shared" si="2"/>
        <v>|AY</v>
      </c>
    </row>
    <row r="177" spans="1:5" x14ac:dyDescent="0.2">
      <c r="A177" t="s">
        <v>0</v>
      </c>
      <c r="B177" t="s">
        <v>79</v>
      </c>
      <c r="C177" t="s">
        <v>20</v>
      </c>
      <c r="D177" t="str">
        <f>VLOOKUP(C177,'lookup table'!$A$2:$B$19,2,FALSE)</f>
        <v>AY</v>
      </c>
      <c r="E177" t="str">
        <f t="shared" si="2"/>
        <v>|AY</v>
      </c>
    </row>
    <row r="178" spans="1:5" x14ac:dyDescent="0.2">
      <c r="A178" t="s">
        <v>0</v>
      </c>
      <c r="B178" t="s">
        <v>112</v>
      </c>
      <c r="C178" t="s">
        <v>20</v>
      </c>
      <c r="D178" t="str">
        <f>VLOOKUP(C178,'lookup table'!$A$2:$B$19,2,FALSE)</f>
        <v>AY</v>
      </c>
      <c r="E178" t="str">
        <f t="shared" si="2"/>
        <v>|AY</v>
      </c>
    </row>
    <row r="179" spans="1:5" x14ac:dyDescent="0.2">
      <c r="A179" t="s">
        <v>0</v>
      </c>
      <c r="B179" t="s">
        <v>80</v>
      </c>
      <c r="C179" t="s">
        <v>20</v>
      </c>
      <c r="D179" t="str">
        <f>VLOOKUP(C179,'lookup table'!$A$2:$B$19,2,FALSE)</f>
        <v>AY</v>
      </c>
      <c r="E179" t="str">
        <f t="shared" si="2"/>
        <v>|AY</v>
      </c>
    </row>
    <row r="180" spans="1:5" x14ac:dyDescent="0.2">
      <c r="A180" t="s">
        <v>0</v>
      </c>
      <c r="B180" t="s">
        <v>113</v>
      </c>
      <c r="C180" t="s">
        <v>20</v>
      </c>
      <c r="D180" t="str">
        <f>VLOOKUP(C180,'lookup table'!$A$2:$B$19,2,FALSE)</f>
        <v>AY</v>
      </c>
      <c r="E180" t="str">
        <f t="shared" si="2"/>
        <v>|AY</v>
      </c>
    </row>
    <row r="181" spans="1:5" x14ac:dyDescent="0.2">
      <c r="A181" t="s">
        <v>0</v>
      </c>
      <c r="B181" t="s">
        <v>81</v>
      </c>
      <c r="C181" t="s">
        <v>20</v>
      </c>
      <c r="D181" t="str">
        <f>VLOOKUP(C181,'lookup table'!$A$2:$B$19,2,FALSE)</f>
        <v>AY</v>
      </c>
      <c r="E181" t="str">
        <f t="shared" si="2"/>
        <v>|AY</v>
      </c>
    </row>
    <row r="182" spans="1:5" x14ac:dyDescent="0.2">
      <c r="A182" t="s">
        <v>0</v>
      </c>
      <c r="B182" t="s">
        <v>114</v>
      </c>
      <c r="C182" t="s">
        <v>20</v>
      </c>
      <c r="D182" t="str">
        <f>VLOOKUP(C182,'lookup table'!$A$2:$B$19,2,FALSE)</f>
        <v>AY</v>
      </c>
      <c r="E182" t="str">
        <f t="shared" si="2"/>
        <v>|AY</v>
      </c>
    </row>
    <row r="183" spans="1:5" x14ac:dyDescent="0.2">
      <c r="A183" t="s">
        <v>0</v>
      </c>
      <c r="B183" t="s">
        <v>82</v>
      </c>
      <c r="C183" t="s">
        <v>20</v>
      </c>
      <c r="D183" t="str">
        <f>VLOOKUP(C183,'lookup table'!$A$2:$B$19,2,FALSE)</f>
        <v>AY</v>
      </c>
      <c r="E183" t="str">
        <f t="shared" si="2"/>
        <v>|AY</v>
      </c>
    </row>
    <row r="184" spans="1:5" x14ac:dyDescent="0.2">
      <c r="A184" t="s">
        <v>0</v>
      </c>
      <c r="B184" t="s">
        <v>115</v>
      </c>
      <c r="C184" t="s">
        <v>20</v>
      </c>
      <c r="D184" t="str">
        <f>VLOOKUP(C184,'lookup table'!$A$2:$B$19,2,FALSE)</f>
        <v>AY</v>
      </c>
      <c r="E184" t="str">
        <f t="shared" si="2"/>
        <v>|AY</v>
      </c>
    </row>
    <row r="185" spans="1:5" x14ac:dyDescent="0.2">
      <c r="A185" t="s">
        <v>0</v>
      </c>
      <c r="B185" t="s">
        <v>116</v>
      </c>
      <c r="C185" t="s">
        <v>20</v>
      </c>
      <c r="D185" t="str">
        <f>VLOOKUP(C185,'lookup table'!$A$2:$B$19,2,FALSE)</f>
        <v>AY</v>
      </c>
      <c r="E185" t="str">
        <f t="shared" si="2"/>
        <v>|AY</v>
      </c>
    </row>
    <row r="186" spans="1:5" x14ac:dyDescent="0.2">
      <c r="A186" t="s">
        <v>0</v>
      </c>
      <c r="B186" t="s">
        <v>117</v>
      </c>
      <c r="C186" t="s">
        <v>20</v>
      </c>
      <c r="D186" t="str">
        <f>VLOOKUP(C186,'lookup table'!$A$2:$B$19,2,FALSE)</f>
        <v>AY</v>
      </c>
      <c r="E186" t="str">
        <f t="shared" si="2"/>
        <v>|AY</v>
      </c>
    </row>
    <row r="187" spans="1:5" x14ac:dyDescent="0.2">
      <c r="A187" t="s">
        <v>0</v>
      </c>
      <c r="B187" t="s">
        <v>83</v>
      </c>
      <c r="C187" t="s">
        <v>20</v>
      </c>
      <c r="D187" t="str">
        <f>VLOOKUP(C187,'lookup table'!$A$2:$B$19,2,FALSE)</f>
        <v>AY</v>
      </c>
      <c r="E187" t="str">
        <f t="shared" si="2"/>
        <v>|AY</v>
      </c>
    </row>
    <row r="188" spans="1:5" x14ac:dyDescent="0.2">
      <c r="A188" t="s">
        <v>0</v>
      </c>
      <c r="B188" t="s">
        <v>118</v>
      </c>
      <c r="C188" t="s">
        <v>20</v>
      </c>
      <c r="D188" t="str">
        <f>VLOOKUP(C188,'lookup table'!$A$2:$B$19,2,FALSE)</f>
        <v>AY</v>
      </c>
      <c r="E188" t="str">
        <f t="shared" si="2"/>
        <v>|AY</v>
      </c>
    </row>
    <row r="189" spans="1:5" x14ac:dyDescent="0.2">
      <c r="A189" t="s">
        <v>0</v>
      </c>
      <c r="B189" t="s">
        <v>84</v>
      </c>
      <c r="C189" t="s">
        <v>20</v>
      </c>
      <c r="D189" t="str">
        <f>VLOOKUP(C189,'lookup table'!$A$2:$B$19,2,FALSE)</f>
        <v>AY</v>
      </c>
      <c r="E189" t="str">
        <f t="shared" si="2"/>
        <v>|AY</v>
      </c>
    </row>
    <row r="190" spans="1:5" x14ac:dyDescent="0.2">
      <c r="A190" t="s">
        <v>0</v>
      </c>
      <c r="B190" t="s">
        <v>109</v>
      </c>
      <c r="C190" t="s">
        <v>20</v>
      </c>
      <c r="D190" t="str">
        <f>VLOOKUP(C190,'lookup table'!$A$2:$B$19,2,FALSE)</f>
        <v>AY</v>
      </c>
      <c r="E190" t="str">
        <f t="shared" si="2"/>
        <v>|AY</v>
      </c>
    </row>
    <row r="191" spans="1:5" x14ac:dyDescent="0.2">
      <c r="A191" t="s">
        <v>0</v>
      </c>
      <c r="B191" t="s">
        <v>110</v>
      </c>
      <c r="C191" t="s">
        <v>20</v>
      </c>
      <c r="D191" t="str">
        <f>VLOOKUP(C191,'lookup table'!$A$2:$B$19,2,FALSE)</f>
        <v>AY</v>
      </c>
      <c r="E191" t="str">
        <f t="shared" si="2"/>
        <v>|AY</v>
      </c>
    </row>
    <row r="192" spans="1:5" x14ac:dyDescent="0.2">
      <c r="A192" t="s">
        <v>0</v>
      </c>
      <c r="B192" t="s">
        <v>111</v>
      </c>
      <c r="C192" t="s">
        <v>20</v>
      </c>
      <c r="D192" t="str">
        <f>VLOOKUP(C192,'lookup table'!$A$2:$B$19,2,FALSE)</f>
        <v>AY</v>
      </c>
      <c r="E192" t="str">
        <f t="shared" si="2"/>
        <v>|AY</v>
      </c>
    </row>
    <row r="193" spans="1:5" x14ac:dyDescent="0.2">
      <c r="A193" t="s">
        <v>0</v>
      </c>
      <c r="B193" t="s">
        <v>119</v>
      </c>
      <c r="C193" t="s">
        <v>20</v>
      </c>
      <c r="D193" t="str">
        <f>VLOOKUP(C193,'lookup table'!$A$2:$B$19,2,FALSE)</f>
        <v>AY</v>
      </c>
      <c r="E193" t="str">
        <f t="shared" si="2"/>
        <v>|AY</v>
      </c>
    </row>
    <row r="194" spans="1:5" x14ac:dyDescent="0.2">
      <c r="A194" t="s">
        <v>0</v>
      </c>
      <c r="B194" t="s">
        <v>120</v>
      </c>
      <c r="C194" t="s">
        <v>20</v>
      </c>
      <c r="D194" t="str">
        <f>VLOOKUP(C194,'lookup table'!$A$2:$B$19,2,FALSE)</f>
        <v>AY</v>
      </c>
      <c r="E194" t="str">
        <f t="shared" si="2"/>
        <v>|AY</v>
      </c>
    </row>
    <row r="195" spans="1:5" x14ac:dyDescent="0.2">
      <c r="A195" t="s">
        <v>0</v>
      </c>
      <c r="B195" t="s">
        <v>121</v>
      </c>
      <c r="C195" t="s">
        <v>20</v>
      </c>
      <c r="D195" t="str">
        <f>VLOOKUP(C195,'lookup table'!$A$2:$B$19,2,FALSE)</f>
        <v>AY</v>
      </c>
      <c r="E195" t="str">
        <f t="shared" ref="E195:E258" si="3">IF(ISNA(D195),"",IF(A195="","",A195) &amp; "|" &amp; D195)</f>
        <v>|AY</v>
      </c>
    </row>
    <row r="196" spans="1:5" x14ac:dyDescent="0.2">
      <c r="A196" t="s">
        <v>0</v>
      </c>
      <c r="B196" t="s">
        <v>70</v>
      </c>
      <c r="C196" t="s">
        <v>20</v>
      </c>
      <c r="D196" t="str">
        <f>VLOOKUP(C196,'lookup table'!$A$2:$B$19,2,FALSE)</f>
        <v>AY</v>
      </c>
      <c r="E196" t="str">
        <f t="shared" si="3"/>
        <v>|AY</v>
      </c>
    </row>
    <row r="197" spans="1:5" x14ac:dyDescent="0.2">
      <c r="A197" t="s">
        <v>0</v>
      </c>
      <c r="B197" t="s">
        <v>122</v>
      </c>
      <c r="C197" t="s">
        <v>20</v>
      </c>
      <c r="D197" t="str">
        <f>VLOOKUP(C197,'lookup table'!$A$2:$B$19,2,FALSE)</f>
        <v>AY</v>
      </c>
      <c r="E197" t="str">
        <f t="shared" si="3"/>
        <v>|AY</v>
      </c>
    </row>
    <row r="198" spans="1:5" x14ac:dyDescent="0.2">
      <c r="A198" t="s">
        <v>0</v>
      </c>
      <c r="B198" t="s">
        <v>107</v>
      </c>
      <c r="C198" t="s">
        <v>20</v>
      </c>
      <c r="D198" t="str">
        <f>VLOOKUP(C198,'lookup table'!$A$2:$B$19,2,FALSE)</f>
        <v>AY</v>
      </c>
      <c r="E198" t="str">
        <f t="shared" si="3"/>
        <v>|AY</v>
      </c>
    </row>
    <row r="199" spans="1:5" x14ac:dyDescent="0.2">
      <c r="A199" t="s">
        <v>0</v>
      </c>
      <c r="B199" t="s">
        <v>72</v>
      </c>
      <c r="C199" t="s">
        <v>20</v>
      </c>
      <c r="D199" t="str">
        <f>VLOOKUP(C199,'lookup table'!$A$2:$B$19,2,FALSE)</f>
        <v>AY</v>
      </c>
      <c r="E199" t="str">
        <f t="shared" si="3"/>
        <v>|AY</v>
      </c>
    </row>
    <row r="200" spans="1:5" x14ac:dyDescent="0.2">
      <c r="A200" t="s">
        <v>0</v>
      </c>
      <c r="B200" t="s">
        <v>72</v>
      </c>
      <c r="C200" t="s">
        <v>20</v>
      </c>
      <c r="D200" t="str">
        <f>VLOOKUP(C200,'lookup table'!$A$2:$B$19,2,FALSE)</f>
        <v>AY</v>
      </c>
      <c r="E200" t="str">
        <f t="shared" si="3"/>
        <v>|AY</v>
      </c>
    </row>
    <row r="201" spans="1:5" x14ac:dyDescent="0.2">
      <c r="A201" t="s">
        <v>0</v>
      </c>
      <c r="B201" t="s">
        <v>72</v>
      </c>
      <c r="C201" t="s">
        <v>20</v>
      </c>
      <c r="D201" t="str">
        <f>VLOOKUP(C201,'lookup table'!$A$2:$B$19,2,FALSE)</f>
        <v>AY</v>
      </c>
      <c r="E201" t="str">
        <f t="shared" si="3"/>
        <v>|AY</v>
      </c>
    </row>
    <row r="202" spans="1:5" x14ac:dyDescent="0.2">
      <c r="A202" t="s">
        <v>0</v>
      </c>
      <c r="B202" t="s">
        <v>123</v>
      </c>
      <c r="C202" t="s">
        <v>20</v>
      </c>
      <c r="D202" t="str">
        <f>VLOOKUP(C202,'lookup table'!$A$2:$B$19,2,FALSE)</f>
        <v>AY</v>
      </c>
      <c r="E202" t="str">
        <f t="shared" si="3"/>
        <v>|AY</v>
      </c>
    </row>
    <row r="203" spans="1:5" x14ac:dyDescent="0.2">
      <c r="A203" t="s">
        <v>0</v>
      </c>
      <c r="B203" t="s">
        <v>124</v>
      </c>
      <c r="C203" t="s">
        <v>20</v>
      </c>
      <c r="D203" t="str">
        <f>VLOOKUP(C203,'lookup table'!$A$2:$B$19,2,FALSE)</f>
        <v>AY</v>
      </c>
      <c r="E203" t="str">
        <f t="shared" si="3"/>
        <v>|AY</v>
      </c>
    </row>
    <row r="204" spans="1:5" x14ac:dyDescent="0.2">
      <c r="A204" t="s">
        <v>0</v>
      </c>
      <c r="B204" t="s">
        <v>125</v>
      </c>
      <c r="C204" t="s">
        <v>20</v>
      </c>
      <c r="D204" t="str">
        <f>VLOOKUP(C204,'lookup table'!$A$2:$B$19,2,FALSE)</f>
        <v>AY</v>
      </c>
      <c r="E204" t="str">
        <f t="shared" si="3"/>
        <v>|AY</v>
      </c>
    </row>
    <row r="205" spans="1:5" x14ac:dyDescent="0.2">
      <c r="A205" t="s">
        <v>0</v>
      </c>
      <c r="B205" t="s">
        <v>126</v>
      </c>
      <c r="C205" t="s">
        <v>20</v>
      </c>
      <c r="D205" t="str">
        <f>VLOOKUP(C205,'lookup table'!$A$2:$B$19,2,FALSE)</f>
        <v>AY</v>
      </c>
      <c r="E205" t="str">
        <f t="shared" si="3"/>
        <v>|AY</v>
      </c>
    </row>
    <row r="206" spans="1:5" x14ac:dyDescent="0.2">
      <c r="A206" t="s">
        <v>0</v>
      </c>
      <c r="B206" t="s">
        <v>127</v>
      </c>
      <c r="C206" t="s">
        <v>20</v>
      </c>
      <c r="D206" t="str">
        <f>VLOOKUP(C206,'lookup table'!$A$2:$B$19,2,FALSE)</f>
        <v>AY</v>
      </c>
      <c r="E206" t="str">
        <f t="shared" si="3"/>
        <v>|AY</v>
      </c>
    </row>
    <row r="207" spans="1:5" x14ac:dyDescent="0.2">
      <c r="A207" t="s">
        <v>0</v>
      </c>
      <c r="B207" t="s">
        <v>128</v>
      </c>
      <c r="C207" t="s">
        <v>20</v>
      </c>
      <c r="D207" t="str">
        <f>VLOOKUP(C207,'lookup table'!$A$2:$B$19,2,FALSE)</f>
        <v>AY</v>
      </c>
      <c r="E207" t="str">
        <f t="shared" si="3"/>
        <v>|AY</v>
      </c>
    </row>
    <row r="208" spans="1:5" x14ac:dyDescent="0.2">
      <c r="A208" t="s">
        <v>0</v>
      </c>
      <c r="B208" t="s">
        <v>71</v>
      </c>
      <c r="C208" t="s">
        <v>20</v>
      </c>
      <c r="D208" t="str">
        <f>VLOOKUP(C208,'lookup table'!$A$2:$B$19,2,FALSE)</f>
        <v>AY</v>
      </c>
      <c r="E208" t="str">
        <f t="shared" si="3"/>
        <v>|AY</v>
      </c>
    </row>
    <row r="209" spans="1:5" x14ac:dyDescent="0.2">
      <c r="A209" t="s">
        <v>0</v>
      </c>
      <c r="B209" t="s">
        <v>8</v>
      </c>
      <c r="C209" t="s">
        <v>20</v>
      </c>
      <c r="D209" t="str">
        <f>VLOOKUP(C209,'lookup table'!$A$2:$B$19,2,FALSE)</f>
        <v>AY</v>
      </c>
      <c r="E209" t="str">
        <f t="shared" si="3"/>
        <v>|AY</v>
      </c>
    </row>
    <row r="210" spans="1:5" x14ac:dyDescent="0.2">
      <c r="A210" t="s">
        <v>0</v>
      </c>
      <c r="B210" t="s">
        <v>8</v>
      </c>
      <c r="C210" t="s">
        <v>20</v>
      </c>
      <c r="D210" t="str">
        <f>VLOOKUP(C210,'lookup table'!$A$2:$B$19,2,FALSE)</f>
        <v>AY</v>
      </c>
      <c r="E210" t="str">
        <f t="shared" si="3"/>
        <v>|AY</v>
      </c>
    </row>
    <row r="211" spans="1:5" x14ac:dyDescent="0.2">
      <c r="A211" t="s">
        <v>0</v>
      </c>
      <c r="B211" t="s">
        <v>15</v>
      </c>
      <c r="C211" t="s">
        <v>20</v>
      </c>
      <c r="D211" t="str">
        <f>VLOOKUP(C211,'lookup table'!$A$2:$B$19,2,FALSE)</f>
        <v>AY</v>
      </c>
      <c r="E211" t="str">
        <f t="shared" si="3"/>
        <v>|AY</v>
      </c>
    </row>
    <row r="212" spans="1:5" x14ac:dyDescent="0.2">
      <c r="A212" t="s">
        <v>0</v>
      </c>
      <c r="B212" t="s">
        <v>15</v>
      </c>
      <c r="C212" t="s">
        <v>20</v>
      </c>
      <c r="D212" t="str">
        <f>VLOOKUP(C212,'lookup table'!$A$2:$B$19,2,FALSE)</f>
        <v>AY</v>
      </c>
      <c r="E212" t="str">
        <f t="shared" si="3"/>
        <v>|AY</v>
      </c>
    </row>
    <row r="213" spans="1:5" x14ac:dyDescent="0.2">
      <c r="A213" t="s">
        <v>0</v>
      </c>
      <c r="B213" t="s">
        <v>129</v>
      </c>
      <c r="C213" t="s">
        <v>20</v>
      </c>
      <c r="D213" t="str">
        <f>VLOOKUP(C213,'lookup table'!$A$2:$B$19,2,FALSE)</f>
        <v>AY</v>
      </c>
      <c r="E213" t="str">
        <f t="shared" si="3"/>
        <v>|AY</v>
      </c>
    </row>
    <row r="214" spans="1:5" x14ac:dyDescent="0.2">
      <c r="A214" t="s">
        <v>0</v>
      </c>
      <c r="B214" t="s">
        <v>130</v>
      </c>
      <c r="C214" t="s">
        <v>20</v>
      </c>
      <c r="D214" t="str">
        <f>VLOOKUP(C214,'lookup table'!$A$2:$B$19,2,FALSE)</f>
        <v>AY</v>
      </c>
      <c r="E214" t="str">
        <f t="shared" si="3"/>
        <v>|AY</v>
      </c>
    </row>
    <row r="215" spans="1:5" x14ac:dyDescent="0.2">
      <c r="A215" t="s">
        <v>0</v>
      </c>
      <c r="B215" t="s">
        <v>130</v>
      </c>
      <c r="C215" t="s">
        <v>20</v>
      </c>
      <c r="D215" t="str">
        <f>VLOOKUP(C215,'lookup table'!$A$2:$B$19,2,FALSE)</f>
        <v>AY</v>
      </c>
      <c r="E215" t="str">
        <f t="shared" si="3"/>
        <v>|AY</v>
      </c>
    </row>
    <row r="216" spans="1:5" x14ac:dyDescent="0.2">
      <c r="A216" t="s">
        <v>0</v>
      </c>
      <c r="B216" t="s">
        <v>131</v>
      </c>
      <c r="C216" t="s">
        <v>20</v>
      </c>
      <c r="D216" t="str">
        <f>VLOOKUP(C216,'lookup table'!$A$2:$B$19,2,FALSE)</f>
        <v>AY</v>
      </c>
      <c r="E216" t="str">
        <f t="shared" si="3"/>
        <v>|AY</v>
      </c>
    </row>
    <row r="217" spans="1:5" x14ac:dyDescent="0.2">
      <c r="A217" t="s">
        <v>0</v>
      </c>
      <c r="B217" t="s">
        <v>106</v>
      </c>
      <c r="C217" t="s">
        <v>20</v>
      </c>
      <c r="D217" t="str">
        <f>VLOOKUP(C217,'lookup table'!$A$2:$B$19,2,FALSE)</f>
        <v>AY</v>
      </c>
      <c r="E217" t="str">
        <f t="shared" si="3"/>
        <v>|AY</v>
      </c>
    </row>
    <row r="218" spans="1:5" x14ac:dyDescent="0.2">
      <c r="A218" t="s">
        <v>0</v>
      </c>
      <c r="B218" t="s">
        <v>107</v>
      </c>
      <c r="C218" t="s">
        <v>20</v>
      </c>
      <c r="D218" t="str">
        <f>VLOOKUP(C218,'lookup table'!$A$2:$B$19,2,FALSE)</f>
        <v>AY</v>
      </c>
      <c r="E218" t="str">
        <f t="shared" si="3"/>
        <v>|AY</v>
      </c>
    </row>
    <row r="219" spans="1:5" x14ac:dyDescent="0.2">
      <c r="A219" t="s">
        <v>0</v>
      </c>
      <c r="B219" t="s">
        <v>16</v>
      </c>
      <c r="C219" t="s">
        <v>20</v>
      </c>
      <c r="D219" t="str">
        <f>VLOOKUP(C219,'lookup table'!$A$2:$B$19,2,FALSE)</f>
        <v>AY</v>
      </c>
      <c r="E219" t="str">
        <f t="shared" si="3"/>
        <v>|AY</v>
      </c>
    </row>
    <row r="220" spans="1:5" x14ac:dyDescent="0.2">
      <c r="A220" t="s">
        <v>0</v>
      </c>
      <c r="B220" t="s">
        <v>132</v>
      </c>
      <c r="C220" t="s">
        <v>20</v>
      </c>
      <c r="D220" t="str">
        <f>VLOOKUP(C220,'lookup table'!$A$2:$B$19,2,FALSE)</f>
        <v>AY</v>
      </c>
      <c r="E220" t="str">
        <f t="shared" si="3"/>
        <v>|AY</v>
      </c>
    </row>
    <row r="221" spans="1:5" x14ac:dyDescent="0.2">
      <c r="A221" t="s">
        <v>0</v>
      </c>
      <c r="B221" t="s">
        <v>119</v>
      </c>
      <c r="C221" t="s">
        <v>20</v>
      </c>
      <c r="D221" t="str">
        <f>VLOOKUP(C221,'lookup table'!$A$2:$B$19,2,FALSE)</f>
        <v>AY</v>
      </c>
      <c r="E221" t="str">
        <f t="shared" si="3"/>
        <v>|AY</v>
      </c>
    </row>
    <row r="222" spans="1:5" x14ac:dyDescent="0.2">
      <c r="A222" t="s">
        <v>0</v>
      </c>
      <c r="B222" t="s">
        <v>133</v>
      </c>
      <c r="C222" t="s">
        <v>20</v>
      </c>
      <c r="D222" t="str">
        <f>VLOOKUP(C222,'lookup table'!$A$2:$B$19,2,FALSE)</f>
        <v>AY</v>
      </c>
      <c r="E222" t="str">
        <f t="shared" si="3"/>
        <v>|AY</v>
      </c>
    </row>
    <row r="223" spans="1:5" x14ac:dyDescent="0.2">
      <c r="A223" t="s">
        <v>0</v>
      </c>
      <c r="B223" t="s">
        <v>134</v>
      </c>
      <c r="C223" t="s">
        <v>20</v>
      </c>
      <c r="D223" t="str">
        <f>VLOOKUP(C223,'lookup table'!$A$2:$B$19,2,FALSE)</f>
        <v>AY</v>
      </c>
      <c r="E223" t="str">
        <f t="shared" si="3"/>
        <v>|AY</v>
      </c>
    </row>
    <row r="224" spans="1:5" x14ac:dyDescent="0.2">
      <c r="A224" t="s">
        <v>0</v>
      </c>
      <c r="B224" t="s">
        <v>16</v>
      </c>
      <c r="C224" t="s">
        <v>20</v>
      </c>
      <c r="D224" t="str">
        <f>VLOOKUP(C224,'lookup table'!$A$2:$B$19,2,FALSE)</f>
        <v>AY</v>
      </c>
      <c r="E224" t="str">
        <f t="shared" si="3"/>
        <v>|AY</v>
      </c>
    </row>
    <row r="225" spans="1:5" x14ac:dyDescent="0.2">
      <c r="A225" t="s">
        <v>0</v>
      </c>
      <c r="B225" t="s">
        <v>16</v>
      </c>
      <c r="C225" t="s">
        <v>20</v>
      </c>
      <c r="D225" t="str">
        <f>VLOOKUP(C225,'lookup table'!$A$2:$B$19,2,FALSE)</f>
        <v>AY</v>
      </c>
      <c r="E225" t="str">
        <f t="shared" si="3"/>
        <v>|AY</v>
      </c>
    </row>
    <row r="226" spans="1:5" x14ac:dyDescent="0.2">
      <c r="A226" t="s">
        <v>0</v>
      </c>
      <c r="B226" t="s">
        <v>17</v>
      </c>
      <c r="C226" t="s">
        <v>20</v>
      </c>
      <c r="D226" t="str">
        <f>VLOOKUP(C226,'lookup table'!$A$2:$B$19,2,FALSE)</f>
        <v>AY</v>
      </c>
      <c r="E226" t="str">
        <f t="shared" si="3"/>
        <v>|AY</v>
      </c>
    </row>
    <row r="227" spans="1:5" x14ac:dyDescent="0.2">
      <c r="A227" t="s">
        <v>0</v>
      </c>
      <c r="B227" t="s">
        <v>135</v>
      </c>
      <c r="C227" t="s">
        <v>136</v>
      </c>
      <c r="D227" t="str">
        <f>VLOOKUP(C227,'lookup table'!$A$2:$B$19,2,FALSE)</f>
        <v>BBA Set</v>
      </c>
      <c r="E227" t="str">
        <f t="shared" si="3"/>
        <v>|BBA Set</v>
      </c>
    </row>
    <row r="228" spans="1:5" x14ac:dyDescent="0.2">
      <c r="A228" t="s">
        <v>0</v>
      </c>
      <c r="B228" t="s">
        <v>137</v>
      </c>
      <c r="C228" t="s">
        <v>136</v>
      </c>
      <c r="D228" t="str">
        <f>VLOOKUP(C228,'lookup table'!$A$2:$B$19,2,FALSE)</f>
        <v>BBA Set</v>
      </c>
      <c r="E228" t="str">
        <f t="shared" si="3"/>
        <v>|BBA Set</v>
      </c>
    </row>
    <row r="229" spans="1:5" x14ac:dyDescent="0.2">
      <c r="A229" t="s">
        <v>0</v>
      </c>
      <c r="B229" t="s">
        <v>138</v>
      </c>
      <c r="C229" t="s">
        <v>136</v>
      </c>
      <c r="D229" t="str">
        <f>VLOOKUP(C229,'lookup table'!$A$2:$B$19,2,FALSE)</f>
        <v>BBA Set</v>
      </c>
      <c r="E229" t="str">
        <f t="shared" si="3"/>
        <v>|BBA Set</v>
      </c>
    </row>
    <row r="230" spans="1:5" x14ac:dyDescent="0.2">
      <c r="A230" t="s">
        <v>0</v>
      </c>
      <c r="B230" t="s">
        <v>139</v>
      </c>
      <c r="C230" t="s">
        <v>136</v>
      </c>
      <c r="D230" t="str">
        <f>VLOOKUP(C230,'lookup table'!$A$2:$B$19,2,FALSE)</f>
        <v>BBA Set</v>
      </c>
      <c r="E230" t="str">
        <f t="shared" si="3"/>
        <v>|BBA Set</v>
      </c>
    </row>
    <row r="231" spans="1:5" x14ac:dyDescent="0.2">
      <c r="A231" t="s">
        <v>0</v>
      </c>
      <c r="B231" t="s">
        <v>140</v>
      </c>
      <c r="C231" t="s">
        <v>136</v>
      </c>
      <c r="D231" t="str">
        <f>VLOOKUP(C231,'lookup table'!$A$2:$B$19,2,FALSE)</f>
        <v>BBA Set</v>
      </c>
      <c r="E231" t="str">
        <f t="shared" si="3"/>
        <v>|BBA Set</v>
      </c>
    </row>
    <row r="232" spans="1:5" x14ac:dyDescent="0.2">
      <c r="A232" t="s">
        <v>0</v>
      </c>
      <c r="B232" t="s">
        <v>141</v>
      </c>
      <c r="C232" t="s">
        <v>136</v>
      </c>
      <c r="D232" t="str">
        <f>VLOOKUP(C232,'lookup table'!$A$2:$B$19,2,FALSE)</f>
        <v>BBA Set</v>
      </c>
      <c r="E232" t="str">
        <f t="shared" si="3"/>
        <v>|BBA Set</v>
      </c>
    </row>
    <row r="233" spans="1:5" x14ac:dyDescent="0.2">
      <c r="A233" t="s">
        <v>0</v>
      </c>
      <c r="B233" t="s">
        <v>142</v>
      </c>
      <c r="C233" t="s">
        <v>136</v>
      </c>
      <c r="D233" t="str">
        <f>VLOOKUP(C233,'lookup table'!$A$2:$B$19,2,FALSE)</f>
        <v>BBA Set</v>
      </c>
      <c r="E233" t="str">
        <f t="shared" si="3"/>
        <v>|BBA Set</v>
      </c>
    </row>
    <row r="234" spans="1:5" x14ac:dyDescent="0.2">
      <c r="A234" t="s">
        <v>0</v>
      </c>
      <c r="B234" t="s">
        <v>143</v>
      </c>
      <c r="C234" t="s">
        <v>136</v>
      </c>
      <c r="D234" t="str">
        <f>VLOOKUP(C234,'lookup table'!$A$2:$B$19,2,FALSE)</f>
        <v>BBA Set</v>
      </c>
      <c r="E234" t="str">
        <f t="shared" si="3"/>
        <v>|BBA Set</v>
      </c>
    </row>
    <row r="235" spans="1:5" x14ac:dyDescent="0.2">
      <c r="A235" t="s">
        <v>0</v>
      </c>
      <c r="B235" t="s">
        <v>144</v>
      </c>
      <c r="C235" t="s">
        <v>136</v>
      </c>
      <c r="D235" t="str">
        <f>VLOOKUP(C235,'lookup table'!$A$2:$B$19,2,FALSE)</f>
        <v>BBA Set</v>
      </c>
      <c r="E235" t="str">
        <f t="shared" si="3"/>
        <v>|BBA Set</v>
      </c>
    </row>
    <row r="236" spans="1:5" x14ac:dyDescent="0.2">
      <c r="A236" t="s">
        <v>0</v>
      </c>
      <c r="B236" t="s">
        <v>145</v>
      </c>
      <c r="C236" t="s">
        <v>136</v>
      </c>
      <c r="D236" t="str">
        <f>VLOOKUP(C236,'lookup table'!$A$2:$B$19,2,FALSE)</f>
        <v>BBA Set</v>
      </c>
      <c r="E236" t="str">
        <f t="shared" si="3"/>
        <v>|BBA Set</v>
      </c>
    </row>
    <row r="237" spans="1:5" x14ac:dyDescent="0.2">
      <c r="A237" t="s">
        <v>0</v>
      </c>
      <c r="B237" t="s">
        <v>146</v>
      </c>
      <c r="C237" t="s">
        <v>136</v>
      </c>
      <c r="D237" t="str">
        <f>VLOOKUP(C237,'lookup table'!$A$2:$B$19,2,FALSE)</f>
        <v>BBA Set</v>
      </c>
      <c r="E237" t="str">
        <f t="shared" si="3"/>
        <v>|BBA Set</v>
      </c>
    </row>
    <row r="238" spans="1:5" x14ac:dyDescent="0.2">
      <c r="A238" t="s">
        <v>0</v>
      </c>
      <c r="B238" t="s">
        <v>147</v>
      </c>
      <c r="C238" t="s">
        <v>136</v>
      </c>
      <c r="D238" t="str">
        <f>VLOOKUP(C238,'lookup table'!$A$2:$B$19,2,FALSE)</f>
        <v>BBA Set</v>
      </c>
      <c r="E238" t="str">
        <f t="shared" si="3"/>
        <v>|BBA Set</v>
      </c>
    </row>
    <row r="239" spans="1:5" x14ac:dyDescent="0.2">
      <c r="A239" t="s">
        <v>0</v>
      </c>
      <c r="B239" t="s">
        <v>147</v>
      </c>
      <c r="C239" t="s">
        <v>136</v>
      </c>
      <c r="D239" t="str">
        <f>VLOOKUP(C239,'lookup table'!$A$2:$B$19,2,FALSE)</f>
        <v>BBA Set</v>
      </c>
      <c r="E239" t="str">
        <f t="shared" si="3"/>
        <v>|BBA Set</v>
      </c>
    </row>
    <row r="240" spans="1:5" x14ac:dyDescent="0.2">
      <c r="A240" t="s">
        <v>0</v>
      </c>
      <c r="B240" t="s">
        <v>148</v>
      </c>
      <c r="C240" t="s">
        <v>136</v>
      </c>
      <c r="D240" t="str">
        <f>VLOOKUP(C240,'lookup table'!$A$2:$B$19,2,FALSE)</f>
        <v>BBA Set</v>
      </c>
      <c r="E240" t="str">
        <f t="shared" si="3"/>
        <v>|BBA Set</v>
      </c>
    </row>
    <row r="241" spans="1:5" x14ac:dyDescent="0.2">
      <c r="A241" t="s">
        <v>0</v>
      </c>
      <c r="B241" t="s">
        <v>149</v>
      </c>
      <c r="C241" t="s">
        <v>136</v>
      </c>
      <c r="D241" t="str">
        <f>VLOOKUP(C241,'lookup table'!$A$2:$B$19,2,FALSE)</f>
        <v>BBA Set</v>
      </c>
      <c r="E241" t="str">
        <f t="shared" si="3"/>
        <v>|BBA Set</v>
      </c>
    </row>
    <row r="242" spans="1:5" x14ac:dyDescent="0.2">
      <c r="A242" t="s">
        <v>0</v>
      </c>
      <c r="B242" t="s">
        <v>150</v>
      </c>
      <c r="C242" t="s">
        <v>136</v>
      </c>
      <c r="D242" t="str">
        <f>VLOOKUP(C242,'lookup table'!$A$2:$B$19,2,FALSE)</f>
        <v>BBA Set</v>
      </c>
      <c r="E242" t="str">
        <f t="shared" si="3"/>
        <v>|BBA Set</v>
      </c>
    </row>
    <row r="243" spans="1:5" x14ac:dyDescent="0.2">
      <c r="A243" t="s">
        <v>0</v>
      </c>
      <c r="B243" t="s">
        <v>151</v>
      </c>
      <c r="C243" t="s">
        <v>136</v>
      </c>
      <c r="D243" t="str">
        <f>VLOOKUP(C243,'lookup table'!$A$2:$B$19,2,FALSE)</f>
        <v>BBA Set</v>
      </c>
      <c r="E243" t="str">
        <f t="shared" si="3"/>
        <v>|BBA Set</v>
      </c>
    </row>
    <row r="244" spans="1:5" x14ac:dyDescent="0.2">
      <c r="A244" t="s">
        <v>0</v>
      </c>
      <c r="B244" t="s">
        <v>152</v>
      </c>
      <c r="C244" t="s">
        <v>136</v>
      </c>
      <c r="D244" t="str">
        <f>VLOOKUP(C244,'lookup table'!$A$2:$B$19,2,FALSE)</f>
        <v>BBA Set</v>
      </c>
      <c r="E244" t="str">
        <f t="shared" si="3"/>
        <v>|BBA Set</v>
      </c>
    </row>
    <row r="245" spans="1:5" x14ac:dyDescent="0.2">
      <c r="A245" t="s">
        <v>0</v>
      </c>
      <c r="B245" t="s">
        <v>153</v>
      </c>
      <c r="C245" t="s">
        <v>136</v>
      </c>
      <c r="D245" t="str">
        <f>VLOOKUP(C245,'lookup table'!$A$2:$B$19,2,FALSE)</f>
        <v>BBA Set</v>
      </c>
      <c r="E245" t="str">
        <f t="shared" si="3"/>
        <v>|BBA Set</v>
      </c>
    </row>
    <row r="246" spans="1:5" x14ac:dyDescent="0.2">
      <c r="A246" t="s">
        <v>0</v>
      </c>
      <c r="B246" t="s">
        <v>35</v>
      </c>
      <c r="C246" t="s">
        <v>136</v>
      </c>
      <c r="D246" t="str">
        <f>VLOOKUP(C246,'lookup table'!$A$2:$B$19,2,FALSE)</f>
        <v>BBA Set</v>
      </c>
      <c r="E246" t="str">
        <f t="shared" si="3"/>
        <v>|BBA Set</v>
      </c>
    </row>
    <row r="247" spans="1:5" x14ac:dyDescent="0.2">
      <c r="A247" t="s">
        <v>0</v>
      </c>
      <c r="B247" t="s">
        <v>154</v>
      </c>
      <c r="C247" t="s">
        <v>136</v>
      </c>
      <c r="D247" t="str">
        <f>VLOOKUP(C247,'lookup table'!$A$2:$B$19,2,FALSE)</f>
        <v>BBA Set</v>
      </c>
      <c r="E247" t="str">
        <f t="shared" si="3"/>
        <v>|BBA Set</v>
      </c>
    </row>
    <row r="248" spans="1:5" x14ac:dyDescent="0.2">
      <c r="A248" t="s">
        <v>0</v>
      </c>
      <c r="B248" t="s">
        <v>155</v>
      </c>
      <c r="C248" t="s">
        <v>136</v>
      </c>
      <c r="D248" t="str">
        <f>VLOOKUP(C248,'lookup table'!$A$2:$B$19,2,FALSE)</f>
        <v>BBA Set</v>
      </c>
      <c r="E248" t="str">
        <f t="shared" si="3"/>
        <v>|BBA Set</v>
      </c>
    </row>
    <row r="249" spans="1:5" x14ac:dyDescent="0.2">
      <c r="A249" t="s">
        <v>0</v>
      </c>
      <c r="B249" t="s">
        <v>156</v>
      </c>
      <c r="C249" t="s">
        <v>136</v>
      </c>
      <c r="D249" t="str">
        <f>VLOOKUP(C249,'lookup table'!$A$2:$B$19,2,FALSE)</f>
        <v>BBA Set</v>
      </c>
      <c r="E249" t="str">
        <f t="shared" si="3"/>
        <v>|BBA Set</v>
      </c>
    </row>
    <row r="250" spans="1:5" x14ac:dyDescent="0.2">
      <c r="A250" t="s">
        <v>0</v>
      </c>
      <c r="B250" t="s">
        <v>157</v>
      </c>
      <c r="C250" t="s">
        <v>136</v>
      </c>
      <c r="D250" t="str">
        <f>VLOOKUP(C250,'lookup table'!$A$2:$B$19,2,FALSE)</f>
        <v>BBA Set</v>
      </c>
      <c r="E250" t="str">
        <f t="shared" si="3"/>
        <v>|BBA Set</v>
      </c>
    </row>
    <row r="251" spans="1:5" x14ac:dyDescent="0.2">
      <c r="A251" t="s">
        <v>0</v>
      </c>
      <c r="B251" t="s">
        <v>158</v>
      </c>
      <c r="C251" t="s">
        <v>136</v>
      </c>
      <c r="D251" t="str">
        <f>VLOOKUP(C251,'lookup table'!$A$2:$B$19,2,FALSE)</f>
        <v>BBA Set</v>
      </c>
      <c r="E251" t="str">
        <f t="shared" si="3"/>
        <v>|BBA Set</v>
      </c>
    </row>
    <row r="252" spans="1:5" x14ac:dyDescent="0.2">
      <c r="A252" t="s">
        <v>0</v>
      </c>
      <c r="B252" t="s">
        <v>159</v>
      </c>
      <c r="C252" t="s">
        <v>136</v>
      </c>
      <c r="D252" t="str">
        <f>VLOOKUP(C252,'lookup table'!$A$2:$B$19,2,FALSE)</f>
        <v>BBA Set</v>
      </c>
      <c r="E252" t="str">
        <f t="shared" si="3"/>
        <v>|BBA Set</v>
      </c>
    </row>
    <row r="253" spans="1:5" x14ac:dyDescent="0.2">
      <c r="A253" t="s">
        <v>0</v>
      </c>
      <c r="B253" t="s">
        <v>160</v>
      </c>
      <c r="C253" t="s">
        <v>136</v>
      </c>
      <c r="D253" t="str">
        <f>VLOOKUP(C253,'lookup table'!$A$2:$B$19,2,FALSE)</f>
        <v>BBA Set</v>
      </c>
      <c r="E253" t="str">
        <f t="shared" si="3"/>
        <v>|BBA Set</v>
      </c>
    </row>
    <row r="254" spans="1:5" x14ac:dyDescent="0.2">
      <c r="A254" t="s">
        <v>0</v>
      </c>
      <c r="B254" t="s">
        <v>161</v>
      </c>
      <c r="C254" t="s">
        <v>136</v>
      </c>
      <c r="D254" t="str">
        <f>VLOOKUP(C254,'lookup table'!$A$2:$B$19,2,FALSE)</f>
        <v>BBA Set</v>
      </c>
      <c r="E254" t="str">
        <f t="shared" si="3"/>
        <v>|BBA Set</v>
      </c>
    </row>
    <row r="255" spans="1:5" x14ac:dyDescent="0.2">
      <c r="A255" t="s">
        <v>0</v>
      </c>
      <c r="B255" t="s">
        <v>162</v>
      </c>
      <c r="C255" t="s">
        <v>136</v>
      </c>
      <c r="D255" t="str">
        <f>VLOOKUP(C255,'lookup table'!$A$2:$B$19,2,FALSE)</f>
        <v>BBA Set</v>
      </c>
      <c r="E255" t="str">
        <f t="shared" si="3"/>
        <v>|BBA Set</v>
      </c>
    </row>
    <row r="256" spans="1:5" x14ac:dyDescent="0.2">
      <c r="A256" t="s">
        <v>0</v>
      </c>
      <c r="B256" t="s">
        <v>163</v>
      </c>
      <c r="C256" t="s">
        <v>136</v>
      </c>
      <c r="D256" t="str">
        <f>VLOOKUP(C256,'lookup table'!$A$2:$B$19,2,FALSE)</f>
        <v>BBA Set</v>
      </c>
      <c r="E256" t="str">
        <f t="shared" si="3"/>
        <v>|BBA Set</v>
      </c>
    </row>
    <row r="257" spans="1:5" x14ac:dyDescent="0.2">
      <c r="A257" t="s">
        <v>0</v>
      </c>
      <c r="B257" t="s">
        <v>164</v>
      </c>
      <c r="C257" t="s">
        <v>136</v>
      </c>
      <c r="D257" t="str">
        <f>VLOOKUP(C257,'lookup table'!$A$2:$B$19,2,FALSE)</f>
        <v>BBA Set</v>
      </c>
      <c r="E257" t="str">
        <f t="shared" si="3"/>
        <v>|BBA Set</v>
      </c>
    </row>
    <row r="258" spans="1:5" x14ac:dyDescent="0.2">
      <c r="A258" t="s">
        <v>0</v>
      </c>
      <c r="B258" t="s">
        <v>165</v>
      </c>
      <c r="C258" t="s">
        <v>136</v>
      </c>
      <c r="D258" t="str">
        <f>VLOOKUP(C258,'lookup table'!$A$2:$B$19,2,FALSE)</f>
        <v>BBA Set</v>
      </c>
      <c r="E258" t="str">
        <f t="shared" si="3"/>
        <v>|BBA Set</v>
      </c>
    </row>
    <row r="259" spans="1:5" x14ac:dyDescent="0.2">
      <c r="A259" t="s">
        <v>0</v>
      </c>
      <c r="B259" t="s">
        <v>166</v>
      </c>
      <c r="C259" t="s">
        <v>136</v>
      </c>
      <c r="D259" t="str">
        <f>VLOOKUP(C259,'lookup table'!$A$2:$B$19,2,FALSE)</f>
        <v>BBA Set</v>
      </c>
      <c r="E259" t="str">
        <f t="shared" ref="E259:E322" si="4">IF(ISNA(D259),"",IF(A259="","",A259) &amp; "|" &amp; D259)</f>
        <v>|BBA Set</v>
      </c>
    </row>
    <row r="260" spans="1:5" x14ac:dyDescent="0.2">
      <c r="A260" t="s">
        <v>0</v>
      </c>
      <c r="B260" t="s">
        <v>167</v>
      </c>
      <c r="C260" t="s">
        <v>136</v>
      </c>
      <c r="D260" t="str">
        <f>VLOOKUP(C260,'lookup table'!$A$2:$B$19,2,FALSE)</f>
        <v>BBA Set</v>
      </c>
      <c r="E260" t="str">
        <f t="shared" si="4"/>
        <v>|BBA Set</v>
      </c>
    </row>
    <row r="261" spans="1:5" x14ac:dyDescent="0.2">
      <c r="A261" t="s">
        <v>0</v>
      </c>
      <c r="B261" t="s">
        <v>168</v>
      </c>
      <c r="C261" t="s">
        <v>136</v>
      </c>
      <c r="D261" t="str">
        <f>VLOOKUP(C261,'lookup table'!$A$2:$B$19,2,FALSE)</f>
        <v>BBA Set</v>
      </c>
      <c r="E261" t="str">
        <f t="shared" si="4"/>
        <v>|BBA Set</v>
      </c>
    </row>
    <row r="262" spans="1:5" x14ac:dyDescent="0.2">
      <c r="A262" t="s">
        <v>0</v>
      </c>
      <c r="B262" t="s">
        <v>169</v>
      </c>
      <c r="C262" t="s">
        <v>136</v>
      </c>
      <c r="D262" t="str">
        <f>VLOOKUP(C262,'lookup table'!$A$2:$B$19,2,FALSE)</f>
        <v>BBA Set</v>
      </c>
      <c r="E262" t="str">
        <f t="shared" si="4"/>
        <v>|BBA Set</v>
      </c>
    </row>
    <row r="263" spans="1:5" x14ac:dyDescent="0.2">
      <c r="A263" t="s">
        <v>0</v>
      </c>
      <c r="B263" t="s">
        <v>170</v>
      </c>
      <c r="C263" t="s">
        <v>136</v>
      </c>
      <c r="D263" t="str">
        <f>VLOOKUP(C263,'lookup table'!$A$2:$B$19,2,FALSE)</f>
        <v>BBA Set</v>
      </c>
      <c r="E263" t="str">
        <f t="shared" si="4"/>
        <v>|BBA Set</v>
      </c>
    </row>
    <row r="264" spans="1:5" x14ac:dyDescent="0.2">
      <c r="A264" t="s">
        <v>0</v>
      </c>
      <c r="B264" t="s">
        <v>171</v>
      </c>
      <c r="C264" t="s">
        <v>136</v>
      </c>
      <c r="D264" t="str">
        <f>VLOOKUP(C264,'lookup table'!$A$2:$B$19,2,FALSE)</f>
        <v>BBA Set</v>
      </c>
      <c r="E264" t="str">
        <f t="shared" si="4"/>
        <v>|BBA Set</v>
      </c>
    </row>
    <row r="265" spans="1:5" x14ac:dyDescent="0.2">
      <c r="A265" t="s">
        <v>0</v>
      </c>
      <c r="B265" t="s">
        <v>172</v>
      </c>
      <c r="C265" t="s">
        <v>136</v>
      </c>
      <c r="D265" t="str">
        <f>VLOOKUP(C265,'lookup table'!$A$2:$B$19,2,FALSE)</f>
        <v>BBA Set</v>
      </c>
      <c r="E265" t="str">
        <f t="shared" si="4"/>
        <v>|BBA Set</v>
      </c>
    </row>
    <row r="266" spans="1:5" x14ac:dyDescent="0.2">
      <c r="A266" t="s">
        <v>0</v>
      </c>
      <c r="B266" t="s">
        <v>173</v>
      </c>
      <c r="C266" t="s">
        <v>136</v>
      </c>
      <c r="D266" t="str">
        <f>VLOOKUP(C266,'lookup table'!$A$2:$B$19,2,FALSE)</f>
        <v>BBA Set</v>
      </c>
      <c r="E266" t="str">
        <f t="shared" si="4"/>
        <v>|BBA Set</v>
      </c>
    </row>
    <row r="267" spans="1:5" x14ac:dyDescent="0.2">
      <c r="A267" t="s">
        <v>0</v>
      </c>
      <c r="B267" t="s">
        <v>174</v>
      </c>
      <c r="C267" t="s">
        <v>136</v>
      </c>
      <c r="D267" t="str">
        <f>VLOOKUP(C267,'lookup table'!$A$2:$B$19,2,FALSE)</f>
        <v>BBA Set</v>
      </c>
      <c r="E267" t="str">
        <f t="shared" si="4"/>
        <v>|BBA Set</v>
      </c>
    </row>
    <row r="268" spans="1:5" x14ac:dyDescent="0.2">
      <c r="A268" t="s">
        <v>0</v>
      </c>
      <c r="B268" t="s">
        <v>175</v>
      </c>
      <c r="C268" t="s">
        <v>136</v>
      </c>
      <c r="D268" t="str">
        <f>VLOOKUP(C268,'lookup table'!$A$2:$B$19,2,FALSE)</f>
        <v>BBA Set</v>
      </c>
      <c r="E268" t="str">
        <f t="shared" si="4"/>
        <v>|BBA Set</v>
      </c>
    </row>
    <row r="269" spans="1:5" x14ac:dyDescent="0.2">
      <c r="A269" t="s">
        <v>0</v>
      </c>
      <c r="B269" t="s">
        <v>176</v>
      </c>
      <c r="C269" t="s">
        <v>136</v>
      </c>
      <c r="D269" t="str">
        <f>VLOOKUP(C269,'lookup table'!$A$2:$B$19,2,FALSE)</f>
        <v>BBA Set</v>
      </c>
      <c r="E269" t="str">
        <f t="shared" si="4"/>
        <v>|BBA Set</v>
      </c>
    </row>
    <row r="270" spans="1:5" x14ac:dyDescent="0.2">
      <c r="A270" t="s">
        <v>0</v>
      </c>
      <c r="B270" t="s">
        <v>177</v>
      </c>
      <c r="C270" t="s">
        <v>136</v>
      </c>
      <c r="D270" t="str">
        <f>VLOOKUP(C270,'lookup table'!$A$2:$B$19,2,FALSE)</f>
        <v>BBA Set</v>
      </c>
      <c r="E270" t="str">
        <f t="shared" si="4"/>
        <v>|BBA Set</v>
      </c>
    </row>
    <row r="271" spans="1:5" x14ac:dyDescent="0.2">
      <c r="A271" t="s">
        <v>0</v>
      </c>
      <c r="B271" t="s">
        <v>178</v>
      </c>
      <c r="C271" t="s">
        <v>136</v>
      </c>
      <c r="D271" t="str">
        <f>VLOOKUP(C271,'lookup table'!$A$2:$B$19,2,FALSE)</f>
        <v>BBA Set</v>
      </c>
      <c r="E271" t="str">
        <f t="shared" si="4"/>
        <v>|BBA Set</v>
      </c>
    </row>
    <row r="272" spans="1:5" x14ac:dyDescent="0.2">
      <c r="A272" t="s">
        <v>0</v>
      </c>
      <c r="B272" t="s">
        <v>179</v>
      </c>
      <c r="C272" t="s">
        <v>136</v>
      </c>
      <c r="D272" t="str">
        <f>VLOOKUP(C272,'lookup table'!$A$2:$B$19,2,FALSE)</f>
        <v>BBA Set</v>
      </c>
      <c r="E272" t="str">
        <f t="shared" si="4"/>
        <v>|BBA Set</v>
      </c>
    </row>
    <row r="273" spans="1:5" x14ac:dyDescent="0.2">
      <c r="A273" t="s">
        <v>0</v>
      </c>
      <c r="B273" t="s">
        <v>180</v>
      </c>
      <c r="C273" t="s">
        <v>136</v>
      </c>
      <c r="D273" t="str">
        <f>VLOOKUP(C273,'lookup table'!$A$2:$B$19,2,FALSE)</f>
        <v>BBA Set</v>
      </c>
      <c r="E273" t="str">
        <f t="shared" si="4"/>
        <v>|BBA Set</v>
      </c>
    </row>
    <row r="274" spans="1:5" x14ac:dyDescent="0.2">
      <c r="A274" t="s">
        <v>0</v>
      </c>
      <c r="B274" t="s">
        <v>181</v>
      </c>
      <c r="C274" t="s">
        <v>136</v>
      </c>
      <c r="D274" t="str">
        <f>VLOOKUP(C274,'lookup table'!$A$2:$B$19,2,FALSE)</f>
        <v>BBA Set</v>
      </c>
      <c r="E274" t="str">
        <f t="shared" si="4"/>
        <v>|BBA Set</v>
      </c>
    </row>
    <row r="275" spans="1:5" x14ac:dyDescent="0.2">
      <c r="A275" t="s">
        <v>0</v>
      </c>
      <c r="B275" t="s">
        <v>182</v>
      </c>
      <c r="C275" t="s">
        <v>136</v>
      </c>
      <c r="D275" t="str">
        <f>VLOOKUP(C275,'lookup table'!$A$2:$B$19,2,FALSE)</f>
        <v>BBA Set</v>
      </c>
      <c r="E275" t="str">
        <f t="shared" si="4"/>
        <v>|BBA Set</v>
      </c>
    </row>
    <row r="276" spans="1:5" x14ac:dyDescent="0.2">
      <c r="A276" t="s">
        <v>0</v>
      </c>
      <c r="B276" t="s">
        <v>183</v>
      </c>
      <c r="C276" t="s">
        <v>136</v>
      </c>
      <c r="D276" t="str">
        <f>VLOOKUP(C276,'lookup table'!$A$2:$B$19,2,FALSE)</f>
        <v>BBA Set</v>
      </c>
      <c r="E276" t="str">
        <f t="shared" si="4"/>
        <v>|BBA Set</v>
      </c>
    </row>
    <row r="277" spans="1:5" x14ac:dyDescent="0.2">
      <c r="A277" t="s">
        <v>0</v>
      </c>
      <c r="B277" t="s">
        <v>184</v>
      </c>
      <c r="C277" t="s">
        <v>136</v>
      </c>
      <c r="D277" t="str">
        <f>VLOOKUP(C277,'lookup table'!$A$2:$B$19,2,FALSE)</f>
        <v>BBA Set</v>
      </c>
      <c r="E277" t="str">
        <f t="shared" si="4"/>
        <v>|BBA Set</v>
      </c>
    </row>
    <row r="278" spans="1:5" x14ac:dyDescent="0.2">
      <c r="A278" t="s">
        <v>0</v>
      </c>
      <c r="B278" t="s">
        <v>185</v>
      </c>
      <c r="C278" t="s">
        <v>136</v>
      </c>
      <c r="D278" t="str">
        <f>VLOOKUP(C278,'lookup table'!$A$2:$B$19,2,FALSE)</f>
        <v>BBA Set</v>
      </c>
      <c r="E278" t="str">
        <f t="shared" si="4"/>
        <v>|BBA Set</v>
      </c>
    </row>
    <row r="279" spans="1:5" x14ac:dyDescent="0.2">
      <c r="A279" t="s">
        <v>0</v>
      </c>
      <c r="B279" t="s">
        <v>185</v>
      </c>
      <c r="C279" t="s">
        <v>136</v>
      </c>
      <c r="D279" t="str">
        <f>VLOOKUP(C279,'lookup table'!$A$2:$B$19,2,FALSE)</f>
        <v>BBA Set</v>
      </c>
      <c r="E279" t="str">
        <f t="shared" si="4"/>
        <v>|BBA Set</v>
      </c>
    </row>
    <row r="280" spans="1:5" x14ac:dyDescent="0.2">
      <c r="A280" t="s">
        <v>0</v>
      </c>
      <c r="B280" t="s">
        <v>186</v>
      </c>
      <c r="C280" t="s">
        <v>136</v>
      </c>
      <c r="D280" t="str">
        <f>VLOOKUP(C280,'lookup table'!$A$2:$B$19,2,FALSE)</f>
        <v>BBA Set</v>
      </c>
      <c r="E280" t="str">
        <f t="shared" si="4"/>
        <v>|BBA Set</v>
      </c>
    </row>
    <row r="281" spans="1:5" x14ac:dyDescent="0.2">
      <c r="A281" t="s">
        <v>0</v>
      </c>
      <c r="B281" t="s">
        <v>187</v>
      </c>
      <c r="C281" t="s">
        <v>136</v>
      </c>
      <c r="D281" t="str">
        <f>VLOOKUP(C281,'lookup table'!$A$2:$B$19,2,FALSE)</f>
        <v>BBA Set</v>
      </c>
      <c r="E281" t="str">
        <f t="shared" si="4"/>
        <v>|BBA Set</v>
      </c>
    </row>
    <row r="282" spans="1:5" x14ac:dyDescent="0.2">
      <c r="A282" t="s">
        <v>0</v>
      </c>
      <c r="B282" t="s">
        <v>188</v>
      </c>
      <c r="C282" t="s">
        <v>136</v>
      </c>
      <c r="D282" t="str">
        <f>VLOOKUP(C282,'lookup table'!$A$2:$B$19,2,FALSE)</f>
        <v>BBA Set</v>
      </c>
      <c r="E282" t="str">
        <f t="shared" si="4"/>
        <v>|BBA Set</v>
      </c>
    </row>
    <row r="283" spans="1:5" x14ac:dyDescent="0.2">
      <c r="A283" t="s">
        <v>0</v>
      </c>
      <c r="B283" t="s">
        <v>189</v>
      </c>
      <c r="C283" t="s">
        <v>136</v>
      </c>
      <c r="D283" t="str">
        <f>VLOOKUP(C283,'lookup table'!$A$2:$B$19,2,FALSE)</f>
        <v>BBA Set</v>
      </c>
      <c r="E283" t="str">
        <f t="shared" si="4"/>
        <v>|BBA Set</v>
      </c>
    </row>
    <row r="284" spans="1:5" x14ac:dyDescent="0.2">
      <c r="A284" t="s">
        <v>0</v>
      </c>
      <c r="B284" t="s">
        <v>190</v>
      </c>
      <c r="C284" t="s">
        <v>136</v>
      </c>
      <c r="D284" t="str">
        <f>VLOOKUP(C284,'lookup table'!$A$2:$B$19,2,FALSE)</f>
        <v>BBA Set</v>
      </c>
      <c r="E284" t="str">
        <f t="shared" si="4"/>
        <v>|BBA Set</v>
      </c>
    </row>
    <row r="285" spans="1:5" x14ac:dyDescent="0.2">
      <c r="A285" t="s">
        <v>0</v>
      </c>
      <c r="B285" t="s">
        <v>191</v>
      </c>
      <c r="C285" t="s">
        <v>136</v>
      </c>
      <c r="D285" t="str">
        <f>VLOOKUP(C285,'lookup table'!$A$2:$B$19,2,FALSE)</f>
        <v>BBA Set</v>
      </c>
      <c r="E285" t="str">
        <f t="shared" si="4"/>
        <v>|BBA Set</v>
      </c>
    </row>
    <row r="286" spans="1:5" x14ac:dyDescent="0.2">
      <c r="A286" t="s">
        <v>0</v>
      </c>
      <c r="B286" t="s">
        <v>192</v>
      </c>
      <c r="C286" t="s">
        <v>136</v>
      </c>
      <c r="D286" t="str">
        <f>VLOOKUP(C286,'lookup table'!$A$2:$B$19,2,FALSE)</f>
        <v>BBA Set</v>
      </c>
      <c r="E286" t="str">
        <f t="shared" si="4"/>
        <v>|BBA Set</v>
      </c>
    </row>
    <row r="287" spans="1:5" x14ac:dyDescent="0.2">
      <c r="A287" t="s">
        <v>0</v>
      </c>
      <c r="B287" t="s">
        <v>193</v>
      </c>
      <c r="C287" t="s">
        <v>136</v>
      </c>
      <c r="D287" t="str">
        <f>VLOOKUP(C287,'lookup table'!$A$2:$B$19,2,FALSE)</f>
        <v>BBA Set</v>
      </c>
      <c r="E287" t="str">
        <f t="shared" si="4"/>
        <v>|BBA Set</v>
      </c>
    </row>
    <row r="288" spans="1:5" x14ac:dyDescent="0.2">
      <c r="A288" t="s">
        <v>0</v>
      </c>
      <c r="B288" t="s">
        <v>194</v>
      </c>
      <c r="C288" t="s">
        <v>136</v>
      </c>
      <c r="D288" t="str">
        <f>VLOOKUP(C288,'lookup table'!$A$2:$B$19,2,FALSE)</f>
        <v>BBA Set</v>
      </c>
      <c r="E288" t="str">
        <f t="shared" si="4"/>
        <v>|BBA Set</v>
      </c>
    </row>
    <row r="289" spans="1:5" x14ac:dyDescent="0.2">
      <c r="A289" t="s">
        <v>0</v>
      </c>
      <c r="B289" t="s">
        <v>195</v>
      </c>
      <c r="C289" t="s">
        <v>136</v>
      </c>
      <c r="D289" t="str">
        <f>VLOOKUP(C289,'lookup table'!$A$2:$B$19,2,FALSE)</f>
        <v>BBA Set</v>
      </c>
      <c r="E289" t="str">
        <f t="shared" si="4"/>
        <v>|BBA Set</v>
      </c>
    </row>
    <row r="290" spans="1:5" x14ac:dyDescent="0.2">
      <c r="A290" t="s">
        <v>0</v>
      </c>
      <c r="B290" t="s">
        <v>196</v>
      </c>
      <c r="C290" t="s">
        <v>136</v>
      </c>
      <c r="D290" t="str">
        <f>VLOOKUP(C290,'lookup table'!$A$2:$B$19,2,FALSE)</f>
        <v>BBA Set</v>
      </c>
      <c r="E290" t="str">
        <f t="shared" si="4"/>
        <v>|BBA Set</v>
      </c>
    </row>
    <row r="291" spans="1:5" x14ac:dyDescent="0.2">
      <c r="A291" t="s">
        <v>0</v>
      </c>
      <c r="B291" t="s">
        <v>197</v>
      </c>
      <c r="C291" t="s">
        <v>136</v>
      </c>
      <c r="D291" t="str">
        <f>VLOOKUP(C291,'lookup table'!$A$2:$B$19,2,FALSE)</f>
        <v>BBA Set</v>
      </c>
      <c r="E291" t="str">
        <f t="shared" si="4"/>
        <v>|BBA Set</v>
      </c>
    </row>
    <row r="292" spans="1:5" x14ac:dyDescent="0.2">
      <c r="A292" t="s">
        <v>0</v>
      </c>
      <c r="B292" t="s">
        <v>198</v>
      </c>
      <c r="C292" t="s">
        <v>136</v>
      </c>
      <c r="D292" t="str">
        <f>VLOOKUP(C292,'lookup table'!$A$2:$B$19,2,FALSE)</f>
        <v>BBA Set</v>
      </c>
      <c r="E292" t="str">
        <f t="shared" si="4"/>
        <v>|BBA Set</v>
      </c>
    </row>
    <row r="293" spans="1:5" x14ac:dyDescent="0.2">
      <c r="A293" t="s">
        <v>0</v>
      </c>
      <c r="B293" t="s">
        <v>199</v>
      </c>
      <c r="C293" t="s">
        <v>136</v>
      </c>
      <c r="D293" t="str">
        <f>VLOOKUP(C293,'lookup table'!$A$2:$B$19,2,FALSE)</f>
        <v>BBA Set</v>
      </c>
      <c r="E293" t="str">
        <f t="shared" si="4"/>
        <v>|BBA Set</v>
      </c>
    </row>
    <row r="294" spans="1:5" x14ac:dyDescent="0.2">
      <c r="A294" t="s">
        <v>0</v>
      </c>
      <c r="B294" t="s">
        <v>200</v>
      </c>
      <c r="C294" t="s">
        <v>136</v>
      </c>
      <c r="D294" t="str">
        <f>VLOOKUP(C294,'lookup table'!$A$2:$B$19,2,FALSE)</f>
        <v>BBA Set</v>
      </c>
      <c r="E294" t="str">
        <f t="shared" si="4"/>
        <v>|BBA Set</v>
      </c>
    </row>
    <row r="295" spans="1:5" x14ac:dyDescent="0.2">
      <c r="A295" t="s">
        <v>0</v>
      </c>
      <c r="B295" t="s">
        <v>71</v>
      </c>
      <c r="C295" t="s">
        <v>136</v>
      </c>
      <c r="D295" t="str">
        <f>VLOOKUP(C295,'lookup table'!$A$2:$B$19,2,FALSE)</f>
        <v>BBA Set</v>
      </c>
      <c r="E295" t="str">
        <f t="shared" si="4"/>
        <v>|BBA Set</v>
      </c>
    </row>
    <row r="296" spans="1:5" x14ac:dyDescent="0.2">
      <c r="A296" t="s">
        <v>0</v>
      </c>
      <c r="B296" t="s">
        <v>73</v>
      </c>
      <c r="C296" t="s">
        <v>136</v>
      </c>
      <c r="D296" t="str">
        <f>VLOOKUP(C296,'lookup table'!$A$2:$B$19,2,FALSE)</f>
        <v>BBA Set</v>
      </c>
      <c r="E296" t="str">
        <f t="shared" si="4"/>
        <v>|BBA Set</v>
      </c>
    </row>
    <row r="297" spans="1:5" x14ac:dyDescent="0.2">
      <c r="A297" t="s">
        <v>0</v>
      </c>
      <c r="B297" t="s">
        <v>201</v>
      </c>
      <c r="C297" t="s">
        <v>136</v>
      </c>
      <c r="D297" t="str">
        <f>VLOOKUP(C297,'lookup table'!$A$2:$B$19,2,FALSE)</f>
        <v>BBA Set</v>
      </c>
      <c r="E297" t="str">
        <f t="shared" si="4"/>
        <v>|BBA Set</v>
      </c>
    </row>
    <row r="298" spans="1:5" x14ac:dyDescent="0.2">
      <c r="A298" t="s">
        <v>0</v>
      </c>
      <c r="B298" t="s">
        <v>105</v>
      </c>
      <c r="C298" t="s">
        <v>136</v>
      </c>
      <c r="D298" t="str">
        <f>VLOOKUP(C298,'lookup table'!$A$2:$B$19,2,FALSE)</f>
        <v>BBA Set</v>
      </c>
      <c r="E298" t="str">
        <f t="shared" si="4"/>
        <v>|BBA Set</v>
      </c>
    </row>
    <row r="299" spans="1:5" x14ac:dyDescent="0.2">
      <c r="A299" t="s">
        <v>0</v>
      </c>
      <c r="B299" t="s">
        <v>105</v>
      </c>
      <c r="C299" t="s">
        <v>136</v>
      </c>
      <c r="D299" t="str">
        <f>VLOOKUP(C299,'lookup table'!$A$2:$B$19,2,FALSE)</f>
        <v>BBA Set</v>
      </c>
      <c r="E299" t="str">
        <f t="shared" si="4"/>
        <v>|BBA Set</v>
      </c>
    </row>
    <row r="300" spans="1:5" x14ac:dyDescent="0.2">
      <c r="A300" t="s">
        <v>0</v>
      </c>
      <c r="B300" t="s">
        <v>105</v>
      </c>
      <c r="C300" t="s">
        <v>136</v>
      </c>
      <c r="D300" t="str">
        <f>VLOOKUP(C300,'lookup table'!$A$2:$B$19,2,FALSE)</f>
        <v>BBA Set</v>
      </c>
      <c r="E300" t="str">
        <f t="shared" si="4"/>
        <v>|BBA Set</v>
      </c>
    </row>
    <row r="301" spans="1:5" x14ac:dyDescent="0.2">
      <c r="A301" t="s">
        <v>0</v>
      </c>
      <c r="B301" t="s">
        <v>106</v>
      </c>
      <c r="C301" t="s">
        <v>136</v>
      </c>
      <c r="D301" t="str">
        <f>VLOOKUP(C301,'lookup table'!$A$2:$B$19,2,FALSE)</f>
        <v>BBA Set</v>
      </c>
      <c r="E301" t="str">
        <f t="shared" si="4"/>
        <v>|BBA Set</v>
      </c>
    </row>
    <row r="302" spans="1:5" x14ac:dyDescent="0.2">
      <c r="A302" t="s">
        <v>0</v>
      </c>
      <c r="B302" t="s">
        <v>107</v>
      </c>
      <c r="C302" t="s">
        <v>136</v>
      </c>
      <c r="D302" t="str">
        <f>VLOOKUP(C302,'lookup table'!$A$2:$B$19,2,FALSE)</f>
        <v>BBA Set</v>
      </c>
      <c r="E302" t="str">
        <f t="shared" si="4"/>
        <v>|BBA Set</v>
      </c>
    </row>
    <row r="303" spans="1:5" x14ac:dyDescent="0.2">
      <c r="A303" t="s">
        <v>0</v>
      </c>
      <c r="B303" t="s">
        <v>137</v>
      </c>
      <c r="C303" t="s">
        <v>136</v>
      </c>
      <c r="D303" t="str">
        <f>VLOOKUP(C303,'lookup table'!$A$2:$B$19,2,FALSE)</f>
        <v>BBA Set</v>
      </c>
      <c r="E303" t="str">
        <f t="shared" si="4"/>
        <v>|BBA Set</v>
      </c>
    </row>
    <row r="304" spans="1:5" x14ac:dyDescent="0.2">
      <c r="A304" t="s">
        <v>0</v>
      </c>
      <c r="B304" t="s">
        <v>154</v>
      </c>
      <c r="C304" t="s">
        <v>136</v>
      </c>
      <c r="D304" t="str">
        <f>VLOOKUP(C304,'lookup table'!$A$2:$B$19,2,FALSE)</f>
        <v>BBA Set</v>
      </c>
      <c r="E304" t="str">
        <f t="shared" si="4"/>
        <v>|BBA Set</v>
      </c>
    </row>
    <row r="305" spans="1:5" x14ac:dyDescent="0.2">
      <c r="A305" t="s">
        <v>0</v>
      </c>
      <c r="B305" t="s">
        <v>202</v>
      </c>
      <c r="C305" t="s">
        <v>136</v>
      </c>
      <c r="D305" t="str">
        <f>VLOOKUP(C305,'lookup table'!$A$2:$B$19,2,FALSE)</f>
        <v>BBA Set</v>
      </c>
      <c r="E305" t="str">
        <f t="shared" si="4"/>
        <v>|BBA Set</v>
      </c>
    </row>
    <row r="306" spans="1:5" x14ac:dyDescent="0.2">
      <c r="A306" t="s">
        <v>0</v>
      </c>
      <c r="B306" t="s">
        <v>203</v>
      </c>
      <c r="C306" t="s">
        <v>136</v>
      </c>
      <c r="D306" t="str">
        <f>VLOOKUP(C306,'lookup table'!$A$2:$B$19,2,FALSE)</f>
        <v>BBA Set</v>
      </c>
      <c r="E306" t="str">
        <f t="shared" si="4"/>
        <v>|BBA Set</v>
      </c>
    </row>
    <row r="307" spans="1:5" x14ac:dyDescent="0.2">
      <c r="A307" t="s">
        <v>0</v>
      </c>
      <c r="B307" t="s">
        <v>204</v>
      </c>
      <c r="C307" t="s">
        <v>136</v>
      </c>
      <c r="D307" t="str">
        <f>VLOOKUP(C307,'lookup table'!$A$2:$B$19,2,FALSE)</f>
        <v>BBA Set</v>
      </c>
      <c r="E307" t="str">
        <f t="shared" si="4"/>
        <v>|BBA Set</v>
      </c>
    </row>
    <row r="308" spans="1:5" x14ac:dyDescent="0.2">
      <c r="A308" t="s">
        <v>0</v>
      </c>
      <c r="B308" t="s">
        <v>205</v>
      </c>
      <c r="C308" t="s">
        <v>136</v>
      </c>
      <c r="D308" t="str">
        <f>VLOOKUP(C308,'lookup table'!$A$2:$B$19,2,FALSE)</f>
        <v>BBA Set</v>
      </c>
      <c r="E308" t="str">
        <f t="shared" si="4"/>
        <v>|BBA Set</v>
      </c>
    </row>
    <row r="309" spans="1:5" x14ac:dyDescent="0.2">
      <c r="A309" t="s">
        <v>0</v>
      </c>
      <c r="B309" t="s">
        <v>206</v>
      </c>
      <c r="C309" t="s">
        <v>136</v>
      </c>
      <c r="D309" t="str">
        <f>VLOOKUP(C309,'lookup table'!$A$2:$B$19,2,FALSE)</f>
        <v>BBA Set</v>
      </c>
      <c r="E309" t="str">
        <f t="shared" si="4"/>
        <v>|BBA Set</v>
      </c>
    </row>
    <row r="310" spans="1:5" x14ac:dyDescent="0.2">
      <c r="A310" t="s">
        <v>0</v>
      </c>
      <c r="B310" t="s">
        <v>207</v>
      </c>
      <c r="C310" t="s">
        <v>136</v>
      </c>
      <c r="D310" t="str">
        <f>VLOOKUP(C310,'lookup table'!$A$2:$B$19,2,FALSE)</f>
        <v>BBA Set</v>
      </c>
      <c r="E310" t="str">
        <f t="shared" si="4"/>
        <v>|BBA Set</v>
      </c>
    </row>
    <row r="311" spans="1:5" x14ac:dyDescent="0.2">
      <c r="A311" t="s">
        <v>0</v>
      </c>
      <c r="B311" t="s">
        <v>200</v>
      </c>
      <c r="C311" t="s">
        <v>136</v>
      </c>
      <c r="D311" t="str">
        <f>VLOOKUP(C311,'lookup table'!$A$2:$B$19,2,FALSE)</f>
        <v>BBA Set</v>
      </c>
      <c r="E311" t="str">
        <f t="shared" si="4"/>
        <v>|BBA Set</v>
      </c>
    </row>
    <row r="312" spans="1:5" x14ac:dyDescent="0.2">
      <c r="A312" t="s">
        <v>0</v>
      </c>
      <c r="B312" t="s">
        <v>202</v>
      </c>
      <c r="C312" t="s">
        <v>136</v>
      </c>
      <c r="D312" t="str">
        <f>VLOOKUP(C312,'lookup table'!$A$2:$B$19,2,FALSE)</f>
        <v>BBA Set</v>
      </c>
      <c r="E312" t="str">
        <f t="shared" si="4"/>
        <v>|BBA Set</v>
      </c>
    </row>
    <row r="313" spans="1:5" x14ac:dyDescent="0.2">
      <c r="A313" t="s">
        <v>0</v>
      </c>
      <c r="B313" t="s">
        <v>203</v>
      </c>
      <c r="C313" t="s">
        <v>136</v>
      </c>
      <c r="D313" t="str">
        <f>VLOOKUP(C313,'lookup table'!$A$2:$B$19,2,FALSE)</f>
        <v>BBA Set</v>
      </c>
      <c r="E313" t="str">
        <f t="shared" si="4"/>
        <v>|BBA Set</v>
      </c>
    </row>
    <row r="314" spans="1:5" x14ac:dyDescent="0.2">
      <c r="A314" t="s">
        <v>0</v>
      </c>
      <c r="B314" t="s">
        <v>208</v>
      </c>
      <c r="C314" t="s">
        <v>136</v>
      </c>
      <c r="D314" t="str">
        <f>VLOOKUP(C314,'lookup table'!$A$2:$B$19,2,FALSE)</f>
        <v>BBA Set</v>
      </c>
      <c r="E314" t="str">
        <f t="shared" si="4"/>
        <v>|BBA Set</v>
      </c>
    </row>
    <row r="315" spans="1:5" x14ac:dyDescent="0.2">
      <c r="A315" t="s">
        <v>0</v>
      </c>
      <c r="B315" t="s">
        <v>209</v>
      </c>
      <c r="C315" t="s">
        <v>136</v>
      </c>
      <c r="D315" t="str">
        <f>VLOOKUP(C315,'lookup table'!$A$2:$B$19,2,FALSE)</f>
        <v>BBA Set</v>
      </c>
      <c r="E315" t="str">
        <f t="shared" si="4"/>
        <v>|BBA Set</v>
      </c>
    </row>
    <row r="316" spans="1:5" x14ac:dyDescent="0.2">
      <c r="A316" t="s">
        <v>0</v>
      </c>
      <c r="B316" t="s">
        <v>119</v>
      </c>
      <c r="C316" t="s">
        <v>136</v>
      </c>
      <c r="D316" t="str">
        <f>VLOOKUP(C316,'lookup table'!$A$2:$B$19,2,FALSE)</f>
        <v>BBA Set</v>
      </c>
      <c r="E316" t="str">
        <f t="shared" si="4"/>
        <v>|BBA Set</v>
      </c>
    </row>
    <row r="317" spans="1:5" x14ac:dyDescent="0.2">
      <c r="A317" t="s">
        <v>0</v>
      </c>
      <c r="B317" t="s">
        <v>107</v>
      </c>
      <c r="C317" t="s">
        <v>136</v>
      </c>
      <c r="D317" t="str">
        <f>VLOOKUP(C317,'lookup table'!$A$2:$B$19,2,FALSE)</f>
        <v>BBA Set</v>
      </c>
      <c r="E317" t="str">
        <f t="shared" si="4"/>
        <v>|BBA Set</v>
      </c>
    </row>
    <row r="318" spans="1:5" x14ac:dyDescent="0.2">
      <c r="A318" t="s">
        <v>0</v>
      </c>
      <c r="B318" t="s">
        <v>210</v>
      </c>
      <c r="C318" t="s">
        <v>136</v>
      </c>
      <c r="D318" t="str">
        <f>VLOOKUP(C318,'lookup table'!$A$2:$B$19,2,FALSE)</f>
        <v>BBA Set</v>
      </c>
      <c r="E318" t="str">
        <f t="shared" si="4"/>
        <v>|BBA Set</v>
      </c>
    </row>
    <row r="319" spans="1:5" x14ac:dyDescent="0.2">
      <c r="A319" t="s">
        <v>0</v>
      </c>
      <c r="B319" t="s">
        <v>211</v>
      </c>
      <c r="C319" t="s">
        <v>136</v>
      </c>
      <c r="D319" t="str">
        <f>VLOOKUP(C319,'lookup table'!$A$2:$B$19,2,FALSE)</f>
        <v>BBA Set</v>
      </c>
      <c r="E319" t="str">
        <f t="shared" si="4"/>
        <v>|BBA Set</v>
      </c>
    </row>
    <row r="320" spans="1:5" x14ac:dyDescent="0.2">
      <c r="A320" t="s">
        <v>0</v>
      </c>
      <c r="B320" t="s">
        <v>212</v>
      </c>
      <c r="C320" t="s">
        <v>136</v>
      </c>
      <c r="D320" t="str">
        <f>VLOOKUP(C320,'lookup table'!$A$2:$B$19,2,FALSE)</f>
        <v>BBA Set</v>
      </c>
      <c r="E320" t="str">
        <f t="shared" si="4"/>
        <v>|BBA Set</v>
      </c>
    </row>
    <row r="321" spans="1:5" x14ac:dyDescent="0.2">
      <c r="A321" t="s">
        <v>0</v>
      </c>
      <c r="B321" t="s">
        <v>213</v>
      </c>
      <c r="C321" t="s">
        <v>136</v>
      </c>
      <c r="D321" t="str">
        <f>VLOOKUP(C321,'lookup table'!$A$2:$B$19,2,FALSE)</f>
        <v>BBA Set</v>
      </c>
      <c r="E321" t="str">
        <f t="shared" si="4"/>
        <v>|BBA Set</v>
      </c>
    </row>
    <row r="322" spans="1:5" x14ac:dyDescent="0.2">
      <c r="A322" t="s">
        <v>0</v>
      </c>
      <c r="B322" t="s">
        <v>214</v>
      </c>
      <c r="C322" t="s">
        <v>136</v>
      </c>
      <c r="D322" t="str">
        <f>VLOOKUP(C322,'lookup table'!$A$2:$B$19,2,FALSE)</f>
        <v>BBA Set</v>
      </c>
      <c r="E322" t="str">
        <f t="shared" si="4"/>
        <v>|BBA Set</v>
      </c>
    </row>
    <row r="323" spans="1:5" x14ac:dyDescent="0.2">
      <c r="A323" t="s">
        <v>0</v>
      </c>
      <c r="B323" t="s">
        <v>215</v>
      </c>
      <c r="C323" t="s">
        <v>136</v>
      </c>
      <c r="D323" t="str">
        <f>VLOOKUP(C323,'lookup table'!$A$2:$B$19,2,FALSE)</f>
        <v>BBA Set</v>
      </c>
      <c r="E323" t="str">
        <f t="shared" ref="E323:E386" si="5">IF(ISNA(D323),"",IF(A323="","",A323) &amp; "|" &amp; D323)</f>
        <v>|BBA Set</v>
      </c>
    </row>
    <row r="324" spans="1:5" x14ac:dyDescent="0.2">
      <c r="A324" t="s">
        <v>0</v>
      </c>
      <c r="B324" t="s">
        <v>216</v>
      </c>
      <c r="C324" t="s">
        <v>136</v>
      </c>
      <c r="D324" t="str">
        <f>VLOOKUP(C324,'lookup table'!$A$2:$B$19,2,FALSE)</f>
        <v>BBA Set</v>
      </c>
      <c r="E324" t="str">
        <f t="shared" si="5"/>
        <v>|BBA Set</v>
      </c>
    </row>
    <row r="325" spans="1:5" x14ac:dyDescent="0.2">
      <c r="A325" t="s">
        <v>0</v>
      </c>
      <c r="B325" t="s">
        <v>217</v>
      </c>
      <c r="C325" t="s">
        <v>136</v>
      </c>
      <c r="D325" t="str">
        <f>VLOOKUP(C325,'lookup table'!$A$2:$B$19,2,FALSE)</f>
        <v>BBA Set</v>
      </c>
      <c r="E325" t="str">
        <f t="shared" si="5"/>
        <v>|BBA Set</v>
      </c>
    </row>
    <row r="326" spans="1:5" x14ac:dyDescent="0.2">
      <c r="A326" t="s">
        <v>0</v>
      </c>
      <c r="B326" t="s">
        <v>218</v>
      </c>
      <c r="C326" t="s">
        <v>136</v>
      </c>
      <c r="D326" t="str">
        <f>VLOOKUP(C326,'lookup table'!$A$2:$B$19,2,FALSE)</f>
        <v>BBA Set</v>
      </c>
      <c r="E326" t="str">
        <f t="shared" si="5"/>
        <v>|BBA Set</v>
      </c>
    </row>
    <row r="327" spans="1:5" x14ac:dyDescent="0.2">
      <c r="A327" t="s">
        <v>0</v>
      </c>
      <c r="B327" t="s">
        <v>219</v>
      </c>
      <c r="C327" t="s">
        <v>136</v>
      </c>
      <c r="D327" t="str">
        <f>VLOOKUP(C327,'lookup table'!$A$2:$B$19,2,FALSE)</f>
        <v>BBA Set</v>
      </c>
      <c r="E327" t="str">
        <f t="shared" si="5"/>
        <v>|BBA Set</v>
      </c>
    </row>
    <row r="328" spans="1:5" x14ac:dyDescent="0.2">
      <c r="A328" t="s">
        <v>0</v>
      </c>
      <c r="B328" t="s">
        <v>71</v>
      </c>
      <c r="C328" t="s">
        <v>136</v>
      </c>
      <c r="D328" t="str">
        <f>VLOOKUP(C328,'lookup table'!$A$2:$B$19,2,FALSE)</f>
        <v>BBA Set</v>
      </c>
      <c r="E328" t="str">
        <f t="shared" si="5"/>
        <v>|BBA Set</v>
      </c>
    </row>
    <row r="329" spans="1:5" x14ac:dyDescent="0.2">
      <c r="A329" t="s">
        <v>0</v>
      </c>
      <c r="B329" t="s">
        <v>220</v>
      </c>
      <c r="C329" t="s">
        <v>136</v>
      </c>
      <c r="D329" t="str">
        <f>VLOOKUP(C329,'lookup table'!$A$2:$B$19,2,FALSE)</f>
        <v>BBA Set</v>
      </c>
      <c r="E329" t="str">
        <f t="shared" si="5"/>
        <v>|BBA Set</v>
      </c>
    </row>
    <row r="330" spans="1:5" x14ac:dyDescent="0.2">
      <c r="A330" t="s">
        <v>0</v>
      </c>
      <c r="B330" t="s">
        <v>221</v>
      </c>
      <c r="C330" t="s">
        <v>136</v>
      </c>
      <c r="D330" t="str">
        <f>VLOOKUP(C330,'lookup table'!$A$2:$B$19,2,FALSE)</f>
        <v>BBA Set</v>
      </c>
      <c r="E330" t="str">
        <f t="shared" si="5"/>
        <v>|BBA Set</v>
      </c>
    </row>
    <row r="331" spans="1:5" x14ac:dyDescent="0.2">
      <c r="A331" t="s">
        <v>0</v>
      </c>
      <c r="B331" t="s">
        <v>222</v>
      </c>
      <c r="C331" t="s">
        <v>136</v>
      </c>
      <c r="D331" t="str">
        <f>VLOOKUP(C331,'lookup table'!$A$2:$B$19,2,FALSE)</f>
        <v>BBA Set</v>
      </c>
      <c r="E331" t="str">
        <f t="shared" si="5"/>
        <v>|BBA Set</v>
      </c>
    </row>
    <row r="332" spans="1:5" x14ac:dyDescent="0.2">
      <c r="A332" t="s">
        <v>0</v>
      </c>
      <c r="B332" t="s">
        <v>223</v>
      </c>
      <c r="C332" t="s">
        <v>136</v>
      </c>
      <c r="D332" t="str">
        <f>VLOOKUP(C332,'lookup table'!$A$2:$B$19,2,FALSE)</f>
        <v>BBA Set</v>
      </c>
      <c r="E332" t="str">
        <f t="shared" si="5"/>
        <v>|BBA Set</v>
      </c>
    </row>
    <row r="333" spans="1:5" x14ac:dyDescent="0.2">
      <c r="A333" t="s">
        <v>0</v>
      </c>
      <c r="B333" t="s">
        <v>224</v>
      </c>
      <c r="C333" t="s">
        <v>136</v>
      </c>
      <c r="D333" t="str">
        <f>VLOOKUP(C333,'lookup table'!$A$2:$B$19,2,FALSE)</f>
        <v>BBA Set</v>
      </c>
      <c r="E333" t="str">
        <f t="shared" si="5"/>
        <v>|BBA Set</v>
      </c>
    </row>
    <row r="334" spans="1:5" x14ac:dyDescent="0.2">
      <c r="A334" t="s">
        <v>0</v>
      </c>
      <c r="B334" t="s">
        <v>201</v>
      </c>
      <c r="C334" t="s">
        <v>136</v>
      </c>
      <c r="D334" t="str">
        <f>VLOOKUP(C334,'lookup table'!$A$2:$B$19,2,FALSE)</f>
        <v>BBA Set</v>
      </c>
      <c r="E334" t="str">
        <f t="shared" si="5"/>
        <v>|BBA Set</v>
      </c>
    </row>
    <row r="335" spans="1:5" x14ac:dyDescent="0.2">
      <c r="A335" t="s">
        <v>0</v>
      </c>
      <c r="B335" t="s">
        <v>225</v>
      </c>
      <c r="C335" t="s">
        <v>136</v>
      </c>
      <c r="D335" t="str">
        <f>VLOOKUP(C335,'lookup table'!$A$2:$B$19,2,FALSE)</f>
        <v>BBA Set</v>
      </c>
      <c r="E335" t="str">
        <f t="shared" si="5"/>
        <v>|BBA Set</v>
      </c>
    </row>
    <row r="336" spans="1:5" x14ac:dyDescent="0.2">
      <c r="A336" t="s">
        <v>0</v>
      </c>
      <c r="B336" t="s">
        <v>226</v>
      </c>
      <c r="C336" t="s">
        <v>136</v>
      </c>
      <c r="D336" t="str">
        <f>VLOOKUP(C336,'lookup table'!$A$2:$B$19,2,FALSE)</f>
        <v>BBA Set</v>
      </c>
      <c r="E336" t="str">
        <f t="shared" si="5"/>
        <v>|BBA Set</v>
      </c>
    </row>
    <row r="337" spans="1:5" x14ac:dyDescent="0.2">
      <c r="A337" t="s">
        <v>0</v>
      </c>
      <c r="B337" t="s">
        <v>227</v>
      </c>
      <c r="C337" t="s">
        <v>136</v>
      </c>
      <c r="D337" t="str">
        <f>VLOOKUP(C337,'lookup table'!$A$2:$B$19,2,FALSE)</f>
        <v>BBA Set</v>
      </c>
      <c r="E337" t="str">
        <f t="shared" si="5"/>
        <v>|BBA Set</v>
      </c>
    </row>
    <row r="338" spans="1:5" x14ac:dyDescent="0.2">
      <c r="A338" t="s">
        <v>0</v>
      </c>
      <c r="B338" t="s">
        <v>228</v>
      </c>
      <c r="C338" t="s">
        <v>136</v>
      </c>
      <c r="D338" t="str">
        <f>VLOOKUP(C338,'lookup table'!$A$2:$B$19,2,FALSE)</f>
        <v>BBA Set</v>
      </c>
      <c r="E338" t="str">
        <f t="shared" si="5"/>
        <v>|BBA Set</v>
      </c>
    </row>
    <row r="339" spans="1:5" x14ac:dyDescent="0.2">
      <c r="A339" t="s">
        <v>0</v>
      </c>
      <c r="B339" t="s">
        <v>229</v>
      </c>
      <c r="C339" t="s">
        <v>136</v>
      </c>
      <c r="D339" t="str">
        <f>VLOOKUP(C339,'lookup table'!$A$2:$B$19,2,FALSE)</f>
        <v>BBA Set</v>
      </c>
      <c r="E339" t="str">
        <f t="shared" si="5"/>
        <v>|BBA Set</v>
      </c>
    </row>
    <row r="340" spans="1:5" x14ac:dyDescent="0.2">
      <c r="A340" t="s">
        <v>0</v>
      </c>
      <c r="B340" t="s">
        <v>230</v>
      </c>
      <c r="C340" t="s">
        <v>136</v>
      </c>
      <c r="D340" t="str">
        <f>VLOOKUP(C340,'lookup table'!$A$2:$B$19,2,FALSE)</f>
        <v>BBA Set</v>
      </c>
      <c r="E340" t="str">
        <f t="shared" si="5"/>
        <v>|BBA Set</v>
      </c>
    </row>
    <row r="341" spans="1:5" x14ac:dyDescent="0.2">
      <c r="A341" t="s">
        <v>0</v>
      </c>
      <c r="B341" t="s">
        <v>231</v>
      </c>
      <c r="C341" t="s">
        <v>136</v>
      </c>
      <c r="D341" t="str">
        <f>VLOOKUP(C341,'lookup table'!$A$2:$B$19,2,FALSE)</f>
        <v>BBA Set</v>
      </c>
      <c r="E341" t="str">
        <f t="shared" si="5"/>
        <v>|BBA Set</v>
      </c>
    </row>
    <row r="342" spans="1:5" x14ac:dyDescent="0.2">
      <c r="A342" t="s">
        <v>0</v>
      </c>
      <c r="B342" t="s">
        <v>232</v>
      </c>
      <c r="C342" t="s">
        <v>136</v>
      </c>
      <c r="D342" t="str">
        <f>VLOOKUP(C342,'lookup table'!$A$2:$B$19,2,FALSE)</f>
        <v>BBA Set</v>
      </c>
      <c r="E342" t="str">
        <f t="shared" si="5"/>
        <v>|BBA Set</v>
      </c>
    </row>
    <row r="343" spans="1:5" x14ac:dyDescent="0.2">
      <c r="A343" t="s">
        <v>0</v>
      </c>
      <c r="B343" t="s">
        <v>233</v>
      </c>
      <c r="C343" t="s">
        <v>136</v>
      </c>
      <c r="D343" t="str">
        <f>VLOOKUP(C343,'lookup table'!$A$2:$B$19,2,FALSE)</f>
        <v>BBA Set</v>
      </c>
      <c r="E343" t="str">
        <f t="shared" si="5"/>
        <v>|BBA Set</v>
      </c>
    </row>
    <row r="344" spans="1:5" x14ac:dyDescent="0.2">
      <c r="A344" t="s">
        <v>0</v>
      </c>
      <c r="B344" t="s">
        <v>234</v>
      </c>
      <c r="C344" t="s">
        <v>136</v>
      </c>
      <c r="D344" t="str">
        <f>VLOOKUP(C344,'lookup table'!$A$2:$B$19,2,FALSE)</f>
        <v>BBA Set</v>
      </c>
      <c r="E344" t="str">
        <f t="shared" si="5"/>
        <v>|BBA Set</v>
      </c>
    </row>
    <row r="345" spans="1:5" x14ac:dyDescent="0.2">
      <c r="A345" t="s">
        <v>0</v>
      </c>
      <c r="B345" t="s">
        <v>235</v>
      </c>
      <c r="C345" t="s">
        <v>136</v>
      </c>
      <c r="D345" t="str">
        <f>VLOOKUP(C345,'lookup table'!$A$2:$B$19,2,FALSE)</f>
        <v>BBA Set</v>
      </c>
      <c r="E345" t="str">
        <f t="shared" si="5"/>
        <v>|BBA Set</v>
      </c>
    </row>
    <row r="346" spans="1:5" x14ac:dyDescent="0.2">
      <c r="A346" t="s">
        <v>0</v>
      </c>
      <c r="B346" t="s">
        <v>236</v>
      </c>
      <c r="C346" t="s">
        <v>136</v>
      </c>
      <c r="D346" t="str">
        <f>VLOOKUP(C346,'lookup table'!$A$2:$B$19,2,FALSE)</f>
        <v>BBA Set</v>
      </c>
      <c r="E346" t="str">
        <f t="shared" si="5"/>
        <v>|BBA Set</v>
      </c>
    </row>
    <row r="347" spans="1:5" x14ac:dyDescent="0.2">
      <c r="A347" t="s">
        <v>0</v>
      </c>
      <c r="B347" t="s">
        <v>237</v>
      </c>
      <c r="C347" t="s">
        <v>136</v>
      </c>
      <c r="D347" t="str">
        <f>VLOOKUP(C347,'lookup table'!$A$2:$B$19,2,FALSE)</f>
        <v>BBA Set</v>
      </c>
      <c r="E347" t="str">
        <f t="shared" si="5"/>
        <v>|BBA Set</v>
      </c>
    </row>
    <row r="348" spans="1:5" x14ac:dyDescent="0.2">
      <c r="A348" t="s">
        <v>0</v>
      </c>
      <c r="B348" t="s">
        <v>238</v>
      </c>
      <c r="C348" t="s">
        <v>136</v>
      </c>
      <c r="D348" t="str">
        <f>VLOOKUP(C348,'lookup table'!$A$2:$B$19,2,FALSE)</f>
        <v>BBA Set</v>
      </c>
      <c r="E348" t="str">
        <f t="shared" si="5"/>
        <v>|BBA Set</v>
      </c>
    </row>
    <row r="349" spans="1:5" x14ac:dyDescent="0.2">
      <c r="A349" t="s">
        <v>0</v>
      </c>
      <c r="B349" t="s">
        <v>239</v>
      </c>
      <c r="C349" t="s">
        <v>136</v>
      </c>
      <c r="D349" t="str">
        <f>VLOOKUP(C349,'lookup table'!$A$2:$B$19,2,FALSE)</f>
        <v>BBA Set</v>
      </c>
      <c r="E349" t="str">
        <f t="shared" si="5"/>
        <v>|BBA Set</v>
      </c>
    </row>
    <row r="350" spans="1:5" x14ac:dyDescent="0.2">
      <c r="A350" t="s">
        <v>0</v>
      </c>
      <c r="B350" t="s">
        <v>240</v>
      </c>
      <c r="C350" t="s">
        <v>136</v>
      </c>
      <c r="D350" t="str">
        <f>VLOOKUP(C350,'lookup table'!$A$2:$B$19,2,FALSE)</f>
        <v>BBA Set</v>
      </c>
      <c r="E350" t="str">
        <f t="shared" si="5"/>
        <v>|BBA Set</v>
      </c>
    </row>
    <row r="351" spans="1:5" x14ac:dyDescent="0.2">
      <c r="A351" t="s">
        <v>0</v>
      </c>
      <c r="B351" t="s">
        <v>241</v>
      </c>
      <c r="C351" t="s">
        <v>136</v>
      </c>
      <c r="D351" t="str">
        <f>VLOOKUP(C351,'lookup table'!$A$2:$B$19,2,FALSE)</f>
        <v>BBA Set</v>
      </c>
      <c r="E351" t="str">
        <f t="shared" si="5"/>
        <v>|BBA Set</v>
      </c>
    </row>
    <row r="352" spans="1:5" x14ac:dyDescent="0.2">
      <c r="A352" t="s">
        <v>0</v>
      </c>
      <c r="B352" t="s">
        <v>242</v>
      </c>
      <c r="C352" t="s">
        <v>136</v>
      </c>
      <c r="D352" t="str">
        <f>VLOOKUP(C352,'lookup table'!$A$2:$B$19,2,FALSE)</f>
        <v>BBA Set</v>
      </c>
      <c r="E352" t="str">
        <f t="shared" si="5"/>
        <v>|BBA Set</v>
      </c>
    </row>
    <row r="353" spans="1:5" x14ac:dyDescent="0.2">
      <c r="A353" t="s">
        <v>0</v>
      </c>
      <c r="B353" t="s">
        <v>243</v>
      </c>
      <c r="C353" t="s">
        <v>136</v>
      </c>
      <c r="D353" t="str">
        <f>VLOOKUP(C353,'lookup table'!$A$2:$B$19,2,FALSE)</f>
        <v>BBA Set</v>
      </c>
      <c r="E353" t="str">
        <f t="shared" si="5"/>
        <v>|BBA Set</v>
      </c>
    </row>
    <row r="354" spans="1:5" x14ac:dyDescent="0.2">
      <c r="A354" t="s">
        <v>0</v>
      </c>
      <c r="B354" t="s">
        <v>244</v>
      </c>
      <c r="C354" t="s">
        <v>136</v>
      </c>
      <c r="D354" t="str">
        <f>VLOOKUP(C354,'lookup table'!$A$2:$B$19,2,FALSE)</f>
        <v>BBA Set</v>
      </c>
      <c r="E354" t="str">
        <f t="shared" si="5"/>
        <v>|BBA Set</v>
      </c>
    </row>
    <row r="355" spans="1:5" x14ac:dyDescent="0.2">
      <c r="A355" t="s">
        <v>0</v>
      </c>
      <c r="B355" t="s">
        <v>245</v>
      </c>
      <c r="C355" t="s">
        <v>136</v>
      </c>
      <c r="D355" t="str">
        <f>VLOOKUP(C355,'lookup table'!$A$2:$B$19,2,FALSE)</f>
        <v>BBA Set</v>
      </c>
      <c r="E355" t="str">
        <f t="shared" si="5"/>
        <v>|BBA Set</v>
      </c>
    </row>
    <row r="356" spans="1:5" x14ac:dyDescent="0.2">
      <c r="A356" t="s">
        <v>0</v>
      </c>
      <c r="B356" t="s">
        <v>246</v>
      </c>
      <c r="C356" t="s">
        <v>136</v>
      </c>
      <c r="D356" t="str">
        <f>VLOOKUP(C356,'lookup table'!$A$2:$B$19,2,FALSE)</f>
        <v>BBA Set</v>
      </c>
      <c r="E356" t="str">
        <f t="shared" si="5"/>
        <v>|BBA Set</v>
      </c>
    </row>
    <row r="357" spans="1:5" x14ac:dyDescent="0.2">
      <c r="A357" t="s">
        <v>0</v>
      </c>
      <c r="B357" t="s">
        <v>247</v>
      </c>
      <c r="C357" t="s">
        <v>136</v>
      </c>
      <c r="D357" t="str">
        <f>VLOOKUP(C357,'lookup table'!$A$2:$B$19,2,FALSE)</f>
        <v>BBA Set</v>
      </c>
      <c r="E357" t="str">
        <f t="shared" si="5"/>
        <v>|BBA Set</v>
      </c>
    </row>
    <row r="358" spans="1:5" x14ac:dyDescent="0.2">
      <c r="A358" t="s">
        <v>0</v>
      </c>
      <c r="B358" t="s">
        <v>248</v>
      </c>
      <c r="C358" t="s">
        <v>136</v>
      </c>
      <c r="D358" t="str">
        <f>VLOOKUP(C358,'lookup table'!$A$2:$B$19,2,FALSE)</f>
        <v>BBA Set</v>
      </c>
      <c r="E358" t="str">
        <f t="shared" si="5"/>
        <v>|BBA Set</v>
      </c>
    </row>
    <row r="359" spans="1:5" x14ac:dyDescent="0.2">
      <c r="A359" t="s">
        <v>0</v>
      </c>
      <c r="B359" t="s">
        <v>249</v>
      </c>
      <c r="C359" t="s">
        <v>136</v>
      </c>
      <c r="D359" t="str">
        <f>VLOOKUP(C359,'lookup table'!$A$2:$B$19,2,FALSE)</f>
        <v>BBA Set</v>
      </c>
      <c r="E359" t="str">
        <f t="shared" si="5"/>
        <v>|BBA Set</v>
      </c>
    </row>
    <row r="360" spans="1:5" x14ac:dyDescent="0.2">
      <c r="A360" t="s">
        <v>0</v>
      </c>
      <c r="B360" t="s">
        <v>250</v>
      </c>
      <c r="C360" t="s">
        <v>136</v>
      </c>
      <c r="D360" t="str">
        <f>VLOOKUP(C360,'lookup table'!$A$2:$B$19,2,FALSE)</f>
        <v>BBA Set</v>
      </c>
      <c r="E360" t="str">
        <f t="shared" si="5"/>
        <v>|BBA Set</v>
      </c>
    </row>
    <row r="361" spans="1:5" x14ac:dyDescent="0.2">
      <c r="A361" t="s">
        <v>0</v>
      </c>
      <c r="B361" t="s">
        <v>251</v>
      </c>
      <c r="C361" t="s">
        <v>136</v>
      </c>
      <c r="D361" t="str">
        <f>VLOOKUP(C361,'lookup table'!$A$2:$B$19,2,FALSE)</f>
        <v>BBA Set</v>
      </c>
      <c r="E361" t="str">
        <f t="shared" si="5"/>
        <v>|BBA Set</v>
      </c>
    </row>
    <row r="362" spans="1:5" x14ac:dyDescent="0.2">
      <c r="A362" t="s">
        <v>0</v>
      </c>
      <c r="B362" t="s">
        <v>252</v>
      </c>
      <c r="C362" t="s">
        <v>136</v>
      </c>
      <c r="D362" t="str">
        <f>VLOOKUP(C362,'lookup table'!$A$2:$B$19,2,FALSE)</f>
        <v>BBA Set</v>
      </c>
      <c r="E362" t="str">
        <f t="shared" si="5"/>
        <v>|BBA Set</v>
      </c>
    </row>
    <row r="363" spans="1:5" x14ac:dyDescent="0.2">
      <c r="A363" t="s">
        <v>0</v>
      </c>
      <c r="B363" t="s">
        <v>253</v>
      </c>
      <c r="C363" t="s">
        <v>136</v>
      </c>
      <c r="D363" t="str">
        <f>VLOOKUP(C363,'lookup table'!$A$2:$B$19,2,FALSE)</f>
        <v>BBA Set</v>
      </c>
      <c r="E363" t="str">
        <f t="shared" si="5"/>
        <v>|BBA Set</v>
      </c>
    </row>
    <row r="364" spans="1:5" x14ac:dyDescent="0.2">
      <c r="A364" t="s">
        <v>0</v>
      </c>
      <c r="B364" t="s">
        <v>254</v>
      </c>
      <c r="C364" t="s">
        <v>136</v>
      </c>
      <c r="D364" t="str">
        <f>VLOOKUP(C364,'lookup table'!$A$2:$B$19,2,FALSE)</f>
        <v>BBA Set</v>
      </c>
      <c r="E364" t="str">
        <f t="shared" si="5"/>
        <v>|BBA Set</v>
      </c>
    </row>
    <row r="365" spans="1:5" x14ac:dyDescent="0.2">
      <c r="A365" t="s">
        <v>0</v>
      </c>
      <c r="B365" t="s">
        <v>255</v>
      </c>
      <c r="C365" t="s">
        <v>136</v>
      </c>
      <c r="D365" t="str">
        <f>VLOOKUP(C365,'lookup table'!$A$2:$B$19,2,FALSE)</f>
        <v>BBA Set</v>
      </c>
      <c r="E365" t="str">
        <f t="shared" si="5"/>
        <v>|BBA Set</v>
      </c>
    </row>
    <row r="366" spans="1:5" x14ac:dyDescent="0.2">
      <c r="A366" t="s">
        <v>0</v>
      </c>
      <c r="B366" t="s">
        <v>256</v>
      </c>
      <c r="C366" t="s">
        <v>136</v>
      </c>
      <c r="D366" t="str">
        <f>VLOOKUP(C366,'lookup table'!$A$2:$B$19,2,FALSE)</f>
        <v>BBA Set</v>
      </c>
      <c r="E366" t="str">
        <f t="shared" si="5"/>
        <v>|BBA Set</v>
      </c>
    </row>
    <row r="367" spans="1:5" x14ac:dyDescent="0.2">
      <c r="A367" t="s">
        <v>0</v>
      </c>
      <c r="B367" t="s">
        <v>8</v>
      </c>
      <c r="C367" t="s">
        <v>136</v>
      </c>
      <c r="D367" t="str">
        <f>VLOOKUP(C367,'lookup table'!$A$2:$B$19,2,FALSE)</f>
        <v>BBA Set</v>
      </c>
      <c r="E367" t="str">
        <f t="shared" si="5"/>
        <v>|BBA Set</v>
      </c>
    </row>
    <row r="368" spans="1:5" x14ac:dyDescent="0.2">
      <c r="A368" t="s">
        <v>0</v>
      </c>
      <c r="B368" t="s">
        <v>257</v>
      </c>
      <c r="C368" t="s">
        <v>136</v>
      </c>
      <c r="D368" t="str">
        <f>VLOOKUP(C368,'lookup table'!$A$2:$B$19,2,FALSE)</f>
        <v>BBA Set</v>
      </c>
      <c r="E368" t="str">
        <f t="shared" si="5"/>
        <v>|BBA Set</v>
      </c>
    </row>
    <row r="369" spans="1:5" x14ac:dyDescent="0.2">
      <c r="A369" t="s">
        <v>0</v>
      </c>
      <c r="B369" t="s">
        <v>258</v>
      </c>
      <c r="C369" t="s">
        <v>136</v>
      </c>
      <c r="D369" t="str">
        <f>VLOOKUP(C369,'lookup table'!$A$2:$B$19,2,FALSE)</f>
        <v>BBA Set</v>
      </c>
      <c r="E369" t="str">
        <f t="shared" si="5"/>
        <v>|BBA Set</v>
      </c>
    </row>
    <row r="370" spans="1:5" x14ac:dyDescent="0.2">
      <c r="A370" t="s">
        <v>0</v>
      </c>
      <c r="B370" t="s">
        <v>259</v>
      </c>
      <c r="C370" t="s">
        <v>136</v>
      </c>
      <c r="D370" t="str">
        <f>VLOOKUP(C370,'lookup table'!$A$2:$B$19,2,FALSE)</f>
        <v>BBA Set</v>
      </c>
      <c r="E370" t="str">
        <f t="shared" si="5"/>
        <v>|BBA Set</v>
      </c>
    </row>
    <row r="371" spans="1:5" x14ac:dyDescent="0.2">
      <c r="A371" t="s">
        <v>0</v>
      </c>
      <c r="B371" t="s">
        <v>260</v>
      </c>
      <c r="C371" t="s">
        <v>136</v>
      </c>
      <c r="D371" t="str">
        <f>VLOOKUP(C371,'lookup table'!$A$2:$B$19,2,FALSE)</f>
        <v>BBA Set</v>
      </c>
      <c r="E371" t="str">
        <f t="shared" si="5"/>
        <v>|BBA Set</v>
      </c>
    </row>
    <row r="372" spans="1:5" x14ac:dyDescent="0.2">
      <c r="A372" t="s">
        <v>0</v>
      </c>
      <c r="B372" t="s">
        <v>261</v>
      </c>
      <c r="C372" t="s">
        <v>136</v>
      </c>
      <c r="D372" t="str">
        <f>VLOOKUP(C372,'lookup table'!$A$2:$B$19,2,FALSE)</f>
        <v>BBA Set</v>
      </c>
      <c r="E372" t="str">
        <f t="shared" si="5"/>
        <v>|BBA Set</v>
      </c>
    </row>
    <row r="373" spans="1:5" x14ac:dyDescent="0.2">
      <c r="A373" t="s">
        <v>0</v>
      </c>
      <c r="B373" t="s">
        <v>262</v>
      </c>
      <c r="C373" t="s">
        <v>136</v>
      </c>
      <c r="D373" t="str">
        <f>VLOOKUP(C373,'lookup table'!$A$2:$B$19,2,FALSE)</f>
        <v>BBA Set</v>
      </c>
      <c r="E373" t="str">
        <f t="shared" si="5"/>
        <v>|BBA Set</v>
      </c>
    </row>
    <row r="374" spans="1:5" x14ac:dyDescent="0.2">
      <c r="A374" t="s">
        <v>0</v>
      </c>
      <c r="B374" t="s">
        <v>263</v>
      </c>
      <c r="C374" t="s">
        <v>136</v>
      </c>
      <c r="D374" t="str">
        <f>VLOOKUP(C374,'lookup table'!$A$2:$B$19,2,FALSE)</f>
        <v>BBA Set</v>
      </c>
      <c r="E374" t="str">
        <f t="shared" si="5"/>
        <v>|BBA Set</v>
      </c>
    </row>
    <row r="375" spans="1:5" x14ac:dyDescent="0.2">
      <c r="A375" t="s">
        <v>0</v>
      </c>
      <c r="B375" t="s">
        <v>264</v>
      </c>
      <c r="C375" t="s">
        <v>136</v>
      </c>
      <c r="D375" t="str">
        <f>VLOOKUP(C375,'lookup table'!$A$2:$B$19,2,FALSE)</f>
        <v>BBA Set</v>
      </c>
      <c r="E375" t="str">
        <f t="shared" si="5"/>
        <v>|BBA Set</v>
      </c>
    </row>
    <row r="376" spans="1:5" x14ac:dyDescent="0.2">
      <c r="A376" t="s">
        <v>0</v>
      </c>
      <c r="B376" t="s">
        <v>265</v>
      </c>
      <c r="C376" t="s">
        <v>136</v>
      </c>
      <c r="D376" t="str">
        <f>VLOOKUP(C376,'lookup table'!$A$2:$B$19,2,FALSE)</f>
        <v>BBA Set</v>
      </c>
      <c r="E376" t="str">
        <f t="shared" si="5"/>
        <v>|BBA Set</v>
      </c>
    </row>
    <row r="377" spans="1:5" x14ac:dyDescent="0.2">
      <c r="A377" t="s">
        <v>0</v>
      </c>
      <c r="B377" t="s">
        <v>266</v>
      </c>
      <c r="C377" t="s">
        <v>136</v>
      </c>
      <c r="D377" t="str">
        <f>VLOOKUP(C377,'lookup table'!$A$2:$B$19,2,FALSE)</f>
        <v>BBA Set</v>
      </c>
      <c r="E377" t="str">
        <f t="shared" si="5"/>
        <v>|BBA Set</v>
      </c>
    </row>
    <row r="378" spans="1:5" x14ac:dyDescent="0.2">
      <c r="A378" t="s">
        <v>0</v>
      </c>
      <c r="B378" t="s">
        <v>267</v>
      </c>
      <c r="C378" t="s">
        <v>136</v>
      </c>
      <c r="D378" t="str">
        <f>VLOOKUP(C378,'lookup table'!$A$2:$B$19,2,FALSE)</f>
        <v>BBA Set</v>
      </c>
      <c r="E378" t="str">
        <f t="shared" si="5"/>
        <v>|BBA Set</v>
      </c>
    </row>
    <row r="379" spans="1:5" x14ac:dyDescent="0.2">
      <c r="A379" t="s">
        <v>0</v>
      </c>
      <c r="B379" t="s">
        <v>268</v>
      </c>
      <c r="C379" t="s">
        <v>136</v>
      </c>
      <c r="D379" t="str">
        <f>VLOOKUP(C379,'lookup table'!$A$2:$B$19,2,FALSE)</f>
        <v>BBA Set</v>
      </c>
      <c r="E379" t="str">
        <f t="shared" si="5"/>
        <v>|BBA Set</v>
      </c>
    </row>
    <row r="380" spans="1:5" x14ac:dyDescent="0.2">
      <c r="A380" t="s">
        <v>0</v>
      </c>
      <c r="B380" t="s">
        <v>269</v>
      </c>
      <c r="C380" t="s">
        <v>136</v>
      </c>
      <c r="D380" t="str">
        <f>VLOOKUP(C380,'lookup table'!$A$2:$B$19,2,FALSE)</f>
        <v>BBA Set</v>
      </c>
      <c r="E380" t="str">
        <f t="shared" si="5"/>
        <v>|BBA Set</v>
      </c>
    </row>
    <row r="381" spans="1:5" x14ac:dyDescent="0.2">
      <c r="A381" t="s">
        <v>0</v>
      </c>
      <c r="B381" t="s">
        <v>270</v>
      </c>
      <c r="C381" t="s">
        <v>136</v>
      </c>
      <c r="D381" t="str">
        <f>VLOOKUP(C381,'lookup table'!$A$2:$B$19,2,FALSE)</f>
        <v>BBA Set</v>
      </c>
      <c r="E381" t="str">
        <f t="shared" si="5"/>
        <v>|BBA Set</v>
      </c>
    </row>
    <row r="382" spans="1:5" x14ac:dyDescent="0.2">
      <c r="A382" t="s">
        <v>0</v>
      </c>
      <c r="B382" t="s">
        <v>271</v>
      </c>
      <c r="C382" t="s">
        <v>136</v>
      </c>
      <c r="D382" t="str">
        <f>VLOOKUP(C382,'lookup table'!$A$2:$B$19,2,FALSE)</f>
        <v>BBA Set</v>
      </c>
      <c r="E382" t="str">
        <f t="shared" si="5"/>
        <v>|BBA Set</v>
      </c>
    </row>
    <row r="383" spans="1:5" x14ac:dyDescent="0.2">
      <c r="A383" t="s">
        <v>0</v>
      </c>
      <c r="B383" t="s">
        <v>272</v>
      </c>
      <c r="C383" t="s">
        <v>136</v>
      </c>
      <c r="D383" t="str">
        <f>VLOOKUP(C383,'lookup table'!$A$2:$B$19,2,FALSE)</f>
        <v>BBA Set</v>
      </c>
      <c r="E383" t="str">
        <f t="shared" si="5"/>
        <v>|BBA Set</v>
      </c>
    </row>
    <row r="384" spans="1:5" x14ac:dyDescent="0.2">
      <c r="A384" t="s">
        <v>0</v>
      </c>
      <c r="B384" t="s">
        <v>273</v>
      </c>
      <c r="C384" t="s">
        <v>136</v>
      </c>
      <c r="D384" t="str">
        <f>VLOOKUP(C384,'lookup table'!$A$2:$B$19,2,FALSE)</f>
        <v>BBA Set</v>
      </c>
      <c r="E384" t="str">
        <f t="shared" si="5"/>
        <v>|BBA Set</v>
      </c>
    </row>
    <row r="385" spans="1:5" x14ac:dyDescent="0.2">
      <c r="A385" t="s">
        <v>0</v>
      </c>
      <c r="B385" t="s">
        <v>274</v>
      </c>
      <c r="C385" t="s">
        <v>136</v>
      </c>
      <c r="D385" t="str">
        <f>VLOOKUP(C385,'lookup table'!$A$2:$B$19,2,FALSE)</f>
        <v>BBA Set</v>
      </c>
      <c r="E385" t="str">
        <f t="shared" si="5"/>
        <v>|BBA Set</v>
      </c>
    </row>
    <row r="386" spans="1:5" x14ac:dyDescent="0.2">
      <c r="A386" t="s">
        <v>0</v>
      </c>
      <c r="B386" t="s">
        <v>275</v>
      </c>
      <c r="C386" t="s">
        <v>136</v>
      </c>
      <c r="D386" t="str">
        <f>VLOOKUP(C386,'lookup table'!$A$2:$B$19,2,FALSE)</f>
        <v>BBA Set</v>
      </c>
      <c r="E386" t="str">
        <f t="shared" si="5"/>
        <v>|BBA Set</v>
      </c>
    </row>
    <row r="387" spans="1:5" x14ac:dyDescent="0.2">
      <c r="A387" t="s">
        <v>0</v>
      </c>
      <c r="B387" t="s">
        <v>276</v>
      </c>
      <c r="C387" t="s">
        <v>136</v>
      </c>
      <c r="D387" t="str">
        <f>VLOOKUP(C387,'lookup table'!$A$2:$B$19,2,FALSE)</f>
        <v>BBA Set</v>
      </c>
      <c r="E387" t="str">
        <f t="shared" ref="E387:E450" si="6">IF(ISNA(D387),"",IF(A387="","",A387) &amp; "|" &amp; D387)</f>
        <v>|BBA Set</v>
      </c>
    </row>
    <row r="388" spans="1:5" x14ac:dyDescent="0.2">
      <c r="A388" t="s">
        <v>0</v>
      </c>
      <c r="B388" t="s">
        <v>277</v>
      </c>
      <c r="C388" t="s">
        <v>136</v>
      </c>
      <c r="D388" t="str">
        <f>VLOOKUP(C388,'lookup table'!$A$2:$B$19,2,FALSE)</f>
        <v>BBA Set</v>
      </c>
      <c r="E388" t="str">
        <f t="shared" si="6"/>
        <v>|BBA Set</v>
      </c>
    </row>
    <row r="389" spans="1:5" x14ac:dyDescent="0.2">
      <c r="A389" t="s">
        <v>0</v>
      </c>
      <c r="B389" t="s">
        <v>278</v>
      </c>
      <c r="C389" t="s">
        <v>136</v>
      </c>
      <c r="D389" t="str">
        <f>VLOOKUP(C389,'lookup table'!$A$2:$B$19,2,FALSE)</f>
        <v>BBA Set</v>
      </c>
      <c r="E389" t="str">
        <f t="shared" si="6"/>
        <v>|BBA Set</v>
      </c>
    </row>
    <row r="390" spans="1:5" x14ac:dyDescent="0.2">
      <c r="A390" t="s">
        <v>0</v>
      </c>
      <c r="B390" t="s">
        <v>279</v>
      </c>
      <c r="C390" t="s">
        <v>136</v>
      </c>
      <c r="D390" t="str">
        <f>VLOOKUP(C390,'lookup table'!$A$2:$B$19,2,FALSE)</f>
        <v>BBA Set</v>
      </c>
      <c r="E390" t="str">
        <f t="shared" si="6"/>
        <v>|BBA Set</v>
      </c>
    </row>
    <row r="391" spans="1:5" x14ac:dyDescent="0.2">
      <c r="A391" t="s">
        <v>0</v>
      </c>
      <c r="B391" t="s">
        <v>280</v>
      </c>
      <c r="C391" t="s">
        <v>136</v>
      </c>
      <c r="D391" t="str">
        <f>VLOOKUP(C391,'lookup table'!$A$2:$B$19,2,FALSE)</f>
        <v>BBA Set</v>
      </c>
      <c r="E391" t="str">
        <f t="shared" si="6"/>
        <v>|BBA Set</v>
      </c>
    </row>
    <row r="392" spans="1:5" x14ac:dyDescent="0.2">
      <c r="A392" t="s">
        <v>0</v>
      </c>
      <c r="B392" t="s">
        <v>281</v>
      </c>
      <c r="C392" t="s">
        <v>136</v>
      </c>
      <c r="D392" t="str">
        <f>VLOOKUP(C392,'lookup table'!$A$2:$B$19,2,FALSE)</f>
        <v>BBA Set</v>
      </c>
      <c r="E392" t="str">
        <f t="shared" si="6"/>
        <v>|BBA Set</v>
      </c>
    </row>
    <row r="393" spans="1:5" x14ac:dyDescent="0.2">
      <c r="A393" t="s">
        <v>0</v>
      </c>
      <c r="B393" t="s">
        <v>282</v>
      </c>
      <c r="C393" t="s">
        <v>136</v>
      </c>
      <c r="D393" t="str">
        <f>VLOOKUP(C393,'lookup table'!$A$2:$B$19,2,FALSE)</f>
        <v>BBA Set</v>
      </c>
      <c r="E393" t="str">
        <f t="shared" si="6"/>
        <v>|BBA Set</v>
      </c>
    </row>
    <row r="394" spans="1:5" x14ac:dyDescent="0.2">
      <c r="A394" t="s">
        <v>0</v>
      </c>
      <c r="B394" t="s">
        <v>283</v>
      </c>
      <c r="C394" t="s">
        <v>136</v>
      </c>
      <c r="D394" t="str">
        <f>VLOOKUP(C394,'lookup table'!$A$2:$B$19,2,FALSE)</f>
        <v>BBA Set</v>
      </c>
      <c r="E394" t="str">
        <f t="shared" si="6"/>
        <v>|BBA Set</v>
      </c>
    </row>
    <row r="395" spans="1:5" x14ac:dyDescent="0.2">
      <c r="A395" t="s">
        <v>0</v>
      </c>
      <c r="B395" t="s">
        <v>284</v>
      </c>
      <c r="C395" t="s">
        <v>136</v>
      </c>
      <c r="D395" t="str">
        <f>VLOOKUP(C395,'lookup table'!$A$2:$B$19,2,FALSE)</f>
        <v>BBA Set</v>
      </c>
      <c r="E395" t="str">
        <f t="shared" si="6"/>
        <v>|BBA Set</v>
      </c>
    </row>
    <row r="396" spans="1:5" x14ac:dyDescent="0.2">
      <c r="A396" t="s">
        <v>0</v>
      </c>
      <c r="B396" t="s">
        <v>285</v>
      </c>
      <c r="C396" t="s">
        <v>136</v>
      </c>
      <c r="D396" t="str">
        <f>VLOOKUP(C396,'lookup table'!$A$2:$B$19,2,FALSE)</f>
        <v>BBA Set</v>
      </c>
      <c r="E396" t="str">
        <f t="shared" si="6"/>
        <v>|BBA Set</v>
      </c>
    </row>
    <row r="397" spans="1:5" x14ac:dyDescent="0.2">
      <c r="A397" t="s">
        <v>0</v>
      </c>
      <c r="B397" t="s">
        <v>286</v>
      </c>
      <c r="C397" t="s">
        <v>136</v>
      </c>
      <c r="D397" t="str">
        <f>VLOOKUP(C397,'lookup table'!$A$2:$B$19,2,FALSE)</f>
        <v>BBA Set</v>
      </c>
      <c r="E397" t="str">
        <f t="shared" si="6"/>
        <v>|BBA Set</v>
      </c>
    </row>
    <row r="398" spans="1:5" x14ac:dyDescent="0.2">
      <c r="A398" t="s">
        <v>0</v>
      </c>
      <c r="B398" t="s">
        <v>199</v>
      </c>
      <c r="C398" t="s">
        <v>136</v>
      </c>
      <c r="D398" t="str">
        <f>VLOOKUP(C398,'lookup table'!$A$2:$B$19,2,FALSE)</f>
        <v>BBA Set</v>
      </c>
      <c r="E398" t="str">
        <f t="shared" si="6"/>
        <v>|BBA Set</v>
      </c>
    </row>
    <row r="399" spans="1:5" x14ac:dyDescent="0.2">
      <c r="A399" t="s">
        <v>0</v>
      </c>
      <c r="B399" t="s">
        <v>287</v>
      </c>
      <c r="C399" t="s">
        <v>136</v>
      </c>
      <c r="D399" t="str">
        <f>VLOOKUP(C399,'lookup table'!$A$2:$B$19,2,FALSE)</f>
        <v>BBA Set</v>
      </c>
      <c r="E399" t="str">
        <f t="shared" si="6"/>
        <v>|BBA Set</v>
      </c>
    </row>
    <row r="400" spans="1:5" x14ac:dyDescent="0.2">
      <c r="A400" t="s">
        <v>0</v>
      </c>
      <c r="B400" t="s">
        <v>200</v>
      </c>
      <c r="C400" t="s">
        <v>136</v>
      </c>
      <c r="D400" t="str">
        <f>VLOOKUP(C400,'lookup table'!$A$2:$B$19,2,FALSE)</f>
        <v>BBA Set</v>
      </c>
      <c r="E400" t="str">
        <f t="shared" si="6"/>
        <v>|BBA Set</v>
      </c>
    </row>
    <row r="401" spans="1:5" x14ac:dyDescent="0.2">
      <c r="A401" t="s">
        <v>0</v>
      </c>
      <c r="B401" t="s">
        <v>288</v>
      </c>
      <c r="C401" t="s">
        <v>136</v>
      </c>
      <c r="D401" t="str">
        <f>VLOOKUP(C401,'lookup table'!$A$2:$B$19,2,FALSE)</f>
        <v>BBA Set</v>
      </c>
      <c r="E401" t="str">
        <f t="shared" si="6"/>
        <v>|BBA Set</v>
      </c>
    </row>
    <row r="402" spans="1:5" x14ac:dyDescent="0.2">
      <c r="A402" t="s">
        <v>0</v>
      </c>
      <c r="B402" t="s">
        <v>289</v>
      </c>
      <c r="C402" t="s">
        <v>136</v>
      </c>
      <c r="D402" t="str">
        <f>VLOOKUP(C402,'lookup table'!$A$2:$B$19,2,FALSE)</f>
        <v>BBA Set</v>
      </c>
      <c r="E402" t="str">
        <f t="shared" si="6"/>
        <v>|BBA Set</v>
      </c>
    </row>
    <row r="403" spans="1:5" x14ac:dyDescent="0.2">
      <c r="A403" t="s">
        <v>0</v>
      </c>
      <c r="B403" t="s">
        <v>290</v>
      </c>
      <c r="C403" t="s">
        <v>136</v>
      </c>
      <c r="D403" t="str">
        <f>VLOOKUP(C403,'lookup table'!$A$2:$B$19,2,FALSE)</f>
        <v>BBA Set</v>
      </c>
      <c r="E403" t="str">
        <f t="shared" si="6"/>
        <v>|BBA Set</v>
      </c>
    </row>
    <row r="404" spans="1:5" x14ac:dyDescent="0.2">
      <c r="A404" t="s">
        <v>0</v>
      </c>
      <c r="B404" t="s">
        <v>291</v>
      </c>
      <c r="C404" t="s">
        <v>136</v>
      </c>
      <c r="D404" t="str">
        <f>VLOOKUP(C404,'lookup table'!$A$2:$B$19,2,FALSE)</f>
        <v>BBA Set</v>
      </c>
      <c r="E404" t="str">
        <f t="shared" si="6"/>
        <v>|BBA Set</v>
      </c>
    </row>
    <row r="405" spans="1:5" x14ac:dyDescent="0.2">
      <c r="A405" t="s">
        <v>0</v>
      </c>
      <c r="B405" t="s">
        <v>292</v>
      </c>
      <c r="C405" t="s">
        <v>136</v>
      </c>
      <c r="D405" t="str">
        <f>VLOOKUP(C405,'lookup table'!$A$2:$B$19,2,FALSE)</f>
        <v>BBA Set</v>
      </c>
      <c r="E405" t="str">
        <f t="shared" si="6"/>
        <v>|BBA Set</v>
      </c>
    </row>
    <row r="406" spans="1:5" x14ac:dyDescent="0.2">
      <c r="A406" t="s">
        <v>0</v>
      </c>
      <c r="B406" t="s">
        <v>293</v>
      </c>
      <c r="C406" t="s">
        <v>136</v>
      </c>
      <c r="D406" t="str">
        <f>VLOOKUP(C406,'lookup table'!$A$2:$B$19,2,FALSE)</f>
        <v>BBA Set</v>
      </c>
      <c r="E406" t="str">
        <f t="shared" si="6"/>
        <v>|BBA Set</v>
      </c>
    </row>
    <row r="407" spans="1:5" x14ac:dyDescent="0.2">
      <c r="A407" t="s">
        <v>0</v>
      </c>
      <c r="B407" t="s">
        <v>129</v>
      </c>
      <c r="C407" t="s">
        <v>136</v>
      </c>
      <c r="D407" t="str">
        <f>VLOOKUP(C407,'lookup table'!$A$2:$B$19,2,FALSE)</f>
        <v>BBA Set</v>
      </c>
      <c r="E407" t="str">
        <f t="shared" si="6"/>
        <v>|BBA Set</v>
      </c>
    </row>
    <row r="408" spans="1:5" x14ac:dyDescent="0.2">
      <c r="A408" t="s">
        <v>0</v>
      </c>
      <c r="B408" t="s">
        <v>294</v>
      </c>
      <c r="C408" t="s">
        <v>136</v>
      </c>
      <c r="D408" t="str">
        <f>VLOOKUP(C408,'lookup table'!$A$2:$B$19,2,FALSE)</f>
        <v>BBA Set</v>
      </c>
      <c r="E408" t="str">
        <f t="shared" si="6"/>
        <v>|BBA Set</v>
      </c>
    </row>
    <row r="409" spans="1:5" x14ac:dyDescent="0.2">
      <c r="A409" t="s">
        <v>0</v>
      </c>
      <c r="B409" t="s">
        <v>295</v>
      </c>
      <c r="C409" t="s">
        <v>136</v>
      </c>
      <c r="D409" t="str">
        <f>VLOOKUP(C409,'lookup table'!$A$2:$B$19,2,FALSE)</f>
        <v>BBA Set</v>
      </c>
      <c r="E409" t="str">
        <f t="shared" si="6"/>
        <v>|BBA Set</v>
      </c>
    </row>
    <row r="410" spans="1:5" x14ac:dyDescent="0.2">
      <c r="A410" t="s">
        <v>0</v>
      </c>
      <c r="B410" t="s">
        <v>296</v>
      </c>
      <c r="C410" t="s">
        <v>136</v>
      </c>
      <c r="D410" t="str">
        <f>VLOOKUP(C410,'lookup table'!$A$2:$B$19,2,FALSE)</f>
        <v>BBA Set</v>
      </c>
      <c r="E410" t="str">
        <f t="shared" si="6"/>
        <v>|BBA Set</v>
      </c>
    </row>
    <row r="411" spans="1:5" x14ac:dyDescent="0.2">
      <c r="A411" t="s">
        <v>0</v>
      </c>
      <c r="B411" t="s">
        <v>297</v>
      </c>
      <c r="C411" t="s">
        <v>136</v>
      </c>
      <c r="D411" t="str">
        <f>VLOOKUP(C411,'lookup table'!$A$2:$B$19,2,FALSE)</f>
        <v>BBA Set</v>
      </c>
      <c r="E411" t="str">
        <f t="shared" si="6"/>
        <v>|BBA Set</v>
      </c>
    </row>
    <row r="412" spans="1:5" x14ac:dyDescent="0.2">
      <c r="A412" t="s">
        <v>0</v>
      </c>
      <c r="B412" t="s">
        <v>298</v>
      </c>
      <c r="C412" t="s">
        <v>136</v>
      </c>
      <c r="D412" t="str">
        <f>VLOOKUP(C412,'lookup table'!$A$2:$B$19,2,FALSE)</f>
        <v>BBA Set</v>
      </c>
      <c r="E412" t="str">
        <f t="shared" si="6"/>
        <v>|BBA Set</v>
      </c>
    </row>
    <row r="413" spans="1:5" x14ac:dyDescent="0.2">
      <c r="A413" t="s">
        <v>0</v>
      </c>
      <c r="B413" t="s">
        <v>299</v>
      </c>
      <c r="C413" t="s">
        <v>136</v>
      </c>
      <c r="D413" t="str">
        <f>VLOOKUP(C413,'lookup table'!$A$2:$B$19,2,FALSE)</f>
        <v>BBA Set</v>
      </c>
      <c r="E413" t="str">
        <f t="shared" si="6"/>
        <v>|BBA Set</v>
      </c>
    </row>
    <row r="414" spans="1:5" x14ac:dyDescent="0.2">
      <c r="A414" t="s">
        <v>0</v>
      </c>
      <c r="B414" t="s">
        <v>300</v>
      </c>
      <c r="C414" t="s">
        <v>136</v>
      </c>
      <c r="D414" t="str">
        <f>VLOOKUP(C414,'lookup table'!$A$2:$B$19,2,FALSE)</f>
        <v>BBA Set</v>
      </c>
      <c r="E414" t="str">
        <f t="shared" si="6"/>
        <v>|BBA Set</v>
      </c>
    </row>
    <row r="415" spans="1:5" x14ac:dyDescent="0.2">
      <c r="A415" t="s">
        <v>0</v>
      </c>
      <c r="B415" t="s">
        <v>300</v>
      </c>
      <c r="C415" t="s">
        <v>136</v>
      </c>
      <c r="D415" t="str">
        <f>VLOOKUP(C415,'lookup table'!$A$2:$B$19,2,FALSE)</f>
        <v>BBA Set</v>
      </c>
      <c r="E415" t="str">
        <f t="shared" si="6"/>
        <v>|BBA Set</v>
      </c>
    </row>
    <row r="416" spans="1:5" x14ac:dyDescent="0.2">
      <c r="A416" t="s">
        <v>0</v>
      </c>
      <c r="B416" t="s">
        <v>301</v>
      </c>
      <c r="C416" t="s">
        <v>136</v>
      </c>
      <c r="D416" t="str">
        <f>VLOOKUP(C416,'lookup table'!$A$2:$B$19,2,FALSE)</f>
        <v>BBA Set</v>
      </c>
      <c r="E416" t="str">
        <f t="shared" si="6"/>
        <v>|BBA Set</v>
      </c>
    </row>
    <row r="417" spans="1:5" x14ac:dyDescent="0.2">
      <c r="A417" t="s">
        <v>0</v>
      </c>
      <c r="B417" t="s">
        <v>302</v>
      </c>
      <c r="C417" t="s">
        <v>136</v>
      </c>
      <c r="D417" t="str">
        <f>VLOOKUP(C417,'lookup table'!$A$2:$B$19,2,FALSE)</f>
        <v>BBA Set</v>
      </c>
      <c r="E417" t="str">
        <f t="shared" si="6"/>
        <v>|BBA Set</v>
      </c>
    </row>
    <row r="418" spans="1:5" x14ac:dyDescent="0.2">
      <c r="A418" t="s">
        <v>0</v>
      </c>
      <c r="B418" t="s">
        <v>303</v>
      </c>
      <c r="C418" t="s">
        <v>136</v>
      </c>
      <c r="D418" t="str">
        <f>VLOOKUP(C418,'lookup table'!$A$2:$B$19,2,FALSE)</f>
        <v>BBA Set</v>
      </c>
      <c r="E418" t="str">
        <f t="shared" si="6"/>
        <v>|BBA Set</v>
      </c>
    </row>
    <row r="419" spans="1:5" x14ac:dyDescent="0.2">
      <c r="A419" t="s">
        <v>0</v>
      </c>
      <c r="B419" t="s">
        <v>304</v>
      </c>
      <c r="C419" t="s">
        <v>136</v>
      </c>
      <c r="D419" t="str">
        <f>VLOOKUP(C419,'lookup table'!$A$2:$B$19,2,FALSE)</f>
        <v>BBA Set</v>
      </c>
      <c r="E419" t="str">
        <f t="shared" si="6"/>
        <v>|BBA Set</v>
      </c>
    </row>
    <row r="420" spans="1:5" x14ac:dyDescent="0.2">
      <c r="A420" t="s">
        <v>0</v>
      </c>
      <c r="B420" t="s">
        <v>305</v>
      </c>
      <c r="C420" t="s">
        <v>136</v>
      </c>
      <c r="D420" t="str">
        <f>VLOOKUP(C420,'lookup table'!$A$2:$B$19,2,FALSE)</f>
        <v>BBA Set</v>
      </c>
      <c r="E420" t="str">
        <f t="shared" si="6"/>
        <v>|BBA Set</v>
      </c>
    </row>
    <row r="421" spans="1:5" x14ac:dyDescent="0.2">
      <c r="A421" t="s">
        <v>0</v>
      </c>
      <c r="B421" t="s">
        <v>306</v>
      </c>
      <c r="C421" t="s">
        <v>136</v>
      </c>
      <c r="D421" t="str">
        <f>VLOOKUP(C421,'lookup table'!$A$2:$B$19,2,FALSE)</f>
        <v>BBA Set</v>
      </c>
      <c r="E421" t="str">
        <f t="shared" si="6"/>
        <v>|BBA Set</v>
      </c>
    </row>
    <row r="422" spans="1:5" x14ac:dyDescent="0.2">
      <c r="A422" t="s">
        <v>0</v>
      </c>
      <c r="B422" t="s">
        <v>307</v>
      </c>
      <c r="C422" t="s">
        <v>136</v>
      </c>
      <c r="D422" t="str">
        <f>VLOOKUP(C422,'lookup table'!$A$2:$B$19,2,FALSE)</f>
        <v>BBA Set</v>
      </c>
      <c r="E422" t="str">
        <f t="shared" si="6"/>
        <v>|BBA Set</v>
      </c>
    </row>
    <row r="423" spans="1:5" x14ac:dyDescent="0.2">
      <c r="A423" t="s">
        <v>0</v>
      </c>
      <c r="B423" t="s">
        <v>308</v>
      </c>
      <c r="C423" t="s">
        <v>136</v>
      </c>
      <c r="D423" t="str">
        <f>VLOOKUP(C423,'lookup table'!$A$2:$B$19,2,FALSE)</f>
        <v>BBA Set</v>
      </c>
      <c r="E423" t="str">
        <f t="shared" si="6"/>
        <v>|BBA Set</v>
      </c>
    </row>
    <row r="424" spans="1:5" x14ac:dyDescent="0.2">
      <c r="A424" t="s">
        <v>0</v>
      </c>
      <c r="B424" t="s">
        <v>309</v>
      </c>
      <c r="C424" t="s">
        <v>136</v>
      </c>
      <c r="D424" t="str">
        <f>VLOOKUP(C424,'lookup table'!$A$2:$B$19,2,FALSE)</f>
        <v>BBA Set</v>
      </c>
      <c r="E424" t="str">
        <f t="shared" si="6"/>
        <v>|BBA Set</v>
      </c>
    </row>
    <row r="425" spans="1:5" x14ac:dyDescent="0.2">
      <c r="A425" t="s">
        <v>0</v>
      </c>
      <c r="B425" t="s">
        <v>310</v>
      </c>
      <c r="C425" t="s">
        <v>136</v>
      </c>
      <c r="D425" t="str">
        <f>VLOOKUP(C425,'lookup table'!$A$2:$B$19,2,FALSE)</f>
        <v>BBA Set</v>
      </c>
      <c r="E425" t="str">
        <f t="shared" si="6"/>
        <v>|BBA Set</v>
      </c>
    </row>
    <row r="426" spans="1:5" x14ac:dyDescent="0.2">
      <c r="A426" t="s">
        <v>0</v>
      </c>
      <c r="B426" t="s">
        <v>311</v>
      </c>
      <c r="C426" t="s">
        <v>136</v>
      </c>
      <c r="D426" t="str">
        <f>VLOOKUP(C426,'lookup table'!$A$2:$B$19,2,FALSE)</f>
        <v>BBA Set</v>
      </c>
      <c r="E426" t="str">
        <f t="shared" si="6"/>
        <v>|BBA Set</v>
      </c>
    </row>
    <row r="427" spans="1:5" x14ac:dyDescent="0.2">
      <c r="A427" t="s">
        <v>0</v>
      </c>
      <c r="B427" t="s">
        <v>312</v>
      </c>
      <c r="C427" t="s">
        <v>136</v>
      </c>
      <c r="D427" t="str">
        <f>VLOOKUP(C427,'lookup table'!$A$2:$B$19,2,FALSE)</f>
        <v>BBA Set</v>
      </c>
      <c r="E427" t="str">
        <f t="shared" si="6"/>
        <v>|BBA Set</v>
      </c>
    </row>
    <row r="428" spans="1:5" x14ac:dyDescent="0.2">
      <c r="A428" t="s">
        <v>0</v>
      </c>
      <c r="B428" t="s">
        <v>313</v>
      </c>
      <c r="C428" t="s">
        <v>136</v>
      </c>
      <c r="D428" t="str">
        <f>VLOOKUP(C428,'lookup table'!$A$2:$B$19,2,FALSE)</f>
        <v>BBA Set</v>
      </c>
      <c r="E428" t="str">
        <f t="shared" si="6"/>
        <v>|BBA Set</v>
      </c>
    </row>
    <row r="429" spans="1:5" x14ac:dyDescent="0.2">
      <c r="A429" t="s">
        <v>0</v>
      </c>
      <c r="B429" t="s">
        <v>314</v>
      </c>
      <c r="C429" t="s">
        <v>136</v>
      </c>
      <c r="D429" t="str">
        <f>VLOOKUP(C429,'lookup table'!$A$2:$B$19,2,FALSE)</f>
        <v>BBA Set</v>
      </c>
      <c r="E429" t="str">
        <f t="shared" si="6"/>
        <v>|BBA Set</v>
      </c>
    </row>
    <row r="430" spans="1:5" x14ac:dyDescent="0.2">
      <c r="A430" t="s">
        <v>0</v>
      </c>
      <c r="B430" t="s">
        <v>315</v>
      </c>
      <c r="C430" t="s">
        <v>136</v>
      </c>
      <c r="D430" t="str">
        <f>VLOOKUP(C430,'lookup table'!$A$2:$B$19,2,FALSE)</f>
        <v>BBA Set</v>
      </c>
      <c r="E430" t="str">
        <f t="shared" si="6"/>
        <v>|BBA Set</v>
      </c>
    </row>
    <row r="431" spans="1:5" x14ac:dyDescent="0.2">
      <c r="A431" t="s">
        <v>0</v>
      </c>
      <c r="B431" t="s">
        <v>316</v>
      </c>
      <c r="C431" t="s">
        <v>136</v>
      </c>
      <c r="D431" t="str">
        <f>VLOOKUP(C431,'lookup table'!$A$2:$B$19,2,FALSE)</f>
        <v>BBA Set</v>
      </c>
      <c r="E431" t="str">
        <f t="shared" si="6"/>
        <v>|BBA Set</v>
      </c>
    </row>
    <row r="432" spans="1:5" x14ac:dyDescent="0.2">
      <c r="A432" t="s">
        <v>0</v>
      </c>
      <c r="B432" t="s">
        <v>317</v>
      </c>
      <c r="C432" t="s">
        <v>136</v>
      </c>
      <c r="D432" t="str">
        <f>VLOOKUP(C432,'lookup table'!$A$2:$B$19,2,FALSE)</f>
        <v>BBA Set</v>
      </c>
      <c r="E432" t="str">
        <f t="shared" si="6"/>
        <v>|BBA Set</v>
      </c>
    </row>
    <row r="433" spans="1:5" x14ac:dyDescent="0.2">
      <c r="A433" t="s">
        <v>0</v>
      </c>
      <c r="B433" t="s">
        <v>318</v>
      </c>
      <c r="C433" t="s">
        <v>136</v>
      </c>
      <c r="D433" t="str">
        <f>VLOOKUP(C433,'lookup table'!$A$2:$B$19,2,FALSE)</f>
        <v>BBA Set</v>
      </c>
      <c r="E433" t="str">
        <f t="shared" si="6"/>
        <v>|BBA Set</v>
      </c>
    </row>
    <row r="434" spans="1:5" x14ac:dyDescent="0.2">
      <c r="A434" t="s">
        <v>0</v>
      </c>
      <c r="B434" t="s">
        <v>319</v>
      </c>
      <c r="C434" t="s">
        <v>136</v>
      </c>
      <c r="D434" t="str">
        <f>VLOOKUP(C434,'lookup table'!$A$2:$B$19,2,FALSE)</f>
        <v>BBA Set</v>
      </c>
      <c r="E434" t="str">
        <f t="shared" si="6"/>
        <v>|BBA Set</v>
      </c>
    </row>
    <row r="435" spans="1:5" x14ac:dyDescent="0.2">
      <c r="A435" t="s">
        <v>0</v>
      </c>
      <c r="B435" t="s">
        <v>320</v>
      </c>
      <c r="C435" t="s">
        <v>136</v>
      </c>
      <c r="D435" t="str">
        <f>VLOOKUP(C435,'lookup table'!$A$2:$B$19,2,FALSE)</f>
        <v>BBA Set</v>
      </c>
      <c r="E435" t="str">
        <f t="shared" si="6"/>
        <v>|BBA Set</v>
      </c>
    </row>
    <row r="436" spans="1:5" x14ac:dyDescent="0.2">
      <c r="A436" t="s">
        <v>0</v>
      </c>
      <c r="B436" t="s">
        <v>321</v>
      </c>
      <c r="C436" t="s">
        <v>136</v>
      </c>
      <c r="D436" t="str">
        <f>VLOOKUP(C436,'lookup table'!$A$2:$B$19,2,FALSE)</f>
        <v>BBA Set</v>
      </c>
      <c r="E436" t="str">
        <f t="shared" si="6"/>
        <v>|BBA Set</v>
      </c>
    </row>
    <row r="437" spans="1:5" x14ac:dyDescent="0.2">
      <c r="A437" t="s">
        <v>0</v>
      </c>
      <c r="B437" t="s">
        <v>322</v>
      </c>
      <c r="C437" t="s">
        <v>136</v>
      </c>
      <c r="D437" t="str">
        <f>VLOOKUP(C437,'lookup table'!$A$2:$B$19,2,FALSE)</f>
        <v>BBA Set</v>
      </c>
      <c r="E437" t="str">
        <f t="shared" si="6"/>
        <v>|BBA Set</v>
      </c>
    </row>
    <row r="438" spans="1:5" x14ac:dyDescent="0.2">
      <c r="A438" t="s">
        <v>0</v>
      </c>
      <c r="B438" t="s">
        <v>323</v>
      </c>
      <c r="C438" t="s">
        <v>136</v>
      </c>
      <c r="D438" t="str">
        <f>VLOOKUP(C438,'lookup table'!$A$2:$B$19,2,FALSE)</f>
        <v>BBA Set</v>
      </c>
      <c r="E438" t="str">
        <f t="shared" si="6"/>
        <v>|BBA Set</v>
      </c>
    </row>
    <row r="439" spans="1:5" x14ac:dyDescent="0.2">
      <c r="A439" t="s">
        <v>0</v>
      </c>
      <c r="B439" t="s">
        <v>200</v>
      </c>
      <c r="C439" t="s">
        <v>136</v>
      </c>
      <c r="D439" t="str">
        <f>VLOOKUP(C439,'lookup table'!$A$2:$B$19,2,FALSE)</f>
        <v>BBA Set</v>
      </c>
      <c r="E439" t="str">
        <f t="shared" si="6"/>
        <v>|BBA Set</v>
      </c>
    </row>
    <row r="440" spans="1:5" x14ac:dyDescent="0.2">
      <c r="A440" t="s">
        <v>0</v>
      </c>
      <c r="B440" t="s">
        <v>288</v>
      </c>
      <c r="C440" t="s">
        <v>136</v>
      </c>
      <c r="D440" t="str">
        <f>VLOOKUP(C440,'lookup table'!$A$2:$B$19,2,FALSE)</f>
        <v>BBA Set</v>
      </c>
      <c r="E440" t="str">
        <f t="shared" si="6"/>
        <v>|BBA Set</v>
      </c>
    </row>
    <row r="441" spans="1:5" x14ac:dyDescent="0.2">
      <c r="A441" t="s">
        <v>0</v>
      </c>
      <c r="B441" t="s">
        <v>289</v>
      </c>
      <c r="C441" t="s">
        <v>136</v>
      </c>
      <c r="D441" t="str">
        <f>VLOOKUP(C441,'lookup table'!$A$2:$B$19,2,FALSE)</f>
        <v>BBA Set</v>
      </c>
      <c r="E441" t="str">
        <f t="shared" si="6"/>
        <v>|BBA Set</v>
      </c>
    </row>
    <row r="442" spans="1:5" x14ac:dyDescent="0.2">
      <c r="A442" t="s">
        <v>0</v>
      </c>
      <c r="B442" t="s">
        <v>290</v>
      </c>
      <c r="C442" t="s">
        <v>136</v>
      </c>
      <c r="D442" t="str">
        <f>VLOOKUP(C442,'lookup table'!$A$2:$B$19,2,FALSE)</f>
        <v>BBA Set</v>
      </c>
      <c r="E442" t="str">
        <f t="shared" si="6"/>
        <v>|BBA Set</v>
      </c>
    </row>
    <row r="443" spans="1:5" x14ac:dyDescent="0.2">
      <c r="A443" t="s">
        <v>0</v>
      </c>
      <c r="B443" t="s">
        <v>291</v>
      </c>
      <c r="C443" t="s">
        <v>136</v>
      </c>
      <c r="D443" t="str">
        <f>VLOOKUP(C443,'lookup table'!$A$2:$B$19,2,FALSE)</f>
        <v>BBA Set</v>
      </c>
      <c r="E443" t="str">
        <f t="shared" si="6"/>
        <v>|BBA Set</v>
      </c>
    </row>
    <row r="444" spans="1:5" x14ac:dyDescent="0.2">
      <c r="A444" t="s">
        <v>0</v>
      </c>
      <c r="B444" t="s">
        <v>292</v>
      </c>
      <c r="C444" t="s">
        <v>136</v>
      </c>
      <c r="D444" t="str">
        <f>VLOOKUP(C444,'lookup table'!$A$2:$B$19,2,FALSE)</f>
        <v>BBA Set</v>
      </c>
      <c r="E444" t="str">
        <f t="shared" si="6"/>
        <v>|BBA Set</v>
      </c>
    </row>
    <row r="445" spans="1:5" x14ac:dyDescent="0.2">
      <c r="A445" t="s">
        <v>0</v>
      </c>
      <c r="B445" t="s">
        <v>293</v>
      </c>
      <c r="C445" t="s">
        <v>136</v>
      </c>
      <c r="D445" t="str">
        <f>VLOOKUP(C445,'lookup table'!$A$2:$B$19,2,FALSE)</f>
        <v>BBA Set</v>
      </c>
      <c r="E445" t="str">
        <f t="shared" si="6"/>
        <v>|BBA Set</v>
      </c>
    </row>
    <row r="446" spans="1:5" x14ac:dyDescent="0.2">
      <c r="A446" t="s">
        <v>0</v>
      </c>
      <c r="B446" t="s">
        <v>294</v>
      </c>
      <c r="C446" t="s">
        <v>136</v>
      </c>
      <c r="D446" t="str">
        <f>VLOOKUP(C446,'lookup table'!$A$2:$B$19,2,FALSE)</f>
        <v>BBA Set</v>
      </c>
      <c r="E446" t="str">
        <f t="shared" si="6"/>
        <v>|BBA Set</v>
      </c>
    </row>
    <row r="447" spans="1:5" x14ac:dyDescent="0.2">
      <c r="A447" t="s">
        <v>0</v>
      </c>
      <c r="B447" t="s">
        <v>295</v>
      </c>
      <c r="C447" t="s">
        <v>136</v>
      </c>
      <c r="D447" t="str">
        <f>VLOOKUP(C447,'lookup table'!$A$2:$B$19,2,FALSE)</f>
        <v>BBA Set</v>
      </c>
      <c r="E447" t="str">
        <f t="shared" si="6"/>
        <v>|BBA Set</v>
      </c>
    </row>
    <row r="448" spans="1:5" x14ac:dyDescent="0.2">
      <c r="A448" t="s">
        <v>0</v>
      </c>
      <c r="B448" t="s">
        <v>296</v>
      </c>
      <c r="C448" t="s">
        <v>136</v>
      </c>
      <c r="D448" t="str">
        <f>VLOOKUP(C448,'lookup table'!$A$2:$B$19,2,FALSE)</f>
        <v>BBA Set</v>
      </c>
      <c r="E448" t="str">
        <f t="shared" si="6"/>
        <v>|BBA Set</v>
      </c>
    </row>
    <row r="449" spans="1:5" x14ac:dyDescent="0.2">
      <c r="A449" t="s">
        <v>0</v>
      </c>
      <c r="B449" t="s">
        <v>297</v>
      </c>
      <c r="C449" t="s">
        <v>136</v>
      </c>
      <c r="D449" t="str">
        <f>VLOOKUP(C449,'lookup table'!$A$2:$B$19,2,FALSE)</f>
        <v>BBA Set</v>
      </c>
      <c r="E449" t="str">
        <f t="shared" si="6"/>
        <v>|BBA Set</v>
      </c>
    </row>
    <row r="450" spans="1:5" x14ac:dyDescent="0.2">
      <c r="A450" t="s">
        <v>0</v>
      </c>
      <c r="B450" t="s">
        <v>298</v>
      </c>
      <c r="C450" t="s">
        <v>136</v>
      </c>
      <c r="D450" t="str">
        <f>VLOOKUP(C450,'lookup table'!$A$2:$B$19,2,FALSE)</f>
        <v>BBA Set</v>
      </c>
      <c r="E450" t="str">
        <f t="shared" si="6"/>
        <v>|BBA Set</v>
      </c>
    </row>
    <row r="451" spans="1:5" x14ac:dyDescent="0.2">
      <c r="A451" t="s">
        <v>0</v>
      </c>
      <c r="B451" t="s">
        <v>299</v>
      </c>
      <c r="C451" t="s">
        <v>136</v>
      </c>
      <c r="D451" t="str">
        <f>VLOOKUP(C451,'lookup table'!$A$2:$B$19,2,FALSE)</f>
        <v>BBA Set</v>
      </c>
      <c r="E451" t="str">
        <f t="shared" ref="E451:E514" si="7">IF(ISNA(D451),"",IF(A451="","",A451) &amp; "|" &amp; D451)</f>
        <v>|BBA Set</v>
      </c>
    </row>
    <row r="452" spans="1:5" x14ac:dyDescent="0.2">
      <c r="A452" t="s">
        <v>0</v>
      </c>
      <c r="B452" t="s">
        <v>300</v>
      </c>
      <c r="C452" t="s">
        <v>136</v>
      </c>
      <c r="D452" t="str">
        <f>VLOOKUP(C452,'lookup table'!$A$2:$B$19,2,FALSE)</f>
        <v>BBA Set</v>
      </c>
      <c r="E452" t="str">
        <f t="shared" si="7"/>
        <v>|BBA Set</v>
      </c>
    </row>
    <row r="453" spans="1:5" x14ac:dyDescent="0.2">
      <c r="A453" t="s">
        <v>0</v>
      </c>
      <c r="B453" t="s">
        <v>300</v>
      </c>
      <c r="C453" t="s">
        <v>136</v>
      </c>
      <c r="D453" t="str">
        <f>VLOOKUP(C453,'lookup table'!$A$2:$B$19,2,FALSE)</f>
        <v>BBA Set</v>
      </c>
      <c r="E453" t="str">
        <f t="shared" si="7"/>
        <v>|BBA Set</v>
      </c>
    </row>
    <row r="454" spans="1:5" x14ac:dyDescent="0.2">
      <c r="A454" t="s">
        <v>0</v>
      </c>
      <c r="B454" t="s">
        <v>301</v>
      </c>
      <c r="C454" t="s">
        <v>136</v>
      </c>
      <c r="D454" t="str">
        <f>VLOOKUP(C454,'lookup table'!$A$2:$B$19,2,FALSE)</f>
        <v>BBA Set</v>
      </c>
      <c r="E454" t="str">
        <f t="shared" si="7"/>
        <v>|BBA Set</v>
      </c>
    </row>
    <row r="455" spans="1:5" x14ac:dyDescent="0.2">
      <c r="A455" t="s">
        <v>0</v>
      </c>
      <c r="B455" t="s">
        <v>302</v>
      </c>
      <c r="C455" t="s">
        <v>136</v>
      </c>
      <c r="D455" t="str">
        <f>VLOOKUP(C455,'lookup table'!$A$2:$B$19,2,FALSE)</f>
        <v>BBA Set</v>
      </c>
      <c r="E455" t="str">
        <f t="shared" si="7"/>
        <v>|BBA Set</v>
      </c>
    </row>
    <row r="456" spans="1:5" x14ac:dyDescent="0.2">
      <c r="A456" t="s">
        <v>0</v>
      </c>
      <c r="B456" t="s">
        <v>303</v>
      </c>
      <c r="C456" t="s">
        <v>136</v>
      </c>
      <c r="D456" t="str">
        <f>VLOOKUP(C456,'lookup table'!$A$2:$B$19,2,FALSE)</f>
        <v>BBA Set</v>
      </c>
      <c r="E456" t="str">
        <f t="shared" si="7"/>
        <v>|BBA Set</v>
      </c>
    </row>
    <row r="457" spans="1:5" x14ac:dyDescent="0.2">
      <c r="A457" t="s">
        <v>0</v>
      </c>
      <c r="B457" t="s">
        <v>304</v>
      </c>
      <c r="C457" t="s">
        <v>136</v>
      </c>
      <c r="D457" t="str">
        <f>VLOOKUP(C457,'lookup table'!$A$2:$B$19,2,FALSE)</f>
        <v>BBA Set</v>
      </c>
      <c r="E457" t="str">
        <f t="shared" si="7"/>
        <v>|BBA Set</v>
      </c>
    </row>
    <row r="458" spans="1:5" x14ac:dyDescent="0.2">
      <c r="A458" t="s">
        <v>0</v>
      </c>
      <c r="B458" t="s">
        <v>305</v>
      </c>
      <c r="C458" t="s">
        <v>136</v>
      </c>
      <c r="D458" t="str">
        <f>VLOOKUP(C458,'lookup table'!$A$2:$B$19,2,FALSE)</f>
        <v>BBA Set</v>
      </c>
      <c r="E458" t="str">
        <f t="shared" si="7"/>
        <v>|BBA Set</v>
      </c>
    </row>
    <row r="459" spans="1:5" x14ac:dyDescent="0.2">
      <c r="A459" t="s">
        <v>0</v>
      </c>
      <c r="B459" t="s">
        <v>306</v>
      </c>
      <c r="C459" t="s">
        <v>136</v>
      </c>
      <c r="D459" t="str">
        <f>VLOOKUP(C459,'lookup table'!$A$2:$B$19,2,FALSE)</f>
        <v>BBA Set</v>
      </c>
      <c r="E459" t="str">
        <f t="shared" si="7"/>
        <v>|BBA Set</v>
      </c>
    </row>
    <row r="460" spans="1:5" x14ac:dyDescent="0.2">
      <c r="A460" t="s">
        <v>0</v>
      </c>
      <c r="B460" t="s">
        <v>307</v>
      </c>
      <c r="C460" t="s">
        <v>136</v>
      </c>
      <c r="D460" t="str">
        <f>VLOOKUP(C460,'lookup table'!$A$2:$B$19,2,FALSE)</f>
        <v>BBA Set</v>
      </c>
      <c r="E460" t="str">
        <f t="shared" si="7"/>
        <v>|BBA Set</v>
      </c>
    </row>
    <row r="461" spans="1:5" x14ac:dyDescent="0.2">
      <c r="A461" t="s">
        <v>0</v>
      </c>
      <c r="B461" t="s">
        <v>308</v>
      </c>
      <c r="C461" t="s">
        <v>136</v>
      </c>
      <c r="D461" t="str">
        <f>VLOOKUP(C461,'lookup table'!$A$2:$B$19,2,FALSE)</f>
        <v>BBA Set</v>
      </c>
      <c r="E461" t="str">
        <f t="shared" si="7"/>
        <v>|BBA Set</v>
      </c>
    </row>
    <row r="462" spans="1:5" x14ac:dyDescent="0.2">
      <c r="A462" t="s">
        <v>0</v>
      </c>
      <c r="B462" t="s">
        <v>309</v>
      </c>
      <c r="C462" t="s">
        <v>136</v>
      </c>
      <c r="D462" t="str">
        <f>VLOOKUP(C462,'lookup table'!$A$2:$B$19,2,FALSE)</f>
        <v>BBA Set</v>
      </c>
      <c r="E462" t="str">
        <f t="shared" si="7"/>
        <v>|BBA Set</v>
      </c>
    </row>
    <row r="463" spans="1:5" x14ac:dyDescent="0.2">
      <c r="A463" t="s">
        <v>0</v>
      </c>
      <c r="B463" t="s">
        <v>310</v>
      </c>
      <c r="C463" t="s">
        <v>136</v>
      </c>
      <c r="D463" t="str">
        <f>VLOOKUP(C463,'lookup table'!$A$2:$B$19,2,FALSE)</f>
        <v>BBA Set</v>
      </c>
      <c r="E463" t="str">
        <f t="shared" si="7"/>
        <v>|BBA Set</v>
      </c>
    </row>
    <row r="464" spans="1:5" x14ac:dyDescent="0.2">
      <c r="A464" t="s">
        <v>0</v>
      </c>
      <c r="B464" t="s">
        <v>311</v>
      </c>
      <c r="C464" t="s">
        <v>136</v>
      </c>
      <c r="D464" t="str">
        <f>VLOOKUP(C464,'lookup table'!$A$2:$B$19,2,FALSE)</f>
        <v>BBA Set</v>
      </c>
      <c r="E464" t="str">
        <f t="shared" si="7"/>
        <v>|BBA Set</v>
      </c>
    </row>
    <row r="465" spans="1:5" x14ac:dyDescent="0.2">
      <c r="A465" t="s">
        <v>0</v>
      </c>
      <c r="B465" t="s">
        <v>312</v>
      </c>
      <c r="C465" t="s">
        <v>136</v>
      </c>
      <c r="D465" t="str">
        <f>VLOOKUP(C465,'lookup table'!$A$2:$B$19,2,FALSE)</f>
        <v>BBA Set</v>
      </c>
      <c r="E465" t="str">
        <f t="shared" si="7"/>
        <v>|BBA Set</v>
      </c>
    </row>
    <row r="466" spans="1:5" x14ac:dyDescent="0.2">
      <c r="A466" t="s">
        <v>0</v>
      </c>
      <c r="B466" t="s">
        <v>313</v>
      </c>
      <c r="C466" t="s">
        <v>136</v>
      </c>
      <c r="D466" t="str">
        <f>VLOOKUP(C466,'lookup table'!$A$2:$B$19,2,FALSE)</f>
        <v>BBA Set</v>
      </c>
      <c r="E466" t="str">
        <f t="shared" si="7"/>
        <v>|BBA Set</v>
      </c>
    </row>
    <row r="467" spans="1:5" x14ac:dyDescent="0.2">
      <c r="A467" t="s">
        <v>0</v>
      </c>
      <c r="B467" t="s">
        <v>314</v>
      </c>
      <c r="C467" t="s">
        <v>136</v>
      </c>
      <c r="D467" t="str">
        <f>VLOOKUP(C467,'lookup table'!$A$2:$B$19,2,FALSE)</f>
        <v>BBA Set</v>
      </c>
      <c r="E467" t="str">
        <f t="shared" si="7"/>
        <v>|BBA Set</v>
      </c>
    </row>
    <row r="468" spans="1:5" x14ac:dyDescent="0.2">
      <c r="A468" t="s">
        <v>0</v>
      </c>
      <c r="B468" t="s">
        <v>315</v>
      </c>
      <c r="C468" t="s">
        <v>136</v>
      </c>
      <c r="D468" t="str">
        <f>VLOOKUP(C468,'lookup table'!$A$2:$B$19,2,FALSE)</f>
        <v>BBA Set</v>
      </c>
      <c r="E468" t="str">
        <f t="shared" si="7"/>
        <v>|BBA Set</v>
      </c>
    </row>
    <row r="469" spans="1:5" x14ac:dyDescent="0.2">
      <c r="A469" t="s">
        <v>0</v>
      </c>
      <c r="B469" t="s">
        <v>316</v>
      </c>
      <c r="C469" t="s">
        <v>136</v>
      </c>
      <c r="D469" t="str">
        <f>VLOOKUP(C469,'lookup table'!$A$2:$B$19,2,FALSE)</f>
        <v>BBA Set</v>
      </c>
      <c r="E469" t="str">
        <f t="shared" si="7"/>
        <v>|BBA Set</v>
      </c>
    </row>
    <row r="470" spans="1:5" x14ac:dyDescent="0.2">
      <c r="A470" t="s">
        <v>0</v>
      </c>
      <c r="B470" t="s">
        <v>317</v>
      </c>
      <c r="C470" t="s">
        <v>136</v>
      </c>
      <c r="D470" t="str">
        <f>VLOOKUP(C470,'lookup table'!$A$2:$B$19,2,FALSE)</f>
        <v>BBA Set</v>
      </c>
      <c r="E470" t="str">
        <f t="shared" si="7"/>
        <v>|BBA Set</v>
      </c>
    </row>
    <row r="471" spans="1:5" x14ac:dyDescent="0.2">
      <c r="A471" t="s">
        <v>0</v>
      </c>
      <c r="B471" t="s">
        <v>318</v>
      </c>
      <c r="C471" t="s">
        <v>136</v>
      </c>
      <c r="D471" t="str">
        <f>VLOOKUP(C471,'lookup table'!$A$2:$B$19,2,FALSE)</f>
        <v>BBA Set</v>
      </c>
      <c r="E471" t="str">
        <f t="shared" si="7"/>
        <v>|BBA Set</v>
      </c>
    </row>
    <row r="472" spans="1:5" x14ac:dyDescent="0.2">
      <c r="A472" t="s">
        <v>0</v>
      </c>
      <c r="B472" t="s">
        <v>106</v>
      </c>
      <c r="C472" t="s">
        <v>136</v>
      </c>
      <c r="D472" t="str">
        <f>VLOOKUP(C472,'lookup table'!$A$2:$B$19,2,FALSE)</f>
        <v>BBA Set</v>
      </c>
      <c r="E472" t="str">
        <f t="shared" si="7"/>
        <v>|BBA Set</v>
      </c>
    </row>
    <row r="473" spans="1:5" x14ac:dyDescent="0.2">
      <c r="A473" t="s">
        <v>0</v>
      </c>
      <c r="B473" t="s">
        <v>107</v>
      </c>
      <c r="C473" t="s">
        <v>136</v>
      </c>
      <c r="D473" t="str">
        <f>VLOOKUP(C473,'lookup table'!$A$2:$B$19,2,FALSE)</f>
        <v>BBA Set</v>
      </c>
      <c r="E473" t="str">
        <f t="shared" si="7"/>
        <v>|BBA Set</v>
      </c>
    </row>
    <row r="474" spans="1:5" x14ac:dyDescent="0.2">
      <c r="A474" t="s">
        <v>0</v>
      </c>
      <c r="B474" t="s">
        <v>132</v>
      </c>
      <c r="C474" t="s">
        <v>136</v>
      </c>
      <c r="D474" t="str">
        <f>VLOOKUP(C474,'lookup table'!$A$2:$B$19,2,FALSE)</f>
        <v>BBA Set</v>
      </c>
      <c r="E474" t="str">
        <f t="shared" si="7"/>
        <v>|BBA Set</v>
      </c>
    </row>
    <row r="475" spans="1:5" x14ac:dyDescent="0.2">
      <c r="A475" t="s">
        <v>0</v>
      </c>
      <c r="B475" t="s">
        <v>119</v>
      </c>
      <c r="C475" t="s">
        <v>136</v>
      </c>
      <c r="D475" t="str">
        <f>VLOOKUP(C475,'lookup table'!$A$2:$B$19,2,FALSE)</f>
        <v>BBA Set</v>
      </c>
      <c r="E475" t="str">
        <f t="shared" si="7"/>
        <v>|BBA Set</v>
      </c>
    </row>
    <row r="476" spans="1:5" x14ac:dyDescent="0.2">
      <c r="A476" t="s">
        <v>0</v>
      </c>
      <c r="B476" t="s">
        <v>133</v>
      </c>
      <c r="C476" t="s">
        <v>136</v>
      </c>
      <c r="D476" t="str">
        <f>VLOOKUP(C476,'lookup table'!$A$2:$B$19,2,FALSE)</f>
        <v>BBA Set</v>
      </c>
      <c r="E476" t="str">
        <f t="shared" si="7"/>
        <v>|BBA Set</v>
      </c>
    </row>
    <row r="477" spans="1:5" x14ac:dyDescent="0.2">
      <c r="A477" t="s">
        <v>0</v>
      </c>
      <c r="B477" t="s">
        <v>134</v>
      </c>
      <c r="C477" t="s">
        <v>136</v>
      </c>
      <c r="D477" t="str">
        <f>VLOOKUP(C477,'lookup table'!$A$2:$B$19,2,FALSE)</f>
        <v>BBA Set</v>
      </c>
      <c r="E477" t="str">
        <f t="shared" si="7"/>
        <v>|BBA Set</v>
      </c>
    </row>
    <row r="478" spans="1:5" x14ac:dyDescent="0.2">
      <c r="A478" t="s">
        <v>0</v>
      </c>
      <c r="B478" t="s">
        <v>17</v>
      </c>
      <c r="C478" t="s">
        <v>136</v>
      </c>
      <c r="D478" t="str">
        <f>VLOOKUP(C478,'lookup table'!$A$2:$B$19,2,FALSE)</f>
        <v>BBA Set</v>
      </c>
      <c r="E478" t="str">
        <f t="shared" si="7"/>
        <v>|BBA Set</v>
      </c>
    </row>
    <row r="479" spans="1:5" x14ac:dyDescent="0.2">
      <c r="A479" t="s">
        <v>0</v>
      </c>
      <c r="B479" t="s">
        <v>1</v>
      </c>
      <c r="C479" t="s">
        <v>324</v>
      </c>
      <c r="D479" t="e">
        <f>VLOOKUP(C479,'lookup table'!$A$2:$B$19,2,FALSE)</f>
        <v>#N/A</v>
      </c>
      <c r="E479" t="str">
        <f t="shared" si="7"/>
        <v/>
      </c>
    </row>
    <row r="480" spans="1:5" x14ac:dyDescent="0.2">
      <c r="A480" t="s">
        <v>0</v>
      </c>
      <c r="B480" t="s">
        <v>3</v>
      </c>
      <c r="C480" t="s">
        <v>324</v>
      </c>
      <c r="D480" t="e">
        <f>VLOOKUP(C480,'lookup table'!$A$2:$B$19,2,FALSE)</f>
        <v>#N/A</v>
      </c>
      <c r="E480" t="str">
        <f t="shared" si="7"/>
        <v/>
      </c>
    </row>
    <row r="481" spans="1:5" x14ac:dyDescent="0.2">
      <c r="A481" t="s">
        <v>0</v>
      </c>
      <c r="B481" t="s">
        <v>7</v>
      </c>
      <c r="C481" t="s">
        <v>324</v>
      </c>
      <c r="D481" t="e">
        <f>VLOOKUP(C481,'lookup table'!$A$2:$B$19,2,FALSE)</f>
        <v>#N/A</v>
      </c>
      <c r="E481" t="str">
        <f t="shared" si="7"/>
        <v/>
      </c>
    </row>
    <row r="482" spans="1:5" x14ac:dyDescent="0.2">
      <c r="A482" t="s">
        <v>0</v>
      </c>
      <c r="B482" t="s">
        <v>7</v>
      </c>
      <c r="C482" t="s">
        <v>324</v>
      </c>
      <c r="D482" t="e">
        <f>VLOOKUP(C482,'lookup table'!$A$2:$B$19,2,FALSE)</f>
        <v>#N/A</v>
      </c>
      <c r="E482" t="str">
        <f t="shared" si="7"/>
        <v/>
      </c>
    </row>
    <row r="483" spans="1:5" x14ac:dyDescent="0.2">
      <c r="A483" t="s">
        <v>0</v>
      </c>
      <c r="B483" t="s">
        <v>4</v>
      </c>
      <c r="C483" t="s">
        <v>324</v>
      </c>
      <c r="D483" t="e">
        <f>VLOOKUP(C483,'lookup table'!$A$2:$B$19,2,FALSE)</f>
        <v>#N/A</v>
      </c>
      <c r="E483" t="str">
        <f t="shared" si="7"/>
        <v/>
      </c>
    </row>
    <row r="484" spans="1:5" x14ac:dyDescent="0.2">
      <c r="A484" t="s">
        <v>0</v>
      </c>
      <c r="B484" t="s">
        <v>8</v>
      </c>
      <c r="C484" t="s">
        <v>324</v>
      </c>
      <c r="D484" t="e">
        <f>VLOOKUP(C484,'lookup table'!$A$2:$B$19,2,FALSE)</f>
        <v>#N/A</v>
      </c>
      <c r="E484" t="str">
        <f t="shared" si="7"/>
        <v/>
      </c>
    </row>
    <row r="485" spans="1:5" x14ac:dyDescent="0.2">
      <c r="A485" t="s">
        <v>0</v>
      </c>
      <c r="B485" t="s">
        <v>8</v>
      </c>
      <c r="C485" t="s">
        <v>324</v>
      </c>
      <c r="D485" t="e">
        <f>VLOOKUP(C485,'lookup table'!$A$2:$B$19,2,FALSE)</f>
        <v>#N/A</v>
      </c>
      <c r="E485" t="str">
        <f t="shared" si="7"/>
        <v/>
      </c>
    </row>
    <row r="486" spans="1:5" x14ac:dyDescent="0.2">
      <c r="A486" t="s">
        <v>0</v>
      </c>
      <c r="B486" t="s">
        <v>1</v>
      </c>
      <c r="C486" t="s">
        <v>325</v>
      </c>
      <c r="D486" t="e">
        <f>VLOOKUP(C486,'lookup table'!$A$2:$B$19,2,FALSE)</f>
        <v>#N/A</v>
      </c>
      <c r="E486" t="str">
        <f t="shared" si="7"/>
        <v/>
      </c>
    </row>
    <row r="487" spans="1:5" x14ac:dyDescent="0.2">
      <c r="A487" t="s">
        <v>0</v>
      </c>
      <c r="B487" t="s">
        <v>3</v>
      </c>
      <c r="C487" t="s">
        <v>325</v>
      </c>
      <c r="D487" t="e">
        <f>VLOOKUP(C487,'lookup table'!$A$2:$B$19,2,FALSE)</f>
        <v>#N/A</v>
      </c>
      <c r="E487" t="str">
        <f t="shared" si="7"/>
        <v/>
      </c>
    </row>
    <row r="488" spans="1:5" x14ac:dyDescent="0.2">
      <c r="A488" t="s">
        <v>0</v>
      </c>
      <c r="B488" t="s">
        <v>7</v>
      </c>
      <c r="C488" t="s">
        <v>325</v>
      </c>
      <c r="D488" t="e">
        <f>VLOOKUP(C488,'lookup table'!$A$2:$B$19,2,FALSE)</f>
        <v>#N/A</v>
      </c>
      <c r="E488" t="str">
        <f t="shared" si="7"/>
        <v/>
      </c>
    </row>
    <row r="489" spans="1:5" x14ac:dyDescent="0.2">
      <c r="A489" t="s">
        <v>0</v>
      </c>
      <c r="B489" t="s">
        <v>7</v>
      </c>
      <c r="C489" t="s">
        <v>325</v>
      </c>
      <c r="D489" t="e">
        <f>VLOOKUP(C489,'lookup table'!$A$2:$B$19,2,FALSE)</f>
        <v>#N/A</v>
      </c>
      <c r="E489" t="str">
        <f t="shared" si="7"/>
        <v/>
      </c>
    </row>
    <row r="490" spans="1:5" x14ac:dyDescent="0.2">
      <c r="A490" t="s">
        <v>0</v>
      </c>
      <c r="B490" t="s">
        <v>4</v>
      </c>
      <c r="C490" t="s">
        <v>325</v>
      </c>
      <c r="D490" t="e">
        <f>VLOOKUP(C490,'lookup table'!$A$2:$B$19,2,FALSE)</f>
        <v>#N/A</v>
      </c>
      <c r="E490" t="str">
        <f t="shared" si="7"/>
        <v/>
      </c>
    </row>
    <row r="491" spans="1:5" x14ac:dyDescent="0.2">
      <c r="A491" t="s">
        <v>0</v>
      </c>
      <c r="B491" t="s">
        <v>8</v>
      </c>
      <c r="C491" t="s">
        <v>325</v>
      </c>
      <c r="D491" t="e">
        <f>VLOOKUP(C491,'lookup table'!$A$2:$B$19,2,FALSE)</f>
        <v>#N/A</v>
      </c>
      <c r="E491" t="str">
        <f t="shared" si="7"/>
        <v/>
      </c>
    </row>
    <row r="492" spans="1:5" x14ac:dyDescent="0.2">
      <c r="A492" t="s">
        <v>0</v>
      </c>
      <c r="B492" t="s">
        <v>8</v>
      </c>
      <c r="C492" t="s">
        <v>325</v>
      </c>
      <c r="D492" t="e">
        <f>VLOOKUP(C492,'lookup table'!$A$2:$B$19,2,FALSE)</f>
        <v>#N/A</v>
      </c>
      <c r="E492" t="str">
        <f t="shared" si="7"/>
        <v/>
      </c>
    </row>
    <row r="493" spans="1:5" x14ac:dyDescent="0.2">
      <c r="A493" t="s">
        <v>0</v>
      </c>
      <c r="B493" t="s">
        <v>1</v>
      </c>
      <c r="C493" t="s">
        <v>326</v>
      </c>
      <c r="D493" t="e">
        <f>VLOOKUP(C493,'lookup table'!$A$2:$B$19,2,FALSE)</f>
        <v>#N/A</v>
      </c>
      <c r="E493" t="str">
        <f t="shared" si="7"/>
        <v/>
      </c>
    </row>
    <row r="494" spans="1:5" x14ac:dyDescent="0.2">
      <c r="A494" t="s">
        <v>0</v>
      </c>
      <c r="B494" t="s">
        <v>3</v>
      </c>
      <c r="C494" t="s">
        <v>326</v>
      </c>
      <c r="D494" t="e">
        <f>VLOOKUP(C494,'lookup table'!$A$2:$B$19,2,FALSE)</f>
        <v>#N/A</v>
      </c>
      <c r="E494" t="str">
        <f t="shared" si="7"/>
        <v/>
      </c>
    </row>
    <row r="495" spans="1:5" x14ac:dyDescent="0.2">
      <c r="A495" t="s">
        <v>0</v>
      </c>
      <c r="B495" t="s">
        <v>7</v>
      </c>
      <c r="C495" t="s">
        <v>326</v>
      </c>
      <c r="D495" t="e">
        <f>VLOOKUP(C495,'lookup table'!$A$2:$B$19,2,FALSE)</f>
        <v>#N/A</v>
      </c>
      <c r="E495" t="str">
        <f t="shared" si="7"/>
        <v/>
      </c>
    </row>
    <row r="496" spans="1:5" x14ac:dyDescent="0.2">
      <c r="A496" t="s">
        <v>0</v>
      </c>
      <c r="B496" t="s">
        <v>7</v>
      </c>
      <c r="C496" t="s">
        <v>326</v>
      </c>
      <c r="D496" t="e">
        <f>VLOOKUP(C496,'lookup table'!$A$2:$B$19,2,FALSE)</f>
        <v>#N/A</v>
      </c>
      <c r="E496" t="str">
        <f t="shared" si="7"/>
        <v/>
      </c>
    </row>
    <row r="497" spans="1:5" x14ac:dyDescent="0.2">
      <c r="A497" t="s">
        <v>0</v>
      </c>
      <c r="B497" t="s">
        <v>4</v>
      </c>
      <c r="C497" t="s">
        <v>326</v>
      </c>
      <c r="D497" t="e">
        <f>VLOOKUP(C497,'lookup table'!$A$2:$B$19,2,FALSE)</f>
        <v>#N/A</v>
      </c>
      <c r="E497" t="str">
        <f t="shared" si="7"/>
        <v/>
      </c>
    </row>
    <row r="498" spans="1:5" x14ac:dyDescent="0.2">
      <c r="A498" t="s">
        <v>0</v>
      </c>
      <c r="B498" t="s">
        <v>8</v>
      </c>
      <c r="C498" t="s">
        <v>326</v>
      </c>
      <c r="D498" t="e">
        <f>VLOOKUP(C498,'lookup table'!$A$2:$B$19,2,FALSE)</f>
        <v>#N/A</v>
      </c>
      <c r="E498" t="str">
        <f t="shared" si="7"/>
        <v/>
      </c>
    </row>
    <row r="499" spans="1:5" x14ac:dyDescent="0.2">
      <c r="A499" t="s">
        <v>0</v>
      </c>
      <c r="B499" t="s">
        <v>8</v>
      </c>
      <c r="C499" t="s">
        <v>326</v>
      </c>
      <c r="D499" t="e">
        <f>VLOOKUP(C499,'lookup table'!$A$2:$B$19,2,FALSE)</f>
        <v>#N/A</v>
      </c>
      <c r="E499" t="str">
        <f t="shared" si="7"/>
        <v/>
      </c>
    </row>
    <row r="500" spans="1:5" x14ac:dyDescent="0.2">
      <c r="A500" t="s">
        <v>0</v>
      </c>
      <c r="B500" t="s">
        <v>1</v>
      </c>
      <c r="C500" t="s">
        <v>327</v>
      </c>
      <c r="D500" t="e">
        <f>VLOOKUP(C500,'lookup table'!$A$2:$B$19,2,FALSE)</f>
        <v>#N/A</v>
      </c>
      <c r="E500" t="str">
        <f t="shared" si="7"/>
        <v/>
      </c>
    </row>
    <row r="501" spans="1:5" x14ac:dyDescent="0.2">
      <c r="A501" t="s">
        <v>0</v>
      </c>
      <c r="B501" t="s">
        <v>3</v>
      </c>
      <c r="C501" t="s">
        <v>327</v>
      </c>
      <c r="D501" t="e">
        <f>VLOOKUP(C501,'lookup table'!$A$2:$B$19,2,FALSE)</f>
        <v>#N/A</v>
      </c>
      <c r="E501" t="str">
        <f t="shared" si="7"/>
        <v/>
      </c>
    </row>
    <row r="502" spans="1:5" x14ac:dyDescent="0.2">
      <c r="A502" t="s">
        <v>0</v>
      </c>
      <c r="B502" t="s">
        <v>7</v>
      </c>
      <c r="C502" t="s">
        <v>327</v>
      </c>
      <c r="D502" t="e">
        <f>VLOOKUP(C502,'lookup table'!$A$2:$B$19,2,FALSE)</f>
        <v>#N/A</v>
      </c>
      <c r="E502" t="str">
        <f t="shared" si="7"/>
        <v/>
      </c>
    </row>
    <row r="503" spans="1:5" x14ac:dyDescent="0.2">
      <c r="A503" t="s">
        <v>0</v>
      </c>
      <c r="B503" t="s">
        <v>7</v>
      </c>
      <c r="C503" t="s">
        <v>327</v>
      </c>
      <c r="D503" t="e">
        <f>VLOOKUP(C503,'lookup table'!$A$2:$B$19,2,FALSE)</f>
        <v>#N/A</v>
      </c>
      <c r="E503" t="str">
        <f t="shared" si="7"/>
        <v/>
      </c>
    </row>
    <row r="504" spans="1:5" x14ac:dyDescent="0.2">
      <c r="A504" t="s">
        <v>0</v>
      </c>
      <c r="B504" t="s">
        <v>4</v>
      </c>
      <c r="C504" t="s">
        <v>327</v>
      </c>
      <c r="D504" t="e">
        <f>VLOOKUP(C504,'lookup table'!$A$2:$B$19,2,FALSE)</f>
        <v>#N/A</v>
      </c>
      <c r="E504" t="str">
        <f t="shared" si="7"/>
        <v/>
      </c>
    </row>
    <row r="505" spans="1:5" x14ac:dyDescent="0.2">
      <c r="A505" t="s">
        <v>0</v>
      </c>
      <c r="B505" t="s">
        <v>8</v>
      </c>
      <c r="C505" t="s">
        <v>327</v>
      </c>
      <c r="D505" t="e">
        <f>VLOOKUP(C505,'lookup table'!$A$2:$B$19,2,FALSE)</f>
        <v>#N/A</v>
      </c>
      <c r="E505" t="str">
        <f t="shared" si="7"/>
        <v/>
      </c>
    </row>
    <row r="506" spans="1:5" x14ac:dyDescent="0.2">
      <c r="A506" t="s">
        <v>0</v>
      </c>
      <c r="B506" t="s">
        <v>8</v>
      </c>
      <c r="C506" t="s">
        <v>327</v>
      </c>
      <c r="D506" t="e">
        <f>VLOOKUP(C506,'lookup table'!$A$2:$B$19,2,FALSE)</f>
        <v>#N/A</v>
      </c>
      <c r="E506" t="str">
        <f t="shared" si="7"/>
        <v/>
      </c>
    </row>
    <row r="507" spans="1:5" x14ac:dyDescent="0.2">
      <c r="A507" t="s">
        <v>0</v>
      </c>
      <c r="B507" t="s">
        <v>1</v>
      </c>
      <c r="C507" t="s">
        <v>328</v>
      </c>
      <c r="D507" t="e">
        <f>VLOOKUP(C507,'lookup table'!$A$2:$B$19,2,FALSE)</f>
        <v>#N/A</v>
      </c>
      <c r="E507" t="str">
        <f t="shared" si="7"/>
        <v/>
      </c>
    </row>
    <row r="508" spans="1:5" x14ac:dyDescent="0.2">
      <c r="A508" t="s">
        <v>0</v>
      </c>
      <c r="B508" t="s">
        <v>3</v>
      </c>
      <c r="C508" t="s">
        <v>328</v>
      </c>
      <c r="D508" t="e">
        <f>VLOOKUP(C508,'lookup table'!$A$2:$B$19,2,FALSE)</f>
        <v>#N/A</v>
      </c>
      <c r="E508" t="str">
        <f t="shared" si="7"/>
        <v/>
      </c>
    </row>
    <row r="509" spans="1:5" x14ac:dyDescent="0.2">
      <c r="A509" t="s">
        <v>0</v>
      </c>
      <c r="B509" t="s">
        <v>7</v>
      </c>
      <c r="C509" t="s">
        <v>328</v>
      </c>
      <c r="D509" t="e">
        <f>VLOOKUP(C509,'lookup table'!$A$2:$B$19,2,FALSE)</f>
        <v>#N/A</v>
      </c>
      <c r="E509" t="str">
        <f t="shared" si="7"/>
        <v/>
      </c>
    </row>
    <row r="510" spans="1:5" x14ac:dyDescent="0.2">
      <c r="A510" t="s">
        <v>0</v>
      </c>
      <c r="B510" t="s">
        <v>7</v>
      </c>
      <c r="C510" t="s">
        <v>328</v>
      </c>
      <c r="D510" t="e">
        <f>VLOOKUP(C510,'lookup table'!$A$2:$B$19,2,FALSE)</f>
        <v>#N/A</v>
      </c>
      <c r="E510" t="str">
        <f t="shared" si="7"/>
        <v/>
      </c>
    </row>
    <row r="511" spans="1:5" x14ac:dyDescent="0.2">
      <c r="A511" t="s">
        <v>0</v>
      </c>
      <c r="B511" t="s">
        <v>4</v>
      </c>
      <c r="C511" t="s">
        <v>328</v>
      </c>
      <c r="D511" t="e">
        <f>VLOOKUP(C511,'lookup table'!$A$2:$B$19,2,FALSE)</f>
        <v>#N/A</v>
      </c>
      <c r="E511" t="str">
        <f t="shared" si="7"/>
        <v/>
      </c>
    </row>
    <row r="512" spans="1:5" x14ac:dyDescent="0.2">
      <c r="A512" t="s">
        <v>0</v>
      </c>
      <c r="B512" t="s">
        <v>8</v>
      </c>
      <c r="C512" t="s">
        <v>328</v>
      </c>
      <c r="D512" t="e">
        <f>VLOOKUP(C512,'lookup table'!$A$2:$B$19,2,FALSE)</f>
        <v>#N/A</v>
      </c>
      <c r="E512" t="str">
        <f t="shared" si="7"/>
        <v/>
      </c>
    </row>
    <row r="513" spans="1:5" x14ac:dyDescent="0.2">
      <c r="A513" t="s">
        <v>0</v>
      </c>
      <c r="B513" t="s">
        <v>8</v>
      </c>
      <c r="C513" t="s">
        <v>328</v>
      </c>
      <c r="D513" t="e">
        <f>VLOOKUP(C513,'lookup table'!$A$2:$B$19,2,FALSE)</f>
        <v>#N/A</v>
      </c>
      <c r="E513" t="str">
        <f t="shared" si="7"/>
        <v/>
      </c>
    </row>
    <row r="514" spans="1:5" x14ac:dyDescent="0.2">
      <c r="A514" t="s">
        <v>0</v>
      </c>
      <c r="B514" t="s">
        <v>1</v>
      </c>
      <c r="C514" t="s">
        <v>329</v>
      </c>
      <c r="D514" t="e">
        <f>VLOOKUP(C514,'lookup table'!$A$2:$B$19,2,FALSE)</f>
        <v>#N/A</v>
      </c>
      <c r="E514" t="str">
        <f t="shared" si="7"/>
        <v/>
      </c>
    </row>
    <row r="515" spans="1:5" x14ac:dyDescent="0.2">
      <c r="A515" t="s">
        <v>0</v>
      </c>
      <c r="B515" t="s">
        <v>3</v>
      </c>
      <c r="C515" t="s">
        <v>329</v>
      </c>
      <c r="D515" t="e">
        <f>VLOOKUP(C515,'lookup table'!$A$2:$B$19,2,FALSE)</f>
        <v>#N/A</v>
      </c>
      <c r="E515" t="str">
        <f t="shared" ref="E515:E578" si="8">IF(ISNA(D515),"",IF(A515="","",A515) &amp; "|" &amp; D515)</f>
        <v/>
      </c>
    </row>
    <row r="516" spans="1:5" x14ac:dyDescent="0.2">
      <c r="A516" t="s">
        <v>0</v>
      </c>
      <c r="B516" t="s">
        <v>7</v>
      </c>
      <c r="C516" t="s">
        <v>329</v>
      </c>
      <c r="D516" t="e">
        <f>VLOOKUP(C516,'lookup table'!$A$2:$B$19,2,FALSE)</f>
        <v>#N/A</v>
      </c>
      <c r="E516" t="str">
        <f t="shared" si="8"/>
        <v/>
      </c>
    </row>
    <row r="517" spans="1:5" x14ac:dyDescent="0.2">
      <c r="A517" t="s">
        <v>0</v>
      </c>
      <c r="B517" t="s">
        <v>7</v>
      </c>
      <c r="C517" t="s">
        <v>329</v>
      </c>
      <c r="D517" t="e">
        <f>VLOOKUP(C517,'lookup table'!$A$2:$B$19,2,FALSE)</f>
        <v>#N/A</v>
      </c>
      <c r="E517" t="str">
        <f t="shared" si="8"/>
        <v/>
      </c>
    </row>
    <row r="518" spans="1:5" x14ac:dyDescent="0.2">
      <c r="A518" t="s">
        <v>0</v>
      </c>
      <c r="B518" t="s">
        <v>4</v>
      </c>
      <c r="C518" t="s">
        <v>329</v>
      </c>
      <c r="D518" t="e">
        <f>VLOOKUP(C518,'lookup table'!$A$2:$B$19,2,FALSE)</f>
        <v>#N/A</v>
      </c>
      <c r="E518" t="str">
        <f t="shared" si="8"/>
        <v/>
      </c>
    </row>
    <row r="519" spans="1:5" x14ac:dyDescent="0.2">
      <c r="A519" t="s">
        <v>0</v>
      </c>
      <c r="B519" t="s">
        <v>8</v>
      </c>
      <c r="C519" t="s">
        <v>329</v>
      </c>
      <c r="D519" t="e">
        <f>VLOOKUP(C519,'lookup table'!$A$2:$B$19,2,FALSE)</f>
        <v>#N/A</v>
      </c>
      <c r="E519" t="str">
        <f t="shared" si="8"/>
        <v/>
      </c>
    </row>
    <row r="520" spans="1:5" x14ac:dyDescent="0.2">
      <c r="A520" t="s">
        <v>0</v>
      </c>
      <c r="B520" t="s">
        <v>8</v>
      </c>
      <c r="C520" t="s">
        <v>329</v>
      </c>
      <c r="D520" t="e">
        <f>VLOOKUP(C520,'lookup table'!$A$2:$B$19,2,FALSE)</f>
        <v>#N/A</v>
      </c>
      <c r="E520" t="str">
        <f t="shared" si="8"/>
        <v/>
      </c>
    </row>
    <row r="521" spans="1:5" x14ac:dyDescent="0.2">
      <c r="A521" t="s">
        <v>0</v>
      </c>
      <c r="B521" t="s">
        <v>330</v>
      </c>
      <c r="C521" t="s">
        <v>331</v>
      </c>
      <c r="D521" t="str">
        <f>VLOOKUP(C521,'lookup table'!$A$2:$B$19,2,FALSE)</f>
        <v>FS Item</v>
      </c>
      <c r="E521" t="str">
        <f t="shared" si="8"/>
        <v>|FS Item</v>
      </c>
    </row>
    <row r="522" spans="1:5" x14ac:dyDescent="0.2">
      <c r="A522" t="s">
        <v>0</v>
      </c>
      <c r="B522" t="s">
        <v>332</v>
      </c>
      <c r="C522" t="s">
        <v>331</v>
      </c>
      <c r="D522" t="str">
        <f>VLOOKUP(C522,'lookup table'!$A$2:$B$19,2,FALSE)</f>
        <v>FS Item</v>
      </c>
      <c r="E522" t="str">
        <f t="shared" si="8"/>
        <v>|FS Item</v>
      </c>
    </row>
    <row r="523" spans="1:5" x14ac:dyDescent="0.2">
      <c r="A523" t="s">
        <v>0</v>
      </c>
      <c r="B523" t="s">
        <v>333</v>
      </c>
      <c r="C523" t="s">
        <v>331</v>
      </c>
      <c r="D523" t="str">
        <f>VLOOKUP(C523,'lookup table'!$A$2:$B$19,2,FALSE)</f>
        <v>FS Item</v>
      </c>
      <c r="E523" t="str">
        <f t="shared" si="8"/>
        <v>|FS Item</v>
      </c>
    </row>
    <row r="524" spans="1:5" x14ac:dyDescent="0.2">
      <c r="A524" t="s">
        <v>0</v>
      </c>
      <c r="B524" t="s">
        <v>334</v>
      </c>
      <c r="C524" t="s">
        <v>331</v>
      </c>
      <c r="D524" t="str">
        <f>VLOOKUP(C524,'lookup table'!$A$2:$B$19,2,FALSE)</f>
        <v>FS Item</v>
      </c>
      <c r="E524" t="str">
        <f t="shared" si="8"/>
        <v>|FS Item</v>
      </c>
    </row>
    <row r="525" spans="1:5" x14ac:dyDescent="0.2">
      <c r="A525" t="s">
        <v>0</v>
      </c>
      <c r="B525" t="s">
        <v>335</v>
      </c>
      <c r="C525" t="s">
        <v>331</v>
      </c>
      <c r="D525" t="str">
        <f>VLOOKUP(C525,'lookup table'!$A$2:$B$19,2,FALSE)</f>
        <v>FS Item</v>
      </c>
      <c r="E525" t="str">
        <f t="shared" si="8"/>
        <v>|FS Item</v>
      </c>
    </row>
    <row r="526" spans="1:5" x14ac:dyDescent="0.2">
      <c r="A526" t="s">
        <v>0</v>
      </c>
      <c r="B526" t="s">
        <v>332</v>
      </c>
      <c r="C526" t="s">
        <v>331</v>
      </c>
      <c r="D526" t="str">
        <f>VLOOKUP(C526,'lookup table'!$A$2:$B$19,2,FALSE)</f>
        <v>FS Item</v>
      </c>
      <c r="E526" t="str">
        <f t="shared" si="8"/>
        <v>|FS Item</v>
      </c>
    </row>
    <row r="527" spans="1:5" x14ac:dyDescent="0.2">
      <c r="A527" t="s">
        <v>0</v>
      </c>
      <c r="B527" t="s">
        <v>336</v>
      </c>
      <c r="C527" t="s">
        <v>331</v>
      </c>
      <c r="D527" t="str">
        <f>VLOOKUP(C527,'lookup table'!$A$2:$B$19,2,FALSE)</f>
        <v>FS Item</v>
      </c>
      <c r="E527" t="str">
        <f t="shared" si="8"/>
        <v>|FS Item</v>
      </c>
    </row>
    <row r="528" spans="1:5" x14ac:dyDescent="0.2">
      <c r="A528" t="s">
        <v>0</v>
      </c>
      <c r="B528" t="s">
        <v>336</v>
      </c>
      <c r="C528" t="s">
        <v>331</v>
      </c>
      <c r="D528" t="str">
        <f>VLOOKUP(C528,'lookup table'!$A$2:$B$19,2,FALSE)</f>
        <v>FS Item</v>
      </c>
      <c r="E528" t="str">
        <f t="shared" si="8"/>
        <v>|FS Item</v>
      </c>
    </row>
    <row r="529" spans="1:5" x14ac:dyDescent="0.2">
      <c r="A529" t="s">
        <v>0</v>
      </c>
      <c r="B529" t="s">
        <v>337</v>
      </c>
      <c r="C529" t="s">
        <v>331</v>
      </c>
      <c r="D529" t="str">
        <f>VLOOKUP(C529,'lookup table'!$A$2:$B$19,2,FALSE)</f>
        <v>FS Item</v>
      </c>
      <c r="E529" t="str">
        <f t="shared" si="8"/>
        <v>|FS Item</v>
      </c>
    </row>
    <row r="530" spans="1:5" x14ac:dyDescent="0.2">
      <c r="A530" t="s">
        <v>0</v>
      </c>
      <c r="B530" t="s">
        <v>337</v>
      </c>
      <c r="C530" t="s">
        <v>331</v>
      </c>
      <c r="D530" t="str">
        <f>VLOOKUP(C530,'lookup table'!$A$2:$B$19,2,FALSE)</f>
        <v>FS Item</v>
      </c>
      <c r="E530" t="str">
        <f t="shared" si="8"/>
        <v>|FS Item</v>
      </c>
    </row>
    <row r="531" spans="1:5" x14ac:dyDescent="0.2">
      <c r="A531" t="s">
        <v>0</v>
      </c>
      <c r="B531" t="s">
        <v>338</v>
      </c>
      <c r="C531" t="s">
        <v>331</v>
      </c>
      <c r="D531" t="str">
        <f>VLOOKUP(C531,'lookup table'!$A$2:$B$19,2,FALSE)</f>
        <v>FS Item</v>
      </c>
      <c r="E531" t="str">
        <f t="shared" si="8"/>
        <v>|FS Item</v>
      </c>
    </row>
    <row r="532" spans="1:5" x14ac:dyDescent="0.2">
      <c r="A532" t="s">
        <v>0</v>
      </c>
      <c r="B532" t="s">
        <v>13</v>
      </c>
      <c r="C532" t="s">
        <v>331</v>
      </c>
      <c r="D532" t="str">
        <f>VLOOKUP(C532,'lookup table'!$A$2:$B$19,2,FALSE)</f>
        <v>FS Item</v>
      </c>
      <c r="E532" t="str">
        <f t="shared" si="8"/>
        <v>|FS Item</v>
      </c>
    </row>
    <row r="533" spans="1:5" x14ac:dyDescent="0.2">
      <c r="A533" t="s">
        <v>0</v>
      </c>
      <c r="B533" t="s">
        <v>332</v>
      </c>
      <c r="C533" t="s">
        <v>331</v>
      </c>
      <c r="D533" t="str">
        <f>VLOOKUP(C533,'lookup table'!$A$2:$B$19,2,FALSE)</f>
        <v>FS Item</v>
      </c>
      <c r="E533" t="str">
        <f t="shared" si="8"/>
        <v>|FS Item</v>
      </c>
    </row>
    <row r="534" spans="1:5" x14ac:dyDescent="0.2">
      <c r="A534" t="s">
        <v>0</v>
      </c>
      <c r="B534" t="s">
        <v>332</v>
      </c>
      <c r="C534" t="s">
        <v>331</v>
      </c>
      <c r="D534" t="str">
        <f>VLOOKUP(C534,'lookup table'!$A$2:$B$19,2,FALSE)</f>
        <v>FS Item</v>
      </c>
      <c r="E534" t="str">
        <f t="shared" si="8"/>
        <v>|FS Item</v>
      </c>
    </row>
    <row r="535" spans="1:5" x14ac:dyDescent="0.2">
      <c r="A535" t="s">
        <v>0</v>
      </c>
      <c r="B535" t="s">
        <v>1</v>
      </c>
      <c r="C535" t="s">
        <v>331</v>
      </c>
      <c r="D535" t="str">
        <f>VLOOKUP(C535,'lookup table'!$A$2:$B$19,2,FALSE)</f>
        <v>FS Item</v>
      </c>
      <c r="E535" t="str">
        <f t="shared" si="8"/>
        <v>|FS Item</v>
      </c>
    </row>
    <row r="536" spans="1:5" x14ac:dyDescent="0.2">
      <c r="A536" t="s">
        <v>0</v>
      </c>
      <c r="B536" t="s">
        <v>3</v>
      </c>
      <c r="C536" t="s">
        <v>331</v>
      </c>
      <c r="D536" t="str">
        <f>VLOOKUP(C536,'lookup table'!$A$2:$B$19,2,FALSE)</f>
        <v>FS Item</v>
      </c>
      <c r="E536" t="str">
        <f t="shared" si="8"/>
        <v>|FS Item</v>
      </c>
    </row>
    <row r="537" spans="1:5" x14ac:dyDescent="0.2">
      <c r="A537" t="s">
        <v>0</v>
      </c>
      <c r="B537" t="s">
        <v>338</v>
      </c>
      <c r="C537" t="s">
        <v>331</v>
      </c>
      <c r="D537" t="str">
        <f>VLOOKUP(C537,'lookup table'!$A$2:$B$19,2,FALSE)</f>
        <v>FS Item</v>
      </c>
      <c r="E537" t="str">
        <f t="shared" si="8"/>
        <v>|FS Item</v>
      </c>
    </row>
    <row r="538" spans="1:5" x14ac:dyDescent="0.2">
      <c r="A538" t="s">
        <v>0</v>
      </c>
      <c r="B538" t="s">
        <v>7</v>
      </c>
      <c r="C538" t="s">
        <v>331</v>
      </c>
      <c r="D538" t="str">
        <f>VLOOKUP(C538,'lookup table'!$A$2:$B$19,2,FALSE)</f>
        <v>FS Item</v>
      </c>
      <c r="E538" t="str">
        <f t="shared" si="8"/>
        <v>|FS Item</v>
      </c>
    </row>
    <row r="539" spans="1:5" x14ac:dyDescent="0.2">
      <c r="A539" t="s">
        <v>0</v>
      </c>
      <c r="B539" t="s">
        <v>7</v>
      </c>
      <c r="C539" t="s">
        <v>331</v>
      </c>
      <c r="D539" t="str">
        <f>VLOOKUP(C539,'lookup table'!$A$2:$B$19,2,FALSE)</f>
        <v>FS Item</v>
      </c>
      <c r="E539" t="str">
        <f t="shared" si="8"/>
        <v>|FS Item</v>
      </c>
    </row>
    <row r="540" spans="1:5" x14ac:dyDescent="0.2">
      <c r="A540" t="s">
        <v>0</v>
      </c>
      <c r="B540" t="s">
        <v>332</v>
      </c>
      <c r="C540" t="s">
        <v>331</v>
      </c>
      <c r="D540" t="str">
        <f>VLOOKUP(C540,'lookup table'!$A$2:$B$19,2,FALSE)</f>
        <v>FS Item</v>
      </c>
      <c r="E540" t="str">
        <f t="shared" si="8"/>
        <v>|FS Item</v>
      </c>
    </row>
    <row r="541" spans="1:5" x14ac:dyDescent="0.2">
      <c r="A541" t="s">
        <v>0</v>
      </c>
      <c r="B541" t="s">
        <v>339</v>
      </c>
      <c r="C541" t="s">
        <v>331</v>
      </c>
      <c r="D541" t="str">
        <f>VLOOKUP(C541,'lookup table'!$A$2:$B$19,2,FALSE)</f>
        <v>FS Item</v>
      </c>
      <c r="E541" t="str">
        <f t="shared" si="8"/>
        <v>|FS Item</v>
      </c>
    </row>
    <row r="542" spans="1:5" x14ac:dyDescent="0.2">
      <c r="A542" t="s">
        <v>0</v>
      </c>
      <c r="B542" t="s">
        <v>4</v>
      </c>
      <c r="C542" t="s">
        <v>331</v>
      </c>
      <c r="D542" t="str">
        <f>VLOOKUP(C542,'lookup table'!$A$2:$B$19,2,FALSE)</f>
        <v>FS Item</v>
      </c>
      <c r="E542" t="str">
        <f t="shared" si="8"/>
        <v>|FS Item</v>
      </c>
    </row>
    <row r="543" spans="1:5" x14ac:dyDescent="0.2">
      <c r="A543" t="s">
        <v>0</v>
      </c>
      <c r="B543" t="s">
        <v>35</v>
      </c>
      <c r="C543" t="s">
        <v>331</v>
      </c>
      <c r="D543" t="str">
        <f>VLOOKUP(C543,'lookup table'!$A$2:$B$19,2,FALSE)</f>
        <v>FS Item</v>
      </c>
      <c r="E543" t="str">
        <f t="shared" si="8"/>
        <v>|FS Item</v>
      </c>
    </row>
    <row r="544" spans="1:5" x14ac:dyDescent="0.2">
      <c r="A544" t="s">
        <v>0</v>
      </c>
      <c r="B544" t="s">
        <v>340</v>
      </c>
      <c r="C544" t="s">
        <v>331</v>
      </c>
      <c r="D544" t="str">
        <f>VLOOKUP(C544,'lookup table'!$A$2:$B$19,2,FALSE)</f>
        <v>FS Item</v>
      </c>
      <c r="E544" t="str">
        <f t="shared" si="8"/>
        <v>|FS Item</v>
      </c>
    </row>
    <row r="545" spans="1:5" x14ac:dyDescent="0.2">
      <c r="A545" t="s">
        <v>0</v>
      </c>
      <c r="B545" t="s">
        <v>341</v>
      </c>
      <c r="C545" t="s">
        <v>331</v>
      </c>
      <c r="D545" t="str">
        <f>VLOOKUP(C545,'lookup table'!$A$2:$B$19,2,FALSE)</f>
        <v>FS Item</v>
      </c>
      <c r="E545" t="str">
        <f t="shared" si="8"/>
        <v>|FS Item</v>
      </c>
    </row>
    <row r="546" spans="1:5" x14ac:dyDescent="0.2">
      <c r="A546" t="s">
        <v>0</v>
      </c>
      <c r="B546" t="s">
        <v>342</v>
      </c>
      <c r="C546" t="s">
        <v>331</v>
      </c>
      <c r="D546" t="str">
        <f>VLOOKUP(C546,'lookup table'!$A$2:$B$19,2,FALSE)</f>
        <v>FS Item</v>
      </c>
      <c r="E546" t="str">
        <f t="shared" si="8"/>
        <v>|FS Item</v>
      </c>
    </row>
    <row r="547" spans="1:5" x14ac:dyDescent="0.2">
      <c r="A547" t="s">
        <v>0</v>
      </c>
      <c r="B547" t="s">
        <v>343</v>
      </c>
      <c r="C547" t="s">
        <v>331</v>
      </c>
      <c r="D547" t="str">
        <f>VLOOKUP(C547,'lookup table'!$A$2:$B$19,2,FALSE)</f>
        <v>FS Item</v>
      </c>
      <c r="E547" t="str">
        <f t="shared" si="8"/>
        <v>|FS Item</v>
      </c>
    </row>
    <row r="548" spans="1:5" x14ac:dyDescent="0.2">
      <c r="A548" t="s">
        <v>0</v>
      </c>
      <c r="B548" t="s">
        <v>344</v>
      </c>
      <c r="C548" t="s">
        <v>331</v>
      </c>
      <c r="D548" t="str">
        <f>VLOOKUP(C548,'lookup table'!$A$2:$B$19,2,FALSE)</f>
        <v>FS Item</v>
      </c>
      <c r="E548" t="str">
        <f t="shared" si="8"/>
        <v>|FS Item</v>
      </c>
    </row>
    <row r="549" spans="1:5" x14ac:dyDescent="0.2">
      <c r="A549" t="s">
        <v>0</v>
      </c>
      <c r="B549" t="s">
        <v>345</v>
      </c>
      <c r="C549" t="s">
        <v>331</v>
      </c>
      <c r="D549" t="str">
        <f>VLOOKUP(C549,'lookup table'!$A$2:$B$19,2,FALSE)</f>
        <v>FS Item</v>
      </c>
      <c r="E549" t="str">
        <f t="shared" si="8"/>
        <v>|FS Item</v>
      </c>
    </row>
    <row r="550" spans="1:5" x14ac:dyDescent="0.2">
      <c r="A550" t="s">
        <v>0</v>
      </c>
      <c r="B550" t="s">
        <v>346</v>
      </c>
      <c r="C550" t="s">
        <v>331</v>
      </c>
      <c r="D550" t="str">
        <f>VLOOKUP(C550,'lookup table'!$A$2:$B$19,2,FALSE)</f>
        <v>FS Item</v>
      </c>
      <c r="E550" t="str">
        <f t="shared" si="8"/>
        <v>|FS Item</v>
      </c>
    </row>
    <row r="551" spans="1:5" x14ac:dyDescent="0.2">
      <c r="A551" t="s">
        <v>0</v>
      </c>
      <c r="B551" t="s">
        <v>347</v>
      </c>
      <c r="C551" t="s">
        <v>331</v>
      </c>
      <c r="D551" t="str">
        <f>VLOOKUP(C551,'lookup table'!$A$2:$B$19,2,FALSE)</f>
        <v>FS Item</v>
      </c>
      <c r="E551" t="str">
        <f t="shared" si="8"/>
        <v>|FS Item</v>
      </c>
    </row>
    <row r="552" spans="1:5" x14ac:dyDescent="0.2">
      <c r="A552" t="s">
        <v>0</v>
      </c>
      <c r="B552" t="s">
        <v>348</v>
      </c>
      <c r="C552" t="s">
        <v>331</v>
      </c>
      <c r="D552" t="str">
        <f>VLOOKUP(C552,'lookup table'!$A$2:$B$19,2,FALSE)</f>
        <v>FS Item</v>
      </c>
      <c r="E552" t="str">
        <f t="shared" si="8"/>
        <v>|FS Item</v>
      </c>
    </row>
    <row r="553" spans="1:5" x14ac:dyDescent="0.2">
      <c r="A553" t="s">
        <v>0</v>
      </c>
      <c r="B553" t="s">
        <v>349</v>
      </c>
      <c r="C553" t="s">
        <v>331</v>
      </c>
      <c r="D553" t="str">
        <f>VLOOKUP(C553,'lookup table'!$A$2:$B$19,2,FALSE)</f>
        <v>FS Item</v>
      </c>
      <c r="E553" t="str">
        <f t="shared" si="8"/>
        <v>|FS Item</v>
      </c>
    </row>
    <row r="554" spans="1:5" x14ac:dyDescent="0.2">
      <c r="A554" t="s">
        <v>0</v>
      </c>
      <c r="B554" t="s">
        <v>350</v>
      </c>
      <c r="C554" t="s">
        <v>331</v>
      </c>
      <c r="D554" t="str">
        <f>VLOOKUP(C554,'lookup table'!$A$2:$B$19,2,FALSE)</f>
        <v>FS Item</v>
      </c>
      <c r="E554" t="str">
        <f t="shared" si="8"/>
        <v>|FS Item</v>
      </c>
    </row>
    <row r="555" spans="1:5" x14ac:dyDescent="0.2">
      <c r="A555" t="s">
        <v>0</v>
      </c>
      <c r="B555" t="s">
        <v>351</v>
      </c>
      <c r="C555" t="s">
        <v>331</v>
      </c>
      <c r="D555" t="str">
        <f>VLOOKUP(C555,'lookup table'!$A$2:$B$19,2,FALSE)</f>
        <v>FS Item</v>
      </c>
      <c r="E555" t="str">
        <f t="shared" si="8"/>
        <v>|FS Item</v>
      </c>
    </row>
    <row r="556" spans="1:5" x14ac:dyDescent="0.2">
      <c r="A556" t="s">
        <v>0</v>
      </c>
      <c r="B556" t="s">
        <v>352</v>
      </c>
      <c r="C556" t="s">
        <v>331</v>
      </c>
      <c r="D556" t="str">
        <f>VLOOKUP(C556,'lookup table'!$A$2:$B$19,2,FALSE)</f>
        <v>FS Item</v>
      </c>
      <c r="E556" t="str">
        <f t="shared" si="8"/>
        <v>|FS Item</v>
      </c>
    </row>
    <row r="557" spans="1:5" x14ac:dyDescent="0.2">
      <c r="A557" t="s">
        <v>0</v>
      </c>
      <c r="B557" t="s">
        <v>353</v>
      </c>
      <c r="C557" t="s">
        <v>331</v>
      </c>
      <c r="D557" t="str">
        <f>VLOOKUP(C557,'lookup table'!$A$2:$B$19,2,FALSE)</f>
        <v>FS Item</v>
      </c>
      <c r="E557" t="str">
        <f t="shared" si="8"/>
        <v>|FS Item</v>
      </c>
    </row>
    <row r="558" spans="1:5" x14ac:dyDescent="0.2">
      <c r="A558" t="s">
        <v>0</v>
      </c>
      <c r="B558" t="s">
        <v>338</v>
      </c>
      <c r="C558" t="s">
        <v>331</v>
      </c>
      <c r="D558" t="str">
        <f>VLOOKUP(C558,'lookup table'!$A$2:$B$19,2,FALSE)</f>
        <v>FS Item</v>
      </c>
      <c r="E558" t="str">
        <f t="shared" si="8"/>
        <v>|FS Item</v>
      </c>
    </row>
    <row r="559" spans="1:5" x14ac:dyDescent="0.2">
      <c r="A559" t="s">
        <v>0</v>
      </c>
      <c r="B559" t="s">
        <v>354</v>
      </c>
      <c r="C559" t="s">
        <v>331</v>
      </c>
      <c r="D559" t="str">
        <f>VLOOKUP(C559,'lookup table'!$A$2:$B$19,2,FALSE)</f>
        <v>FS Item</v>
      </c>
      <c r="E559" t="str">
        <f t="shared" si="8"/>
        <v>|FS Item</v>
      </c>
    </row>
    <row r="560" spans="1:5" x14ac:dyDescent="0.2">
      <c r="A560" t="s">
        <v>0</v>
      </c>
      <c r="B560" t="s">
        <v>355</v>
      </c>
      <c r="C560" t="s">
        <v>331</v>
      </c>
      <c r="D560" t="str">
        <f>VLOOKUP(C560,'lookup table'!$A$2:$B$19,2,FALSE)</f>
        <v>FS Item</v>
      </c>
      <c r="E560" t="str">
        <f t="shared" si="8"/>
        <v>|FS Item</v>
      </c>
    </row>
    <row r="561" spans="1:5" x14ac:dyDescent="0.2">
      <c r="A561" t="s">
        <v>0</v>
      </c>
      <c r="B561" t="s">
        <v>356</v>
      </c>
      <c r="C561" t="s">
        <v>331</v>
      </c>
      <c r="D561" t="str">
        <f>VLOOKUP(C561,'lookup table'!$A$2:$B$19,2,FALSE)</f>
        <v>FS Item</v>
      </c>
      <c r="E561" t="str">
        <f t="shared" si="8"/>
        <v>|FS Item</v>
      </c>
    </row>
    <row r="562" spans="1:5" x14ac:dyDescent="0.2">
      <c r="A562" t="s">
        <v>0</v>
      </c>
      <c r="B562" t="s">
        <v>357</v>
      </c>
      <c r="C562" t="s">
        <v>331</v>
      </c>
      <c r="D562" t="str">
        <f>VLOOKUP(C562,'lookup table'!$A$2:$B$19,2,FALSE)</f>
        <v>FS Item</v>
      </c>
      <c r="E562" t="str">
        <f t="shared" si="8"/>
        <v>|FS Item</v>
      </c>
    </row>
    <row r="563" spans="1:5" x14ac:dyDescent="0.2">
      <c r="A563" t="s">
        <v>0</v>
      </c>
      <c r="B563" t="s">
        <v>358</v>
      </c>
      <c r="C563" t="s">
        <v>331</v>
      </c>
      <c r="D563" t="str">
        <f>VLOOKUP(C563,'lookup table'!$A$2:$B$19,2,FALSE)</f>
        <v>FS Item</v>
      </c>
      <c r="E563" t="str">
        <f t="shared" si="8"/>
        <v>|FS Item</v>
      </c>
    </row>
    <row r="564" spans="1:5" x14ac:dyDescent="0.2">
      <c r="A564" t="s">
        <v>0</v>
      </c>
      <c r="B564" t="s">
        <v>359</v>
      </c>
      <c r="C564" t="s">
        <v>331</v>
      </c>
      <c r="D564" t="str">
        <f>VLOOKUP(C564,'lookup table'!$A$2:$B$19,2,FALSE)</f>
        <v>FS Item</v>
      </c>
      <c r="E564" t="str">
        <f t="shared" si="8"/>
        <v>|FS Item</v>
      </c>
    </row>
    <row r="565" spans="1:5" x14ac:dyDescent="0.2">
      <c r="A565" t="s">
        <v>0</v>
      </c>
      <c r="B565" t="s">
        <v>360</v>
      </c>
      <c r="C565" t="s">
        <v>331</v>
      </c>
      <c r="D565" t="str">
        <f>VLOOKUP(C565,'lookup table'!$A$2:$B$19,2,FALSE)</f>
        <v>FS Item</v>
      </c>
      <c r="E565" t="str">
        <f t="shared" si="8"/>
        <v>|FS Item</v>
      </c>
    </row>
    <row r="566" spans="1:5" x14ac:dyDescent="0.2">
      <c r="A566" t="s">
        <v>0</v>
      </c>
      <c r="B566" t="s">
        <v>361</v>
      </c>
      <c r="C566" t="s">
        <v>331</v>
      </c>
      <c r="D566" t="str">
        <f>VLOOKUP(C566,'lookup table'!$A$2:$B$19,2,FALSE)</f>
        <v>FS Item</v>
      </c>
      <c r="E566" t="str">
        <f t="shared" si="8"/>
        <v>|FS Item</v>
      </c>
    </row>
    <row r="567" spans="1:5" x14ac:dyDescent="0.2">
      <c r="A567" t="s">
        <v>0</v>
      </c>
      <c r="B567" t="s">
        <v>362</v>
      </c>
      <c r="C567" t="s">
        <v>331</v>
      </c>
      <c r="D567" t="str">
        <f>VLOOKUP(C567,'lookup table'!$A$2:$B$19,2,FALSE)</f>
        <v>FS Item</v>
      </c>
      <c r="E567" t="str">
        <f t="shared" si="8"/>
        <v>|FS Item</v>
      </c>
    </row>
    <row r="568" spans="1:5" x14ac:dyDescent="0.2">
      <c r="A568" t="s">
        <v>0</v>
      </c>
      <c r="B568" t="s">
        <v>363</v>
      </c>
      <c r="C568" t="s">
        <v>331</v>
      </c>
      <c r="D568" t="str">
        <f>VLOOKUP(C568,'lookup table'!$A$2:$B$19,2,FALSE)</f>
        <v>FS Item</v>
      </c>
      <c r="E568" t="str">
        <f t="shared" si="8"/>
        <v>|FS Item</v>
      </c>
    </row>
    <row r="569" spans="1:5" x14ac:dyDescent="0.2">
      <c r="A569" t="s">
        <v>0</v>
      </c>
      <c r="B569" t="s">
        <v>364</v>
      </c>
      <c r="C569" t="s">
        <v>331</v>
      </c>
      <c r="D569" t="str">
        <f>VLOOKUP(C569,'lookup table'!$A$2:$B$19,2,FALSE)</f>
        <v>FS Item</v>
      </c>
      <c r="E569" t="str">
        <f t="shared" si="8"/>
        <v>|FS Item</v>
      </c>
    </row>
    <row r="570" spans="1:5" x14ac:dyDescent="0.2">
      <c r="A570" t="s">
        <v>0</v>
      </c>
      <c r="B570" t="s">
        <v>365</v>
      </c>
      <c r="C570" t="s">
        <v>331</v>
      </c>
      <c r="D570" t="str">
        <f>VLOOKUP(C570,'lookup table'!$A$2:$B$19,2,FALSE)</f>
        <v>FS Item</v>
      </c>
      <c r="E570" t="str">
        <f t="shared" si="8"/>
        <v>|FS Item</v>
      </c>
    </row>
    <row r="571" spans="1:5" x14ac:dyDescent="0.2">
      <c r="A571" t="s">
        <v>0</v>
      </c>
      <c r="B571" t="s">
        <v>366</v>
      </c>
      <c r="C571" t="s">
        <v>331</v>
      </c>
      <c r="D571" t="str">
        <f>VLOOKUP(C571,'lookup table'!$A$2:$B$19,2,FALSE)</f>
        <v>FS Item</v>
      </c>
      <c r="E571" t="str">
        <f t="shared" si="8"/>
        <v>|FS Item</v>
      </c>
    </row>
    <row r="572" spans="1:5" x14ac:dyDescent="0.2">
      <c r="A572" t="s">
        <v>0</v>
      </c>
      <c r="B572" t="s">
        <v>367</v>
      </c>
      <c r="C572" t="s">
        <v>331</v>
      </c>
      <c r="D572" t="str">
        <f>VLOOKUP(C572,'lookup table'!$A$2:$B$19,2,FALSE)</f>
        <v>FS Item</v>
      </c>
      <c r="E572" t="str">
        <f t="shared" si="8"/>
        <v>|FS Item</v>
      </c>
    </row>
    <row r="573" spans="1:5" x14ac:dyDescent="0.2">
      <c r="A573" t="s">
        <v>0</v>
      </c>
      <c r="B573" t="s">
        <v>368</v>
      </c>
      <c r="C573" t="s">
        <v>331</v>
      </c>
      <c r="D573" t="str">
        <f>VLOOKUP(C573,'lookup table'!$A$2:$B$19,2,FALSE)</f>
        <v>FS Item</v>
      </c>
      <c r="E573" t="str">
        <f t="shared" si="8"/>
        <v>|FS Item</v>
      </c>
    </row>
    <row r="574" spans="1:5" x14ac:dyDescent="0.2">
      <c r="A574" t="s">
        <v>0</v>
      </c>
      <c r="B574" t="s">
        <v>369</v>
      </c>
      <c r="C574" t="s">
        <v>331</v>
      </c>
      <c r="D574" t="str">
        <f>VLOOKUP(C574,'lookup table'!$A$2:$B$19,2,FALSE)</f>
        <v>FS Item</v>
      </c>
      <c r="E574" t="str">
        <f t="shared" si="8"/>
        <v>|FS Item</v>
      </c>
    </row>
    <row r="575" spans="1:5" x14ac:dyDescent="0.2">
      <c r="A575" t="s">
        <v>0</v>
      </c>
      <c r="B575" t="s">
        <v>370</v>
      </c>
      <c r="C575" t="s">
        <v>331</v>
      </c>
      <c r="D575" t="str">
        <f>VLOOKUP(C575,'lookup table'!$A$2:$B$19,2,FALSE)</f>
        <v>FS Item</v>
      </c>
      <c r="E575" t="str">
        <f t="shared" si="8"/>
        <v>|FS Item</v>
      </c>
    </row>
    <row r="576" spans="1:5" x14ac:dyDescent="0.2">
      <c r="A576" t="s">
        <v>0</v>
      </c>
      <c r="B576" t="s">
        <v>340</v>
      </c>
      <c r="C576" t="s">
        <v>331</v>
      </c>
      <c r="D576" t="str">
        <f>VLOOKUP(C576,'lookup table'!$A$2:$B$19,2,FALSE)</f>
        <v>FS Item</v>
      </c>
      <c r="E576" t="str">
        <f t="shared" si="8"/>
        <v>|FS Item</v>
      </c>
    </row>
    <row r="577" spans="1:5" x14ac:dyDescent="0.2">
      <c r="A577" t="s">
        <v>0</v>
      </c>
      <c r="B577" t="s">
        <v>342</v>
      </c>
      <c r="C577" t="s">
        <v>331</v>
      </c>
      <c r="D577" t="str">
        <f>VLOOKUP(C577,'lookup table'!$A$2:$B$19,2,FALSE)</f>
        <v>FS Item</v>
      </c>
      <c r="E577" t="str">
        <f t="shared" si="8"/>
        <v>|FS Item</v>
      </c>
    </row>
    <row r="578" spans="1:5" x14ac:dyDescent="0.2">
      <c r="A578" t="s">
        <v>0</v>
      </c>
      <c r="B578" t="s">
        <v>364</v>
      </c>
      <c r="C578" t="s">
        <v>331</v>
      </c>
      <c r="D578" t="str">
        <f>VLOOKUP(C578,'lookup table'!$A$2:$B$19,2,FALSE)</f>
        <v>FS Item</v>
      </c>
      <c r="E578" t="str">
        <f t="shared" si="8"/>
        <v>|FS Item</v>
      </c>
    </row>
    <row r="579" spans="1:5" x14ac:dyDescent="0.2">
      <c r="A579" t="s">
        <v>0</v>
      </c>
      <c r="B579" t="s">
        <v>338</v>
      </c>
      <c r="C579" t="s">
        <v>331</v>
      </c>
      <c r="D579" t="str">
        <f>VLOOKUP(C579,'lookup table'!$A$2:$B$19,2,FALSE)</f>
        <v>FS Item</v>
      </c>
      <c r="E579" t="str">
        <f t="shared" ref="E579:E642" si="9">IF(ISNA(D579),"",IF(A579="","",A579) &amp; "|" &amp; D579)</f>
        <v>|FS Item</v>
      </c>
    </row>
    <row r="580" spans="1:5" x14ac:dyDescent="0.2">
      <c r="A580" t="s">
        <v>0</v>
      </c>
      <c r="B580" t="s">
        <v>338</v>
      </c>
      <c r="C580" t="s">
        <v>331</v>
      </c>
      <c r="D580" t="str">
        <f>VLOOKUP(C580,'lookup table'!$A$2:$B$19,2,FALSE)</f>
        <v>FS Item</v>
      </c>
      <c r="E580" t="str">
        <f t="shared" si="9"/>
        <v>|FS Item</v>
      </c>
    </row>
    <row r="581" spans="1:5" x14ac:dyDescent="0.2">
      <c r="A581" t="s">
        <v>0</v>
      </c>
      <c r="B581" t="s">
        <v>338</v>
      </c>
      <c r="C581" t="s">
        <v>331</v>
      </c>
      <c r="D581" t="str">
        <f>VLOOKUP(C581,'lookup table'!$A$2:$B$19,2,FALSE)</f>
        <v>FS Item</v>
      </c>
      <c r="E581" t="str">
        <f t="shared" si="9"/>
        <v>|FS Item</v>
      </c>
    </row>
    <row r="582" spans="1:5" x14ac:dyDescent="0.2">
      <c r="A582" t="s">
        <v>0</v>
      </c>
      <c r="B582" t="s">
        <v>338</v>
      </c>
      <c r="C582" t="s">
        <v>331</v>
      </c>
      <c r="D582" t="str">
        <f>VLOOKUP(C582,'lookup table'!$A$2:$B$19,2,FALSE)</f>
        <v>FS Item</v>
      </c>
      <c r="E582" t="str">
        <f t="shared" si="9"/>
        <v>|FS Item</v>
      </c>
    </row>
    <row r="583" spans="1:5" x14ac:dyDescent="0.2">
      <c r="A583" t="s">
        <v>0</v>
      </c>
      <c r="B583" t="s">
        <v>338</v>
      </c>
      <c r="C583" t="s">
        <v>331</v>
      </c>
      <c r="D583" t="str">
        <f>VLOOKUP(C583,'lookup table'!$A$2:$B$19,2,FALSE)</f>
        <v>FS Item</v>
      </c>
      <c r="E583" t="str">
        <f t="shared" si="9"/>
        <v>|FS Item</v>
      </c>
    </row>
    <row r="584" spans="1:5" x14ac:dyDescent="0.2">
      <c r="A584" t="s">
        <v>0</v>
      </c>
      <c r="B584" t="s">
        <v>338</v>
      </c>
      <c r="C584" t="s">
        <v>331</v>
      </c>
      <c r="D584" t="str">
        <f>VLOOKUP(C584,'lookup table'!$A$2:$B$19,2,FALSE)</f>
        <v>FS Item</v>
      </c>
      <c r="E584" t="str">
        <f t="shared" si="9"/>
        <v>|FS Item</v>
      </c>
    </row>
    <row r="585" spans="1:5" x14ac:dyDescent="0.2">
      <c r="A585" t="s">
        <v>0</v>
      </c>
      <c r="B585" t="s">
        <v>338</v>
      </c>
      <c r="C585" t="s">
        <v>331</v>
      </c>
      <c r="D585" t="str">
        <f>VLOOKUP(C585,'lookup table'!$A$2:$B$19,2,FALSE)</f>
        <v>FS Item</v>
      </c>
      <c r="E585" t="str">
        <f t="shared" si="9"/>
        <v>|FS Item</v>
      </c>
    </row>
    <row r="586" spans="1:5" x14ac:dyDescent="0.2">
      <c r="A586" t="s">
        <v>0</v>
      </c>
      <c r="B586" t="s">
        <v>338</v>
      </c>
      <c r="C586" t="s">
        <v>331</v>
      </c>
      <c r="D586" t="str">
        <f>VLOOKUP(C586,'lookup table'!$A$2:$B$19,2,FALSE)</f>
        <v>FS Item</v>
      </c>
      <c r="E586" t="str">
        <f t="shared" si="9"/>
        <v>|FS Item</v>
      </c>
    </row>
    <row r="587" spans="1:5" x14ac:dyDescent="0.2">
      <c r="A587" t="s">
        <v>0</v>
      </c>
      <c r="B587" t="s">
        <v>338</v>
      </c>
      <c r="C587" t="s">
        <v>331</v>
      </c>
      <c r="D587" t="str">
        <f>VLOOKUP(C587,'lookup table'!$A$2:$B$19,2,FALSE)</f>
        <v>FS Item</v>
      </c>
      <c r="E587" t="str">
        <f t="shared" si="9"/>
        <v>|FS Item</v>
      </c>
    </row>
    <row r="588" spans="1:5" x14ac:dyDescent="0.2">
      <c r="A588" t="s">
        <v>0</v>
      </c>
      <c r="B588" t="s">
        <v>338</v>
      </c>
      <c r="C588" t="s">
        <v>331</v>
      </c>
      <c r="D588" t="str">
        <f>VLOOKUP(C588,'lookup table'!$A$2:$B$19,2,FALSE)</f>
        <v>FS Item</v>
      </c>
      <c r="E588" t="str">
        <f t="shared" si="9"/>
        <v>|FS Item</v>
      </c>
    </row>
    <row r="589" spans="1:5" x14ac:dyDescent="0.2">
      <c r="A589" t="s">
        <v>0</v>
      </c>
      <c r="B589" t="s">
        <v>371</v>
      </c>
      <c r="C589" t="s">
        <v>331</v>
      </c>
      <c r="D589" t="str">
        <f>VLOOKUP(C589,'lookup table'!$A$2:$B$19,2,FALSE)</f>
        <v>FS Item</v>
      </c>
      <c r="E589" t="str">
        <f t="shared" si="9"/>
        <v>|FS Item</v>
      </c>
    </row>
    <row r="590" spans="1:5" x14ac:dyDescent="0.2">
      <c r="A590" t="s">
        <v>0</v>
      </c>
      <c r="B590" t="s">
        <v>372</v>
      </c>
      <c r="C590" t="s">
        <v>331</v>
      </c>
      <c r="D590" t="str">
        <f>VLOOKUP(C590,'lookup table'!$A$2:$B$19,2,FALSE)</f>
        <v>FS Item</v>
      </c>
      <c r="E590" t="str">
        <f t="shared" si="9"/>
        <v>|FS Item</v>
      </c>
    </row>
    <row r="591" spans="1:5" x14ac:dyDescent="0.2">
      <c r="A591" t="s">
        <v>0</v>
      </c>
      <c r="B591" t="s">
        <v>373</v>
      </c>
      <c r="C591" t="s">
        <v>331</v>
      </c>
      <c r="D591" t="str">
        <f>VLOOKUP(C591,'lookup table'!$A$2:$B$19,2,FALSE)</f>
        <v>FS Item</v>
      </c>
      <c r="E591" t="str">
        <f t="shared" si="9"/>
        <v>|FS Item</v>
      </c>
    </row>
    <row r="592" spans="1:5" x14ac:dyDescent="0.2">
      <c r="A592" t="s">
        <v>0</v>
      </c>
      <c r="B592" t="s">
        <v>374</v>
      </c>
      <c r="C592" t="s">
        <v>331</v>
      </c>
      <c r="D592" t="str">
        <f>VLOOKUP(C592,'lookup table'!$A$2:$B$19,2,FALSE)</f>
        <v>FS Item</v>
      </c>
      <c r="E592" t="str">
        <f t="shared" si="9"/>
        <v>|FS Item</v>
      </c>
    </row>
    <row r="593" spans="1:5" x14ac:dyDescent="0.2">
      <c r="A593" t="s">
        <v>0</v>
      </c>
      <c r="B593" t="s">
        <v>375</v>
      </c>
      <c r="C593" t="s">
        <v>331</v>
      </c>
      <c r="D593" t="str">
        <f>VLOOKUP(C593,'lookup table'!$A$2:$B$19,2,FALSE)</f>
        <v>FS Item</v>
      </c>
      <c r="E593" t="str">
        <f t="shared" si="9"/>
        <v>|FS Item</v>
      </c>
    </row>
    <row r="594" spans="1:5" x14ac:dyDescent="0.2">
      <c r="A594" t="s">
        <v>0</v>
      </c>
      <c r="B594" t="s">
        <v>376</v>
      </c>
      <c r="C594" t="s">
        <v>331</v>
      </c>
      <c r="D594" t="str">
        <f>VLOOKUP(C594,'lookup table'!$A$2:$B$19,2,FALSE)</f>
        <v>FS Item</v>
      </c>
      <c r="E594" t="str">
        <f t="shared" si="9"/>
        <v>|FS Item</v>
      </c>
    </row>
    <row r="595" spans="1:5" x14ac:dyDescent="0.2">
      <c r="A595" t="s">
        <v>0</v>
      </c>
      <c r="B595" t="s">
        <v>343</v>
      </c>
      <c r="C595" t="s">
        <v>331</v>
      </c>
      <c r="D595" t="str">
        <f>VLOOKUP(C595,'lookup table'!$A$2:$B$19,2,FALSE)</f>
        <v>FS Item</v>
      </c>
      <c r="E595" t="str">
        <f t="shared" si="9"/>
        <v>|FS Item</v>
      </c>
    </row>
    <row r="596" spans="1:5" x14ac:dyDescent="0.2">
      <c r="A596" t="s">
        <v>0</v>
      </c>
      <c r="B596" t="s">
        <v>344</v>
      </c>
      <c r="C596" t="s">
        <v>331</v>
      </c>
      <c r="D596" t="str">
        <f>VLOOKUP(C596,'lookup table'!$A$2:$B$19,2,FALSE)</f>
        <v>FS Item</v>
      </c>
      <c r="E596" t="str">
        <f t="shared" si="9"/>
        <v>|FS Item</v>
      </c>
    </row>
    <row r="597" spans="1:5" x14ac:dyDescent="0.2">
      <c r="A597" t="s">
        <v>0</v>
      </c>
      <c r="B597" t="s">
        <v>345</v>
      </c>
      <c r="C597" t="s">
        <v>331</v>
      </c>
      <c r="D597" t="str">
        <f>VLOOKUP(C597,'lookup table'!$A$2:$B$19,2,FALSE)</f>
        <v>FS Item</v>
      </c>
      <c r="E597" t="str">
        <f t="shared" si="9"/>
        <v>|FS Item</v>
      </c>
    </row>
    <row r="598" spans="1:5" x14ac:dyDescent="0.2">
      <c r="A598" t="s">
        <v>0</v>
      </c>
      <c r="B598" t="s">
        <v>346</v>
      </c>
      <c r="C598" t="s">
        <v>331</v>
      </c>
      <c r="D598" t="str">
        <f>VLOOKUP(C598,'lookup table'!$A$2:$B$19,2,FALSE)</f>
        <v>FS Item</v>
      </c>
      <c r="E598" t="str">
        <f t="shared" si="9"/>
        <v>|FS Item</v>
      </c>
    </row>
    <row r="599" spans="1:5" x14ac:dyDescent="0.2">
      <c r="A599" t="s">
        <v>0</v>
      </c>
      <c r="B599" t="s">
        <v>347</v>
      </c>
      <c r="C599" t="s">
        <v>331</v>
      </c>
      <c r="D599" t="str">
        <f>VLOOKUP(C599,'lookup table'!$A$2:$B$19,2,FALSE)</f>
        <v>FS Item</v>
      </c>
      <c r="E599" t="str">
        <f t="shared" si="9"/>
        <v>|FS Item</v>
      </c>
    </row>
    <row r="600" spans="1:5" x14ac:dyDescent="0.2">
      <c r="A600" t="s">
        <v>0</v>
      </c>
      <c r="B600" t="s">
        <v>348</v>
      </c>
      <c r="C600" t="s">
        <v>331</v>
      </c>
      <c r="D600" t="str">
        <f>VLOOKUP(C600,'lookup table'!$A$2:$B$19,2,FALSE)</f>
        <v>FS Item</v>
      </c>
      <c r="E600" t="str">
        <f t="shared" si="9"/>
        <v>|FS Item</v>
      </c>
    </row>
    <row r="601" spans="1:5" x14ac:dyDescent="0.2">
      <c r="A601" t="s">
        <v>0</v>
      </c>
      <c r="B601" t="s">
        <v>349</v>
      </c>
      <c r="C601" t="s">
        <v>331</v>
      </c>
      <c r="D601" t="str">
        <f>VLOOKUP(C601,'lookup table'!$A$2:$B$19,2,FALSE)</f>
        <v>FS Item</v>
      </c>
      <c r="E601" t="str">
        <f t="shared" si="9"/>
        <v>|FS Item</v>
      </c>
    </row>
    <row r="602" spans="1:5" x14ac:dyDescent="0.2">
      <c r="A602" t="s">
        <v>0</v>
      </c>
      <c r="B602" t="s">
        <v>350</v>
      </c>
      <c r="C602" t="s">
        <v>331</v>
      </c>
      <c r="D602" t="str">
        <f>VLOOKUP(C602,'lookup table'!$A$2:$B$19,2,FALSE)</f>
        <v>FS Item</v>
      </c>
      <c r="E602" t="str">
        <f t="shared" si="9"/>
        <v>|FS Item</v>
      </c>
    </row>
    <row r="603" spans="1:5" x14ac:dyDescent="0.2">
      <c r="A603" t="s">
        <v>0</v>
      </c>
      <c r="B603" t="s">
        <v>351</v>
      </c>
      <c r="C603" t="s">
        <v>331</v>
      </c>
      <c r="D603" t="str">
        <f>VLOOKUP(C603,'lookup table'!$A$2:$B$19,2,FALSE)</f>
        <v>FS Item</v>
      </c>
      <c r="E603" t="str">
        <f t="shared" si="9"/>
        <v>|FS Item</v>
      </c>
    </row>
    <row r="604" spans="1:5" x14ac:dyDescent="0.2">
      <c r="A604" t="s">
        <v>0</v>
      </c>
      <c r="B604" t="s">
        <v>352</v>
      </c>
      <c r="C604" t="s">
        <v>331</v>
      </c>
      <c r="D604" t="str">
        <f>VLOOKUP(C604,'lookup table'!$A$2:$B$19,2,FALSE)</f>
        <v>FS Item</v>
      </c>
      <c r="E604" t="str">
        <f t="shared" si="9"/>
        <v>|FS Item</v>
      </c>
    </row>
    <row r="605" spans="1:5" x14ac:dyDescent="0.2">
      <c r="A605" t="s">
        <v>0</v>
      </c>
      <c r="B605" t="s">
        <v>332</v>
      </c>
      <c r="C605" t="s">
        <v>331</v>
      </c>
      <c r="D605" t="str">
        <f>VLOOKUP(C605,'lookup table'!$A$2:$B$19,2,FALSE)</f>
        <v>FS Item</v>
      </c>
      <c r="E605" t="str">
        <f t="shared" si="9"/>
        <v>|FS Item</v>
      </c>
    </row>
    <row r="606" spans="1:5" x14ac:dyDescent="0.2">
      <c r="A606" t="s">
        <v>0</v>
      </c>
      <c r="B606" t="s">
        <v>377</v>
      </c>
      <c r="C606" t="s">
        <v>331</v>
      </c>
      <c r="D606" t="str">
        <f>VLOOKUP(C606,'lookup table'!$A$2:$B$19,2,FALSE)</f>
        <v>FS Item</v>
      </c>
      <c r="E606" t="str">
        <f t="shared" si="9"/>
        <v>|FS Item</v>
      </c>
    </row>
    <row r="607" spans="1:5" x14ac:dyDescent="0.2">
      <c r="A607" t="s">
        <v>0</v>
      </c>
      <c r="B607" t="s">
        <v>371</v>
      </c>
      <c r="C607" t="s">
        <v>331</v>
      </c>
      <c r="D607" t="str">
        <f>VLOOKUP(C607,'lookup table'!$A$2:$B$19,2,FALSE)</f>
        <v>FS Item</v>
      </c>
      <c r="E607" t="str">
        <f t="shared" si="9"/>
        <v>|FS Item</v>
      </c>
    </row>
    <row r="608" spans="1:5" x14ac:dyDescent="0.2">
      <c r="A608" t="s">
        <v>0</v>
      </c>
      <c r="B608" t="s">
        <v>372</v>
      </c>
      <c r="C608" t="s">
        <v>331</v>
      </c>
      <c r="D608" t="str">
        <f>VLOOKUP(C608,'lookup table'!$A$2:$B$19,2,FALSE)</f>
        <v>FS Item</v>
      </c>
      <c r="E608" t="str">
        <f t="shared" si="9"/>
        <v>|FS Item</v>
      </c>
    </row>
    <row r="609" spans="1:5" x14ac:dyDescent="0.2">
      <c r="A609" t="s">
        <v>0</v>
      </c>
      <c r="B609" t="s">
        <v>373</v>
      </c>
      <c r="C609" t="s">
        <v>331</v>
      </c>
      <c r="D609" t="str">
        <f>VLOOKUP(C609,'lookup table'!$A$2:$B$19,2,FALSE)</f>
        <v>FS Item</v>
      </c>
      <c r="E609" t="str">
        <f t="shared" si="9"/>
        <v>|FS Item</v>
      </c>
    </row>
    <row r="610" spans="1:5" x14ac:dyDescent="0.2">
      <c r="A610" t="s">
        <v>0</v>
      </c>
      <c r="B610" t="s">
        <v>374</v>
      </c>
      <c r="C610" t="s">
        <v>331</v>
      </c>
      <c r="D610" t="str">
        <f>VLOOKUP(C610,'lookup table'!$A$2:$B$19,2,FALSE)</f>
        <v>FS Item</v>
      </c>
      <c r="E610" t="str">
        <f t="shared" si="9"/>
        <v>|FS Item</v>
      </c>
    </row>
    <row r="611" spans="1:5" x14ac:dyDescent="0.2">
      <c r="A611" t="s">
        <v>0</v>
      </c>
      <c r="B611" t="s">
        <v>375</v>
      </c>
      <c r="C611" t="s">
        <v>331</v>
      </c>
      <c r="D611" t="str">
        <f>VLOOKUP(C611,'lookup table'!$A$2:$B$19,2,FALSE)</f>
        <v>FS Item</v>
      </c>
      <c r="E611" t="str">
        <f t="shared" si="9"/>
        <v>|FS Item</v>
      </c>
    </row>
    <row r="612" spans="1:5" x14ac:dyDescent="0.2">
      <c r="A612" t="s">
        <v>0</v>
      </c>
      <c r="B612" t="s">
        <v>376</v>
      </c>
      <c r="C612" t="s">
        <v>331</v>
      </c>
      <c r="D612" t="str">
        <f>VLOOKUP(C612,'lookup table'!$A$2:$B$19,2,FALSE)</f>
        <v>FS Item</v>
      </c>
      <c r="E612" t="str">
        <f t="shared" si="9"/>
        <v>|FS Item</v>
      </c>
    </row>
    <row r="613" spans="1:5" x14ac:dyDescent="0.2">
      <c r="A613" t="s">
        <v>0</v>
      </c>
      <c r="B613" t="s">
        <v>377</v>
      </c>
      <c r="C613" t="s">
        <v>331</v>
      </c>
      <c r="D613" t="str">
        <f>VLOOKUP(C613,'lookup table'!$A$2:$B$19,2,FALSE)</f>
        <v>FS Item</v>
      </c>
      <c r="E613" t="str">
        <f t="shared" si="9"/>
        <v>|FS Item</v>
      </c>
    </row>
    <row r="614" spans="1:5" x14ac:dyDescent="0.2">
      <c r="A614" t="s">
        <v>0</v>
      </c>
      <c r="B614" t="s">
        <v>371</v>
      </c>
      <c r="C614" t="s">
        <v>331</v>
      </c>
      <c r="D614" t="str">
        <f>VLOOKUP(C614,'lookup table'!$A$2:$B$19,2,FALSE)</f>
        <v>FS Item</v>
      </c>
      <c r="E614" t="str">
        <f t="shared" si="9"/>
        <v>|FS Item</v>
      </c>
    </row>
    <row r="615" spans="1:5" x14ac:dyDescent="0.2">
      <c r="A615" t="s">
        <v>0</v>
      </c>
      <c r="B615" t="s">
        <v>372</v>
      </c>
      <c r="C615" t="s">
        <v>331</v>
      </c>
      <c r="D615" t="str">
        <f>VLOOKUP(C615,'lookup table'!$A$2:$B$19,2,FALSE)</f>
        <v>FS Item</v>
      </c>
      <c r="E615" t="str">
        <f t="shared" si="9"/>
        <v>|FS Item</v>
      </c>
    </row>
    <row r="616" spans="1:5" x14ac:dyDescent="0.2">
      <c r="A616" t="s">
        <v>0</v>
      </c>
      <c r="B616" t="s">
        <v>373</v>
      </c>
      <c r="C616" t="s">
        <v>331</v>
      </c>
      <c r="D616" t="str">
        <f>VLOOKUP(C616,'lookup table'!$A$2:$B$19,2,FALSE)</f>
        <v>FS Item</v>
      </c>
      <c r="E616" t="str">
        <f t="shared" si="9"/>
        <v>|FS Item</v>
      </c>
    </row>
    <row r="617" spans="1:5" x14ac:dyDescent="0.2">
      <c r="A617" t="s">
        <v>0</v>
      </c>
      <c r="B617" t="s">
        <v>374</v>
      </c>
      <c r="C617" t="s">
        <v>331</v>
      </c>
      <c r="D617" t="str">
        <f>VLOOKUP(C617,'lookup table'!$A$2:$B$19,2,FALSE)</f>
        <v>FS Item</v>
      </c>
      <c r="E617" t="str">
        <f t="shared" si="9"/>
        <v>|FS Item</v>
      </c>
    </row>
    <row r="618" spans="1:5" x14ac:dyDescent="0.2">
      <c r="A618" t="s">
        <v>0</v>
      </c>
      <c r="B618" t="s">
        <v>375</v>
      </c>
      <c r="C618" t="s">
        <v>331</v>
      </c>
      <c r="D618" t="str">
        <f>VLOOKUP(C618,'lookup table'!$A$2:$B$19,2,FALSE)</f>
        <v>FS Item</v>
      </c>
      <c r="E618" t="str">
        <f t="shared" si="9"/>
        <v>|FS Item</v>
      </c>
    </row>
    <row r="619" spans="1:5" x14ac:dyDescent="0.2">
      <c r="A619" t="s">
        <v>0</v>
      </c>
      <c r="B619" t="s">
        <v>375</v>
      </c>
      <c r="C619" t="s">
        <v>331</v>
      </c>
      <c r="D619" t="str">
        <f>VLOOKUP(C619,'lookup table'!$A$2:$B$19,2,FALSE)</f>
        <v>FS Item</v>
      </c>
      <c r="E619" t="str">
        <f t="shared" si="9"/>
        <v>|FS Item</v>
      </c>
    </row>
    <row r="620" spans="1:5" x14ac:dyDescent="0.2">
      <c r="A620" t="s">
        <v>0</v>
      </c>
      <c r="B620" t="s">
        <v>377</v>
      </c>
      <c r="C620" t="s">
        <v>331</v>
      </c>
      <c r="D620" t="str">
        <f>VLOOKUP(C620,'lookup table'!$A$2:$B$19,2,FALSE)</f>
        <v>FS Item</v>
      </c>
      <c r="E620" t="str">
        <f t="shared" si="9"/>
        <v>|FS Item</v>
      </c>
    </row>
    <row r="621" spans="1:5" x14ac:dyDescent="0.2">
      <c r="A621" t="s">
        <v>0</v>
      </c>
      <c r="B621" t="s">
        <v>371</v>
      </c>
      <c r="C621" t="s">
        <v>331</v>
      </c>
      <c r="D621" t="str">
        <f>VLOOKUP(C621,'lookup table'!$A$2:$B$19,2,FALSE)</f>
        <v>FS Item</v>
      </c>
      <c r="E621" t="str">
        <f t="shared" si="9"/>
        <v>|FS Item</v>
      </c>
    </row>
    <row r="622" spans="1:5" x14ac:dyDescent="0.2">
      <c r="A622" t="s">
        <v>0</v>
      </c>
      <c r="B622" t="s">
        <v>332</v>
      </c>
      <c r="C622" t="s">
        <v>331</v>
      </c>
      <c r="D622" t="str">
        <f>VLOOKUP(C622,'lookup table'!$A$2:$B$19,2,FALSE)</f>
        <v>FS Item</v>
      </c>
      <c r="E622" t="str">
        <f t="shared" si="9"/>
        <v>|FS Item</v>
      </c>
    </row>
    <row r="623" spans="1:5" x14ac:dyDescent="0.2">
      <c r="A623" t="s">
        <v>0</v>
      </c>
      <c r="B623" t="s">
        <v>69</v>
      </c>
      <c r="C623" t="s">
        <v>331</v>
      </c>
      <c r="D623" t="str">
        <f>VLOOKUP(C623,'lookup table'!$A$2:$B$19,2,FALSE)</f>
        <v>FS Item</v>
      </c>
      <c r="E623" t="str">
        <f t="shared" si="9"/>
        <v>|FS Item</v>
      </c>
    </row>
    <row r="624" spans="1:5" x14ac:dyDescent="0.2">
      <c r="A624" t="s">
        <v>0</v>
      </c>
      <c r="B624" t="s">
        <v>196</v>
      </c>
      <c r="C624" t="s">
        <v>331</v>
      </c>
      <c r="D624" t="str">
        <f>VLOOKUP(C624,'lookup table'!$A$2:$B$19,2,FALSE)</f>
        <v>FS Item</v>
      </c>
      <c r="E624" t="str">
        <f t="shared" si="9"/>
        <v>|FS Item</v>
      </c>
    </row>
    <row r="625" spans="1:5" x14ac:dyDescent="0.2">
      <c r="A625" t="s">
        <v>0</v>
      </c>
      <c r="B625" t="s">
        <v>378</v>
      </c>
      <c r="C625" t="s">
        <v>331</v>
      </c>
      <c r="D625" t="str">
        <f>VLOOKUP(C625,'lookup table'!$A$2:$B$19,2,FALSE)</f>
        <v>FS Item</v>
      </c>
      <c r="E625" t="str">
        <f t="shared" si="9"/>
        <v>|FS Item</v>
      </c>
    </row>
    <row r="626" spans="1:5" x14ac:dyDescent="0.2">
      <c r="A626" t="s">
        <v>0</v>
      </c>
      <c r="B626" t="s">
        <v>379</v>
      </c>
      <c r="C626" t="s">
        <v>331</v>
      </c>
      <c r="D626" t="str">
        <f>VLOOKUP(C626,'lookup table'!$A$2:$B$19,2,FALSE)</f>
        <v>FS Item</v>
      </c>
      <c r="E626" t="str">
        <f t="shared" si="9"/>
        <v>|FS Item</v>
      </c>
    </row>
    <row r="627" spans="1:5" x14ac:dyDescent="0.2">
      <c r="A627" t="s">
        <v>0</v>
      </c>
      <c r="B627" t="s">
        <v>380</v>
      </c>
      <c r="C627" t="s">
        <v>331</v>
      </c>
      <c r="D627" t="str">
        <f>VLOOKUP(C627,'lookup table'!$A$2:$B$19,2,FALSE)</f>
        <v>FS Item</v>
      </c>
      <c r="E627" t="str">
        <f t="shared" si="9"/>
        <v>|FS Item</v>
      </c>
    </row>
    <row r="628" spans="1:5" x14ac:dyDescent="0.2">
      <c r="A628" t="s">
        <v>0</v>
      </c>
      <c r="B628" t="s">
        <v>200</v>
      </c>
      <c r="C628" t="s">
        <v>331</v>
      </c>
      <c r="D628" t="str">
        <f>VLOOKUP(C628,'lookup table'!$A$2:$B$19,2,FALSE)</f>
        <v>FS Item</v>
      </c>
      <c r="E628" t="str">
        <f t="shared" si="9"/>
        <v>|FS Item</v>
      </c>
    </row>
    <row r="629" spans="1:5" x14ac:dyDescent="0.2">
      <c r="A629" t="s">
        <v>0</v>
      </c>
      <c r="B629" t="s">
        <v>372</v>
      </c>
      <c r="C629" t="s">
        <v>331</v>
      </c>
      <c r="D629" t="str">
        <f>VLOOKUP(C629,'lookup table'!$A$2:$B$19,2,FALSE)</f>
        <v>FS Item</v>
      </c>
      <c r="E629" t="str">
        <f t="shared" si="9"/>
        <v>|FS Item</v>
      </c>
    </row>
    <row r="630" spans="1:5" x14ac:dyDescent="0.2">
      <c r="A630" t="s">
        <v>0</v>
      </c>
      <c r="B630" t="s">
        <v>373</v>
      </c>
      <c r="C630" t="s">
        <v>331</v>
      </c>
      <c r="D630" t="str">
        <f>VLOOKUP(C630,'lookup table'!$A$2:$B$19,2,FALSE)</f>
        <v>FS Item</v>
      </c>
      <c r="E630" t="str">
        <f t="shared" si="9"/>
        <v>|FS Item</v>
      </c>
    </row>
    <row r="631" spans="1:5" x14ac:dyDescent="0.2">
      <c r="A631" t="s">
        <v>0</v>
      </c>
      <c r="B631" t="s">
        <v>374</v>
      </c>
      <c r="C631" t="s">
        <v>331</v>
      </c>
      <c r="D631" t="str">
        <f>VLOOKUP(C631,'lookup table'!$A$2:$B$19,2,FALSE)</f>
        <v>FS Item</v>
      </c>
      <c r="E631" t="str">
        <f t="shared" si="9"/>
        <v>|FS Item</v>
      </c>
    </row>
    <row r="632" spans="1:5" x14ac:dyDescent="0.2">
      <c r="A632" t="s">
        <v>0</v>
      </c>
      <c r="B632" t="s">
        <v>375</v>
      </c>
      <c r="C632" t="s">
        <v>331</v>
      </c>
      <c r="D632" t="str">
        <f>VLOOKUP(C632,'lookup table'!$A$2:$B$19,2,FALSE)</f>
        <v>FS Item</v>
      </c>
      <c r="E632" t="str">
        <f t="shared" si="9"/>
        <v>|FS Item</v>
      </c>
    </row>
    <row r="633" spans="1:5" x14ac:dyDescent="0.2">
      <c r="A633" t="s">
        <v>0</v>
      </c>
      <c r="B633" t="s">
        <v>376</v>
      </c>
      <c r="C633" t="s">
        <v>331</v>
      </c>
      <c r="D633" t="str">
        <f>VLOOKUP(C633,'lookup table'!$A$2:$B$19,2,FALSE)</f>
        <v>FS Item</v>
      </c>
      <c r="E633" t="str">
        <f t="shared" si="9"/>
        <v>|FS Item</v>
      </c>
    </row>
    <row r="634" spans="1:5" x14ac:dyDescent="0.2">
      <c r="A634" t="s">
        <v>0</v>
      </c>
      <c r="B634" t="s">
        <v>377</v>
      </c>
      <c r="C634" t="s">
        <v>331</v>
      </c>
      <c r="D634" t="str">
        <f>VLOOKUP(C634,'lookup table'!$A$2:$B$19,2,FALSE)</f>
        <v>FS Item</v>
      </c>
      <c r="E634" t="str">
        <f t="shared" si="9"/>
        <v>|FS Item</v>
      </c>
    </row>
    <row r="635" spans="1:5" x14ac:dyDescent="0.2">
      <c r="A635" t="s">
        <v>0</v>
      </c>
      <c r="B635" t="s">
        <v>371</v>
      </c>
      <c r="C635" t="s">
        <v>331</v>
      </c>
      <c r="D635" t="str">
        <f>VLOOKUP(C635,'lookup table'!$A$2:$B$19,2,FALSE)</f>
        <v>FS Item</v>
      </c>
      <c r="E635" t="str">
        <f t="shared" si="9"/>
        <v>|FS Item</v>
      </c>
    </row>
    <row r="636" spans="1:5" x14ac:dyDescent="0.2">
      <c r="A636" t="s">
        <v>0</v>
      </c>
      <c r="B636" t="s">
        <v>372</v>
      </c>
      <c r="C636" t="s">
        <v>331</v>
      </c>
      <c r="D636" t="str">
        <f>VLOOKUP(C636,'lookup table'!$A$2:$B$19,2,FALSE)</f>
        <v>FS Item</v>
      </c>
      <c r="E636" t="str">
        <f t="shared" si="9"/>
        <v>|FS Item</v>
      </c>
    </row>
    <row r="637" spans="1:5" x14ac:dyDescent="0.2">
      <c r="A637" t="s">
        <v>0</v>
      </c>
      <c r="B637" t="s">
        <v>373</v>
      </c>
      <c r="C637" t="s">
        <v>331</v>
      </c>
      <c r="D637" t="str">
        <f>VLOOKUP(C637,'lookup table'!$A$2:$B$19,2,FALSE)</f>
        <v>FS Item</v>
      </c>
      <c r="E637" t="str">
        <f t="shared" si="9"/>
        <v>|FS Item</v>
      </c>
    </row>
    <row r="638" spans="1:5" x14ac:dyDescent="0.2">
      <c r="A638" t="s">
        <v>0</v>
      </c>
      <c r="B638" t="s">
        <v>374</v>
      </c>
      <c r="C638" t="s">
        <v>331</v>
      </c>
      <c r="D638" t="str">
        <f>VLOOKUP(C638,'lookup table'!$A$2:$B$19,2,FALSE)</f>
        <v>FS Item</v>
      </c>
      <c r="E638" t="str">
        <f t="shared" si="9"/>
        <v>|FS Item</v>
      </c>
    </row>
    <row r="639" spans="1:5" x14ac:dyDescent="0.2">
      <c r="A639" t="s">
        <v>0</v>
      </c>
      <c r="B639" t="s">
        <v>375</v>
      </c>
      <c r="C639" t="s">
        <v>331</v>
      </c>
      <c r="D639" t="str">
        <f>VLOOKUP(C639,'lookup table'!$A$2:$B$19,2,FALSE)</f>
        <v>FS Item</v>
      </c>
      <c r="E639" t="str">
        <f t="shared" si="9"/>
        <v>|FS Item</v>
      </c>
    </row>
    <row r="640" spans="1:5" x14ac:dyDescent="0.2">
      <c r="A640" t="s">
        <v>0</v>
      </c>
      <c r="B640" t="s">
        <v>376</v>
      </c>
      <c r="C640" t="s">
        <v>331</v>
      </c>
      <c r="D640" t="str">
        <f>VLOOKUP(C640,'lookup table'!$A$2:$B$19,2,FALSE)</f>
        <v>FS Item</v>
      </c>
      <c r="E640" t="str">
        <f t="shared" si="9"/>
        <v>|FS Item</v>
      </c>
    </row>
    <row r="641" spans="1:5" x14ac:dyDescent="0.2">
      <c r="A641" t="s">
        <v>0</v>
      </c>
      <c r="B641" t="s">
        <v>377</v>
      </c>
      <c r="C641" t="s">
        <v>331</v>
      </c>
      <c r="D641" t="str">
        <f>VLOOKUP(C641,'lookup table'!$A$2:$B$19,2,FALSE)</f>
        <v>FS Item</v>
      </c>
      <c r="E641" t="str">
        <f t="shared" si="9"/>
        <v>|FS Item</v>
      </c>
    </row>
    <row r="642" spans="1:5" x14ac:dyDescent="0.2">
      <c r="A642" t="s">
        <v>0</v>
      </c>
      <c r="B642" t="s">
        <v>70</v>
      </c>
      <c r="C642" t="s">
        <v>331</v>
      </c>
      <c r="D642" t="str">
        <f>VLOOKUP(C642,'lookup table'!$A$2:$B$19,2,FALSE)</f>
        <v>FS Item</v>
      </c>
      <c r="E642" t="str">
        <f t="shared" si="9"/>
        <v>|FS Item</v>
      </c>
    </row>
    <row r="643" spans="1:5" x14ac:dyDescent="0.2">
      <c r="A643" t="s">
        <v>0</v>
      </c>
      <c r="B643" t="s">
        <v>381</v>
      </c>
      <c r="C643" t="s">
        <v>331</v>
      </c>
      <c r="D643" t="str">
        <f>VLOOKUP(C643,'lookup table'!$A$2:$B$19,2,FALSE)</f>
        <v>FS Item</v>
      </c>
      <c r="E643" t="str">
        <f t="shared" ref="E643:E706" si="10">IF(ISNA(D643),"",IF(A643="","",A643) &amp; "|" &amp; D643)</f>
        <v>|FS Item</v>
      </c>
    </row>
    <row r="644" spans="1:5" x14ac:dyDescent="0.2">
      <c r="A644" t="s">
        <v>0</v>
      </c>
      <c r="B644" t="s">
        <v>382</v>
      </c>
      <c r="C644" t="s">
        <v>331</v>
      </c>
      <c r="D644" t="str">
        <f>VLOOKUP(C644,'lookup table'!$A$2:$B$19,2,FALSE)</f>
        <v>FS Item</v>
      </c>
      <c r="E644" t="str">
        <f t="shared" si="10"/>
        <v>|FS Item</v>
      </c>
    </row>
    <row r="645" spans="1:5" x14ac:dyDescent="0.2">
      <c r="A645" t="s">
        <v>0</v>
      </c>
      <c r="B645" t="s">
        <v>71</v>
      </c>
      <c r="C645" t="s">
        <v>331</v>
      </c>
      <c r="D645" t="str">
        <f>VLOOKUP(C645,'lookup table'!$A$2:$B$19,2,FALSE)</f>
        <v>FS Item</v>
      </c>
      <c r="E645" t="str">
        <f t="shared" si="10"/>
        <v>|FS Item</v>
      </c>
    </row>
    <row r="646" spans="1:5" x14ac:dyDescent="0.2">
      <c r="A646" t="s">
        <v>0</v>
      </c>
      <c r="B646" t="s">
        <v>72</v>
      </c>
      <c r="C646" t="s">
        <v>331</v>
      </c>
      <c r="D646" t="str">
        <f>VLOOKUP(C646,'lookup table'!$A$2:$B$19,2,FALSE)</f>
        <v>FS Item</v>
      </c>
      <c r="E646" t="str">
        <f t="shared" si="10"/>
        <v>|FS Item</v>
      </c>
    </row>
    <row r="647" spans="1:5" x14ac:dyDescent="0.2">
      <c r="A647" t="s">
        <v>0</v>
      </c>
      <c r="B647" t="s">
        <v>72</v>
      </c>
      <c r="C647" t="s">
        <v>331</v>
      </c>
      <c r="D647" t="str">
        <f>VLOOKUP(C647,'lookup table'!$A$2:$B$19,2,FALSE)</f>
        <v>FS Item</v>
      </c>
      <c r="E647" t="str">
        <f t="shared" si="10"/>
        <v>|FS Item</v>
      </c>
    </row>
    <row r="648" spans="1:5" x14ac:dyDescent="0.2">
      <c r="A648" t="s">
        <v>0</v>
      </c>
      <c r="B648" t="s">
        <v>17</v>
      </c>
      <c r="C648" t="s">
        <v>331</v>
      </c>
      <c r="D648" t="str">
        <f>VLOOKUP(C648,'lookup table'!$A$2:$B$19,2,FALSE)</f>
        <v>FS Item</v>
      </c>
      <c r="E648" t="str">
        <f t="shared" si="10"/>
        <v>|FS Item</v>
      </c>
    </row>
    <row r="649" spans="1:5" x14ac:dyDescent="0.2">
      <c r="A649" t="s">
        <v>0</v>
      </c>
      <c r="B649" t="s">
        <v>73</v>
      </c>
      <c r="C649" t="s">
        <v>331</v>
      </c>
      <c r="D649" t="str">
        <f>VLOOKUP(C649,'lookup table'!$A$2:$B$19,2,FALSE)</f>
        <v>FS Item</v>
      </c>
      <c r="E649" t="str">
        <f t="shared" si="10"/>
        <v>|FS Item</v>
      </c>
    </row>
    <row r="650" spans="1:5" x14ac:dyDescent="0.2">
      <c r="A650" t="s">
        <v>0</v>
      </c>
      <c r="B650" t="s">
        <v>201</v>
      </c>
      <c r="C650" t="s">
        <v>331</v>
      </c>
      <c r="D650" t="str">
        <f>VLOOKUP(C650,'lookup table'!$A$2:$B$19,2,FALSE)</f>
        <v>FS Item</v>
      </c>
      <c r="E650" t="str">
        <f t="shared" si="10"/>
        <v>|FS Item</v>
      </c>
    </row>
    <row r="651" spans="1:5" x14ac:dyDescent="0.2">
      <c r="A651" t="s">
        <v>0</v>
      </c>
      <c r="B651" t="s">
        <v>383</v>
      </c>
      <c r="C651" t="s">
        <v>331</v>
      </c>
      <c r="D651" t="str">
        <f>VLOOKUP(C651,'lookup table'!$A$2:$B$19,2,FALSE)</f>
        <v>FS Item</v>
      </c>
      <c r="E651" t="str">
        <f t="shared" si="10"/>
        <v>|FS Item</v>
      </c>
    </row>
    <row r="652" spans="1:5" x14ac:dyDescent="0.2">
      <c r="A652" t="s">
        <v>0</v>
      </c>
      <c r="B652" t="s">
        <v>384</v>
      </c>
      <c r="C652" t="s">
        <v>331</v>
      </c>
      <c r="D652" t="str">
        <f>VLOOKUP(C652,'lookup table'!$A$2:$B$19,2,FALSE)</f>
        <v>FS Item</v>
      </c>
      <c r="E652" t="str">
        <f t="shared" si="10"/>
        <v>|FS Item</v>
      </c>
    </row>
    <row r="653" spans="1:5" x14ac:dyDescent="0.2">
      <c r="A653" t="s">
        <v>0</v>
      </c>
      <c r="B653" t="s">
        <v>385</v>
      </c>
      <c r="C653" t="s">
        <v>331</v>
      </c>
      <c r="D653" t="str">
        <f>VLOOKUP(C653,'lookup table'!$A$2:$B$19,2,FALSE)</f>
        <v>FS Item</v>
      </c>
      <c r="E653" t="str">
        <f t="shared" si="10"/>
        <v>|FS Item</v>
      </c>
    </row>
    <row r="654" spans="1:5" x14ac:dyDescent="0.2">
      <c r="A654" t="s">
        <v>0</v>
      </c>
      <c r="B654" t="s">
        <v>338</v>
      </c>
      <c r="C654" t="s">
        <v>331</v>
      </c>
      <c r="D654" t="str">
        <f>VLOOKUP(C654,'lookup table'!$A$2:$B$19,2,FALSE)</f>
        <v>FS Item</v>
      </c>
      <c r="E654" t="str">
        <f t="shared" si="10"/>
        <v>|FS Item</v>
      </c>
    </row>
    <row r="655" spans="1:5" x14ac:dyDescent="0.2">
      <c r="A655" t="s">
        <v>0</v>
      </c>
      <c r="B655" t="s">
        <v>338</v>
      </c>
      <c r="C655" t="s">
        <v>331</v>
      </c>
      <c r="D655" t="str">
        <f>VLOOKUP(C655,'lookup table'!$A$2:$B$19,2,FALSE)</f>
        <v>FS Item</v>
      </c>
      <c r="E655" t="str">
        <f t="shared" si="10"/>
        <v>|FS Item</v>
      </c>
    </row>
    <row r="656" spans="1:5" x14ac:dyDescent="0.2">
      <c r="A656" t="s">
        <v>0</v>
      </c>
      <c r="B656" t="s">
        <v>386</v>
      </c>
      <c r="C656" t="s">
        <v>331</v>
      </c>
      <c r="D656" t="str">
        <f>VLOOKUP(C656,'lookup table'!$A$2:$B$19,2,FALSE)</f>
        <v>FS Item</v>
      </c>
      <c r="E656" t="str">
        <f t="shared" si="10"/>
        <v>|FS Item</v>
      </c>
    </row>
    <row r="657" spans="1:5" x14ac:dyDescent="0.2">
      <c r="A657" t="s">
        <v>0</v>
      </c>
      <c r="B657" t="s">
        <v>333</v>
      </c>
      <c r="C657" t="s">
        <v>331</v>
      </c>
      <c r="D657" t="str">
        <f>VLOOKUP(C657,'lookup table'!$A$2:$B$19,2,FALSE)</f>
        <v>FS Item</v>
      </c>
      <c r="E657" t="str">
        <f t="shared" si="10"/>
        <v>|FS Item</v>
      </c>
    </row>
    <row r="658" spans="1:5" x14ac:dyDescent="0.2">
      <c r="A658" t="s">
        <v>0</v>
      </c>
      <c r="B658" t="s">
        <v>333</v>
      </c>
      <c r="C658" t="s">
        <v>331</v>
      </c>
      <c r="D658" t="str">
        <f>VLOOKUP(C658,'lookup table'!$A$2:$B$19,2,FALSE)</f>
        <v>FS Item</v>
      </c>
      <c r="E658" t="str">
        <f t="shared" si="10"/>
        <v>|FS Item</v>
      </c>
    </row>
    <row r="659" spans="1:5" x14ac:dyDescent="0.2">
      <c r="A659" t="s">
        <v>0</v>
      </c>
      <c r="B659" t="s">
        <v>387</v>
      </c>
      <c r="C659" t="s">
        <v>331</v>
      </c>
      <c r="D659" t="str">
        <f>VLOOKUP(C659,'lookup table'!$A$2:$B$19,2,FALSE)</f>
        <v>FS Item</v>
      </c>
      <c r="E659" t="str">
        <f t="shared" si="10"/>
        <v>|FS Item</v>
      </c>
    </row>
    <row r="660" spans="1:5" x14ac:dyDescent="0.2">
      <c r="A660" t="s">
        <v>0</v>
      </c>
      <c r="B660" t="s">
        <v>388</v>
      </c>
      <c r="C660" t="s">
        <v>331</v>
      </c>
      <c r="D660" t="str">
        <f>VLOOKUP(C660,'lookup table'!$A$2:$B$19,2,FALSE)</f>
        <v>FS Item</v>
      </c>
      <c r="E660" t="str">
        <f t="shared" si="10"/>
        <v>|FS Item</v>
      </c>
    </row>
    <row r="661" spans="1:5" x14ac:dyDescent="0.2">
      <c r="A661" t="s">
        <v>0</v>
      </c>
      <c r="B661" t="s">
        <v>105</v>
      </c>
      <c r="C661" t="s">
        <v>331</v>
      </c>
      <c r="D661" t="str">
        <f>VLOOKUP(C661,'lookup table'!$A$2:$B$19,2,FALSE)</f>
        <v>FS Item</v>
      </c>
      <c r="E661" t="str">
        <f t="shared" si="10"/>
        <v>|FS Item</v>
      </c>
    </row>
    <row r="662" spans="1:5" x14ac:dyDescent="0.2">
      <c r="A662" t="s">
        <v>0</v>
      </c>
      <c r="B662" t="s">
        <v>105</v>
      </c>
      <c r="C662" t="s">
        <v>331</v>
      </c>
      <c r="D662" t="str">
        <f>VLOOKUP(C662,'lookup table'!$A$2:$B$19,2,FALSE)</f>
        <v>FS Item</v>
      </c>
      <c r="E662" t="str">
        <f t="shared" si="10"/>
        <v>|FS Item</v>
      </c>
    </row>
    <row r="663" spans="1:5" x14ac:dyDescent="0.2">
      <c r="A663" t="s">
        <v>0</v>
      </c>
      <c r="B663" t="s">
        <v>105</v>
      </c>
      <c r="C663" t="s">
        <v>331</v>
      </c>
      <c r="D663" t="str">
        <f>VLOOKUP(C663,'lookup table'!$A$2:$B$19,2,FALSE)</f>
        <v>FS Item</v>
      </c>
      <c r="E663" t="str">
        <f t="shared" si="10"/>
        <v>|FS Item</v>
      </c>
    </row>
    <row r="664" spans="1:5" x14ac:dyDescent="0.2">
      <c r="A664" t="s">
        <v>0</v>
      </c>
      <c r="B664" t="s">
        <v>333</v>
      </c>
      <c r="C664" t="s">
        <v>331</v>
      </c>
      <c r="D664" t="str">
        <f>VLOOKUP(C664,'lookup table'!$A$2:$B$19,2,FALSE)</f>
        <v>FS Item</v>
      </c>
      <c r="E664" t="str">
        <f t="shared" si="10"/>
        <v>|FS Item</v>
      </c>
    </row>
    <row r="665" spans="1:5" x14ac:dyDescent="0.2">
      <c r="A665" t="s">
        <v>0</v>
      </c>
      <c r="B665" t="s">
        <v>389</v>
      </c>
      <c r="C665" t="s">
        <v>331</v>
      </c>
      <c r="D665" t="str">
        <f>VLOOKUP(C665,'lookup table'!$A$2:$B$19,2,FALSE)</f>
        <v>FS Item</v>
      </c>
      <c r="E665" t="str">
        <f t="shared" si="10"/>
        <v>|FS Item</v>
      </c>
    </row>
    <row r="666" spans="1:5" x14ac:dyDescent="0.2">
      <c r="A666" t="s">
        <v>0</v>
      </c>
      <c r="B666" t="s">
        <v>106</v>
      </c>
      <c r="C666" t="s">
        <v>331</v>
      </c>
      <c r="D666" t="str">
        <f>VLOOKUP(C666,'lookup table'!$A$2:$B$19,2,FALSE)</f>
        <v>FS Item</v>
      </c>
      <c r="E666" t="str">
        <f t="shared" si="10"/>
        <v>|FS Item</v>
      </c>
    </row>
    <row r="667" spans="1:5" x14ac:dyDescent="0.2">
      <c r="A667" t="s">
        <v>0</v>
      </c>
      <c r="B667" t="s">
        <v>107</v>
      </c>
      <c r="C667" t="s">
        <v>331</v>
      </c>
      <c r="D667" t="str">
        <f>VLOOKUP(C667,'lookup table'!$A$2:$B$19,2,FALSE)</f>
        <v>FS Item</v>
      </c>
      <c r="E667" t="str">
        <f t="shared" si="10"/>
        <v>|FS Item</v>
      </c>
    </row>
    <row r="668" spans="1:5" x14ac:dyDescent="0.2">
      <c r="A668" t="s">
        <v>0</v>
      </c>
      <c r="B668" t="s">
        <v>390</v>
      </c>
      <c r="C668" t="s">
        <v>331</v>
      </c>
      <c r="D668" t="str">
        <f>VLOOKUP(C668,'lookup table'!$A$2:$B$19,2,FALSE)</f>
        <v>FS Item</v>
      </c>
      <c r="E668" t="str">
        <f t="shared" si="10"/>
        <v>|FS Item</v>
      </c>
    </row>
    <row r="669" spans="1:5" x14ac:dyDescent="0.2">
      <c r="A669" t="s">
        <v>0</v>
      </c>
      <c r="B669" t="s">
        <v>391</v>
      </c>
      <c r="C669" t="s">
        <v>331</v>
      </c>
      <c r="D669" t="str">
        <f>VLOOKUP(C669,'lookup table'!$A$2:$B$19,2,FALSE)</f>
        <v>FS Item</v>
      </c>
      <c r="E669" t="str">
        <f t="shared" si="10"/>
        <v>|FS Item</v>
      </c>
    </row>
    <row r="670" spans="1:5" x14ac:dyDescent="0.2">
      <c r="A670" t="s">
        <v>0</v>
      </c>
      <c r="B670" t="s">
        <v>391</v>
      </c>
      <c r="C670" t="s">
        <v>331</v>
      </c>
      <c r="D670" t="str">
        <f>VLOOKUP(C670,'lookup table'!$A$2:$B$19,2,FALSE)</f>
        <v>FS Item</v>
      </c>
      <c r="E670" t="str">
        <f t="shared" si="10"/>
        <v>|FS Item</v>
      </c>
    </row>
    <row r="671" spans="1:5" x14ac:dyDescent="0.2">
      <c r="A671" t="s">
        <v>0</v>
      </c>
      <c r="B671" t="s">
        <v>333</v>
      </c>
      <c r="C671" t="s">
        <v>331</v>
      </c>
      <c r="D671" t="str">
        <f>VLOOKUP(C671,'lookup table'!$A$2:$B$19,2,FALSE)</f>
        <v>FS Item</v>
      </c>
      <c r="E671" t="str">
        <f t="shared" si="10"/>
        <v>|FS Item</v>
      </c>
    </row>
    <row r="672" spans="1:5" x14ac:dyDescent="0.2">
      <c r="A672" t="s">
        <v>0</v>
      </c>
      <c r="B672" t="s">
        <v>378</v>
      </c>
      <c r="C672" t="s">
        <v>331</v>
      </c>
      <c r="D672" t="str">
        <f>VLOOKUP(C672,'lookup table'!$A$2:$B$19,2,FALSE)</f>
        <v>FS Item</v>
      </c>
      <c r="E672" t="str">
        <f t="shared" si="10"/>
        <v>|FS Item</v>
      </c>
    </row>
    <row r="673" spans="1:5" x14ac:dyDescent="0.2">
      <c r="A673" t="s">
        <v>0</v>
      </c>
      <c r="B673" t="s">
        <v>392</v>
      </c>
      <c r="C673" t="s">
        <v>331</v>
      </c>
      <c r="D673" t="str">
        <f>VLOOKUP(C673,'lookup table'!$A$2:$B$19,2,FALSE)</f>
        <v>FS Item</v>
      </c>
      <c r="E673" t="str">
        <f t="shared" si="10"/>
        <v>|FS Item</v>
      </c>
    </row>
    <row r="674" spans="1:5" x14ac:dyDescent="0.2">
      <c r="A674" t="s">
        <v>0</v>
      </c>
      <c r="B674" t="s">
        <v>332</v>
      </c>
      <c r="C674" t="s">
        <v>331</v>
      </c>
      <c r="D674" t="str">
        <f>VLOOKUP(C674,'lookup table'!$A$2:$B$19,2,FALSE)</f>
        <v>FS Item</v>
      </c>
      <c r="E674" t="str">
        <f t="shared" si="10"/>
        <v>|FS Item</v>
      </c>
    </row>
    <row r="675" spans="1:5" x14ac:dyDescent="0.2">
      <c r="A675" t="s">
        <v>0</v>
      </c>
      <c r="B675" t="s">
        <v>200</v>
      </c>
      <c r="C675" t="s">
        <v>331</v>
      </c>
      <c r="D675" t="str">
        <f>VLOOKUP(C675,'lookup table'!$A$2:$B$19,2,FALSE)</f>
        <v>FS Item</v>
      </c>
      <c r="E675" t="str">
        <f t="shared" si="10"/>
        <v>|FS Item</v>
      </c>
    </row>
    <row r="676" spans="1:5" x14ac:dyDescent="0.2">
      <c r="A676" t="s">
        <v>0</v>
      </c>
      <c r="B676" t="s">
        <v>338</v>
      </c>
      <c r="C676" t="s">
        <v>331</v>
      </c>
      <c r="D676" t="str">
        <f>VLOOKUP(C676,'lookup table'!$A$2:$B$19,2,FALSE)</f>
        <v>FS Item</v>
      </c>
      <c r="E676" t="str">
        <f t="shared" si="10"/>
        <v>|FS Item</v>
      </c>
    </row>
    <row r="677" spans="1:5" x14ac:dyDescent="0.2">
      <c r="A677" t="s">
        <v>0</v>
      </c>
      <c r="B677" t="s">
        <v>119</v>
      </c>
      <c r="C677" t="s">
        <v>331</v>
      </c>
      <c r="D677" t="str">
        <f>VLOOKUP(C677,'lookup table'!$A$2:$B$19,2,FALSE)</f>
        <v>FS Item</v>
      </c>
      <c r="E677" t="str">
        <f t="shared" si="10"/>
        <v>|FS Item</v>
      </c>
    </row>
    <row r="678" spans="1:5" x14ac:dyDescent="0.2">
      <c r="A678" t="s">
        <v>0</v>
      </c>
      <c r="B678" t="s">
        <v>393</v>
      </c>
      <c r="C678" t="s">
        <v>331</v>
      </c>
      <c r="D678" t="str">
        <f>VLOOKUP(C678,'lookup table'!$A$2:$B$19,2,FALSE)</f>
        <v>FS Item</v>
      </c>
      <c r="E678" t="str">
        <f t="shared" si="10"/>
        <v>|FS Item</v>
      </c>
    </row>
    <row r="679" spans="1:5" x14ac:dyDescent="0.2">
      <c r="A679" t="s">
        <v>0</v>
      </c>
      <c r="B679" t="s">
        <v>394</v>
      </c>
      <c r="C679" t="s">
        <v>331</v>
      </c>
      <c r="D679" t="str">
        <f>VLOOKUP(C679,'lookup table'!$A$2:$B$19,2,FALSE)</f>
        <v>FS Item</v>
      </c>
      <c r="E679" t="str">
        <f t="shared" si="10"/>
        <v>|FS Item</v>
      </c>
    </row>
    <row r="680" spans="1:5" x14ac:dyDescent="0.2">
      <c r="A680" t="s">
        <v>0</v>
      </c>
      <c r="B680" t="s">
        <v>395</v>
      </c>
      <c r="C680" t="s">
        <v>331</v>
      </c>
      <c r="D680" t="str">
        <f>VLOOKUP(C680,'lookup table'!$A$2:$B$19,2,FALSE)</f>
        <v>FS Item</v>
      </c>
      <c r="E680" t="str">
        <f t="shared" si="10"/>
        <v>|FS Item</v>
      </c>
    </row>
    <row r="681" spans="1:5" x14ac:dyDescent="0.2">
      <c r="A681" t="s">
        <v>0</v>
      </c>
      <c r="B681" t="s">
        <v>120</v>
      </c>
      <c r="C681" t="s">
        <v>331</v>
      </c>
      <c r="D681" t="str">
        <f>VLOOKUP(C681,'lookup table'!$A$2:$B$19,2,FALSE)</f>
        <v>FS Item</v>
      </c>
      <c r="E681" t="str">
        <f t="shared" si="10"/>
        <v>|FS Item</v>
      </c>
    </row>
    <row r="682" spans="1:5" x14ac:dyDescent="0.2">
      <c r="A682" t="s">
        <v>0</v>
      </c>
      <c r="B682" t="s">
        <v>121</v>
      </c>
      <c r="C682" t="s">
        <v>331</v>
      </c>
      <c r="D682" t="str">
        <f>VLOOKUP(C682,'lookup table'!$A$2:$B$19,2,FALSE)</f>
        <v>FS Item</v>
      </c>
      <c r="E682" t="str">
        <f t="shared" si="10"/>
        <v>|FS Item</v>
      </c>
    </row>
    <row r="683" spans="1:5" x14ac:dyDescent="0.2">
      <c r="A683" t="s">
        <v>0</v>
      </c>
      <c r="B683" t="s">
        <v>70</v>
      </c>
      <c r="C683" t="s">
        <v>331</v>
      </c>
      <c r="D683" t="str">
        <f>VLOOKUP(C683,'lookup table'!$A$2:$B$19,2,FALSE)</f>
        <v>FS Item</v>
      </c>
      <c r="E683" t="str">
        <f t="shared" si="10"/>
        <v>|FS Item</v>
      </c>
    </row>
    <row r="684" spans="1:5" x14ac:dyDescent="0.2">
      <c r="A684" t="s">
        <v>0</v>
      </c>
      <c r="B684" t="s">
        <v>122</v>
      </c>
      <c r="C684" t="s">
        <v>331</v>
      </c>
      <c r="D684" t="str">
        <f>VLOOKUP(C684,'lookup table'!$A$2:$B$19,2,FALSE)</f>
        <v>FS Item</v>
      </c>
      <c r="E684" t="str">
        <f t="shared" si="10"/>
        <v>|FS Item</v>
      </c>
    </row>
    <row r="685" spans="1:5" x14ac:dyDescent="0.2">
      <c r="A685" t="s">
        <v>0</v>
      </c>
      <c r="B685" t="s">
        <v>107</v>
      </c>
      <c r="C685" t="s">
        <v>331</v>
      </c>
      <c r="D685" t="str">
        <f>VLOOKUP(C685,'lookup table'!$A$2:$B$19,2,FALSE)</f>
        <v>FS Item</v>
      </c>
      <c r="E685" t="str">
        <f t="shared" si="10"/>
        <v>|FS Item</v>
      </c>
    </row>
    <row r="686" spans="1:5" x14ac:dyDescent="0.2">
      <c r="A686" t="s">
        <v>0</v>
      </c>
      <c r="B686" t="s">
        <v>390</v>
      </c>
      <c r="C686" t="s">
        <v>331</v>
      </c>
      <c r="D686" t="str">
        <f>VLOOKUP(C686,'lookup table'!$A$2:$B$19,2,FALSE)</f>
        <v>FS Item</v>
      </c>
      <c r="E686" t="str">
        <f t="shared" si="10"/>
        <v>|FS Item</v>
      </c>
    </row>
    <row r="687" spans="1:5" x14ac:dyDescent="0.2">
      <c r="A687" t="s">
        <v>0</v>
      </c>
      <c r="B687" t="s">
        <v>333</v>
      </c>
      <c r="C687" t="s">
        <v>331</v>
      </c>
      <c r="D687" t="str">
        <f>VLOOKUP(C687,'lookup table'!$A$2:$B$19,2,FALSE)</f>
        <v>FS Item</v>
      </c>
      <c r="E687" t="str">
        <f t="shared" si="10"/>
        <v>|FS Item</v>
      </c>
    </row>
    <row r="688" spans="1:5" x14ac:dyDescent="0.2">
      <c r="A688" t="s">
        <v>0</v>
      </c>
      <c r="B688" t="s">
        <v>72</v>
      </c>
      <c r="C688" t="s">
        <v>331</v>
      </c>
      <c r="D688" t="str">
        <f>VLOOKUP(C688,'lookup table'!$A$2:$B$19,2,FALSE)</f>
        <v>FS Item</v>
      </c>
      <c r="E688" t="str">
        <f t="shared" si="10"/>
        <v>|FS Item</v>
      </c>
    </row>
    <row r="689" spans="1:5" x14ac:dyDescent="0.2">
      <c r="A689" t="s">
        <v>0</v>
      </c>
      <c r="B689" t="s">
        <v>72</v>
      </c>
      <c r="C689" t="s">
        <v>331</v>
      </c>
      <c r="D689" t="str">
        <f>VLOOKUP(C689,'lookup table'!$A$2:$B$19,2,FALSE)</f>
        <v>FS Item</v>
      </c>
      <c r="E689" t="str">
        <f t="shared" si="10"/>
        <v>|FS Item</v>
      </c>
    </row>
    <row r="690" spans="1:5" x14ac:dyDescent="0.2">
      <c r="A690" t="s">
        <v>0</v>
      </c>
      <c r="B690" t="s">
        <v>72</v>
      </c>
      <c r="C690" t="s">
        <v>331</v>
      </c>
      <c r="D690" t="str">
        <f>VLOOKUP(C690,'lookup table'!$A$2:$B$19,2,FALSE)</f>
        <v>FS Item</v>
      </c>
      <c r="E690" t="str">
        <f t="shared" si="10"/>
        <v>|FS Item</v>
      </c>
    </row>
    <row r="691" spans="1:5" x14ac:dyDescent="0.2">
      <c r="A691" t="s">
        <v>0</v>
      </c>
      <c r="B691" t="s">
        <v>396</v>
      </c>
      <c r="C691" t="s">
        <v>331</v>
      </c>
      <c r="D691" t="str">
        <f>VLOOKUP(C691,'lookup table'!$A$2:$B$19,2,FALSE)</f>
        <v>FS Item</v>
      </c>
      <c r="E691" t="str">
        <f t="shared" si="10"/>
        <v>|FS Item</v>
      </c>
    </row>
    <row r="692" spans="1:5" x14ac:dyDescent="0.2">
      <c r="A692" t="s">
        <v>0</v>
      </c>
      <c r="B692" t="s">
        <v>333</v>
      </c>
      <c r="C692" t="s">
        <v>331</v>
      </c>
      <c r="D692" t="str">
        <f>VLOOKUP(C692,'lookup table'!$A$2:$B$19,2,FALSE)</f>
        <v>FS Item</v>
      </c>
      <c r="E692" t="str">
        <f t="shared" si="10"/>
        <v>|FS Item</v>
      </c>
    </row>
    <row r="693" spans="1:5" x14ac:dyDescent="0.2">
      <c r="A693" t="s">
        <v>0</v>
      </c>
      <c r="B693" t="s">
        <v>123</v>
      </c>
      <c r="C693" t="s">
        <v>331</v>
      </c>
      <c r="D693" t="str">
        <f>VLOOKUP(C693,'lookup table'!$A$2:$B$19,2,FALSE)</f>
        <v>FS Item</v>
      </c>
      <c r="E693" t="str">
        <f t="shared" si="10"/>
        <v>|FS Item</v>
      </c>
    </row>
    <row r="694" spans="1:5" x14ac:dyDescent="0.2">
      <c r="A694" t="s">
        <v>0</v>
      </c>
      <c r="B694" t="s">
        <v>124</v>
      </c>
      <c r="C694" t="s">
        <v>331</v>
      </c>
      <c r="D694" t="str">
        <f>VLOOKUP(C694,'lookup table'!$A$2:$B$19,2,FALSE)</f>
        <v>FS Item</v>
      </c>
      <c r="E694" t="str">
        <f t="shared" si="10"/>
        <v>|FS Item</v>
      </c>
    </row>
    <row r="695" spans="1:5" x14ac:dyDescent="0.2">
      <c r="A695" t="s">
        <v>0</v>
      </c>
      <c r="B695" t="s">
        <v>125</v>
      </c>
      <c r="C695" t="s">
        <v>331</v>
      </c>
      <c r="D695" t="str">
        <f>VLOOKUP(C695,'lookup table'!$A$2:$B$19,2,FALSE)</f>
        <v>FS Item</v>
      </c>
      <c r="E695" t="str">
        <f t="shared" si="10"/>
        <v>|FS Item</v>
      </c>
    </row>
    <row r="696" spans="1:5" x14ac:dyDescent="0.2">
      <c r="A696" t="s">
        <v>0</v>
      </c>
      <c r="B696" t="s">
        <v>126</v>
      </c>
      <c r="C696" t="s">
        <v>331</v>
      </c>
      <c r="D696" t="str">
        <f>VLOOKUP(C696,'lookup table'!$A$2:$B$19,2,FALSE)</f>
        <v>FS Item</v>
      </c>
      <c r="E696" t="str">
        <f t="shared" si="10"/>
        <v>|FS Item</v>
      </c>
    </row>
    <row r="697" spans="1:5" x14ac:dyDescent="0.2">
      <c r="A697" t="s">
        <v>0</v>
      </c>
      <c r="B697" t="s">
        <v>127</v>
      </c>
      <c r="C697" t="s">
        <v>331</v>
      </c>
      <c r="D697" t="str">
        <f>VLOOKUP(C697,'lookup table'!$A$2:$B$19,2,FALSE)</f>
        <v>FS Item</v>
      </c>
      <c r="E697" t="str">
        <f t="shared" si="10"/>
        <v>|FS Item</v>
      </c>
    </row>
    <row r="698" spans="1:5" x14ac:dyDescent="0.2">
      <c r="A698" t="s">
        <v>0</v>
      </c>
      <c r="B698" t="s">
        <v>128</v>
      </c>
      <c r="C698" t="s">
        <v>331</v>
      </c>
      <c r="D698" t="str">
        <f>VLOOKUP(C698,'lookup table'!$A$2:$B$19,2,FALSE)</f>
        <v>FS Item</v>
      </c>
      <c r="E698" t="str">
        <f t="shared" si="10"/>
        <v>|FS Item</v>
      </c>
    </row>
    <row r="699" spans="1:5" x14ac:dyDescent="0.2">
      <c r="A699" t="s">
        <v>0</v>
      </c>
      <c r="B699" t="s">
        <v>397</v>
      </c>
      <c r="C699" t="s">
        <v>331</v>
      </c>
      <c r="D699" t="str">
        <f>VLOOKUP(C699,'lookup table'!$A$2:$B$19,2,FALSE)</f>
        <v>FS Item</v>
      </c>
      <c r="E699" t="str">
        <f t="shared" si="10"/>
        <v>|FS Item</v>
      </c>
    </row>
    <row r="700" spans="1:5" x14ac:dyDescent="0.2">
      <c r="A700" t="s">
        <v>0</v>
      </c>
      <c r="B700" t="s">
        <v>338</v>
      </c>
      <c r="C700" t="s">
        <v>331</v>
      </c>
      <c r="D700" t="str">
        <f>VLOOKUP(C700,'lookup table'!$A$2:$B$19,2,FALSE)</f>
        <v>FS Item</v>
      </c>
      <c r="E700" t="str">
        <f t="shared" si="10"/>
        <v>|FS Item</v>
      </c>
    </row>
    <row r="701" spans="1:5" x14ac:dyDescent="0.2">
      <c r="A701" t="s">
        <v>0</v>
      </c>
      <c r="B701" t="s">
        <v>338</v>
      </c>
      <c r="C701" t="s">
        <v>331</v>
      </c>
      <c r="D701" t="str">
        <f>VLOOKUP(C701,'lookup table'!$A$2:$B$19,2,FALSE)</f>
        <v>FS Item</v>
      </c>
      <c r="E701" t="str">
        <f t="shared" si="10"/>
        <v>|FS Item</v>
      </c>
    </row>
    <row r="702" spans="1:5" x14ac:dyDescent="0.2">
      <c r="A702" t="s">
        <v>0</v>
      </c>
      <c r="B702" t="s">
        <v>338</v>
      </c>
      <c r="C702" t="s">
        <v>331</v>
      </c>
      <c r="D702" t="str">
        <f>VLOOKUP(C702,'lookup table'!$A$2:$B$19,2,FALSE)</f>
        <v>FS Item</v>
      </c>
      <c r="E702" t="str">
        <f t="shared" si="10"/>
        <v>|FS Item</v>
      </c>
    </row>
    <row r="703" spans="1:5" x14ac:dyDescent="0.2">
      <c r="A703" t="s">
        <v>0</v>
      </c>
      <c r="B703" t="s">
        <v>332</v>
      </c>
      <c r="C703" t="s">
        <v>331</v>
      </c>
      <c r="D703" t="str">
        <f>VLOOKUP(C703,'lookup table'!$A$2:$B$19,2,FALSE)</f>
        <v>FS Item</v>
      </c>
      <c r="E703" t="str">
        <f t="shared" si="10"/>
        <v>|FS Item</v>
      </c>
    </row>
    <row r="704" spans="1:5" x14ac:dyDescent="0.2">
      <c r="A704" t="s">
        <v>0</v>
      </c>
      <c r="B704" t="s">
        <v>332</v>
      </c>
      <c r="C704" t="s">
        <v>331</v>
      </c>
      <c r="D704" t="str">
        <f>VLOOKUP(C704,'lookup table'!$A$2:$B$19,2,FALSE)</f>
        <v>FS Item</v>
      </c>
      <c r="E704" t="str">
        <f t="shared" si="10"/>
        <v>|FS Item</v>
      </c>
    </row>
    <row r="705" spans="1:5" x14ac:dyDescent="0.2">
      <c r="A705" t="s">
        <v>0</v>
      </c>
      <c r="B705" t="s">
        <v>334</v>
      </c>
      <c r="C705" t="s">
        <v>331</v>
      </c>
      <c r="D705" t="str">
        <f>VLOOKUP(C705,'lookup table'!$A$2:$B$19,2,FALSE)</f>
        <v>FS Item</v>
      </c>
      <c r="E705" t="str">
        <f t="shared" si="10"/>
        <v>|FS Item</v>
      </c>
    </row>
    <row r="706" spans="1:5" x14ac:dyDescent="0.2">
      <c r="A706" t="s">
        <v>0</v>
      </c>
      <c r="B706" t="s">
        <v>333</v>
      </c>
      <c r="C706" t="s">
        <v>331</v>
      </c>
      <c r="D706" t="str">
        <f>VLOOKUP(C706,'lookup table'!$A$2:$B$19,2,FALSE)</f>
        <v>FS Item</v>
      </c>
      <c r="E706" t="str">
        <f t="shared" si="10"/>
        <v>|FS Item</v>
      </c>
    </row>
    <row r="707" spans="1:5" x14ac:dyDescent="0.2">
      <c r="A707" t="s">
        <v>0</v>
      </c>
      <c r="B707" t="s">
        <v>71</v>
      </c>
      <c r="C707" t="s">
        <v>331</v>
      </c>
      <c r="D707" t="str">
        <f>VLOOKUP(C707,'lookup table'!$A$2:$B$19,2,FALSE)</f>
        <v>FS Item</v>
      </c>
      <c r="E707" t="str">
        <f t="shared" ref="E707:E770" si="11">IF(ISNA(D707),"",IF(A707="","",A707) &amp; "|" &amp; D707)</f>
        <v>|FS Item</v>
      </c>
    </row>
    <row r="708" spans="1:5" x14ac:dyDescent="0.2">
      <c r="A708" t="s">
        <v>0</v>
      </c>
      <c r="B708" t="s">
        <v>398</v>
      </c>
      <c r="C708" t="s">
        <v>331</v>
      </c>
      <c r="D708" t="str">
        <f>VLOOKUP(C708,'lookup table'!$A$2:$B$19,2,FALSE)</f>
        <v>FS Item</v>
      </c>
      <c r="E708" t="str">
        <f t="shared" si="11"/>
        <v>|FS Item</v>
      </c>
    </row>
    <row r="709" spans="1:5" x14ac:dyDescent="0.2">
      <c r="A709" t="s">
        <v>0</v>
      </c>
      <c r="B709" t="s">
        <v>224</v>
      </c>
      <c r="C709" t="s">
        <v>331</v>
      </c>
      <c r="D709" t="str">
        <f>VLOOKUP(C709,'lookup table'!$A$2:$B$19,2,FALSE)</f>
        <v>FS Item</v>
      </c>
      <c r="E709" t="str">
        <f t="shared" si="11"/>
        <v>|FS Item</v>
      </c>
    </row>
    <row r="710" spans="1:5" x14ac:dyDescent="0.2">
      <c r="A710" t="s">
        <v>0</v>
      </c>
      <c r="B710" t="s">
        <v>201</v>
      </c>
      <c r="C710" t="s">
        <v>331</v>
      </c>
      <c r="D710" t="str">
        <f>VLOOKUP(C710,'lookup table'!$A$2:$B$19,2,FALSE)</f>
        <v>FS Item</v>
      </c>
      <c r="E710" t="str">
        <f t="shared" si="11"/>
        <v>|FS Item</v>
      </c>
    </row>
    <row r="711" spans="1:5" x14ac:dyDescent="0.2">
      <c r="A711" t="s">
        <v>0</v>
      </c>
      <c r="B711" t="s">
        <v>383</v>
      </c>
      <c r="C711" t="s">
        <v>331</v>
      </c>
      <c r="D711" t="str">
        <f>VLOOKUP(C711,'lookup table'!$A$2:$B$19,2,FALSE)</f>
        <v>FS Item</v>
      </c>
      <c r="E711" t="str">
        <f t="shared" si="11"/>
        <v>|FS Item</v>
      </c>
    </row>
    <row r="712" spans="1:5" x14ac:dyDescent="0.2">
      <c r="A712" t="s">
        <v>0</v>
      </c>
      <c r="B712" t="s">
        <v>384</v>
      </c>
      <c r="C712" t="s">
        <v>331</v>
      </c>
      <c r="D712" t="str">
        <f>VLOOKUP(C712,'lookup table'!$A$2:$B$19,2,FALSE)</f>
        <v>FS Item</v>
      </c>
      <c r="E712" t="str">
        <f t="shared" si="11"/>
        <v>|FS Item</v>
      </c>
    </row>
    <row r="713" spans="1:5" x14ac:dyDescent="0.2">
      <c r="A713" t="s">
        <v>0</v>
      </c>
      <c r="B713" t="s">
        <v>385</v>
      </c>
      <c r="C713" t="s">
        <v>331</v>
      </c>
      <c r="D713" t="str">
        <f>VLOOKUP(C713,'lookup table'!$A$2:$B$19,2,FALSE)</f>
        <v>FS Item</v>
      </c>
      <c r="E713" t="str">
        <f t="shared" si="11"/>
        <v>|FS Item</v>
      </c>
    </row>
    <row r="714" spans="1:5" x14ac:dyDescent="0.2">
      <c r="A714" t="s">
        <v>0</v>
      </c>
      <c r="B714" t="s">
        <v>8</v>
      </c>
      <c r="C714" t="s">
        <v>331</v>
      </c>
      <c r="D714" t="str">
        <f>VLOOKUP(C714,'lookup table'!$A$2:$B$19,2,FALSE)</f>
        <v>FS Item</v>
      </c>
      <c r="E714" t="str">
        <f t="shared" si="11"/>
        <v>|FS Item</v>
      </c>
    </row>
    <row r="715" spans="1:5" x14ac:dyDescent="0.2">
      <c r="A715" t="s">
        <v>0</v>
      </c>
      <c r="B715" t="s">
        <v>399</v>
      </c>
      <c r="C715" t="s">
        <v>331</v>
      </c>
      <c r="D715" t="str">
        <f>VLOOKUP(C715,'lookup table'!$A$2:$B$19,2,FALSE)</f>
        <v>FS Item</v>
      </c>
      <c r="E715" t="str">
        <f t="shared" si="11"/>
        <v>|FS Item</v>
      </c>
    </row>
    <row r="716" spans="1:5" x14ac:dyDescent="0.2">
      <c r="A716" t="s">
        <v>0</v>
      </c>
      <c r="B716" t="s">
        <v>376</v>
      </c>
      <c r="C716" t="s">
        <v>331</v>
      </c>
      <c r="D716" t="str">
        <f>VLOOKUP(C716,'lookup table'!$A$2:$B$19,2,FALSE)</f>
        <v>FS Item</v>
      </c>
      <c r="E716" t="str">
        <f t="shared" si="11"/>
        <v>|FS Item</v>
      </c>
    </row>
    <row r="717" spans="1:5" x14ac:dyDescent="0.2">
      <c r="A717" t="s">
        <v>0</v>
      </c>
      <c r="B717" t="s">
        <v>399</v>
      </c>
      <c r="C717" t="s">
        <v>331</v>
      </c>
      <c r="D717" t="str">
        <f>VLOOKUP(C717,'lookup table'!$A$2:$B$19,2,FALSE)</f>
        <v>FS Item</v>
      </c>
      <c r="E717" t="str">
        <f t="shared" si="11"/>
        <v>|FS Item</v>
      </c>
    </row>
    <row r="718" spans="1:5" x14ac:dyDescent="0.2">
      <c r="A718" t="s">
        <v>0</v>
      </c>
      <c r="B718" t="s">
        <v>8</v>
      </c>
      <c r="C718" t="s">
        <v>331</v>
      </c>
      <c r="D718" t="str">
        <f>VLOOKUP(C718,'lookup table'!$A$2:$B$19,2,FALSE)</f>
        <v>FS Item</v>
      </c>
      <c r="E718" t="str">
        <f t="shared" si="11"/>
        <v>|FS Item</v>
      </c>
    </row>
    <row r="719" spans="1:5" x14ac:dyDescent="0.2">
      <c r="A719" t="s">
        <v>0</v>
      </c>
      <c r="B719" t="s">
        <v>400</v>
      </c>
      <c r="C719" t="s">
        <v>331</v>
      </c>
      <c r="D719" t="str">
        <f>VLOOKUP(C719,'lookup table'!$A$2:$B$19,2,FALSE)</f>
        <v>FS Item</v>
      </c>
      <c r="E719" t="str">
        <f t="shared" si="11"/>
        <v>|FS Item</v>
      </c>
    </row>
    <row r="720" spans="1:5" x14ac:dyDescent="0.2">
      <c r="A720" t="s">
        <v>0</v>
      </c>
      <c r="B720" t="s">
        <v>400</v>
      </c>
      <c r="C720" t="s">
        <v>331</v>
      </c>
      <c r="D720" t="str">
        <f>VLOOKUP(C720,'lookup table'!$A$2:$B$19,2,FALSE)</f>
        <v>FS Item</v>
      </c>
      <c r="E720" t="str">
        <f t="shared" si="11"/>
        <v>|FS Item</v>
      </c>
    </row>
    <row r="721" spans="1:5" x14ac:dyDescent="0.2">
      <c r="A721" t="s">
        <v>0</v>
      </c>
      <c r="B721" t="s">
        <v>400</v>
      </c>
      <c r="C721" t="s">
        <v>331</v>
      </c>
      <c r="D721" t="str">
        <f>VLOOKUP(C721,'lookup table'!$A$2:$B$19,2,FALSE)</f>
        <v>FS Item</v>
      </c>
      <c r="E721" t="str">
        <f t="shared" si="11"/>
        <v>|FS Item</v>
      </c>
    </row>
    <row r="722" spans="1:5" x14ac:dyDescent="0.2">
      <c r="A722" t="s">
        <v>0</v>
      </c>
      <c r="B722" t="s">
        <v>400</v>
      </c>
      <c r="C722" t="s">
        <v>331</v>
      </c>
      <c r="D722" t="str">
        <f>VLOOKUP(C722,'lookup table'!$A$2:$B$19,2,FALSE)</f>
        <v>FS Item</v>
      </c>
      <c r="E722" t="str">
        <f t="shared" si="11"/>
        <v>|FS Item</v>
      </c>
    </row>
    <row r="723" spans="1:5" x14ac:dyDescent="0.2">
      <c r="A723" t="s">
        <v>0</v>
      </c>
      <c r="B723" t="s">
        <v>400</v>
      </c>
      <c r="C723" t="s">
        <v>331</v>
      </c>
      <c r="D723" t="str">
        <f>VLOOKUP(C723,'lookup table'!$A$2:$B$19,2,FALSE)</f>
        <v>FS Item</v>
      </c>
      <c r="E723" t="str">
        <f t="shared" si="11"/>
        <v>|FS Item</v>
      </c>
    </row>
    <row r="724" spans="1:5" x14ac:dyDescent="0.2">
      <c r="A724" t="s">
        <v>0</v>
      </c>
      <c r="B724" t="s">
        <v>400</v>
      </c>
      <c r="C724" t="s">
        <v>331</v>
      </c>
      <c r="D724" t="str">
        <f>VLOOKUP(C724,'lookup table'!$A$2:$B$19,2,FALSE)</f>
        <v>FS Item</v>
      </c>
      <c r="E724" t="str">
        <f t="shared" si="11"/>
        <v>|FS Item</v>
      </c>
    </row>
    <row r="725" spans="1:5" x14ac:dyDescent="0.2">
      <c r="A725" t="s">
        <v>0</v>
      </c>
      <c r="B725" t="s">
        <v>333</v>
      </c>
      <c r="C725" t="s">
        <v>331</v>
      </c>
      <c r="D725" t="str">
        <f>VLOOKUP(C725,'lookup table'!$A$2:$B$19,2,FALSE)</f>
        <v>FS Item</v>
      </c>
      <c r="E725" t="str">
        <f t="shared" si="11"/>
        <v>|FS Item</v>
      </c>
    </row>
    <row r="726" spans="1:5" x14ac:dyDescent="0.2">
      <c r="A726" t="s">
        <v>0</v>
      </c>
      <c r="B726" t="s">
        <v>379</v>
      </c>
      <c r="C726" t="s">
        <v>331</v>
      </c>
      <c r="D726" t="str">
        <f>VLOOKUP(C726,'lookup table'!$A$2:$B$19,2,FALSE)</f>
        <v>FS Item</v>
      </c>
      <c r="E726" t="str">
        <f t="shared" si="11"/>
        <v>|FS Item</v>
      </c>
    </row>
    <row r="727" spans="1:5" x14ac:dyDescent="0.2">
      <c r="A727" t="s">
        <v>0</v>
      </c>
      <c r="B727" t="s">
        <v>401</v>
      </c>
      <c r="C727" t="s">
        <v>331</v>
      </c>
      <c r="D727" t="str">
        <f>VLOOKUP(C727,'lookup table'!$A$2:$B$19,2,FALSE)</f>
        <v>FS Item</v>
      </c>
      <c r="E727" t="str">
        <f t="shared" si="11"/>
        <v>|FS Item</v>
      </c>
    </row>
    <row r="728" spans="1:5" x14ac:dyDescent="0.2">
      <c r="A728" t="s">
        <v>0</v>
      </c>
      <c r="B728" t="s">
        <v>338</v>
      </c>
      <c r="C728" t="s">
        <v>331</v>
      </c>
      <c r="D728" t="str">
        <f>VLOOKUP(C728,'lookup table'!$A$2:$B$19,2,FALSE)</f>
        <v>FS Item</v>
      </c>
      <c r="E728" t="str">
        <f t="shared" si="11"/>
        <v>|FS Item</v>
      </c>
    </row>
    <row r="729" spans="1:5" x14ac:dyDescent="0.2">
      <c r="A729" t="s">
        <v>0</v>
      </c>
      <c r="B729" t="s">
        <v>402</v>
      </c>
      <c r="C729" t="s">
        <v>331</v>
      </c>
      <c r="D729" t="str">
        <f>VLOOKUP(C729,'lookup table'!$A$2:$B$19,2,FALSE)</f>
        <v>FS Item</v>
      </c>
      <c r="E729" t="str">
        <f t="shared" si="11"/>
        <v>|FS Item</v>
      </c>
    </row>
    <row r="730" spans="1:5" x14ac:dyDescent="0.2">
      <c r="A730" t="s">
        <v>0</v>
      </c>
      <c r="B730" t="s">
        <v>353</v>
      </c>
      <c r="C730" t="s">
        <v>331</v>
      </c>
      <c r="D730" t="str">
        <f>VLOOKUP(C730,'lookup table'!$A$2:$B$19,2,FALSE)</f>
        <v>FS Item</v>
      </c>
      <c r="E730" t="str">
        <f t="shared" si="11"/>
        <v>|FS Item</v>
      </c>
    </row>
    <row r="731" spans="1:5" x14ac:dyDescent="0.2">
      <c r="A731" t="s">
        <v>0</v>
      </c>
      <c r="B731" t="s">
        <v>353</v>
      </c>
      <c r="C731" t="s">
        <v>331</v>
      </c>
      <c r="D731" t="str">
        <f>VLOOKUP(C731,'lookup table'!$A$2:$B$19,2,FALSE)</f>
        <v>FS Item</v>
      </c>
      <c r="E731" t="str">
        <f t="shared" si="11"/>
        <v>|FS Item</v>
      </c>
    </row>
    <row r="732" spans="1:5" x14ac:dyDescent="0.2">
      <c r="A732" t="s">
        <v>0</v>
      </c>
      <c r="B732" t="s">
        <v>353</v>
      </c>
      <c r="C732" t="s">
        <v>331</v>
      </c>
      <c r="D732" t="str">
        <f>VLOOKUP(C732,'lookup table'!$A$2:$B$19,2,FALSE)</f>
        <v>FS Item</v>
      </c>
      <c r="E732" t="str">
        <f t="shared" si="11"/>
        <v>|FS Item</v>
      </c>
    </row>
    <row r="733" spans="1:5" x14ac:dyDescent="0.2">
      <c r="A733" t="s">
        <v>0</v>
      </c>
      <c r="B733" t="s">
        <v>353</v>
      </c>
      <c r="C733" t="s">
        <v>331</v>
      </c>
      <c r="D733" t="str">
        <f>VLOOKUP(C733,'lookup table'!$A$2:$B$19,2,FALSE)</f>
        <v>FS Item</v>
      </c>
      <c r="E733" t="str">
        <f t="shared" si="11"/>
        <v>|FS Item</v>
      </c>
    </row>
    <row r="734" spans="1:5" x14ac:dyDescent="0.2">
      <c r="A734" t="s">
        <v>0</v>
      </c>
      <c r="B734" t="s">
        <v>403</v>
      </c>
      <c r="C734" t="s">
        <v>331</v>
      </c>
      <c r="D734" t="str">
        <f>VLOOKUP(C734,'lookup table'!$A$2:$B$19,2,FALSE)</f>
        <v>FS Item</v>
      </c>
      <c r="E734" t="str">
        <f t="shared" si="11"/>
        <v>|FS Item</v>
      </c>
    </row>
    <row r="735" spans="1:5" x14ac:dyDescent="0.2">
      <c r="A735" t="s">
        <v>0</v>
      </c>
      <c r="B735" t="s">
        <v>335</v>
      </c>
      <c r="C735" t="s">
        <v>331</v>
      </c>
      <c r="D735" t="str">
        <f>VLOOKUP(C735,'lookup table'!$A$2:$B$19,2,FALSE)</f>
        <v>FS Item</v>
      </c>
      <c r="E735" t="str">
        <f t="shared" si="11"/>
        <v>|FS Item</v>
      </c>
    </row>
    <row r="736" spans="1:5" x14ac:dyDescent="0.2">
      <c r="A736" t="s">
        <v>0</v>
      </c>
      <c r="B736" t="s">
        <v>335</v>
      </c>
      <c r="C736" t="s">
        <v>331</v>
      </c>
      <c r="D736" t="str">
        <f>VLOOKUP(C736,'lookup table'!$A$2:$B$19,2,FALSE)</f>
        <v>FS Item</v>
      </c>
      <c r="E736" t="str">
        <f t="shared" si="11"/>
        <v>|FS Item</v>
      </c>
    </row>
    <row r="737" spans="1:5" x14ac:dyDescent="0.2">
      <c r="A737" t="s">
        <v>0</v>
      </c>
      <c r="B737" t="s">
        <v>335</v>
      </c>
      <c r="C737" t="s">
        <v>331</v>
      </c>
      <c r="D737" t="str">
        <f>VLOOKUP(C737,'lookup table'!$A$2:$B$19,2,FALSE)</f>
        <v>FS Item</v>
      </c>
      <c r="E737" t="str">
        <f t="shared" si="11"/>
        <v>|FS Item</v>
      </c>
    </row>
    <row r="738" spans="1:5" x14ac:dyDescent="0.2">
      <c r="A738" t="s">
        <v>0</v>
      </c>
      <c r="B738" t="s">
        <v>353</v>
      </c>
      <c r="C738" t="s">
        <v>331</v>
      </c>
      <c r="D738" t="str">
        <f>VLOOKUP(C738,'lookup table'!$A$2:$B$19,2,FALSE)</f>
        <v>FS Item</v>
      </c>
      <c r="E738" t="str">
        <f t="shared" si="11"/>
        <v>|FS Item</v>
      </c>
    </row>
    <row r="739" spans="1:5" x14ac:dyDescent="0.2">
      <c r="A739" t="s">
        <v>0</v>
      </c>
      <c r="B739" t="s">
        <v>338</v>
      </c>
      <c r="C739" t="s">
        <v>331</v>
      </c>
      <c r="D739" t="str">
        <f>VLOOKUP(C739,'lookup table'!$A$2:$B$19,2,FALSE)</f>
        <v>FS Item</v>
      </c>
      <c r="E739" t="str">
        <f t="shared" si="11"/>
        <v>|FS Item</v>
      </c>
    </row>
    <row r="740" spans="1:5" x14ac:dyDescent="0.2">
      <c r="A740" t="s">
        <v>0</v>
      </c>
      <c r="B740" t="s">
        <v>403</v>
      </c>
      <c r="C740" t="s">
        <v>331</v>
      </c>
      <c r="D740" t="str">
        <f>VLOOKUP(C740,'lookup table'!$A$2:$B$19,2,FALSE)</f>
        <v>FS Item</v>
      </c>
      <c r="E740" t="str">
        <f t="shared" si="11"/>
        <v>|FS Item</v>
      </c>
    </row>
    <row r="741" spans="1:5" x14ac:dyDescent="0.2">
      <c r="A741" t="s">
        <v>0</v>
      </c>
      <c r="B741" t="s">
        <v>400</v>
      </c>
      <c r="C741" t="s">
        <v>331</v>
      </c>
      <c r="D741" t="str">
        <f>VLOOKUP(C741,'lookup table'!$A$2:$B$19,2,FALSE)</f>
        <v>FS Item</v>
      </c>
      <c r="E741" t="str">
        <f t="shared" si="11"/>
        <v>|FS Item</v>
      </c>
    </row>
    <row r="742" spans="1:5" x14ac:dyDescent="0.2">
      <c r="A742" t="s">
        <v>0</v>
      </c>
      <c r="B742" t="s">
        <v>404</v>
      </c>
      <c r="C742" t="s">
        <v>331</v>
      </c>
      <c r="D742" t="str">
        <f>VLOOKUP(C742,'lookup table'!$A$2:$B$19,2,FALSE)</f>
        <v>FS Item</v>
      </c>
      <c r="E742" t="str">
        <f t="shared" si="11"/>
        <v>|FS Item</v>
      </c>
    </row>
    <row r="743" spans="1:5" x14ac:dyDescent="0.2">
      <c r="A743" t="s">
        <v>0</v>
      </c>
      <c r="B743" t="s">
        <v>338</v>
      </c>
      <c r="C743" t="s">
        <v>331</v>
      </c>
      <c r="D743" t="str">
        <f>VLOOKUP(C743,'lookup table'!$A$2:$B$19,2,FALSE)</f>
        <v>FS Item</v>
      </c>
      <c r="E743" t="str">
        <f t="shared" si="11"/>
        <v>|FS Item</v>
      </c>
    </row>
    <row r="744" spans="1:5" x14ac:dyDescent="0.2">
      <c r="A744" t="s">
        <v>0</v>
      </c>
      <c r="B744" t="s">
        <v>404</v>
      </c>
      <c r="C744" t="s">
        <v>331</v>
      </c>
      <c r="D744" t="str">
        <f>VLOOKUP(C744,'lookup table'!$A$2:$B$19,2,FALSE)</f>
        <v>FS Item</v>
      </c>
      <c r="E744" t="str">
        <f t="shared" si="11"/>
        <v>|FS Item</v>
      </c>
    </row>
    <row r="745" spans="1:5" x14ac:dyDescent="0.2">
      <c r="A745" t="s">
        <v>0</v>
      </c>
      <c r="B745" t="s">
        <v>405</v>
      </c>
      <c r="C745" t="s">
        <v>331</v>
      </c>
      <c r="D745" t="str">
        <f>VLOOKUP(C745,'lookup table'!$A$2:$B$19,2,FALSE)</f>
        <v>FS Item</v>
      </c>
      <c r="E745" t="str">
        <f t="shared" si="11"/>
        <v>|FS Item</v>
      </c>
    </row>
    <row r="746" spans="1:5" x14ac:dyDescent="0.2">
      <c r="A746" t="s">
        <v>0</v>
      </c>
      <c r="B746" t="s">
        <v>406</v>
      </c>
      <c r="C746" t="s">
        <v>331</v>
      </c>
      <c r="D746" t="str">
        <f>VLOOKUP(C746,'lookup table'!$A$2:$B$19,2,FALSE)</f>
        <v>FS Item</v>
      </c>
      <c r="E746" t="str">
        <f t="shared" si="11"/>
        <v>|FS Item</v>
      </c>
    </row>
    <row r="747" spans="1:5" x14ac:dyDescent="0.2">
      <c r="A747" t="s">
        <v>0</v>
      </c>
      <c r="B747" t="s">
        <v>333</v>
      </c>
      <c r="C747" t="s">
        <v>331</v>
      </c>
      <c r="D747" t="str">
        <f>VLOOKUP(C747,'lookup table'!$A$2:$B$19,2,FALSE)</f>
        <v>FS Item</v>
      </c>
      <c r="E747" t="str">
        <f t="shared" si="11"/>
        <v>|FS Item</v>
      </c>
    </row>
    <row r="748" spans="1:5" x14ac:dyDescent="0.2">
      <c r="A748" t="s">
        <v>0</v>
      </c>
      <c r="B748" t="s">
        <v>407</v>
      </c>
      <c r="C748" t="s">
        <v>331</v>
      </c>
      <c r="D748" t="str">
        <f>VLOOKUP(C748,'lookup table'!$A$2:$B$19,2,FALSE)</f>
        <v>FS Item</v>
      </c>
      <c r="E748" t="str">
        <f t="shared" si="11"/>
        <v>|FS Item</v>
      </c>
    </row>
    <row r="749" spans="1:5" x14ac:dyDescent="0.2">
      <c r="A749" t="s">
        <v>0</v>
      </c>
      <c r="B749" t="s">
        <v>15</v>
      </c>
      <c r="C749" t="s">
        <v>331</v>
      </c>
      <c r="D749" t="str">
        <f>VLOOKUP(C749,'lookup table'!$A$2:$B$19,2,FALSE)</f>
        <v>FS Item</v>
      </c>
      <c r="E749" t="str">
        <f t="shared" si="11"/>
        <v>|FS Item</v>
      </c>
    </row>
    <row r="750" spans="1:5" x14ac:dyDescent="0.2">
      <c r="A750" t="s">
        <v>0</v>
      </c>
      <c r="B750" t="s">
        <v>15</v>
      </c>
      <c r="C750" t="s">
        <v>331</v>
      </c>
      <c r="D750" t="str">
        <f>VLOOKUP(C750,'lookup table'!$A$2:$B$19,2,FALSE)</f>
        <v>FS Item</v>
      </c>
      <c r="E750" t="str">
        <f t="shared" si="11"/>
        <v>|FS Item</v>
      </c>
    </row>
    <row r="751" spans="1:5" x14ac:dyDescent="0.2">
      <c r="A751" t="s">
        <v>0</v>
      </c>
      <c r="B751" t="s">
        <v>408</v>
      </c>
      <c r="C751" t="s">
        <v>331</v>
      </c>
      <c r="D751" t="str">
        <f>VLOOKUP(C751,'lookup table'!$A$2:$B$19,2,FALSE)</f>
        <v>FS Item</v>
      </c>
      <c r="E751" t="str">
        <f t="shared" si="11"/>
        <v>|FS Item</v>
      </c>
    </row>
    <row r="752" spans="1:5" x14ac:dyDescent="0.2">
      <c r="A752" t="s">
        <v>0</v>
      </c>
      <c r="B752" t="s">
        <v>408</v>
      </c>
      <c r="C752" t="s">
        <v>331</v>
      </c>
      <c r="D752" t="str">
        <f>VLOOKUP(C752,'lookup table'!$A$2:$B$19,2,FALSE)</f>
        <v>FS Item</v>
      </c>
      <c r="E752" t="str">
        <f t="shared" si="11"/>
        <v>|FS Item</v>
      </c>
    </row>
    <row r="753" spans="1:5" x14ac:dyDescent="0.2">
      <c r="A753" t="s">
        <v>0</v>
      </c>
      <c r="B753" t="s">
        <v>409</v>
      </c>
      <c r="C753" t="s">
        <v>331</v>
      </c>
      <c r="D753" t="str">
        <f>VLOOKUP(C753,'lookup table'!$A$2:$B$19,2,FALSE)</f>
        <v>FS Item</v>
      </c>
      <c r="E753" t="str">
        <f t="shared" si="11"/>
        <v>|FS Item</v>
      </c>
    </row>
    <row r="754" spans="1:5" x14ac:dyDescent="0.2">
      <c r="A754" t="s">
        <v>0</v>
      </c>
      <c r="B754" t="s">
        <v>409</v>
      </c>
      <c r="C754" t="s">
        <v>331</v>
      </c>
      <c r="D754" t="str">
        <f>VLOOKUP(C754,'lookup table'!$A$2:$B$19,2,FALSE)</f>
        <v>FS Item</v>
      </c>
      <c r="E754" t="str">
        <f t="shared" si="11"/>
        <v>|FS Item</v>
      </c>
    </row>
    <row r="755" spans="1:5" x14ac:dyDescent="0.2">
      <c r="A755" t="s">
        <v>0</v>
      </c>
      <c r="B755" t="s">
        <v>409</v>
      </c>
      <c r="C755" t="s">
        <v>331</v>
      </c>
      <c r="D755" t="str">
        <f>VLOOKUP(C755,'lookup table'!$A$2:$B$19,2,FALSE)</f>
        <v>FS Item</v>
      </c>
      <c r="E755" t="str">
        <f t="shared" si="11"/>
        <v>|FS Item</v>
      </c>
    </row>
    <row r="756" spans="1:5" x14ac:dyDescent="0.2">
      <c r="A756" t="s">
        <v>0</v>
      </c>
      <c r="B756" t="s">
        <v>334</v>
      </c>
      <c r="C756" t="s">
        <v>331</v>
      </c>
      <c r="D756" t="str">
        <f>VLOOKUP(C756,'lookup table'!$A$2:$B$19,2,FALSE)</f>
        <v>FS Item</v>
      </c>
      <c r="E756" t="str">
        <f t="shared" si="11"/>
        <v>|FS Item</v>
      </c>
    </row>
    <row r="757" spans="1:5" x14ac:dyDescent="0.2">
      <c r="A757" t="s">
        <v>0</v>
      </c>
      <c r="B757" t="s">
        <v>401</v>
      </c>
      <c r="C757" t="s">
        <v>331</v>
      </c>
      <c r="D757" t="str">
        <f>VLOOKUP(C757,'lookup table'!$A$2:$B$19,2,FALSE)</f>
        <v>FS Item</v>
      </c>
      <c r="E757" t="str">
        <f t="shared" si="11"/>
        <v>|FS Item</v>
      </c>
    </row>
    <row r="758" spans="1:5" x14ac:dyDescent="0.2">
      <c r="A758" t="s">
        <v>0</v>
      </c>
      <c r="B758" t="s">
        <v>405</v>
      </c>
      <c r="C758" t="s">
        <v>331</v>
      </c>
      <c r="D758" t="str">
        <f>VLOOKUP(C758,'lookup table'!$A$2:$B$19,2,FALSE)</f>
        <v>FS Item</v>
      </c>
      <c r="E758" t="str">
        <f t="shared" si="11"/>
        <v>|FS Item</v>
      </c>
    </row>
    <row r="759" spans="1:5" x14ac:dyDescent="0.2">
      <c r="A759" t="s">
        <v>0</v>
      </c>
      <c r="B759" t="s">
        <v>406</v>
      </c>
      <c r="C759" t="s">
        <v>331</v>
      </c>
      <c r="D759" t="str">
        <f>VLOOKUP(C759,'lookup table'!$A$2:$B$19,2,FALSE)</f>
        <v>FS Item</v>
      </c>
      <c r="E759" t="str">
        <f t="shared" si="11"/>
        <v>|FS Item</v>
      </c>
    </row>
    <row r="760" spans="1:5" x14ac:dyDescent="0.2">
      <c r="A760" t="s">
        <v>0</v>
      </c>
      <c r="B760" t="s">
        <v>410</v>
      </c>
      <c r="C760" t="s">
        <v>331</v>
      </c>
      <c r="D760" t="str">
        <f>VLOOKUP(C760,'lookup table'!$A$2:$B$19,2,FALSE)</f>
        <v>FS Item</v>
      </c>
      <c r="E760" t="str">
        <f t="shared" si="11"/>
        <v>|FS Item</v>
      </c>
    </row>
    <row r="761" spans="1:5" x14ac:dyDescent="0.2">
      <c r="A761" t="s">
        <v>0</v>
      </c>
      <c r="B761" t="s">
        <v>410</v>
      </c>
      <c r="C761" t="s">
        <v>331</v>
      </c>
      <c r="D761" t="str">
        <f>VLOOKUP(C761,'lookup table'!$A$2:$B$19,2,FALSE)</f>
        <v>FS Item</v>
      </c>
      <c r="E761" t="str">
        <f t="shared" si="11"/>
        <v>|FS Item</v>
      </c>
    </row>
    <row r="762" spans="1:5" x14ac:dyDescent="0.2">
      <c r="A762" t="s">
        <v>0</v>
      </c>
      <c r="B762" t="s">
        <v>338</v>
      </c>
      <c r="C762" t="s">
        <v>331</v>
      </c>
      <c r="D762" t="str">
        <f>VLOOKUP(C762,'lookup table'!$A$2:$B$19,2,FALSE)</f>
        <v>FS Item</v>
      </c>
      <c r="E762" t="str">
        <f t="shared" si="11"/>
        <v>|FS Item</v>
      </c>
    </row>
    <row r="763" spans="1:5" x14ac:dyDescent="0.2">
      <c r="A763" t="s">
        <v>0</v>
      </c>
      <c r="B763" t="s">
        <v>338</v>
      </c>
      <c r="C763" t="s">
        <v>331</v>
      </c>
      <c r="D763" t="str">
        <f>VLOOKUP(C763,'lookup table'!$A$2:$B$19,2,FALSE)</f>
        <v>FS Item</v>
      </c>
      <c r="E763" t="str">
        <f t="shared" si="11"/>
        <v>|FS Item</v>
      </c>
    </row>
    <row r="764" spans="1:5" x14ac:dyDescent="0.2">
      <c r="A764" t="s">
        <v>0</v>
      </c>
      <c r="B764" t="s">
        <v>411</v>
      </c>
      <c r="C764" t="s">
        <v>331</v>
      </c>
      <c r="D764" t="str">
        <f>VLOOKUP(C764,'lookup table'!$A$2:$B$19,2,FALSE)</f>
        <v>FS Item</v>
      </c>
      <c r="E764" t="str">
        <f t="shared" si="11"/>
        <v>|FS Item</v>
      </c>
    </row>
    <row r="765" spans="1:5" x14ac:dyDescent="0.2">
      <c r="A765" t="s">
        <v>0</v>
      </c>
      <c r="B765" t="s">
        <v>379</v>
      </c>
      <c r="C765" t="s">
        <v>331</v>
      </c>
      <c r="D765" t="str">
        <f>VLOOKUP(C765,'lookup table'!$A$2:$B$19,2,FALSE)</f>
        <v>FS Item</v>
      </c>
      <c r="E765" t="str">
        <f t="shared" si="11"/>
        <v>|FS Item</v>
      </c>
    </row>
    <row r="766" spans="1:5" x14ac:dyDescent="0.2">
      <c r="A766" t="s">
        <v>0</v>
      </c>
      <c r="B766" t="s">
        <v>412</v>
      </c>
      <c r="C766" t="s">
        <v>331</v>
      </c>
      <c r="D766" t="str">
        <f>VLOOKUP(C766,'lookup table'!$A$2:$B$19,2,FALSE)</f>
        <v>FS Item</v>
      </c>
      <c r="E766" t="str">
        <f t="shared" si="11"/>
        <v>|FS Item</v>
      </c>
    </row>
    <row r="767" spans="1:5" x14ac:dyDescent="0.2">
      <c r="A767" t="s">
        <v>0</v>
      </c>
      <c r="B767" t="s">
        <v>380</v>
      </c>
      <c r="C767" t="s">
        <v>331</v>
      </c>
      <c r="D767" t="str">
        <f>VLOOKUP(C767,'lookup table'!$A$2:$B$19,2,FALSE)</f>
        <v>FS Item</v>
      </c>
      <c r="E767" t="str">
        <f t="shared" si="11"/>
        <v>|FS Item</v>
      </c>
    </row>
    <row r="768" spans="1:5" x14ac:dyDescent="0.2">
      <c r="A768" t="s">
        <v>0</v>
      </c>
      <c r="B768" t="s">
        <v>413</v>
      </c>
      <c r="C768" t="s">
        <v>331</v>
      </c>
      <c r="D768" t="str">
        <f>VLOOKUP(C768,'lookup table'!$A$2:$B$19,2,FALSE)</f>
        <v>FS Item</v>
      </c>
      <c r="E768" t="str">
        <f t="shared" si="11"/>
        <v>|FS Item</v>
      </c>
    </row>
    <row r="769" spans="1:5" x14ac:dyDescent="0.2">
      <c r="A769" t="s">
        <v>0</v>
      </c>
      <c r="B769" t="s">
        <v>413</v>
      </c>
      <c r="C769" t="s">
        <v>331</v>
      </c>
      <c r="D769" t="str">
        <f>VLOOKUP(C769,'lookup table'!$A$2:$B$19,2,FALSE)</f>
        <v>FS Item</v>
      </c>
      <c r="E769" t="str">
        <f t="shared" si="11"/>
        <v>|FS Item</v>
      </c>
    </row>
    <row r="770" spans="1:5" x14ac:dyDescent="0.2">
      <c r="A770" t="s">
        <v>0</v>
      </c>
      <c r="B770" t="s">
        <v>332</v>
      </c>
      <c r="C770" t="s">
        <v>331</v>
      </c>
      <c r="D770" t="str">
        <f>VLOOKUP(C770,'lookup table'!$A$2:$B$19,2,FALSE)</f>
        <v>FS Item</v>
      </c>
      <c r="E770" t="str">
        <f t="shared" si="11"/>
        <v>|FS Item</v>
      </c>
    </row>
    <row r="771" spans="1:5" x14ac:dyDescent="0.2">
      <c r="A771" t="s">
        <v>0</v>
      </c>
      <c r="B771" t="s">
        <v>332</v>
      </c>
      <c r="C771" t="s">
        <v>331</v>
      </c>
      <c r="D771" t="str">
        <f>VLOOKUP(C771,'lookup table'!$A$2:$B$19,2,FALSE)</f>
        <v>FS Item</v>
      </c>
      <c r="E771" t="str">
        <f t="shared" ref="E771:E834" si="12">IF(ISNA(D771),"",IF(A771="","",A771) &amp; "|" &amp; D771)</f>
        <v>|FS Item</v>
      </c>
    </row>
    <row r="772" spans="1:5" x14ac:dyDescent="0.2">
      <c r="A772" t="s">
        <v>0</v>
      </c>
      <c r="B772" t="s">
        <v>200</v>
      </c>
      <c r="C772" t="s">
        <v>331</v>
      </c>
      <c r="D772" t="str">
        <f>VLOOKUP(C772,'lookup table'!$A$2:$B$19,2,FALSE)</f>
        <v>FS Item</v>
      </c>
      <c r="E772" t="str">
        <f t="shared" si="12"/>
        <v>|FS Item</v>
      </c>
    </row>
    <row r="773" spans="1:5" x14ac:dyDescent="0.2">
      <c r="A773" t="s">
        <v>0</v>
      </c>
      <c r="B773" t="s">
        <v>129</v>
      </c>
      <c r="C773" t="s">
        <v>331</v>
      </c>
      <c r="D773" t="str">
        <f>VLOOKUP(C773,'lookup table'!$A$2:$B$19,2,FALSE)</f>
        <v>FS Item</v>
      </c>
      <c r="E773" t="str">
        <f t="shared" si="12"/>
        <v>|FS Item</v>
      </c>
    </row>
    <row r="774" spans="1:5" x14ac:dyDescent="0.2">
      <c r="A774" t="s">
        <v>0</v>
      </c>
      <c r="B774" t="s">
        <v>338</v>
      </c>
      <c r="C774" t="s">
        <v>331</v>
      </c>
      <c r="D774" t="str">
        <f>VLOOKUP(C774,'lookup table'!$A$2:$B$19,2,FALSE)</f>
        <v>FS Item</v>
      </c>
      <c r="E774" t="str">
        <f t="shared" si="12"/>
        <v>|FS Item</v>
      </c>
    </row>
    <row r="775" spans="1:5" x14ac:dyDescent="0.2">
      <c r="A775" t="s">
        <v>0</v>
      </c>
      <c r="B775" t="s">
        <v>354</v>
      </c>
      <c r="C775" t="s">
        <v>331</v>
      </c>
      <c r="D775" t="str">
        <f>VLOOKUP(C775,'lookup table'!$A$2:$B$19,2,FALSE)</f>
        <v>FS Item</v>
      </c>
      <c r="E775" t="str">
        <f t="shared" si="12"/>
        <v>|FS Item</v>
      </c>
    </row>
    <row r="776" spans="1:5" x14ac:dyDescent="0.2">
      <c r="A776" t="s">
        <v>0</v>
      </c>
      <c r="B776" t="s">
        <v>355</v>
      </c>
      <c r="C776" t="s">
        <v>331</v>
      </c>
      <c r="D776" t="str">
        <f>VLOOKUP(C776,'lookup table'!$A$2:$B$19,2,FALSE)</f>
        <v>FS Item</v>
      </c>
      <c r="E776" t="str">
        <f t="shared" si="12"/>
        <v>|FS Item</v>
      </c>
    </row>
    <row r="777" spans="1:5" x14ac:dyDescent="0.2">
      <c r="A777" t="s">
        <v>0</v>
      </c>
      <c r="B777" t="s">
        <v>356</v>
      </c>
      <c r="C777" t="s">
        <v>331</v>
      </c>
      <c r="D777" t="str">
        <f>VLOOKUP(C777,'lookup table'!$A$2:$B$19,2,FALSE)</f>
        <v>FS Item</v>
      </c>
      <c r="E777" t="str">
        <f t="shared" si="12"/>
        <v>|FS Item</v>
      </c>
    </row>
    <row r="778" spans="1:5" x14ac:dyDescent="0.2">
      <c r="A778" t="s">
        <v>0</v>
      </c>
      <c r="B778" t="s">
        <v>357</v>
      </c>
      <c r="C778" t="s">
        <v>331</v>
      </c>
      <c r="D778" t="str">
        <f>VLOOKUP(C778,'lookup table'!$A$2:$B$19,2,FALSE)</f>
        <v>FS Item</v>
      </c>
      <c r="E778" t="str">
        <f t="shared" si="12"/>
        <v>|FS Item</v>
      </c>
    </row>
    <row r="779" spans="1:5" x14ac:dyDescent="0.2">
      <c r="A779" t="s">
        <v>0</v>
      </c>
      <c r="B779" t="s">
        <v>358</v>
      </c>
      <c r="C779" t="s">
        <v>331</v>
      </c>
      <c r="D779" t="str">
        <f>VLOOKUP(C779,'lookup table'!$A$2:$B$19,2,FALSE)</f>
        <v>FS Item</v>
      </c>
      <c r="E779" t="str">
        <f t="shared" si="12"/>
        <v>|FS Item</v>
      </c>
    </row>
    <row r="780" spans="1:5" x14ac:dyDescent="0.2">
      <c r="A780" t="s">
        <v>0</v>
      </c>
      <c r="B780" t="s">
        <v>359</v>
      </c>
      <c r="C780" t="s">
        <v>331</v>
      </c>
      <c r="D780" t="str">
        <f>VLOOKUP(C780,'lookup table'!$A$2:$B$19,2,FALSE)</f>
        <v>FS Item</v>
      </c>
      <c r="E780" t="str">
        <f t="shared" si="12"/>
        <v>|FS Item</v>
      </c>
    </row>
    <row r="781" spans="1:5" x14ac:dyDescent="0.2">
      <c r="A781" t="s">
        <v>0</v>
      </c>
      <c r="B781" t="s">
        <v>360</v>
      </c>
      <c r="C781" t="s">
        <v>331</v>
      </c>
      <c r="D781" t="str">
        <f>VLOOKUP(C781,'lookup table'!$A$2:$B$19,2,FALSE)</f>
        <v>FS Item</v>
      </c>
      <c r="E781" t="str">
        <f t="shared" si="12"/>
        <v>|FS Item</v>
      </c>
    </row>
    <row r="782" spans="1:5" x14ac:dyDescent="0.2">
      <c r="A782" t="s">
        <v>0</v>
      </c>
      <c r="B782" t="s">
        <v>361</v>
      </c>
      <c r="C782" t="s">
        <v>331</v>
      </c>
      <c r="D782" t="str">
        <f>VLOOKUP(C782,'lookup table'!$A$2:$B$19,2,FALSE)</f>
        <v>FS Item</v>
      </c>
      <c r="E782" t="str">
        <f t="shared" si="12"/>
        <v>|FS Item</v>
      </c>
    </row>
    <row r="783" spans="1:5" x14ac:dyDescent="0.2">
      <c r="A783" t="s">
        <v>0</v>
      </c>
      <c r="B783" t="s">
        <v>362</v>
      </c>
      <c r="C783" t="s">
        <v>331</v>
      </c>
      <c r="D783" t="str">
        <f>VLOOKUP(C783,'lookup table'!$A$2:$B$19,2,FALSE)</f>
        <v>FS Item</v>
      </c>
      <c r="E783" t="str">
        <f t="shared" si="12"/>
        <v>|FS Item</v>
      </c>
    </row>
    <row r="784" spans="1:5" x14ac:dyDescent="0.2">
      <c r="A784" t="s">
        <v>0</v>
      </c>
      <c r="B784" t="s">
        <v>363</v>
      </c>
      <c r="C784" t="s">
        <v>331</v>
      </c>
      <c r="D784" t="str">
        <f>VLOOKUP(C784,'lookup table'!$A$2:$B$19,2,FALSE)</f>
        <v>FS Item</v>
      </c>
      <c r="E784" t="str">
        <f t="shared" si="12"/>
        <v>|FS Item</v>
      </c>
    </row>
    <row r="785" spans="1:5" x14ac:dyDescent="0.2">
      <c r="A785" t="s">
        <v>0</v>
      </c>
      <c r="B785" t="s">
        <v>364</v>
      </c>
      <c r="C785" t="s">
        <v>331</v>
      </c>
      <c r="D785" t="str">
        <f>VLOOKUP(C785,'lookup table'!$A$2:$B$19,2,FALSE)</f>
        <v>FS Item</v>
      </c>
      <c r="E785" t="str">
        <f t="shared" si="12"/>
        <v>|FS Item</v>
      </c>
    </row>
    <row r="786" spans="1:5" x14ac:dyDescent="0.2">
      <c r="A786" t="s">
        <v>0</v>
      </c>
      <c r="B786" t="s">
        <v>365</v>
      </c>
      <c r="C786" t="s">
        <v>331</v>
      </c>
      <c r="D786" t="str">
        <f>VLOOKUP(C786,'lookup table'!$A$2:$B$19,2,FALSE)</f>
        <v>FS Item</v>
      </c>
      <c r="E786" t="str">
        <f t="shared" si="12"/>
        <v>|FS Item</v>
      </c>
    </row>
    <row r="787" spans="1:5" x14ac:dyDescent="0.2">
      <c r="A787" t="s">
        <v>0</v>
      </c>
      <c r="B787" t="s">
        <v>366</v>
      </c>
      <c r="C787" t="s">
        <v>331</v>
      </c>
      <c r="D787" t="str">
        <f>VLOOKUP(C787,'lookup table'!$A$2:$B$19,2,FALSE)</f>
        <v>FS Item</v>
      </c>
      <c r="E787" t="str">
        <f t="shared" si="12"/>
        <v>|FS Item</v>
      </c>
    </row>
    <row r="788" spans="1:5" x14ac:dyDescent="0.2">
      <c r="A788" t="s">
        <v>0</v>
      </c>
      <c r="B788" t="s">
        <v>367</v>
      </c>
      <c r="C788" t="s">
        <v>331</v>
      </c>
      <c r="D788" t="str">
        <f>VLOOKUP(C788,'lookup table'!$A$2:$B$19,2,FALSE)</f>
        <v>FS Item</v>
      </c>
      <c r="E788" t="str">
        <f t="shared" si="12"/>
        <v>|FS Item</v>
      </c>
    </row>
    <row r="789" spans="1:5" x14ac:dyDescent="0.2">
      <c r="A789" t="s">
        <v>0</v>
      </c>
      <c r="B789" t="s">
        <v>368</v>
      </c>
      <c r="C789" t="s">
        <v>331</v>
      </c>
      <c r="D789" t="str">
        <f>VLOOKUP(C789,'lookup table'!$A$2:$B$19,2,FALSE)</f>
        <v>FS Item</v>
      </c>
      <c r="E789" t="str">
        <f t="shared" si="12"/>
        <v>|FS Item</v>
      </c>
    </row>
    <row r="790" spans="1:5" x14ac:dyDescent="0.2">
      <c r="A790" t="s">
        <v>0</v>
      </c>
      <c r="B790" t="s">
        <v>332</v>
      </c>
      <c r="C790" t="s">
        <v>331</v>
      </c>
      <c r="D790" t="str">
        <f>VLOOKUP(C790,'lookup table'!$A$2:$B$19,2,FALSE)</f>
        <v>FS Item</v>
      </c>
      <c r="E790" t="str">
        <f t="shared" si="12"/>
        <v>|FS Item</v>
      </c>
    </row>
    <row r="791" spans="1:5" x14ac:dyDescent="0.2">
      <c r="A791" t="s">
        <v>0</v>
      </c>
      <c r="B791" t="s">
        <v>130</v>
      </c>
      <c r="C791" t="s">
        <v>331</v>
      </c>
      <c r="D791" t="str">
        <f>VLOOKUP(C791,'lookup table'!$A$2:$B$19,2,FALSE)</f>
        <v>FS Item</v>
      </c>
      <c r="E791" t="str">
        <f t="shared" si="12"/>
        <v>|FS Item</v>
      </c>
    </row>
    <row r="792" spans="1:5" x14ac:dyDescent="0.2">
      <c r="A792" t="s">
        <v>0</v>
      </c>
      <c r="B792" t="s">
        <v>130</v>
      </c>
      <c r="C792" t="s">
        <v>331</v>
      </c>
      <c r="D792" t="str">
        <f>VLOOKUP(C792,'lookup table'!$A$2:$B$19,2,FALSE)</f>
        <v>FS Item</v>
      </c>
      <c r="E792" t="str">
        <f t="shared" si="12"/>
        <v>|FS Item</v>
      </c>
    </row>
    <row r="793" spans="1:5" x14ac:dyDescent="0.2">
      <c r="A793" t="s">
        <v>0</v>
      </c>
      <c r="B793" t="s">
        <v>131</v>
      </c>
      <c r="C793" t="s">
        <v>331</v>
      </c>
      <c r="D793" t="str">
        <f>VLOOKUP(C793,'lookup table'!$A$2:$B$19,2,FALSE)</f>
        <v>FS Item</v>
      </c>
      <c r="E793" t="str">
        <f t="shared" si="12"/>
        <v>|FS Item</v>
      </c>
    </row>
    <row r="794" spans="1:5" x14ac:dyDescent="0.2">
      <c r="A794" t="s">
        <v>0</v>
      </c>
      <c r="B794" t="s">
        <v>369</v>
      </c>
      <c r="C794" t="s">
        <v>331</v>
      </c>
      <c r="D794" t="str">
        <f>VLOOKUP(C794,'lookup table'!$A$2:$B$19,2,FALSE)</f>
        <v>FS Item</v>
      </c>
      <c r="E794" t="str">
        <f t="shared" si="12"/>
        <v>|FS Item</v>
      </c>
    </row>
    <row r="795" spans="1:5" x14ac:dyDescent="0.2">
      <c r="A795" t="s">
        <v>0</v>
      </c>
      <c r="B795" t="s">
        <v>370</v>
      </c>
      <c r="C795" t="s">
        <v>331</v>
      </c>
      <c r="D795" t="str">
        <f>VLOOKUP(C795,'lookup table'!$A$2:$B$19,2,FALSE)</f>
        <v>FS Item</v>
      </c>
      <c r="E795" t="str">
        <f t="shared" si="12"/>
        <v>|FS Item</v>
      </c>
    </row>
    <row r="796" spans="1:5" x14ac:dyDescent="0.2">
      <c r="A796" t="s">
        <v>0</v>
      </c>
      <c r="B796" t="s">
        <v>200</v>
      </c>
      <c r="C796" t="s">
        <v>331</v>
      </c>
      <c r="D796" t="str">
        <f>VLOOKUP(C796,'lookup table'!$A$2:$B$19,2,FALSE)</f>
        <v>FS Item</v>
      </c>
      <c r="E796" t="str">
        <f t="shared" si="12"/>
        <v>|FS Item</v>
      </c>
    </row>
    <row r="797" spans="1:5" x14ac:dyDescent="0.2">
      <c r="A797" t="s">
        <v>0</v>
      </c>
      <c r="B797" t="s">
        <v>402</v>
      </c>
      <c r="C797" t="s">
        <v>331</v>
      </c>
      <c r="D797" t="str">
        <f>VLOOKUP(C797,'lookup table'!$A$2:$B$19,2,FALSE)</f>
        <v>FS Item</v>
      </c>
      <c r="E797" t="str">
        <f t="shared" si="12"/>
        <v>|FS Item</v>
      </c>
    </row>
    <row r="798" spans="1:5" x14ac:dyDescent="0.2">
      <c r="A798" t="s">
        <v>0</v>
      </c>
      <c r="B798" t="s">
        <v>338</v>
      </c>
      <c r="C798" t="s">
        <v>331</v>
      </c>
      <c r="D798" t="str">
        <f>VLOOKUP(C798,'lookup table'!$A$2:$B$19,2,FALSE)</f>
        <v>FS Item</v>
      </c>
      <c r="E798" t="str">
        <f t="shared" si="12"/>
        <v>|FS Item</v>
      </c>
    </row>
    <row r="799" spans="1:5" x14ac:dyDescent="0.2">
      <c r="A799" t="s">
        <v>0</v>
      </c>
      <c r="B799" t="s">
        <v>333</v>
      </c>
      <c r="C799" t="s">
        <v>331</v>
      </c>
      <c r="D799" t="str">
        <f>VLOOKUP(C799,'lookup table'!$A$2:$B$19,2,FALSE)</f>
        <v>FS Item</v>
      </c>
      <c r="E799" t="str">
        <f t="shared" si="12"/>
        <v>|FS Item</v>
      </c>
    </row>
    <row r="800" spans="1:5" x14ac:dyDescent="0.2">
      <c r="A800" t="s">
        <v>0</v>
      </c>
      <c r="B800" t="s">
        <v>106</v>
      </c>
      <c r="C800" t="s">
        <v>331</v>
      </c>
      <c r="D800" t="str">
        <f>VLOOKUP(C800,'lookup table'!$A$2:$B$19,2,FALSE)</f>
        <v>FS Item</v>
      </c>
      <c r="E800" t="str">
        <f t="shared" si="12"/>
        <v>|FS Item</v>
      </c>
    </row>
    <row r="801" spans="1:5" x14ac:dyDescent="0.2">
      <c r="A801" t="s">
        <v>0</v>
      </c>
      <c r="B801" t="s">
        <v>396</v>
      </c>
      <c r="C801" t="s">
        <v>331</v>
      </c>
      <c r="D801" t="str">
        <f>VLOOKUP(C801,'lookup table'!$A$2:$B$19,2,FALSE)</f>
        <v>FS Item</v>
      </c>
      <c r="E801" t="str">
        <f t="shared" si="12"/>
        <v>|FS Item</v>
      </c>
    </row>
    <row r="802" spans="1:5" x14ac:dyDescent="0.2">
      <c r="A802" t="s">
        <v>0</v>
      </c>
      <c r="B802" t="s">
        <v>107</v>
      </c>
      <c r="C802" t="s">
        <v>331</v>
      </c>
      <c r="D802" t="str">
        <f>VLOOKUP(C802,'lookup table'!$A$2:$B$19,2,FALSE)</f>
        <v>FS Item</v>
      </c>
      <c r="E802" t="str">
        <f t="shared" si="12"/>
        <v>|FS Item</v>
      </c>
    </row>
    <row r="803" spans="1:5" x14ac:dyDescent="0.2">
      <c r="A803" t="s">
        <v>0</v>
      </c>
      <c r="B803" t="s">
        <v>396</v>
      </c>
      <c r="C803" t="s">
        <v>331</v>
      </c>
      <c r="D803" t="str">
        <f>VLOOKUP(C803,'lookup table'!$A$2:$B$19,2,FALSE)</f>
        <v>FS Item</v>
      </c>
      <c r="E803" t="str">
        <f t="shared" si="12"/>
        <v>|FS Item</v>
      </c>
    </row>
    <row r="804" spans="1:5" x14ac:dyDescent="0.2">
      <c r="A804" t="s">
        <v>0</v>
      </c>
      <c r="B804" t="s">
        <v>333</v>
      </c>
      <c r="C804" t="s">
        <v>331</v>
      </c>
      <c r="D804" t="str">
        <f>VLOOKUP(C804,'lookup table'!$A$2:$B$19,2,FALSE)</f>
        <v>FS Item</v>
      </c>
      <c r="E804" t="str">
        <f t="shared" si="12"/>
        <v>|FS Item</v>
      </c>
    </row>
    <row r="805" spans="1:5" x14ac:dyDescent="0.2">
      <c r="A805" t="s">
        <v>0</v>
      </c>
      <c r="B805" t="s">
        <v>332</v>
      </c>
      <c r="C805" t="s">
        <v>331</v>
      </c>
      <c r="D805" t="str">
        <f>VLOOKUP(C805,'lookup table'!$A$2:$B$19,2,FALSE)</f>
        <v>FS Item</v>
      </c>
      <c r="E805" t="str">
        <f t="shared" si="12"/>
        <v>|FS Item</v>
      </c>
    </row>
    <row r="806" spans="1:5" x14ac:dyDescent="0.2">
      <c r="A806" t="s">
        <v>0</v>
      </c>
      <c r="B806" t="s">
        <v>16</v>
      </c>
      <c r="C806" t="s">
        <v>331</v>
      </c>
      <c r="D806" t="str">
        <f>VLOOKUP(C806,'lookup table'!$A$2:$B$19,2,FALSE)</f>
        <v>FS Item</v>
      </c>
      <c r="E806" t="str">
        <f t="shared" si="12"/>
        <v>|FS Item</v>
      </c>
    </row>
    <row r="807" spans="1:5" x14ac:dyDescent="0.2">
      <c r="A807" t="s">
        <v>0</v>
      </c>
      <c r="B807" t="s">
        <v>338</v>
      </c>
      <c r="C807" t="s">
        <v>331</v>
      </c>
      <c r="D807" t="str">
        <f>VLOOKUP(C807,'lookup table'!$A$2:$B$19,2,FALSE)</f>
        <v>FS Item</v>
      </c>
      <c r="E807" t="str">
        <f t="shared" si="12"/>
        <v>|FS Item</v>
      </c>
    </row>
    <row r="808" spans="1:5" x14ac:dyDescent="0.2">
      <c r="A808" t="s">
        <v>0</v>
      </c>
      <c r="B808" t="s">
        <v>132</v>
      </c>
      <c r="C808" t="s">
        <v>331</v>
      </c>
      <c r="D808" t="str">
        <f>VLOOKUP(C808,'lookup table'!$A$2:$B$19,2,FALSE)</f>
        <v>FS Item</v>
      </c>
      <c r="E808" t="str">
        <f t="shared" si="12"/>
        <v>|FS Item</v>
      </c>
    </row>
    <row r="809" spans="1:5" x14ac:dyDescent="0.2">
      <c r="A809" t="s">
        <v>0</v>
      </c>
      <c r="B809" t="s">
        <v>119</v>
      </c>
      <c r="C809" t="s">
        <v>331</v>
      </c>
      <c r="D809" t="str">
        <f>VLOOKUP(C809,'lookup table'!$A$2:$B$19,2,FALSE)</f>
        <v>FS Item</v>
      </c>
      <c r="E809" t="str">
        <f t="shared" si="12"/>
        <v>|FS Item</v>
      </c>
    </row>
    <row r="810" spans="1:5" x14ac:dyDescent="0.2">
      <c r="A810" t="s">
        <v>0</v>
      </c>
      <c r="B810" t="s">
        <v>414</v>
      </c>
      <c r="C810" t="s">
        <v>331</v>
      </c>
      <c r="D810" t="str">
        <f>VLOOKUP(C810,'lookup table'!$A$2:$B$19,2,FALSE)</f>
        <v>FS Item</v>
      </c>
      <c r="E810" t="str">
        <f t="shared" si="12"/>
        <v>|FS Item</v>
      </c>
    </row>
    <row r="811" spans="1:5" x14ac:dyDescent="0.2">
      <c r="A811" t="s">
        <v>0</v>
      </c>
      <c r="B811" t="s">
        <v>393</v>
      </c>
      <c r="C811" t="s">
        <v>331</v>
      </c>
      <c r="D811" t="str">
        <f>VLOOKUP(C811,'lookup table'!$A$2:$B$19,2,FALSE)</f>
        <v>FS Item</v>
      </c>
      <c r="E811" t="str">
        <f t="shared" si="12"/>
        <v>|FS Item</v>
      </c>
    </row>
    <row r="812" spans="1:5" x14ac:dyDescent="0.2">
      <c r="A812" t="s">
        <v>0</v>
      </c>
      <c r="B812" t="s">
        <v>394</v>
      </c>
      <c r="C812" t="s">
        <v>331</v>
      </c>
      <c r="D812" t="str">
        <f>VLOOKUP(C812,'lookup table'!$A$2:$B$19,2,FALSE)</f>
        <v>FS Item</v>
      </c>
      <c r="E812" t="str">
        <f t="shared" si="12"/>
        <v>|FS Item</v>
      </c>
    </row>
    <row r="813" spans="1:5" x14ac:dyDescent="0.2">
      <c r="A813" t="s">
        <v>0</v>
      </c>
      <c r="B813" t="s">
        <v>395</v>
      </c>
      <c r="C813" t="s">
        <v>331</v>
      </c>
      <c r="D813" t="str">
        <f>VLOOKUP(C813,'lookup table'!$A$2:$B$19,2,FALSE)</f>
        <v>FS Item</v>
      </c>
      <c r="E813" t="str">
        <f t="shared" si="12"/>
        <v>|FS Item</v>
      </c>
    </row>
    <row r="814" spans="1:5" x14ac:dyDescent="0.2">
      <c r="A814" t="s">
        <v>0</v>
      </c>
      <c r="B814" t="s">
        <v>415</v>
      </c>
      <c r="C814" t="s">
        <v>331</v>
      </c>
      <c r="D814" t="str">
        <f>VLOOKUP(C814,'lookup table'!$A$2:$B$19,2,FALSE)</f>
        <v>FS Item</v>
      </c>
      <c r="E814" t="str">
        <f t="shared" si="12"/>
        <v>|FS Item</v>
      </c>
    </row>
    <row r="815" spans="1:5" x14ac:dyDescent="0.2">
      <c r="A815" t="s">
        <v>0</v>
      </c>
      <c r="B815" t="s">
        <v>133</v>
      </c>
      <c r="C815" t="s">
        <v>331</v>
      </c>
      <c r="D815" t="str">
        <f>VLOOKUP(C815,'lookup table'!$A$2:$B$19,2,FALSE)</f>
        <v>FS Item</v>
      </c>
      <c r="E815" t="str">
        <f t="shared" si="12"/>
        <v>|FS Item</v>
      </c>
    </row>
    <row r="816" spans="1:5" x14ac:dyDescent="0.2">
      <c r="A816" t="s">
        <v>0</v>
      </c>
      <c r="B816" t="s">
        <v>134</v>
      </c>
      <c r="C816" t="s">
        <v>331</v>
      </c>
      <c r="D816" t="str">
        <f>VLOOKUP(C816,'lookup table'!$A$2:$B$19,2,FALSE)</f>
        <v>FS Item</v>
      </c>
      <c r="E816" t="str">
        <f t="shared" si="12"/>
        <v>|FS Item</v>
      </c>
    </row>
    <row r="817" spans="1:5" x14ac:dyDescent="0.2">
      <c r="A817" t="s">
        <v>0</v>
      </c>
      <c r="B817" t="s">
        <v>416</v>
      </c>
      <c r="C817" t="s">
        <v>331</v>
      </c>
      <c r="D817" t="str">
        <f>VLOOKUP(C817,'lookup table'!$A$2:$B$19,2,FALSE)</f>
        <v>FS Item</v>
      </c>
      <c r="E817" t="str">
        <f t="shared" si="12"/>
        <v>|FS Item</v>
      </c>
    </row>
    <row r="818" spans="1:5" x14ac:dyDescent="0.2">
      <c r="A818" t="s">
        <v>0</v>
      </c>
      <c r="B818" t="s">
        <v>417</v>
      </c>
      <c r="C818" t="s">
        <v>331</v>
      </c>
      <c r="D818" t="str">
        <f>VLOOKUP(C818,'lookup table'!$A$2:$B$19,2,FALSE)</f>
        <v>FS Item</v>
      </c>
      <c r="E818" t="str">
        <f t="shared" si="12"/>
        <v>|FS Item</v>
      </c>
    </row>
    <row r="819" spans="1:5" x14ac:dyDescent="0.2">
      <c r="A819" t="s">
        <v>0</v>
      </c>
      <c r="B819" t="s">
        <v>418</v>
      </c>
      <c r="C819" t="s">
        <v>331</v>
      </c>
      <c r="D819" t="str">
        <f>VLOOKUP(C819,'lookup table'!$A$2:$B$19,2,FALSE)</f>
        <v>FS Item</v>
      </c>
      <c r="E819" t="str">
        <f t="shared" si="12"/>
        <v>|FS Item</v>
      </c>
    </row>
    <row r="820" spans="1:5" x14ac:dyDescent="0.2">
      <c r="A820" t="s">
        <v>0</v>
      </c>
      <c r="B820" t="s">
        <v>419</v>
      </c>
      <c r="C820" t="s">
        <v>331</v>
      </c>
      <c r="D820" t="str">
        <f>VLOOKUP(C820,'lookup table'!$A$2:$B$19,2,FALSE)</f>
        <v>FS Item</v>
      </c>
      <c r="E820" t="str">
        <f t="shared" si="12"/>
        <v>|FS Item</v>
      </c>
    </row>
    <row r="821" spans="1:5" x14ac:dyDescent="0.2">
      <c r="A821" t="s">
        <v>0</v>
      </c>
      <c r="B821" t="s">
        <v>16</v>
      </c>
      <c r="C821" t="s">
        <v>331</v>
      </c>
      <c r="D821" t="str">
        <f>VLOOKUP(C821,'lookup table'!$A$2:$B$19,2,FALSE)</f>
        <v>FS Item</v>
      </c>
      <c r="E821" t="str">
        <f t="shared" si="12"/>
        <v>|FS Item</v>
      </c>
    </row>
    <row r="822" spans="1:5" x14ac:dyDescent="0.2">
      <c r="A822" t="s">
        <v>0</v>
      </c>
      <c r="B822" t="s">
        <v>420</v>
      </c>
      <c r="C822" t="s">
        <v>331</v>
      </c>
      <c r="D822" t="str">
        <f>VLOOKUP(C822,'lookup table'!$A$2:$B$19,2,FALSE)</f>
        <v>FS Item</v>
      </c>
      <c r="E822" t="str">
        <f t="shared" si="12"/>
        <v>|FS Item</v>
      </c>
    </row>
    <row r="823" spans="1:5" x14ac:dyDescent="0.2">
      <c r="A823" t="s">
        <v>0</v>
      </c>
      <c r="B823" t="s">
        <v>16</v>
      </c>
      <c r="C823" t="s">
        <v>331</v>
      </c>
      <c r="D823" t="str">
        <f>VLOOKUP(C823,'lookup table'!$A$2:$B$19,2,FALSE)</f>
        <v>FS Item</v>
      </c>
      <c r="E823" t="str">
        <f t="shared" si="12"/>
        <v>|FS Item</v>
      </c>
    </row>
    <row r="824" spans="1:5" x14ac:dyDescent="0.2">
      <c r="A824" t="s">
        <v>0</v>
      </c>
      <c r="B824" t="s">
        <v>421</v>
      </c>
      <c r="C824" t="s">
        <v>331</v>
      </c>
      <c r="D824" t="str">
        <f>VLOOKUP(C824,'lookup table'!$A$2:$B$19,2,FALSE)</f>
        <v>FS Item</v>
      </c>
      <c r="E824" t="str">
        <f t="shared" si="12"/>
        <v>|FS Item</v>
      </c>
    </row>
    <row r="825" spans="1:5" x14ac:dyDescent="0.2">
      <c r="A825" t="s">
        <v>0</v>
      </c>
      <c r="B825" t="s">
        <v>417</v>
      </c>
      <c r="C825" t="s">
        <v>331</v>
      </c>
      <c r="D825" t="str">
        <f>VLOOKUP(C825,'lookup table'!$A$2:$B$19,2,FALSE)</f>
        <v>FS Item</v>
      </c>
      <c r="E825" t="str">
        <f t="shared" si="12"/>
        <v>|FS Item</v>
      </c>
    </row>
    <row r="826" spans="1:5" x14ac:dyDescent="0.2">
      <c r="A826" t="s">
        <v>0</v>
      </c>
      <c r="B826" t="s">
        <v>421</v>
      </c>
      <c r="C826" t="s">
        <v>331</v>
      </c>
      <c r="D826" t="str">
        <f>VLOOKUP(C826,'lookup table'!$A$2:$B$19,2,FALSE)</f>
        <v>FS Item</v>
      </c>
      <c r="E826" t="str">
        <f t="shared" si="12"/>
        <v>|FS Item</v>
      </c>
    </row>
    <row r="827" spans="1:5" x14ac:dyDescent="0.2">
      <c r="A827" t="s">
        <v>0</v>
      </c>
      <c r="B827" t="s">
        <v>17</v>
      </c>
      <c r="C827" t="s">
        <v>331</v>
      </c>
      <c r="D827" t="str">
        <f>VLOOKUP(C827,'lookup table'!$A$2:$B$19,2,FALSE)</f>
        <v>FS Item</v>
      </c>
      <c r="E827" t="str">
        <f t="shared" si="12"/>
        <v>|FS Item</v>
      </c>
    </row>
    <row r="828" spans="1:5" x14ac:dyDescent="0.2">
      <c r="A828" t="s">
        <v>0</v>
      </c>
      <c r="B828" t="s">
        <v>18</v>
      </c>
      <c r="C828" t="s">
        <v>331</v>
      </c>
      <c r="D828" t="str">
        <f>VLOOKUP(C828,'lookup table'!$A$2:$B$19,2,FALSE)</f>
        <v>FS Item</v>
      </c>
      <c r="E828" t="str">
        <f t="shared" si="12"/>
        <v>|FS Item</v>
      </c>
    </row>
    <row r="829" spans="1:5" x14ac:dyDescent="0.2">
      <c r="A829" t="s">
        <v>0</v>
      </c>
      <c r="B829" t="s">
        <v>1</v>
      </c>
      <c r="C829" t="s">
        <v>422</v>
      </c>
      <c r="D829" t="e">
        <f>VLOOKUP(C829,'lookup table'!$A$2:$B$19,2,FALSE)</f>
        <v>#N/A</v>
      </c>
      <c r="E829" t="str">
        <f t="shared" si="12"/>
        <v/>
      </c>
    </row>
    <row r="830" spans="1:5" x14ac:dyDescent="0.2">
      <c r="A830" t="s">
        <v>0</v>
      </c>
      <c r="B830" t="s">
        <v>3</v>
      </c>
      <c r="C830" t="s">
        <v>422</v>
      </c>
      <c r="D830" t="e">
        <f>VLOOKUP(C830,'lookup table'!$A$2:$B$19,2,FALSE)</f>
        <v>#N/A</v>
      </c>
      <c r="E830" t="str">
        <f t="shared" si="12"/>
        <v/>
      </c>
    </row>
    <row r="831" spans="1:5" x14ac:dyDescent="0.2">
      <c r="A831" t="s">
        <v>0</v>
      </c>
      <c r="B831" t="s">
        <v>4</v>
      </c>
      <c r="C831" t="s">
        <v>422</v>
      </c>
      <c r="D831" t="e">
        <f>VLOOKUP(C831,'lookup table'!$A$2:$B$19,2,FALSE)</f>
        <v>#N/A</v>
      </c>
      <c r="E831" t="str">
        <f t="shared" si="12"/>
        <v/>
      </c>
    </row>
    <row r="832" spans="1:5" x14ac:dyDescent="0.2">
      <c r="A832" t="s">
        <v>0</v>
      </c>
      <c r="B832" t="s">
        <v>330</v>
      </c>
      <c r="C832" t="s">
        <v>423</v>
      </c>
      <c r="D832" t="str">
        <f>VLOOKUP(C832,'lookup table'!$A$2:$B$19,2,FALSE)</f>
        <v>ignore</v>
      </c>
      <c r="E832" t="str">
        <f t="shared" si="12"/>
        <v>|ignore</v>
      </c>
    </row>
    <row r="833" spans="1:5" x14ac:dyDescent="0.2">
      <c r="A833" t="s">
        <v>0</v>
      </c>
      <c r="B833" t="s">
        <v>332</v>
      </c>
      <c r="C833" t="s">
        <v>423</v>
      </c>
      <c r="D833" t="str">
        <f>VLOOKUP(C833,'lookup table'!$A$2:$B$19,2,FALSE)</f>
        <v>ignore</v>
      </c>
      <c r="E833" t="str">
        <f t="shared" si="12"/>
        <v>|ignore</v>
      </c>
    </row>
    <row r="834" spans="1:5" x14ac:dyDescent="0.2">
      <c r="A834" t="s">
        <v>0</v>
      </c>
      <c r="B834" t="s">
        <v>333</v>
      </c>
      <c r="C834" t="s">
        <v>423</v>
      </c>
      <c r="D834" t="str">
        <f>VLOOKUP(C834,'lookup table'!$A$2:$B$19,2,FALSE)</f>
        <v>ignore</v>
      </c>
      <c r="E834" t="str">
        <f t="shared" si="12"/>
        <v>|ignore</v>
      </c>
    </row>
    <row r="835" spans="1:5" x14ac:dyDescent="0.2">
      <c r="A835" t="s">
        <v>0</v>
      </c>
      <c r="B835" t="s">
        <v>334</v>
      </c>
      <c r="C835" t="s">
        <v>423</v>
      </c>
      <c r="D835" t="str">
        <f>VLOOKUP(C835,'lookup table'!$A$2:$B$19,2,FALSE)</f>
        <v>ignore</v>
      </c>
      <c r="E835" t="str">
        <f t="shared" ref="E835:E898" si="13">IF(ISNA(D835),"",IF(A835="","",A835) &amp; "|" &amp; D835)</f>
        <v>|ignore</v>
      </c>
    </row>
    <row r="836" spans="1:5" x14ac:dyDescent="0.2">
      <c r="A836" t="s">
        <v>0</v>
      </c>
      <c r="B836" t="s">
        <v>335</v>
      </c>
      <c r="C836" t="s">
        <v>423</v>
      </c>
      <c r="D836" t="str">
        <f>VLOOKUP(C836,'lookup table'!$A$2:$B$19,2,FALSE)</f>
        <v>ignore</v>
      </c>
      <c r="E836" t="str">
        <f t="shared" si="13"/>
        <v>|ignore</v>
      </c>
    </row>
    <row r="837" spans="1:5" x14ac:dyDescent="0.2">
      <c r="A837" t="s">
        <v>0</v>
      </c>
      <c r="B837" t="s">
        <v>332</v>
      </c>
      <c r="C837" t="s">
        <v>423</v>
      </c>
      <c r="D837" t="str">
        <f>VLOOKUP(C837,'lookup table'!$A$2:$B$19,2,FALSE)</f>
        <v>ignore</v>
      </c>
      <c r="E837" t="str">
        <f t="shared" si="13"/>
        <v>|ignore</v>
      </c>
    </row>
    <row r="838" spans="1:5" x14ac:dyDescent="0.2">
      <c r="A838" t="s">
        <v>0</v>
      </c>
      <c r="B838" t="s">
        <v>336</v>
      </c>
      <c r="C838" t="s">
        <v>423</v>
      </c>
      <c r="D838" t="str">
        <f>VLOOKUP(C838,'lookup table'!$A$2:$B$19,2,FALSE)</f>
        <v>ignore</v>
      </c>
      <c r="E838" t="str">
        <f t="shared" si="13"/>
        <v>|ignore</v>
      </c>
    </row>
    <row r="839" spans="1:5" x14ac:dyDescent="0.2">
      <c r="A839" t="s">
        <v>0</v>
      </c>
      <c r="B839" t="s">
        <v>336</v>
      </c>
      <c r="C839" t="s">
        <v>423</v>
      </c>
      <c r="D839" t="str">
        <f>VLOOKUP(C839,'lookup table'!$A$2:$B$19,2,FALSE)</f>
        <v>ignore</v>
      </c>
      <c r="E839" t="str">
        <f t="shared" si="13"/>
        <v>|ignore</v>
      </c>
    </row>
    <row r="840" spans="1:5" x14ac:dyDescent="0.2">
      <c r="A840" t="s">
        <v>0</v>
      </c>
      <c r="B840" t="s">
        <v>337</v>
      </c>
      <c r="C840" t="s">
        <v>423</v>
      </c>
      <c r="D840" t="str">
        <f>VLOOKUP(C840,'lookup table'!$A$2:$B$19,2,FALSE)</f>
        <v>ignore</v>
      </c>
      <c r="E840" t="str">
        <f t="shared" si="13"/>
        <v>|ignore</v>
      </c>
    </row>
    <row r="841" spans="1:5" x14ac:dyDescent="0.2">
      <c r="A841" t="s">
        <v>0</v>
      </c>
      <c r="B841" t="s">
        <v>337</v>
      </c>
      <c r="C841" t="s">
        <v>423</v>
      </c>
      <c r="D841" t="str">
        <f>VLOOKUP(C841,'lookup table'!$A$2:$B$19,2,FALSE)</f>
        <v>ignore</v>
      </c>
      <c r="E841" t="str">
        <f t="shared" si="13"/>
        <v>|ignore</v>
      </c>
    </row>
    <row r="842" spans="1:5" x14ac:dyDescent="0.2">
      <c r="A842" t="s">
        <v>0</v>
      </c>
      <c r="B842" t="s">
        <v>13</v>
      </c>
      <c r="C842" t="s">
        <v>423</v>
      </c>
      <c r="D842" t="str">
        <f>VLOOKUP(C842,'lookup table'!$A$2:$B$19,2,FALSE)</f>
        <v>ignore</v>
      </c>
      <c r="E842" t="str">
        <f t="shared" si="13"/>
        <v>|ignore</v>
      </c>
    </row>
    <row r="843" spans="1:5" x14ac:dyDescent="0.2">
      <c r="A843" t="s">
        <v>0</v>
      </c>
      <c r="B843" t="s">
        <v>332</v>
      </c>
      <c r="C843" t="s">
        <v>423</v>
      </c>
      <c r="D843" t="str">
        <f>VLOOKUP(C843,'lookup table'!$A$2:$B$19,2,FALSE)</f>
        <v>ignore</v>
      </c>
      <c r="E843" t="str">
        <f t="shared" si="13"/>
        <v>|ignore</v>
      </c>
    </row>
    <row r="844" spans="1:5" x14ac:dyDescent="0.2">
      <c r="A844" t="s">
        <v>0</v>
      </c>
      <c r="B844" t="s">
        <v>332</v>
      </c>
      <c r="C844" t="s">
        <v>423</v>
      </c>
      <c r="D844" t="str">
        <f>VLOOKUP(C844,'lookup table'!$A$2:$B$19,2,FALSE)</f>
        <v>ignore</v>
      </c>
      <c r="E844" t="str">
        <f t="shared" si="13"/>
        <v>|ignore</v>
      </c>
    </row>
    <row r="845" spans="1:5" x14ac:dyDescent="0.2">
      <c r="A845" t="s">
        <v>0</v>
      </c>
      <c r="B845" t="s">
        <v>1</v>
      </c>
      <c r="C845" t="s">
        <v>423</v>
      </c>
      <c r="D845" t="str">
        <f>VLOOKUP(C845,'lookup table'!$A$2:$B$19,2,FALSE)</f>
        <v>ignore</v>
      </c>
      <c r="E845" t="str">
        <f t="shared" si="13"/>
        <v>|ignore</v>
      </c>
    </row>
    <row r="846" spans="1:5" x14ac:dyDescent="0.2">
      <c r="A846" t="s">
        <v>0</v>
      </c>
      <c r="B846" t="s">
        <v>3</v>
      </c>
      <c r="C846" t="s">
        <v>423</v>
      </c>
      <c r="D846" t="str">
        <f>VLOOKUP(C846,'lookup table'!$A$2:$B$19,2,FALSE)</f>
        <v>ignore</v>
      </c>
      <c r="E846" t="str">
        <f t="shared" si="13"/>
        <v>|ignore</v>
      </c>
    </row>
    <row r="847" spans="1:5" x14ac:dyDescent="0.2">
      <c r="A847" t="s">
        <v>0</v>
      </c>
      <c r="B847" t="s">
        <v>7</v>
      </c>
      <c r="C847" t="s">
        <v>423</v>
      </c>
      <c r="D847" t="str">
        <f>VLOOKUP(C847,'lookup table'!$A$2:$B$19,2,FALSE)</f>
        <v>ignore</v>
      </c>
      <c r="E847" t="str">
        <f t="shared" si="13"/>
        <v>|ignore</v>
      </c>
    </row>
    <row r="848" spans="1:5" x14ac:dyDescent="0.2">
      <c r="A848" t="s">
        <v>0</v>
      </c>
      <c r="B848" t="s">
        <v>7</v>
      </c>
      <c r="C848" t="s">
        <v>423</v>
      </c>
      <c r="D848" t="str">
        <f>VLOOKUP(C848,'lookup table'!$A$2:$B$19,2,FALSE)</f>
        <v>ignore</v>
      </c>
      <c r="E848" t="str">
        <f t="shared" si="13"/>
        <v>|ignore</v>
      </c>
    </row>
    <row r="849" spans="1:5" x14ac:dyDescent="0.2">
      <c r="A849" t="s">
        <v>0</v>
      </c>
      <c r="B849" t="s">
        <v>332</v>
      </c>
      <c r="C849" t="s">
        <v>423</v>
      </c>
      <c r="D849" t="str">
        <f>VLOOKUP(C849,'lookup table'!$A$2:$B$19,2,FALSE)</f>
        <v>ignore</v>
      </c>
      <c r="E849" t="str">
        <f t="shared" si="13"/>
        <v>|ignore</v>
      </c>
    </row>
    <row r="850" spans="1:5" x14ac:dyDescent="0.2">
      <c r="A850" t="s">
        <v>0</v>
      </c>
      <c r="B850" t="s">
        <v>4</v>
      </c>
      <c r="C850" t="s">
        <v>423</v>
      </c>
      <c r="D850" t="str">
        <f>VLOOKUP(C850,'lookup table'!$A$2:$B$19,2,FALSE)</f>
        <v>ignore</v>
      </c>
      <c r="E850" t="str">
        <f t="shared" si="13"/>
        <v>|ignore</v>
      </c>
    </row>
    <row r="851" spans="1:5" x14ac:dyDescent="0.2">
      <c r="A851" t="s">
        <v>0</v>
      </c>
      <c r="B851" t="s">
        <v>35</v>
      </c>
      <c r="C851" t="s">
        <v>423</v>
      </c>
      <c r="D851" t="str">
        <f>VLOOKUP(C851,'lookup table'!$A$2:$B$19,2,FALSE)</f>
        <v>ignore</v>
      </c>
      <c r="E851" t="str">
        <f t="shared" si="13"/>
        <v>|ignore</v>
      </c>
    </row>
    <row r="852" spans="1:5" x14ac:dyDescent="0.2">
      <c r="A852" t="s">
        <v>0</v>
      </c>
      <c r="B852" t="s">
        <v>340</v>
      </c>
      <c r="C852" t="s">
        <v>423</v>
      </c>
      <c r="D852" t="str">
        <f>VLOOKUP(C852,'lookup table'!$A$2:$B$19,2,FALSE)</f>
        <v>ignore</v>
      </c>
      <c r="E852" t="str">
        <f t="shared" si="13"/>
        <v>|ignore</v>
      </c>
    </row>
    <row r="853" spans="1:5" x14ac:dyDescent="0.2">
      <c r="A853" t="s">
        <v>0</v>
      </c>
      <c r="B853" t="s">
        <v>341</v>
      </c>
      <c r="C853" t="s">
        <v>423</v>
      </c>
      <c r="D853" t="str">
        <f>VLOOKUP(C853,'lookup table'!$A$2:$B$19,2,FALSE)</f>
        <v>ignore</v>
      </c>
      <c r="E853" t="str">
        <f t="shared" si="13"/>
        <v>|ignore</v>
      </c>
    </row>
    <row r="854" spans="1:5" x14ac:dyDescent="0.2">
      <c r="A854" t="s">
        <v>0</v>
      </c>
      <c r="B854" t="s">
        <v>342</v>
      </c>
      <c r="C854" t="s">
        <v>423</v>
      </c>
      <c r="D854" t="str">
        <f>VLOOKUP(C854,'lookup table'!$A$2:$B$19,2,FALSE)</f>
        <v>ignore</v>
      </c>
      <c r="E854" t="str">
        <f t="shared" si="13"/>
        <v>|ignore</v>
      </c>
    </row>
    <row r="855" spans="1:5" x14ac:dyDescent="0.2">
      <c r="A855" t="s">
        <v>0</v>
      </c>
      <c r="B855" t="s">
        <v>343</v>
      </c>
      <c r="C855" t="s">
        <v>423</v>
      </c>
      <c r="D855" t="str">
        <f>VLOOKUP(C855,'lookup table'!$A$2:$B$19,2,FALSE)</f>
        <v>ignore</v>
      </c>
      <c r="E855" t="str">
        <f t="shared" si="13"/>
        <v>|ignore</v>
      </c>
    </row>
    <row r="856" spans="1:5" x14ac:dyDescent="0.2">
      <c r="A856" t="s">
        <v>0</v>
      </c>
      <c r="B856" t="s">
        <v>344</v>
      </c>
      <c r="C856" t="s">
        <v>423</v>
      </c>
      <c r="D856" t="str">
        <f>VLOOKUP(C856,'lookup table'!$A$2:$B$19,2,FALSE)</f>
        <v>ignore</v>
      </c>
      <c r="E856" t="str">
        <f t="shared" si="13"/>
        <v>|ignore</v>
      </c>
    </row>
    <row r="857" spans="1:5" x14ac:dyDescent="0.2">
      <c r="A857" t="s">
        <v>0</v>
      </c>
      <c r="B857" t="s">
        <v>345</v>
      </c>
      <c r="C857" t="s">
        <v>423</v>
      </c>
      <c r="D857" t="str">
        <f>VLOOKUP(C857,'lookup table'!$A$2:$B$19,2,FALSE)</f>
        <v>ignore</v>
      </c>
      <c r="E857" t="str">
        <f t="shared" si="13"/>
        <v>|ignore</v>
      </c>
    </row>
    <row r="858" spans="1:5" x14ac:dyDescent="0.2">
      <c r="A858" t="s">
        <v>0</v>
      </c>
      <c r="B858" t="s">
        <v>346</v>
      </c>
      <c r="C858" t="s">
        <v>423</v>
      </c>
      <c r="D858" t="str">
        <f>VLOOKUP(C858,'lookup table'!$A$2:$B$19,2,FALSE)</f>
        <v>ignore</v>
      </c>
      <c r="E858" t="str">
        <f t="shared" si="13"/>
        <v>|ignore</v>
      </c>
    </row>
    <row r="859" spans="1:5" x14ac:dyDescent="0.2">
      <c r="A859" t="s">
        <v>0</v>
      </c>
      <c r="B859" t="s">
        <v>347</v>
      </c>
      <c r="C859" t="s">
        <v>423</v>
      </c>
      <c r="D859" t="str">
        <f>VLOOKUP(C859,'lookup table'!$A$2:$B$19,2,FALSE)</f>
        <v>ignore</v>
      </c>
      <c r="E859" t="str">
        <f t="shared" si="13"/>
        <v>|ignore</v>
      </c>
    </row>
    <row r="860" spans="1:5" x14ac:dyDescent="0.2">
      <c r="A860" t="s">
        <v>0</v>
      </c>
      <c r="B860" t="s">
        <v>348</v>
      </c>
      <c r="C860" t="s">
        <v>423</v>
      </c>
      <c r="D860" t="str">
        <f>VLOOKUP(C860,'lookup table'!$A$2:$B$19,2,FALSE)</f>
        <v>ignore</v>
      </c>
      <c r="E860" t="str">
        <f t="shared" si="13"/>
        <v>|ignore</v>
      </c>
    </row>
    <row r="861" spans="1:5" x14ac:dyDescent="0.2">
      <c r="A861" t="s">
        <v>0</v>
      </c>
      <c r="B861" t="s">
        <v>349</v>
      </c>
      <c r="C861" t="s">
        <v>423</v>
      </c>
      <c r="D861" t="str">
        <f>VLOOKUP(C861,'lookup table'!$A$2:$B$19,2,FALSE)</f>
        <v>ignore</v>
      </c>
      <c r="E861" t="str">
        <f t="shared" si="13"/>
        <v>|ignore</v>
      </c>
    </row>
    <row r="862" spans="1:5" x14ac:dyDescent="0.2">
      <c r="A862" t="s">
        <v>0</v>
      </c>
      <c r="B862" t="s">
        <v>350</v>
      </c>
      <c r="C862" t="s">
        <v>423</v>
      </c>
      <c r="D862" t="str">
        <f>VLOOKUP(C862,'lookup table'!$A$2:$B$19,2,FALSE)</f>
        <v>ignore</v>
      </c>
      <c r="E862" t="str">
        <f t="shared" si="13"/>
        <v>|ignore</v>
      </c>
    </row>
    <row r="863" spans="1:5" x14ac:dyDescent="0.2">
      <c r="A863" t="s">
        <v>0</v>
      </c>
      <c r="B863" t="s">
        <v>351</v>
      </c>
      <c r="C863" t="s">
        <v>423</v>
      </c>
      <c r="D863" t="str">
        <f>VLOOKUP(C863,'lookup table'!$A$2:$B$19,2,FALSE)</f>
        <v>ignore</v>
      </c>
      <c r="E863" t="str">
        <f t="shared" si="13"/>
        <v>|ignore</v>
      </c>
    </row>
    <row r="864" spans="1:5" x14ac:dyDescent="0.2">
      <c r="A864" t="s">
        <v>0</v>
      </c>
      <c r="B864" t="s">
        <v>352</v>
      </c>
      <c r="C864" t="s">
        <v>423</v>
      </c>
      <c r="D864" t="str">
        <f>VLOOKUP(C864,'lookup table'!$A$2:$B$19,2,FALSE)</f>
        <v>ignore</v>
      </c>
      <c r="E864" t="str">
        <f t="shared" si="13"/>
        <v>|ignore</v>
      </c>
    </row>
    <row r="865" spans="1:5" x14ac:dyDescent="0.2">
      <c r="A865" t="s">
        <v>0</v>
      </c>
      <c r="B865" t="s">
        <v>353</v>
      </c>
      <c r="C865" t="s">
        <v>423</v>
      </c>
      <c r="D865" t="str">
        <f>VLOOKUP(C865,'lookup table'!$A$2:$B$19,2,FALSE)</f>
        <v>ignore</v>
      </c>
      <c r="E865" t="str">
        <f t="shared" si="13"/>
        <v>|ignore</v>
      </c>
    </row>
    <row r="866" spans="1:5" x14ac:dyDescent="0.2">
      <c r="A866" t="s">
        <v>0</v>
      </c>
      <c r="B866" t="s">
        <v>354</v>
      </c>
      <c r="C866" t="s">
        <v>423</v>
      </c>
      <c r="D866" t="str">
        <f>VLOOKUP(C866,'lookup table'!$A$2:$B$19,2,FALSE)</f>
        <v>ignore</v>
      </c>
      <c r="E866" t="str">
        <f t="shared" si="13"/>
        <v>|ignore</v>
      </c>
    </row>
    <row r="867" spans="1:5" x14ac:dyDescent="0.2">
      <c r="A867" t="s">
        <v>0</v>
      </c>
      <c r="B867" t="s">
        <v>355</v>
      </c>
      <c r="C867" t="s">
        <v>423</v>
      </c>
      <c r="D867" t="str">
        <f>VLOOKUP(C867,'lookup table'!$A$2:$B$19,2,FALSE)</f>
        <v>ignore</v>
      </c>
      <c r="E867" t="str">
        <f t="shared" si="13"/>
        <v>|ignore</v>
      </c>
    </row>
    <row r="868" spans="1:5" x14ac:dyDescent="0.2">
      <c r="A868" t="s">
        <v>0</v>
      </c>
      <c r="B868" t="s">
        <v>356</v>
      </c>
      <c r="C868" t="s">
        <v>423</v>
      </c>
      <c r="D868" t="str">
        <f>VLOOKUP(C868,'lookup table'!$A$2:$B$19,2,FALSE)</f>
        <v>ignore</v>
      </c>
      <c r="E868" t="str">
        <f t="shared" si="13"/>
        <v>|ignore</v>
      </c>
    </row>
    <row r="869" spans="1:5" x14ac:dyDescent="0.2">
      <c r="A869" t="s">
        <v>0</v>
      </c>
      <c r="B869" t="s">
        <v>357</v>
      </c>
      <c r="C869" t="s">
        <v>423</v>
      </c>
      <c r="D869" t="str">
        <f>VLOOKUP(C869,'lookup table'!$A$2:$B$19,2,FALSE)</f>
        <v>ignore</v>
      </c>
      <c r="E869" t="str">
        <f t="shared" si="13"/>
        <v>|ignore</v>
      </c>
    </row>
    <row r="870" spans="1:5" x14ac:dyDescent="0.2">
      <c r="A870" t="s">
        <v>0</v>
      </c>
      <c r="B870" t="s">
        <v>358</v>
      </c>
      <c r="C870" t="s">
        <v>423</v>
      </c>
      <c r="D870" t="str">
        <f>VLOOKUP(C870,'lookup table'!$A$2:$B$19,2,FALSE)</f>
        <v>ignore</v>
      </c>
      <c r="E870" t="str">
        <f t="shared" si="13"/>
        <v>|ignore</v>
      </c>
    </row>
    <row r="871" spans="1:5" x14ac:dyDescent="0.2">
      <c r="A871" t="s">
        <v>0</v>
      </c>
      <c r="B871" t="s">
        <v>359</v>
      </c>
      <c r="C871" t="s">
        <v>423</v>
      </c>
      <c r="D871" t="str">
        <f>VLOOKUP(C871,'lookup table'!$A$2:$B$19,2,FALSE)</f>
        <v>ignore</v>
      </c>
      <c r="E871" t="str">
        <f t="shared" si="13"/>
        <v>|ignore</v>
      </c>
    </row>
    <row r="872" spans="1:5" x14ac:dyDescent="0.2">
      <c r="A872" t="s">
        <v>0</v>
      </c>
      <c r="B872" t="s">
        <v>360</v>
      </c>
      <c r="C872" t="s">
        <v>423</v>
      </c>
      <c r="D872" t="str">
        <f>VLOOKUP(C872,'lookup table'!$A$2:$B$19,2,FALSE)</f>
        <v>ignore</v>
      </c>
      <c r="E872" t="str">
        <f t="shared" si="13"/>
        <v>|ignore</v>
      </c>
    </row>
    <row r="873" spans="1:5" x14ac:dyDescent="0.2">
      <c r="A873" t="s">
        <v>0</v>
      </c>
      <c r="B873" t="s">
        <v>361</v>
      </c>
      <c r="C873" t="s">
        <v>423</v>
      </c>
      <c r="D873" t="str">
        <f>VLOOKUP(C873,'lookup table'!$A$2:$B$19,2,FALSE)</f>
        <v>ignore</v>
      </c>
      <c r="E873" t="str">
        <f t="shared" si="13"/>
        <v>|ignore</v>
      </c>
    </row>
    <row r="874" spans="1:5" x14ac:dyDescent="0.2">
      <c r="A874" t="s">
        <v>0</v>
      </c>
      <c r="B874" t="s">
        <v>362</v>
      </c>
      <c r="C874" t="s">
        <v>423</v>
      </c>
      <c r="D874" t="str">
        <f>VLOOKUP(C874,'lookup table'!$A$2:$B$19,2,FALSE)</f>
        <v>ignore</v>
      </c>
      <c r="E874" t="str">
        <f t="shared" si="13"/>
        <v>|ignore</v>
      </c>
    </row>
    <row r="875" spans="1:5" x14ac:dyDescent="0.2">
      <c r="A875" t="s">
        <v>0</v>
      </c>
      <c r="B875" t="s">
        <v>363</v>
      </c>
      <c r="C875" t="s">
        <v>423</v>
      </c>
      <c r="D875" t="str">
        <f>VLOOKUP(C875,'lookup table'!$A$2:$B$19,2,FALSE)</f>
        <v>ignore</v>
      </c>
      <c r="E875" t="str">
        <f t="shared" si="13"/>
        <v>|ignore</v>
      </c>
    </row>
    <row r="876" spans="1:5" x14ac:dyDescent="0.2">
      <c r="A876" t="s">
        <v>0</v>
      </c>
      <c r="B876" t="s">
        <v>364</v>
      </c>
      <c r="C876" t="s">
        <v>423</v>
      </c>
      <c r="D876" t="str">
        <f>VLOOKUP(C876,'lookup table'!$A$2:$B$19,2,FALSE)</f>
        <v>ignore</v>
      </c>
      <c r="E876" t="str">
        <f t="shared" si="13"/>
        <v>|ignore</v>
      </c>
    </row>
    <row r="877" spans="1:5" x14ac:dyDescent="0.2">
      <c r="A877" t="s">
        <v>0</v>
      </c>
      <c r="B877" t="s">
        <v>365</v>
      </c>
      <c r="C877" t="s">
        <v>423</v>
      </c>
      <c r="D877" t="str">
        <f>VLOOKUP(C877,'lookup table'!$A$2:$B$19,2,FALSE)</f>
        <v>ignore</v>
      </c>
      <c r="E877" t="str">
        <f t="shared" si="13"/>
        <v>|ignore</v>
      </c>
    </row>
    <row r="878" spans="1:5" x14ac:dyDescent="0.2">
      <c r="A878" t="s">
        <v>0</v>
      </c>
      <c r="B878" t="s">
        <v>366</v>
      </c>
      <c r="C878" t="s">
        <v>423</v>
      </c>
      <c r="D878" t="str">
        <f>VLOOKUP(C878,'lookup table'!$A$2:$B$19,2,FALSE)</f>
        <v>ignore</v>
      </c>
      <c r="E878" t="str">
        <f t="shared" si="13"/>
        <v>|ignore</v>
      </c>
    </row>
    <row r="879" spans="1:5" x14ac:dyDescent="0.2">
      <c r="A879" t="s">
        <v>0</v>
      </c>
      <c r="B879" t="s">
        <v>367</v>
      </c>
      <c r="C879" t="s">
        <v>423</v>
      </c>
      <c r="D879" t="str">
        <f>VLOOKUP(C879,'lookup table'!$A$2:$B$19,2,FALSE)</f>
        <v>ignore</v>
      </c>
      <c r="E879" t="str">
        <f t="shared" si="13"/>
        <v>|ignore</v>
      </c>
    </row>
    <row r="880" spans="1:5" x14ac:dyDescent="0.2">
      <c r="A880" t="s">
        <v>0</v>
      </c>
      <c r="B880" t="s">
        <v>368</v>
      </c>
      <c r="C880" t="s">
        <v>423</v>
      </c>
      <c r="D880" t="str">
        <f>VLOOKUP(C880,'lookup table'!$A$2:$B$19,2,FALSE)</f>
        <v>ignore</v>
      </c>
      <c r="E880" t="str">
        <f t="shared" si="13"/>
        <v>|ignore</v>
      </c>
    </row>
    <row r="881" spans="1:5" x14ac:dyDescent="0.2">
      <c r="A881" t="s">
        <v>0</v>
      </c>
      <c r="B881" t="s">
        <v>369</v>
      </c>
      <c r="C881" t="s">
        <v>423</v>
      </c>
      <c r="D881" t="str">
        <f>VLOOKUP(C881,'lookup table'!$A$2:$B$19,2,FALSE)</f>
        <v>ignore</v>
      </c>
      <c r="E881" t="str">
        <f t="shared" si="13"/>
        <v>|ignore</v>
      </c>
    </row>
    <row r="882" spans="1:5" x14ac:dyDescent="0.2">
      <c r="A882" t="s">
        <v>0</v>
      </c>
      <c r="B882" t="s">
        <v>370</v>
      </c>
      <c r="C882" t="s">
        <v>423</v>
      </c>
      <c r="D882" t="str">
        <f>VLOOKUP(C882,'lookup table'!$A$2:$B$19,2,FALSE)</f>
        <v>ignore</v>
      </c>
      <c r="E882" t="str">
        <f t="shared" si="13"/>
        <v>|ignore</v>
      </c>
    </row>
    <row r="883" spans="1:5" x14ac:dyDescent="0.2">
      <c r="A883" t="s">
        <v>0</v>
      </c>
      <c r="B883" t="s">
        <v>340</v>
      </c>
      <c r="C883" t="s">
        <v>423</v>
      </c>
      <c r="D883" t="str">
        <f>VLOOKUP(C883,'lookup table'!$A$2:$B$19,2,FALSE)</f>
        <v>ignore</v>
      </c>
      <c r="E883" t="str">
        <f t="shared" si="13"/>
        <v>|ignore</v>
      </c>
    </row>
    <row r="884" spans="1:5" x14ac:dyDescent="0.2">
      <c r="A884" t="s">
        <v>0</v>
      </c>
      <c r="B884" t="s">
        <v>342</v>
      </c>
      <c r="C884" t="s">
        <v>423</v>
      </c>
      <c r="D884" t="str">
        <f>VLOOKUP(C884,'lookup table'!$A$2:$B$19,2,FALSE)</f>
        <v>ignore</v>
      </c>
      <c r="E884" t="str">
        <f t="shared" si="13"/>
        <v>|ignore</v>
      </c>
    </row>
    <row r="885" spans="1:5" x14ac:dyDescent="0.2">
      <c r="A885" t="s">
        <v>0</v>
      </c>
      <c r="B885" t="s">
        <v>364</v>
      </c>
      <c r="C885" t="s">
        <v>423</v>
      </c>
      <c r="D885" t="str">
        <f>VLOOKUP(C885,'lookup table'!$A$2:$B$19,2,FALSE)</f>
        <v>ignore</v>
      </c>
      <c r="E885" t="str">
        <f t="shared" si="13"/>
        <v>|ignore</v>
      </c>
    </row>
    <row r="886" spans="1:5" x14ac:dyDescent="0.2">
      <c r="A886" t="s">
        <v>0</v>
      </c>
      <c r="B886" t="s">
        <v>343</v>
      </c>
      <c r="C886" t="s">
        <v>423</v>
      </c>
      <c r="D886" t="str">
        <f>VLOOKUP(C886,'lookup table'!$A$2:$B$19,2,FALSE)</f>
        <v>ignore</v>
      </c>
      <c r="E886" t="str">
        <f t="shared" si="13"/>
        <v>|ignore</v>
      </c>
    </row>
    <row r="887" spans="1:5" x14ac:dyDescent="0.2">
      <c r="A887" t="s">
        <v>0</v>
      </c>
      <c r="B887" t="s">
        <v>344</v>
      </c>
      <c r="C887" t="s">
        <v>423</v>
      </c>
      <c r="D887" t="str">
        <f>VLOOKUP(C887,'lookup table'!$A$2:$B$19,2,FALSE)</f>
        <v>ignore</v>
      </c>
      <c r="E887" t="str">
        <f t="shared" si="13"/>
        <v>|ignore</v>
      </c>
    </row>
    <row r="888" spans="1:5" x14ac:dyDescent="0.2">
      <c r="A888" t="s">
        <v>0</v>
      </c>
      <c r="B888" t="s">
        <v>345</v>
      </c>
      <c r="C888" t="s">
        <v>423</v>
      </c>
      <c r="D888" t="str">
        <f>VLOOKUP(C888,'lookup table'!$A$2:$B$19,2,FALSE)</f>
        <v>ignore</v>
      </c>
      <c r="E888" t="str">
        <f t="shared" si="13"/>
        <v>|ignore</v>
      </c>
    </row>
    <row r="889" spans="1:5" x14ac:dyDescent="0.2">
      <c r="A889" t="s">
        <v>0</v>
      </c>
      <c r="B889" t="s">
        <v>346</v>
      </c>
      <c r="C889" t="s">
        <v>423</v>
      </c>
      <c r="D889" t="str">
        <f>VLOOKUP(C889,'lookup table'!$A$2:$B$19,2,FALSE)</f>
        <v>ignore</v>
      </c>
      <c r="E889" t="str">
        <f t="shared" si="13"/>
        <v>|ignore</v>
      </c>
    </row>
    <row r="890" spans="1:5" x14ac:dyDescent="0.2">
      <c r="A890" t="s">
        <v>0</v>
      </c>
      <c r="B890" t="s">
        <v>347</v>
      </c>
      <c r="C890" t="s">
        <v>423</v>
      </c>
      <c r="D890" t="str">
        <f>VLOOKUP(C890,'lookup table'!$A$2:$B$19,2,FALSE)</f>
        <v>ignore</v>
      </c>
      <c r="E890" t="str">
        <f t="shared" si="13"/>
        <v>|ignore</v>
      </c>
    </row>
    <row r="891" spans="1:5" x14ac:dyDescent="0.2">
      <c r="A891" t="s">
        <v>0</v>
      </c>
      <c r="B891" t="s">
        <v>348</v>
      </c>
      <c r="C891" t="s">
        <v>423</v>
      </c>
      <c r="D891" t="str">
        <f>VLOOKUP(C891,'lookup table'!$A$2:$B$19,2,FALSE)</f>
        <v>ignore</v>
      </c>
      <c r="E891" t="str">
        <f t="shared" si="13"/>
        <v>|ignore</v>
      </c>
    </row>
    <row r="892" spans="1:5" x14ac:dyDescent="0.2">
      <c r="A892" t="s">
        <v>0</v>
      </c>
      <c r="B892" t="s">
        <v>349</v>
      </c>
      <c r="C892" t="s">
        <v>423</v>
      </c>
      <c r="D892" t="str">
        <f>VLOOKUP(C892,'lookup table'!$A$2:$B$19,2,FALSE)</f>
        <v>ignore</v>
      </c>
      <c r="E892" t="str">
        <f t="shared" si="13"/>
        <v>|ignore</v>
      </c>
    </row>
    <row r="893" spans="1:5" x14ac:dyDescent="0.2">
      <c r="A893" t="s">
        <v>0</v>
      </c>
      <c r="B893" t="s">
        <v>350</v>
      </c>
      <c r="C893" t="s">
        <v>423</v>
      </c>
      <c r="D893" t="str">
        <f>VLOOKUP(C893,'lookup table'!$A$2:$B$19,2,FALSE)</f>
        <v>ignore</v>
      </c>
      <c r="E893" t="str">
        <f t="shared" si="13"/>
        <v>|ignore</v>
      </c>
    </row>
    <row r="894" spans="1:5" x14ac:dyDescent="0.2">
      <c r="A894" t="s">
        <v>0</v>
      </c>
      <c r="B894" t="s">
        <v>351</v>
      </c>
      <c r="C894" t="s">
        <v>423</v>
      </c>
      <c r="D894" t="str">
        <f>VLOOKUP(C894,'lookup table'!$A$2:$B$19,2,FALSE)</f>
        <v>ignore</v>
      </c>
      <c r="E894" t="str">
        <f t="shared" si="13"/>
        <v>|ignore</v>
      </c>
    </row>
    <row r="895" spans="1:5" x14ac:dyDescent="0.2">
      <c r="A895" t="s">
        <v>0</v>
      </c>
      <c r="B895" t="s">
        <v>352</v>
      </c>
      <c r="C895" t="s">
        <v>423</v>
      </c>
      <c r="D895" t="str">
        <f>VLOOKUP(C895,'lookup table'!$A$2:$B$19,2,FALSE)</f>
        <v>ignore</v>
      </c>
      <c r="E895" t="str">
        <f t="shared" si="13"/>
        <v>|ignore</v>
      </c>
    </row>
    <row r="896" spans="1:5" x14ac:dyDescent="0.2">
      <c r="A896" t="s">
        <v>0</v>
      </c>
      <c r="B896" t="s">
        <v>332</v>
      </c>
      <c r="C896" t="s">
        <v>423</v>
      </c>
      <c r="D896" t="str">
        <f>VLOOKUP(C896,'lookup table'!$A$2:$B$19,2,FALSE)</f>
        <v>ignore</v>
      </c>
      <c r="E896" t="str">
        <f t="shared" si="13"/>
        <v>|ignore</v>
      </c>
    </row>
    <row r="897" spans="1:5" x14ac:dyDescent="0.2">
      <c r="A897" t="s">
        <v>0</v>
      </c>
      <c r="B897" t="s">
        <v>332</v>
      </c>
      <c r="C897" t="s">
        <v>423</v>
      </c>
      <c r="D897" t="str">
        <f>VLOOKUP(C897,'lookup table'!$A$2:$B$19,2,FALSE)</f>
        <v>ignore</v>
      </c>
      <c r="E897" t="str">
        <f t="shared" si="13"/>
        <v>|ignore</v>
      </c>
    </row>
    <row r="898" spans="1:5" x14ac:dyDescent="0.2">
      <c r="A898" t="s">
        <v>0</v>
      </c>
      <c r="B898" t="s">
        <v>69</v>
      </c>
      <c r="C898" t="s">
        <v>423</v>
      </c>
      <c r="D898" t="str">
        <f>VLOOKUP(C898,'lookup table'!$A$2:$B$19,2,FALSE)</f>
        <v>ignore</v>
      </c>
      <c r="E898" t="str">
        <f t="shared" si="13"/>
        <v>|ignore</v>
      </c>
    </row>
    <row r="899" spans="1:5" x14ac:dyDescent="0.2">
      <c r="A899" t="s">
        <v>0</v>
      </c>
      <c r="B899" t="s">
        <v>196</v>
      </c>
      <c r="C899" t="s">
        <v>423</v>
      </c>
      <c r="D899" t="str">
        <f>VLOOKUP(C899,'lookup table'!$A$2:$B$19,2,FALSE)</f>
        <v>ignore</v>
      </c>
      <c r="E899" t="str">
        <f t="shared" ref="E899:E962" si="14">IF(ISNA(D899),"",IF(A899="","",A899) &amp; "|" &amp; D899)</f>
        <v>|ignore</v>
      </c>
    </row>
    <row r="900" spans="1:5" x14ac:dyDescent="0.2">
      <c r="A900" t="s">
        <v>0</v>
      </c>
      <c r="B900" t="s">
        <v>378</v>
      </c>
      <c r="C900" t="s">
        <v>423</v>
      </c>
      <c r="D900" t="str">
        <f>VLOOKUP(C900,'lookup table'!$A$2:$B$19,2,FALSE)</f>
        <v>ignore</v>
      </c>
      <c r="E900" t="str">
        <f t="shared" si="14"/>
        <v>|ignore</v>
      </c>
    </row>
    <row r="901" spans="1:5" x14ac:dyDescent="0.2">
      <c r="A901" t="s">
        <v>0</v>
      </c>
      <c r="B901" t="s">
        <v>379</v>
      </c>
      <c r="C901" t="s">
        <v>423</v>
      </c>
      <c r="D901" t="str">
        <f>VLOOKUP(C901,'lookup table'!$A$2:$B$19,2,FALSE)</f>
        <v>ignore</v>
      </c>
      <c r="E901" t="str">
        <f t="shared" si="14"/>
        <v>|ignore</v>
      </c>
    </row>
    <row r="902" spans="1:5" x14ac:dyDescent="0.2">
      <c r="A902" t="s">
        <v>0</v>
      </c>
      <c r="B902" t="s">
        <v>380</v>
      </c>
      <c r="C902" t="s">
        <v>423</v>
      </c>
      <c r="D902" t="str">
        <f>VLOOKUP(C902,'lookup table'!$A$2:$B$19,2,FALSE)</f>
        <v>ignore</v>
      </c>
      <c r="E902" t="str">
        <f t="shared" si="14"/>
        <v>|ignore</v>
      </c>
    </row>
    <row r="903" spans="1:5" x14ac:dyDescent="0.2">
      <c r="A903" t="s">
        <v>0</v>
      </c>
      <c r="B903" t="s">
        <v>200</v>
      </c>
      <c r="C903" t="s">
        <v>423</v>
      </c>
      <c r="D903" t="str">
        <f>VLOOKUP(C903,'lookup table'!$A$2:$B$19,2,FALSE)</f>
        <v>ignore</v>
      </c>
      <c r="E903" t="str">
        <f t="shared" si="14"/>
        <v>|ignore</v>
      </c>
    </row>
    <row r="904" spans="1:5" x14ac:dyDescent="0.2">
      <c r="A904" t="s">
        <v>0</v>
      </c>
      <c r="B904" t="s">
        <v>70</v>
      </c>
      <c r="C904" t="s">
        <v>423</v>
      </c>
      <c r="D904" t="str">
        <f>VLOOKUP(C904,'lookup table'!$A$2:$B$19,2,FALSE)</f>
        <v>ignore</v>
      </c>
      <c r="E904" t="str">
        <f t="shared" si="14"/>
        <v>|ignore</v>
      </c>
    </row>
    <row r="905" spans="1:5" x14ac:dyDescent="0.2">
      <c r="A905" t="s">
        <v>0</v>
      </c>
      <c r="B905" t="s">
        <v>381</v>
      </c>
      <c r="C905" t="s">
        <v>423</v>
      </c>
      <c r="D905" t="str">
        <f>VLOOKUP(C905,'lookup table'!$A$2:$B$19,2,FALSE)</f>
        <v>ignore</v>
      </c>
      <c r="E905" t="str">
        <f t="shared" si="14"/>
        <v>|ignore</v>
      </c>
    </row>
    <row r="906" spans="1:5" x14ac:dyDescent="0.2">
      <c r="A906" t="s">
        <v>0</v>
      </c>
      <c r="B906" t="s">
        <v>382</v>
      </c>
      <c r="C906" t="s">
        <v>423</v>
      </c>
      <c r="D906" t="str">
        <f>VLOOKUP(C906,'lookup table'!$A$2:$B$19,2,FALSE)</f>
        <v>ignore</v>
      </c>
      <c r="E906" t="str">
        <f t="shared" si="14"/>
        <v>|ignore</v>
      </c>
    </row>
    <row r="907" spans="1:5" x14ac:dyDescent="0.2">
      <c r="A907" t="s">
        <v>0</v>
      </c>
      <c r="B907" t="s">
        <v>71</v>
      </c>
      <c r="C907" t="s">
        <v>423</v>
      </c>
      <c r="D907" t="str">
        <f>VLOOKUP(C907,'lookup table'!$A$2:$B$19,2,FALSE)</f>
        <v>ignore</v>
      </c>
      <c r="E907" t="str">
        <f t="shared" si="14"/>
        <v>|ignore</v>
      </c>
    </row>
    <row r="908" spans="1:5" x14ac:dyDescent="0.2">
      <c r="A908" t="s">
        <v>0</v>
      </c>
      <c r="B908" t="s">
        <v>72</v>
      </c>
      <c r="C908" t="s">
        <v>423</v>
      </c>
      <c r="D908" t="str">
        <f>VLOOKUP(C908,'lookup table'!$A$2:$B$19,2,FALSE)</f>
        <v>ignore</v>
      </c>
      <c r="E908" t="str">
        <f t="shared" si="14"/>
        <v>|ignore</v>
      </c>
    </row>
    <row r="909" spans="1:5" x14ac:dyDescent="0.2">
      <c r="A909" t="s">
        <v>0</v>
      </c>
      <c r="B909" t="s">
        <v>72</v>
      </c>
      <c r="C909" t="s">
        <v>423</v>
      </c>
      <c r="D909" t="str">
        <f>VLOOKUP(C909,'lookup table'!$A$2:$B$19,2,FALSE)</f>
        <v>ignore</v>
      </c>
      <c r="E909" t="str">
        <f t="shared" si="14"/>
        <v>|ignore</v>
      </c>
    </row>
    <row r="910" spans="1:5" x14ac:dyDescent="0.2">
      <c r="A910" t="s">
        <v>0</v>
      </c>
      <c r="B910" t="s">
        <v>17</v>
      </c>
      <c r="C910" t="s">
        <v>423</v>
      </c>
      <c r="D910" t="str">
        <f>VLOOKUP(C910,'lookup table'!$A$2:$B$19,2,FALSE)</f>
        <v>ignore</v>
      </c>
      <c r="E910" t="str">
        <f t="shared" si="14"/>
        <v>|ignore</v>
      </c>
    </row>
    <row r="911" spans="1:5" x14ac:dyDescent="0.2">
      <c r="A911" t="s">
        <v>0</v>
      </c>
      <c r="B911" t="s">
        <v>73</v>
      </c>
      <c r="C911" t="s">
        <v>423</v>
      </c>
      <c r="D911" t="str">
        <f>VLOOKUP(C911,'lookup table'!$A$2:$B$19,2,FALSE)</f>
        <v>ignore</v>
      </c>
      <c r="E911" t="str">
        <f t="shared" si="14"/>
        <v>|ignore</v>
      </c>
    </row>
    <row r="912" spans="1:5" x14ac:dyDescent="0.2">
      <c r="A912" t="s">
        <v>0</v>
      </c>
      <c r="B912" t="s">
        <v>201</v>
      </c>
      <c r="C912" t="s">
        <v>423</v>
      </c>
      <c r="D912" t="str">
        <f>VLOOKUP(C912,'lookup table'!$A$2:$B$19,2,FALSE)</f>
        <v>ignore</v>
      </c>
      <c r="E912" t="str">
        <f t="shared" si="14"/>
        <v>|ignore</v>
      </c>
    </row>
    <row r="913" spans="1:5" x14ac:dyDescent="0.2">
      <c r="A913" t="s">
        <v>0</v>
      </c>
      <c r="B913" t="s">
        <v>383</v>
      </c>
      <c r="C913" t="s">
        <v>423</v>
      </c>
      <c r="D913" t="str">
        <f>VLOOKUP(C913,'lookup table'!$A$2:$B$19,2,FALSE)</f>
        <v>ignore</v>
      </c>
      <c r="E913" t="str">
        <f t="shared" si="14"/>
        <v>|ignore</v>
      </c>
    </row>
    <row r="914" spans="1:5" x14ac:dyDescent="0.2">
      <c r="A914" t="s">
        <v>0</v>
      </c>
      <c r="B914" t="s">
        <v>384</v>
      </c>
      <c r="C914" t="s">
        <v>423</v>
      </c>
      <c r="D914" t="str">
        <f>VLOOKUP(C914,'lookup table'!$A$2:$B$19,2,FALSE)</f>
        <v>ignore</v>
      </c>
      <c r="E914" t="str">
        <f t="shared" si="14"/>
        <v>|ignore</v>
      </c>
    </row>
    <row r="915" spans="1:5" x14ac:dyDescent="0.2">
      <c r="A915" t="s">
        <v>0</v>
      </c>
      <c r="B915" t="s">
        <v>385</v>
      </c>
      <c r="C915" t="s">
        <v>423</v>
      </c>
      <c r="D915" t="str">
        <f>VLOOKUP(C915,'lookup table'!$A$2:$B$19,2,FALSE)</f>
        <v>ignore</v>
      </c>
      <c r="E915" t="str">
        <f t="shared" si="14"/>
        <v>|ignore</v>
      </c>
    </row>
    <row r="916" spans="1:5" x14ac:dyDescent="0.2">
      <c r="A916" t="s">
        <v>0</v>
      </c>
      <c r="B916" t="s">
        <v>386</v>
      </c>
      <c r="C916" t="s">
        <v>423</v>
      </c>
      <c r="D916" t="str">
        <f>VLOOKUP(C916,'lookup table'!$A$2:$B$19,2,FALSE)</f>
        <v>ignore</v>
      </c>
      <c r="E916" t="str">
        <f t="shared" si="14"/>
        <v>|ignore</v>
      </c>
    </row>
    <row r="917" spans="1:5" x14ac:dyDescent="0.2">
      <c r="A917" t="s">
        <v>0</v>
      </c>
      <c r="B917" t="s">
        <v>333</v>
      </c>
      <c r="C917" t="s">
        <v>423</v>
      </c>
      <c r="D917" t="str">
        <f>VLOOKUP(C917,'lookup table'!$A$2:$B$19,2,FALSE)</f>
        <v>ignore</v>
      </c>
      <c r="E917" t="str">
        <f t="shared" si="14"/>
        <v>|ignore</v>
      </c>
    </row>
    <row r="918" spans="1:5" x14ac:dyDescent="0.2">
      <c r="A918" t="s">
        <v>0</v>
      </c>
      <c r="B918" t="s">
        <v>333</v>
      </c>
      <c r="C918" t="s">
        <v>423</v>
      </c>
      <c r="D918" t="str">
        <f>VLOOKUP(C918,'lookup table'!$A$2:$B$19,2,FALSE)</f>
        <v>ignore</v>
      </c>
      <c r="E918" t="str">
        <f t="shared" si="14"/>
        <v>|ignore</v>
      </c>
    </row>
    <row r="919" spans="1:5" x14ac:dyDescent="0.2">
      <c r="A919" t="s">
        <v>0</v>
      </c>
      <c r="B919" t="s">
        <v>387</v>
      </c>
      <c r="C919" t="s">
        <v>423</v>
      </c>
      <c r="D919" t="str">
        <f>VLOOKUP(C919,'lookup table'!$A$2:$B$19,2,FALSE)</f>
        <v>ignore</v>
      </c>
      <c r="E919" t="str">
        <f t="shared" si="14"/>
        <v>|ignore</v>
      </c>
    </row>
    <row r="920" spans="1:5" x14ac:dyDescent="0.2">
      <c r="A920" t="s">
        <v>0</v>
      </c>
      <c r="B920" t="s">
        <v>388</v>
      </c>
      <c r="C920" t="s">
        <v>423</v>
      </c>
      <c r="D920" t="str">
        <f>VLOOKUP(C920,'lookup table'!$A$2:$B$19,2,FALSE)</f>
        <v>ignore</v>
      </c>
      <c r="E920" t="str">
        <f t="shared" si="14"/>
        <v>|ignore</v>
      </c>
    </row>
    <row r="921" spans="1:5" x14ac:dyDescent="0.2">
      <c r="A921" t="s">
        <v>0</v>
      </c>
      <c r="B921" t="s">
        <v>105</v>
      </c>
      <c r="C921" t="s">
        <v>423</v>
      </c>
      <c r="D921" t="str">
        <f>VLOOKUP(C921,'lookup table'!$A$2:$B$19,2,FALSE)</f>
        <v>ignore</v>
      </c>
      <c r="E921" t="str">
        <f t="shared" si="14"/>
        <v>|ignore</v>
      </c>
    </row>
    <row r="922" spans="1:5" x14ac:dyDescent="0.2">
      <c r="A922" t="s">
        <v>0</v>
      </c>
      <c r="B922" t="s">
        <v>105</v>
      </c>
      <c r="C922" t="s">
        <v>423</v>
      </c>
      <c r="D922" t="str">
        <f>VLOOKUP(C922,'lookup table'!$A$2:$B$19,2,FALSE)</f>
        <v>ignore</v>
      </c>
      <c r="E922" t="str">
        <f t="shared" si="14"/>
        <v>|ignore</v>
      </c>
    </row>
    <row r="923" spans="1:5" x14ac:dyDescent="0.2">
      <c r="A923" t="s">
        <v>0</v>
      </c>
      <c r="B923" t="s">
        <v>105</v>
      </c>
      <c r="C923" t="s">
        <v>423</v>
      </c>
      <c r="D923" t="str">
        <f>VLOOKUP(C923,'lookup table'!$A$2:$B$19,2,FALSE)</f>
        <v>ignore</v>
      </c>
      <c r="E923" t="str">
        <f t="shared" si="14"/>
        <v>|ignore</v>
      </c>
    </row>
    <row r="924" spans="1:5" x14ac:dyDescent="0.2">
      <c r="A924" t="s">
        <v>0</v>
      </c>
      <c r="B924" t="s">
        <v>333</v>
      </c>
      <c r="C924" t="s">
        <v>423</v>
      </c>
      <c r="D924" t="str">
        <f>VLOOKUP(C924,'lookup table'!$A$2:$B$19,2,FALSE)</f>
        <v>ignore</v>
      </c>
      <c r="E924" t="str">
        <f t="shared" si="14"/>
        <v>|ignore</v>
      </c>
    </row>
    <row r="925" spans="1:5" x14ac:dyDescent="0.2">
      <c r="A925" t="s">
        <v>0</v>
      </c>
      <c r="B925" t="s">
        <v>389</v>
      </c>
      <c r="C925" t="s">
        <v>423</v>
      </c>
      <c r="D925" t="str">
        <f>VLOOKUP(C925,'lookup table'!$A$2:$B$19,2,FALSE)</f>
        <v>ignore</v>
      </c>
      <c r="E925" t="str">
        <f t="shared" si="14"/>
        <v>|ignore</v>
      </c>
    </row>
    <row r="926" spans="1:5" x14ac:dyDescent="0.2">
      <c r="A926" t="s">
        <v>0</v>
      </c>
      <c r="B926" t="s">
        <v>106</v>
      </c>
      <c r="C926" t="s">
        <v>423</v>
      </c>
      <c r="D926" t="str">
        <f>VLOOKUP(C926,'lookup table'!$A$2:$B$19,2,FALSE)</f>
        <v>ignore</v>
      </c>
      <c r="E926" t="str">
        <f t="shared" si="14"/>
        <v>|ignore</v>
      </c>
    </row>
    <row r="927" spans="1:5" x14ac:dyDescent="0.2">
      <c r="A927" t="s">
        <v>0</v>
      </c>
      <c r="B927" t="s">
        <v>107</v>
      </c>
      <c r="C927" t="s">
        <v>423</v>
      </c>
      <c r="D927" t="str">
        <f>VLOOKUP(C927,'lookup table'!$A$2:$B$19,2,FALSE)</f>
        <v>ignore</v>
      </c>
      <c r="E927" t="str">
        <f t="shared" si="14"/>
        <v>|ignore</v>
      </c>
    </row>
    <row r="928" spans="1:5" x14ac:dyDescent="0.2">
      <c r="A928" t="s">
        <v>0</v>
      </c>
      <c r="B928" t="s">
        <v>390</v>
      </c>
      <c r="C928" t="s">
        <v>423</v>
      </c>
      <c r="D928" t="str">
        <f>VLOOKUP(C928,'lookup table'!$A$2:$B$19,2,FALSE)</f>
        <v>ignore</v>
      </c>
      <c r="E928" t="str">
        <f t="shared" si="14"/>
        <v>|ignore</v>
      </c>
    </row>
    <row r="929" spans="1:5" x14ac:dyDescent="0.2">
      <c r="A929" t="s">
        <v>0</v>
      </c>
      <c r="B929" t="s">
        <v>391</v>
      </c>
      <c r="C929" t="s">
        <v>423</v>
      </c>
      <c r="D929" t="str">
        <f>VLOOKUP(C929,'lookup table'!$A$2:$B$19,2,FALSE)</f>
        <v>ignore</v>
      </c>
      <c r="E929" t="str">
        <f t="shared" si="14"/>
        <v>|ignore</v>
      </c>
    </row>
    <row r="930" spans="1:5" x14ac:dyDescent="0.2">
      <c r="A930" t="s">
        <v>0</v>
      </c>
      <c r="B930" t="s">
        <v>391</v>
      </c>
      <c r="C930" t="s">
        <v>423</v>
      </c>
      <c r="D930" t="str">
        <f>VLOOKUP(C930,'lookup table'!$A$2:$B$19,2,FALSE)</f>
        <v>ignore</v>
      </c>
      <c r="E930" t="str">
        <f t="shared" si="14"/>
        <v>|ignore</v>
      </c>
    </row>
    <row r="931" spans="1:5" x14ac:dyDescent="0.2">
      <c r="A931" t="s">
        <v>0</v>
      </c>
      <c r="B931" t="s">
        <v>333</v>
      </c>
      <c r="C931" t="s">
        <v>423</v>
      </c>
      <c r="D931" t="str">
        <f>VLOOKUP(C931,'lookup table'!$A$2:$B$19,2,FALSE)</f>
        <v>ignore</v>
      </c>
      <c r="E931" t="str">
        <f t="shared" si="14"/>
        <v>|ignore</v>
      </c>
    </row>
    <row r="932" spans="1:5" x14ac:dyDescent="0.2">
      <c r="A932" t="s">
        <v>0</v>
      </c>
      <c r="B932" t="s">
        <v>378</v>
      </c>
      <c r="C932" t="s">
        <v>423</v>
      </c>
      <c r="D932" t="str">
        <f>VLOOKUP(C932,'lookup table'!$A$2:$B$19,2,FALSE)</f>
        <v>ignore</v>
      </c>
      <c r="E932" t="str">
        <f t="shared" si="14"/>
        <v>|ignore</v>
      </c>
    </row>
    <row r="933" spans="1:5" x14ac:dyDescent="0.2">
      <c r="A933" t="s">
        <v>0</v>
      </c>
      <c r="B933" t="s">
        <v>392</v>
      </c>
      <c r="C933" t="s">
        <v>423</v>
      </c>
      <c r="D933" t="str">
        <f>VLOOKUP(C933,'lookup table'!$A$2:$B$19,2,FALSE)</f>
        <v>ignore</v>
      </c>
      <c r="E933" t="str">
        <f t="shared" si="14"/>
        <v>|ignore</v>
      </c>
    </row>
    <row r="934" spans="1:5" x14ac:dyDescent="0.2">
      <c r="A934" t="s">
        <v>0</v>
      </c>
      <c r="B934" t="s">
        <v>332</v>
      </c>
      <c r="C934" t="s">
        <v>423</v>
      </c>
      <c r="D934" t="str">
        <f>VLOOKUP(C934,'lookup table'!$A$2:$B$19,2,FALSE)</f>
        <v>ignore</v>
      </c>
      <c r="E934" t="str">
        <f t="shared" si="14"/>
        <v>|ignore</v>
      </c>
    </row>
    <row r="935" spans="1:5" x14ac:dyDescent="0.2">
      <c r="A935" t="s">
        <v>0</v>
      </c>
      <c r="B935" t="s">
        <v>200</v>
      </c>
      <c r="C935" t="s">
        <v>423</v>
      </c>
      <c r="D935" t="str">
        <f>VLOOKUP(C935,'lookup table'!$A$2:$B$19,2,FALSE)</f>
        <v>ignore</v>
      </c>
      <c r="E935" t="str">
        <f t="shared" si="14"/>
        <v>|ignore</v>
      </c>
    </row>
    <row r="936" spans="1:5" x14ac:dyDescent="0.2">
      <c r="A936" t="s">
        <v>0</v>
      </c>
      <c r="B936" t="s">
        <v>119</v>
      </c>
      <c r="C936" t="s">
        <v>423</v>
      </c>
      <c r="D936" t="str">
        <f>VLOOKUP(C936,'lookup table'!$A$2:$B$19,2,FALSE)</f>
        <v>ignore</v>
      </c>
      <c r="E936" t="str">
        <f t="shared" si="14"/>
        <v>|ignore</v>
      </c>
    </row>
    <row r="937" spans="1:5" x14ac:dyDescent="0.2">
      <c r="A937" t="s">
        <v>0</v>
      </c>
      <c r="B937" t="s">
        <v>393</v>
      </c>
      <c r="C937" t="s">
        <v>423</v>
      </c>
      <c r="D937" t="str">
        <f>VLOOKUP(C937,'lookup table'!$A$2:$B$19,2,FALSE)</f>
        <v>ignore</v>
      </c>
      <c r="E937" t="str">
        <f t="shared" si="14"/>
        <v>|ignore</v>
      </c>
    </row>
    <row r="938" spans="1:5" x14ac:dyDescent="0.2">
      <c r="A938" t="s">
        <v>0</v>
      </c>
      <c r="B938" t="s">
        <v>394</v>
      </c>
      <c r="C938" t="s">
        <v>423</v>
      </c>
      <c r="D938" t="str">
        <f>VLOOKUP(C938,'lookup table'!$A$2:$B$19,2,FALSE)</f>
        <v>ignore</v>
      </c>
      <c r="E938" t="str">
        <f t="shared" si="14"/>
        <v>|ignore</v>
      </c>
    </row>
    <row r="939" spans="1:5" x14ac:dyDescent="0.2">
      <c r="A939" t="s">
        <v>0</v>
      </c>
      <c r="B939" t="s">
        <v>395</v>
      </c>
      <c r="C939" t="s">
        <v>423</v>
      </c>
      <c r="D939" t="str">
        <f>VLOOKUP(C939,'lookup table'!$A$2:$B$19,2,FALSE)</f>
        <v>ignore</v>
      </c>
      <c r="E939" t="str">
        <f t="shared" si="14"/>
        <v>|ignore</v>
      </c>
    </row>
    <row r="940" spans="1:5" x14ac:dyDescent="0.2">
      <c r="A940" t="s">
        <v>0</v>
      </c>
      <c r="B940" t="s">
        <v>120</v>
      </c>
      <c r="C940" t="s">
        <v>423</v>
      </c>
      <c r="D940" t="str">
        <f>VLOOKUP(C940,'lookup table'!$A$2:$B$19,2,FALSE)</f>
        <v>ignore</v>
      </c>
      <c r="E940" t="str">
        <f t="shared" si="14"/>
        <v>|ignore</v>
      </c>
    </row>
    <row r="941" spans="1:5" x14ac:dyDescent="0.2">
      <c r="A941" t="s">
        <v>0</v>
      </c>
      <c r="B941" t="s">
        <v>121</v>
      </c>
      <c r="C941" t="s">
        <v>423</v>
      </c>
      <c r="D941" t="str">
        <f>VLOOKUP(C941,'lookup table'!$A$2:$B$19,2,FALSE)</f>
        <v>ignore</v>
      </c>
      <c r="E941" t="str">
        <f t="shared" si="14"/>
        <v>|ignore</v>
      </c>
    </row>
    <row r="942" spans="1:5" x14ac:dyDescent="0.2">
      <c r="A942" t="s">
        <v>0</v>
      </c>
      <c r="B942" t="s">
        <v>70</v>
      </c>
      <c r="C942" t="s">
        <v>423</v>
      </c>
      <c r="D942" t="str">
        <f>VLOOKUP(C942,'lookup table'!$A$2:$B$19,2,FALSE)</f>
        <v>ignore</v>
      </c>
      <c r="E942" t="str">
        <f t="shared" si="14"/>
        <v>|ignore</v>
      </c>
    </row>
    <row r="943" spans="1:5" x14ac:dyDescent="0.2">
      <c r="A943" t="s">
        <v>0</v>
      </c>
      <c r="B943" t="s">
        <v>122</v>
      </c>
      <c r="C943" t="s">
        <v>423</v>
      </c>
      <c r="D943" t="str">
        <f>VLOOKUP(C943,'lookup table'!$A$2:$B$19,2,FALSE)</f>
        <v>ignore</v>
      </c>
      <c r="E943" t="str">
        <f t="shared" si="14"/>
        <v>|ignore</v>
      </c>
    </row>
    <row r="944" spans="1:5" x14ac:dyDescent="0.2">
      <c r="A944" t="s">
        <v>0</v>
      </c>
      <c r="B944" t="s">
        <v>107</v>
      </c>
      <c r="C944" t="s">
        <v>423</v>
      </c>
      <c r="D944" t="str">
        <f>VLOOKUP(C944,'lookup table'!$A$2:$B$19,2,FALSE)</f>
        <v>ignore</v>
      </c>
      <c r="E944" t="str">
        <f t="shared" si="14"/>
        <v>|ignore</v>
      </c>
    </row>
    <row r="945" spans="1:5" x14ac:dyDescent="0.2">
      <c r="A945" t="s">
        <v>0</v>
      </c>
      <c r="B945" t="s">
        <v>390</v>
      </c>
      <c r="C945" t="s">
        <v>423</v>
      </c>
      <c r="D945" t="str">
        <f>VLOOKUP(C945,'lookup table'!$A$2:$B$19,2,FALSE)</f>
        <v>ignore</v>
      </c>
      <c r="E945" t="str">
        <f t="shared" si="14"/>
        <v>|ignore</v>
      </c>
    </row>
    <row r="946" spans="1:5" x14ac:dyDescent="0.2">
      <c r="A946" t="s">
        <v>0</v>
      </c>
      <c r="B946" t="s">
        <v>333</v>
      </c>
      <c r="C946" t="s">
        <v>423</v>
      </c>
      <c r="D946" t="str">
        <f>VLOOKUP(C946,'lookup table'!$A$2:$B$19,2,FALSE)</f>
        <v>ignore</v>
      </c>
      <c r="E946" t="str">
        <f t="shared" si="14"/>
        <v>|ignore</v>
      </c>
    </row>
    <row r="947" spans="1:5" x14ac:dyDescent="0.2">
      <c r="A947" t="s">
        <v>0</v>
      </c>
      <c r="B947" t="s">
        <v>72</v>
      </c>
      <c r="C947" t="s">
        <v>423</v>
      </c>
      <c r="D947" t="str">
        <f>VLOOKUP(C947,'lookup table'!$A$2:$B$19,2,FALSE)</f>
        <v>ignore</v>
      </c>
      <c r="E947" t="str">
        <f t="shared" si="14"/>
        <v>|ignore</v>
      </c>
    </row>
    <row r="948" spans="1:5" x14ac:dyDescent="0.2">
      <c r="A948" t="s">
        <v>0</v>
      </c>
      <c r="B948" t="s">
        <v>72</v>
      </c>
      <c r="C948" t="s">
        <v>423</v>
      </c>
      <c r="D948" t="str">
        <f>VLOOKUP(C948,'lookup table'!$A$2:$B$19,2,FALSE)</f>
        <v>ignore</v>
      </c>
      <c r="E948" t="str">
        <f t="shared" si="14"/>
        <v>|ignore</v>
      </c>
    </row>
    <row r="949" spans="1:5" x14ac:dyDescent="0.2">
      <c r="A949" t="s">
        <v>0</v>
      </c>
      <c r="B949" t="s">
        <v>72</v>
      </c>
      <c r="C949" t="s">
        <v>423</v>
      </c>
      <c r="D949" t="str">
        <f>VLOOKUP(C949,'lookup table'!$A$2:$B$19,2,FALSE)</f>
        <v>ignore</v>
      </c>
      <c r="E949" t="str">
        <f t="shared" si="14"/>
        <v>|ignore</v>
      </c>
    </row>
    <row r="950" spans="1:5" x14ac:dyDescent="0.2">
      <c r="A950" t="s">
        <v>0</v>
      </c>
      <c r="B950" t="s">
        <v>396</v>
      </c>
      <c r="C950" t="s">
        <v>423</v>
      </c>
      <c r="D950" t="str">
        <f>VLOOKUP(C950,'lookup table'!$A$2:$B$19,2,FALSE)</f>
        <v>ignore</v>
      </c>
      <c r="E950" t="str">
        <f t="shared" si="14"/>
        <v>|ignore</v>
      </c>
    </row>
    <row r="951" spans="1:5" x14ac:dyDescent="0.2">
      <c r="A951" t="s">
        <v>0</v>
      </c>
      <c r="B951" t="s">
        <v>333</v>
      </c>
      <c r="C951" t="s">
        <v>423</v>
      </c>
      <c r="D951" t="str">
        <f>VLOOKUP(C951,'lookup table'!$A$2:$B$19,2,FALSE)</f>
        <v>ignore</v>
      </c>
      <c r="E951" t="str">
        <f t="shared" si="14"/>
        <v>|ignore</v>
      </c>
    </row>
    <row r="952" spans="1:5" x14ac:dyDescent="0.2">
      <c r="A952" t="s">
        <v>0</v>
      </c>
      <c r="B952" t="s">
        <v>123</v>
      </c>
      <c r="C952" t="s">
        <v>423</v>
      </c>
      <c r="D952" t="str">
        <f>VLOOKUP(C952,'lookup table'!$A$2:$B$19,2,FALSE)</f>
        <v>ignore</v>
      </c>
      <c r="E952" t="str">
        <f t="shared" si="14"/>
        <v>|ignore</v>
      </c>
    </row>
    <row r="953" spans="1:5" x14ac:dyDescent="0.2">
      <c r="A953" t="s">
        <v>0</v>
      </c>
      <c r="B953" t="s">
        <v>124</v>
      </c>
      <c r="C953" t="s">
        <v>423</v>
      </c>
      <c r="D953" t="str">
        <f>VLOOKUP(C953,'lookup table'!$A$2:$B$19,2,FALSE)</f>
        <v>ignore</v>
      </c>
      <c r="E953" t="str">
        <f t="shared" si="14"/>
        <v>|ignore</v>
      </c>
    </row>
    <row r="954" spans="1:5" x14ac:dyDescent="0.2">
      <c r="A954" t="s">
        <v>0</v>
      </c>
      <c r="B954" t="s">
        <v>125</v>
      </c>
      <c r="C954" t="s">
        <v>423</v>
      </c>
      <c r="D954" t="str">
        <f>VLOOKUP(C954,'lookup table'!$A$2:$B$19,2,FALSE)</f>
        <v>ignore</v>
      </c>
      <c r="E954" t="str">
        <f t="shared" si="14"/>
        <v>|ignore</v>
      </c>
    </row>
    <row r="955" spans="1:5" x14ac:dyDescent="0.2">
      <c r="A955" t="s">
        <v>0</v>
      </c>
      <c r="B955" t="s">
        <v>126</v>
      </c>
      <c r="C955" t="s">
        <v>423</v>
      </c>
      <c r="D955" t="str">
        <f>VLOOKUP(C955,'lookup table'!$A$2:$B$19,2,FALSE)</f>
        <v>ignore</v>
      </c>
      <c r="E955" t="str">
        <f t="shared" si="14"/>
        <v>|ignore</v>
      </c>
    </row>
    <row r="956" spans="1:5" x14ac:dyDescent="0.2">
      <c r="A956" t="s">
        <v>0</v>
      </c>
      <c r="B956" t="s">
        <v>127</v>
      </c>
      <c r="C956" t="s">
        <v>423</v>
      </c>
      <c r="D956" t="str">
        <f>VLOOKUP(C956,'lookup table'!$A$2:$B$19,2,FALSE)</f>
        <v>ignore</v>
      </c>
      <c r="E956" t="str">
        <f t="shared" si="14"/>
        <v>|ignore</v>
      </c>
    </row>
    <row r="957" spans="1:5" x14ac:dyDescent="0.2">
      <c r="A957" t="s">
        <v>0</v>
      </c>
      <c r="B957" t="s">
        <v>128</v>
      </c>
      <c r="C957" t="s">
        <v>423</v>
      </c>
      <c r="D957" t="str">
        <f>VLOOKUP(C957,'lookup table'!$A$2:$B$19,2,FALSE)</f>
        <v>ignore</v>
      </c>
      <c r="E957" t="str">
        <f t="shared" si="14"/>
        <v>|ignore</v>
      </c>
    </row>
    <row r="958" spans="1:5" x14ac:dyDescent="0.2">
      <c r="A958" t="s">
        <v>0</v>
      </c>
      <c r="B958" t="s">
        <v>397</v>
      </c>
      <c r="C958" t="s">
        <v>423</v>
      </c>
      <c r="D958" t="str">
        <f>VLOOKUP(C958,'lookup table'!$A$2:$B$19,2,FALSE)</f>
        <v>ignore</v>
      </c>
      <c r="E958" t="str">
        <f t="shared" si="14"/>
        <v>|ignore</v>
      </c>
    </row>
    <row r="959" spans="1:5" x14ac:dyDescent="0.2">
      <c r="A959" t="s">
        <v>0</v>
      </c>
      <c r="B959" t="s">
        <v>332</v>
      </c>
      <c r="C959" t="s">
        <v>423</v>
      </c>
      <c r="D959" t="str">
        <f>VLOOKUP(C959,'lookup table'!$A$2:$B$19,2,FALSE)</f>
        <v>ignore</v>
      </c>
      <c r="E959" t="str">
        <f t="shared" si="14"/>
        <v>|ignore</v>
      </c>
    </row>
    <row r="960" spans="1:5" x14ac:dyDescent="0.2">
      <c r="A960" t="s">
        <v>0</v>
      </c>
      <c r="B960" t="s">
        <v>332</v>
      </c>
      <c r="C960" t="s">
        <v>423</v>
      </c>
      <c r="D960" t="str">
        <f>VLOOKUP(C960,'lookup table'!$A$2:$B$19,2,FALSE)</f>
        <v>ignore</v>
      </c>
      <c r="E960" t="str">
        <f t="shared" si="14"/>
        <v>|ignore</v>
      </c>
    </row>
    <row r="961" spans="1:5" x14ac:dyDescent="0.2">
      <c r="A961" t="s">
        <v>0</v>
      </c>
      <c r="B961" t="s">
        <v>334</v>
      </c>
      <c r="C961" t="s">
        <v>423</v>
      </c>
      <c r="D961" t="str">
        <f>VLOOKUP(C961,'lookup table'!$A$2:$B$19,2,FALSE)</f>
        <v>ignore</v>
      </c>
      <c r="E961" t="str">
        <f t="shared" si="14"/>
        <v>|ignore</v>
      </c>
    </row>
    <row r="962" spans="1:5" x14ac:dyDescent="0.2">
      <c r="A962" t="s">
        <v>0</v>
      </c>
      <c r="B962" t="s">
        <v>333</v>
      </c>
      <c r="C962" t="s">
        <v>423</v>
      </c>
      <c r="D962" t="str">
        <f>VLOOKUP(C962,'lookup table'!$A$2:$B$19,2,FALSE)</f>
        <v>ignore</v>
      </c>
      <c r="E962" t="str">
        <f t="shared" si="14"/>
        <v>|ignore</v>
      </c>
    </row>
    <row r="963" spans="1:5" x14ac:dyDescent="0.2">
      <c r="A963" t="s">
        <v>0</v>
      </c>
      <c r="B963" t="s">
        <v>71</v>
      </c>
      <c r="C963" t="s">
        <v>423</v>
      </c>
      <c r="D963" t="str">
        <f>VLOOKUP(C963,'lookup table'!$A$2:$B$19,2,FALSE)</f>
        <v>ignore</v>
      </c>
      <c r="E963" t="str">
        <f t="shared" ref="E963:E1026" si="15">IF(ISNA(D963),"",IF(A963="","",A963) &amp; "|" &amp; D963)</f>
        <v>|ignore</v>
      </c>
    </row>
    <row r="964" spans="1:5" x14ac:dyDescent="0.2">
      <c r="A964" t="s">
        <v>0</v>
      </c>
      <c r="B964" t="s">
        <v>398</v>
      </c>
      <c r="C964" t="s">
        <v>423</v>
      </c>
      <c r="D964" t="str">
        <f>VLOOKUP(C964,'lookup table'!$A$2:$B$19,2,FALSE)</f>
        <v>ignore</v>
      </c>
      <c r="E964" t="str">
        <f t="shared" si="15"/>
        <v>|ignore</v>
      </c>
    </row>
    <row r="965" spans="1:5" x14ac:dyDescent="0.2">
      <c r="A965" t="s">
        <v>0</v>
      </c>
      <c r="B965" t="s">
        <v>224</v>
      </c>
      <c r="C965" t="s">
        <v>423</v>
      </c>
      <c r="D965" t="str">
        <f>VLOOKUP(C965,'lookup table'!$A$2:$B$19,2,FALSE)</f>
        <v>ignore</v>
      </c>
      <c r="E965" t="str">
        <f t="shared" si="15"/>
        <v>|ignore</v>
      </c>
    </row>
    <row r="966" spans="1:5" x14ac:dyDescent="0.2">
      <c r="A966" t="s">
        <v>0</v>
      </c>
      <c r="B966" t="s">
        <v>201</v>
      </c>
      <c r="C966" t="s">
        <v>423</v>
      </c>
      <c r="D966" t="str">
        <f>VLOOKUP(C966,'lookup table'!$A$2:$B$19,2,FALSE)</f>
        <v>ignore</v>
      </c>
      <c r="E966" t="str">
        <f t="shared" si="15"/>
        <v>|ignore</v>
      </c>
    </row>
    <row r="967" spans="1:5" x14ac:dyDescent="0.2">
      <c r="A967" t="s">
        <v>0</v>
      </c>
      <c r="B967" t="s">
        <v>383</v>
      </c>
      <c r="C967" t="s">
        <v>423</v>
      </c>
      <c r="D967" t="str">
        <f>VLOOKUP(C967,'lookup table'!$A$2:$B$19,2,FALSE)</f>
        <v>ignore</v>
      </c>
      <c r="E967" t="str">
        <f t="shared" si="15"/>
        <v>|ignore</v>
      </c>
    </row>
    <row r="968" spans="1:5" x14ac:dyDescent="0.2">
      <c r="A968" t="s">
        <v>0</v>
      </c>
      <c r="B968" t="s">
        <v>384</v>
      </c>
      <c r="C968" t="s">
        <v>423</v>
      </c>
      <c r="D968" t="str">
        <f>VLOOKUP(C968,'lookup table'!$A$2:$B$19,2,FALSE)</f>
        <v>ignore</v>
      </c>
      <c r="E968" t="str">
        <f t="shared" si="15"/>
        <v>|ignore</v>
      </c>
    </row>
    <row r="969" spans="1:5" x14ac:dyDescent="0.2">
      <c r="A969" t="s">
        <v>0</v>
      </c>
      <c r="B969" t="s">
        <v>385</v>
      </c>
      <c r="C969" t="s">
        <v>423</v>
      </c>
      <c r="D969" t="str">
        <f>VLOOKUP(C969,'lookup table'!$A$2:$B$19,2,FALSE)</f>
        <v>ignore</v>
      </c>
      <c r="E969" t="str">
        <f t="shared" si="15"/>
        <v>|ignore</v>
      </c>
    </row>
    <row r="970" spans="1:5" x14ac:dyDescent="0.2">
      <c r="A970" t="s">
        <v>0</v>
      </c>
      <c r="B970" t="s">
        <v>8</v>
      </c>
      <c r="C970" t="s">
        <v>423</v>
      </c>
      <c r="D970" t="str">
        <f>VLOOKUP(C970,'lookup table'!$A$2:$B$19,2,FALSE)</f>
        <v>ignore</v>
      </c>
      <c r="E970" t="str">
        <f t="shared" si="15"/>
        <v>|ignore</v>
      </c>
    </row>
    <row r="971" spans="1:5" x14ac:dyDescent="0.2">
      <c r="A971" t="s">
        <v>0</v>
      </c>
      <c r="B971" t="s">
        <v>399</v>
      </c>
      <c r="C971" t="s">
        <v>423</v>
      </c>
      <c r="D971" t="str">
        <f>VLOOKUP(C971,'lookup table'!$A$2:$B$19,2,FALSE)</f>
        <v>ignore</v>
      </c>
      <c r="E971" t="str">
        <f t="shared" si="15"/>
        <v>|ignore</v>
      </c>
    </row>
    <row r="972" spans="1:5" x14ac:dyDescent="0.2">
      <c r="A972" t="s">
        <v>0</v>
      </c>
      <c r="B972" t="s">
        <v>399</v>
      </c>
      <c r="C972" t="s">
        <v>423</v>
      </c>
      <c r="D972" t="str">
        <f>VLOOKUP(C972,'lookup table'!$A$2:$B$19,2,FALSE)</f>
        <v>ignore</v>
      </c>
      <c r="E972" t="str">
        <f t="shared" si="15"/>
        <v>|ignore</v>
      </c>
    </row>
    <row r="973" spans="1:5" x14ac:dyDescent="0.2">
      <c r="A973" t="s">
        <v>0</v>
      </c>
      <c r="B973" t="s">
        <v>8</v>
      </c>
      <c r="C973" t="s">
        <v>423</v>
      </c>
      <c r="D973" t="str">
        <f>VLOOKUP(C973,'lookup table'!$A$2:$B$19,2,FALSE)</f>
        <v>ignore</v>
      </c>
      <c r="E973" t="str">
        <f t="shared" si="15"/>
        <v>|ignore</v>
      </c>
    </row>
    <row r="974" spans="1:5" x14ac:dyDescent="0.2">
      <c r="A974" t="s">
        <v>0</v>
      </c>
      <c r="B974" t="s">
        <v>400</v>
      </c>
      <c r="C974" t="s">
        <v>423</v>
      </c>
      <c r="D974" t="str">
        <f>VLOOKUP(C974,'lookup table'!$A$2:$B$19,2,FALSE)</f>
        <v>ignore</v>
      </c>
      <c r="E974" t="str">
        <f t="shared" si="15"/>
        <v>|ignore</v>
      </c>
    </row>
    <row r="975" spans="1:5" x14ac:dyDescent="0.2">
      <c r="A975" t="s">
        <v>0</v>
      </c>
      <c r="B975" t="s">
        <v>400</v>
      </c>
      <c r="C975" t="s">
        <v>423</v>
      </c>
      <c r="D975" t="str">
        <f>VLOOKUP(C975,'lookup table'!$A$2:$B$19,2,FALSE)</f>
        <v>ignore</v>
      </c>
      <c r="E975" t="str">
        <f t="shared" si="15"/>
        <v>|ignore</v>
      </c>
    </row>
    <row r="976" spans="1:5" x14ac:dyDescent="0.2">
      <c r="A976" t="s">
        <v>0</v>
      </c>
      <c r="B976" t="s">
        <v>400</v>
      </c>
      <c r="C976" t="s">
        <v>423</v>
      </c>
      <c r="D976" t="str">
        <f>VLOOKUP(C976,'lookup table'!$A$2:$B$19,2,FALSE)</f>
        <v>ignore</v>
      </c>
      <c r="E976" t="str">
        <f t="shared" si="15"/>
        <v>|ignore</v>
      </c>
    </row>
    <row r="977" spans="1:5" x14ac:dyDescent="0.2">
      <c r="A977" t="s">
        <v>0</v>
      </c>
      <c r="B977" t="s">
        <v>400</v>
      </c>
      <c r="C977" t="s">
        <v>423</v>
      </c>
      <c r="D977" t="str">
        <f>VLOOKUP(C977,'lookup table'!$A$2:$B$19,2,FALSE)</f>
        <v>ignore</v>
      </c>
      <c r="E977" t="str">
        <f t="shared" si="15"/>
        <v>|ignore</v>
      </c>
    </row>
    <row r="978" spans="1:5" x14ac:dyDescent="0.2">
      <c r="A978" t="s">
        <v>0</v>
      </c>
      <c r="B978" t="s">
        <v>400</v>
      </c>
      <c r="C978" t="s">
        <v>423</v>
      </c>
      <c r="D978" t="str">
        <f>VLOOKUP(C978,'lookup table'!$A$2:$B$19,2,FALSE)</f>
        <v>ignore</v>
      </c>
      <c r="E978" t="str">
        <f t="shared" si="15"/>
        <v>|ignore</v>
      </c>
    </row>
    <row r="979" spans="1:5" x14ac:dyDescent="0.2">
      <c r="A979" t="s">
        <v>0</v>
      </c>
      <c r="B979" t="s">
        <v>400</v>
      </c>
      <c r="C979" t="s">
        <v>423</v>
      </c>
      <c r="D979" t="str">
        <f>VLOOKUP(C979,'lookup table'!$A$2:$B$19,2,FALSE)</f>
        <v>ignore</v>
      </c>
      <c r="E979" t="str">
        <f t="shared" si="15"/>
        <v>|ignore</v>
      </c>
    </row>
    <row r="980" spans="1:5" x14ac:dyDescent="0.2">
      <c r="A980" t="s">
        <v>0</v>
      </c>
      <c r="B980" t="s">
        <v>333</v>
      </c>
      <c r="C980" t="s">
        <v>423</v>
      </c>
      <c r="D980" t="str">
        <f>VLOOKUP(C980,'lookup table'!$A$2:$B$19,2,FALSE)</f>
        <v>ignore</v>
      </c>
      <c r="E980" t="str">
        <f t="shared" si="15"/>
        <v>|ignore</v>
      </c>
    </row>
    <row r="981" spans="1:5" x14ac:dyDescent="0.2">
      <c r="A981" t="s">
        <v>0</v>
      </c>
      <c r="B981" t="s">
        <v>379</v>
      </c>
      <c r="C981" t="s">
        <v>423</v>
      </c>
      <c r="D981" t="str">
        <f>VLOOKUP(C981,'lookup table'!$A$2:$B$19,2,FALSE)</f>
        <v>ignore</v>
      </c>
      <c r="E981" t="str">
        <f t="shared" si="15"/>
        <v>|ignore</v>
      </c>
    </row>
    <row r="982" spans="1:5" x14ac:dyDescent="0.2">
      <c r="A982" t="s">
        <v>0</v>
      </c>
      <c r="B982" t="s">
        <v>401</v>
      </c>
      <c r="C982" t="s">
        <v>423</v>
      </c>
      <c r="D982" t="str">
        <f>VLOOKUP(C982,'lookup table'!$A$2:$B$19,2,FALSE)</f>
        <v>ignore</v>
      </c>
      <c r="E982" t="str">
        <f t="shared" si="15"/>
        <v>|ignore</v>
      </c>
    </row>
    <row r="983" spans="1:5" x14ac:dyDescent="0.2">
      <c r="A983" t="s">
        <v>0</v>
      </c>
      <c r="B983" t="s">
        <v>402</v>
      </c>
      <c r="C983" t="s">
        <v>423</v>
      </c>
      <c r="D983" t="str">
        <f>VLOOKUP(C983,'lookup table'!$A$2:$B$19,2,FALSE)</f>
        <v>ignore</v>
      </c>
      <c r="E983" t="str">
        <f t="shared" si="15"/>
        <v>|ignore</v>
      </c>
    </row>
    <row r="984" spans="1:5" x14ac:dyDescent="0.2">
      <c r="A984" t="s">
        <v>0</v>
      </c>
      <c r="B984" t="s">
        <v>353</v>
      </c>
      <c r="C984" t="s">
        <v>423</v>
      </c>
      <c r="D984" t="str">
        <f>VLOOKUP(C984,'lookup table'!$A$2:$B$19,2,FALSE)</f>
        <v>ignore</v>
      </c>
      <c r="E984" t="str">
        <f t="shared" si="15"/>
        <v>|ignore</v>
      </c>
    </row>
    <row r="985" spans="1:5" x14ac:dyDescent="0.2">
      <c r="A985" t="s">
        <v>0</v>
      </c>
      <c r="B985" t="s">
        <v>353</v>
      </c>
      <c r="C985" t="s">
        <v>423</v>
      </c>
      <c r="D985" t="str">
        <f>VLOOKUP(C985,'lookup table'!$A$2:$B$19,2,FALSE)</f>
        <v>ignore</v>
      </c>
      <c r="E985" t="str">
        <f t="shared" si="15"/>
        <v>|ignore</v>
      </c>
    </row>
    <row r="986" spans="1:5" x14ac:dyDescent="0.2">
      <c r="A986" t="s">
        <v>0</v>
      </c>
      <c r="B986" t="s">
        <v>353</v>
      </c>
      <c r="C986" t="s">
        <v>423</v>
      </c>
      <c r="D986" t="str">
        <f>VLOOKUP(C986,'lookup table'!$A$2:$B$19,2,FALSE)</f>
        <v>ignore</v>
      </c>
      <c r="E986" t="str">
        <f t="shared" si="15"/>
        <v>|ignore</v>
      </c>
    </row>
    <row r="987" spans="1:5" x14ac:dyDescent="0.2">
      <c r="A987" t="s">
        <v>0</v>
      </c>
      <c r="B987" t="s">
        <v>353</v>
      </c>
      <c r="C987" t="s">
        <v>423</v>
      </c>
      <c r="D987" t="str">
        <f>VLOOKUP(C987,'lookup table'!$A$2:$B$19,2,FALSE)</f>
        <v>ignore</v>
      </c>
      <c r="E987" t="str">
        <f t="shared" si="15"/>
        <v>|ignore</v>
      </c>
    </row>
    <row r="988" spans="1:5" x14ac:dyDescent="0.2">
      <c r="A988" t="s">
        <v>0</v>
      </c>
      <c r="B988" t="s">
        <v>403</v>
      </c>
      <c r="C988" t="s">
        <v>423</v>
      </c>
      <c r="D988" t="str">
        <f>VLOOKUP(C988,'lookup table'!$A$2:$B$19,2,FALSE)</f>
        <v>ignore</v>
      </c>
      <c r="E988" t="str">
        <f t="shared" si="15"/>
        <v>|ignore</v>
      </c>
    </row>
    <row r="989" spans="1:5" x14ac:dyDescent="0.2">
      <c r="A989" t="s">
        <v>0</v>
      </c>
      <c r="B989" t="s">
        <v>335</v>
      </c>
      <c r="C989" t="s">
        <v>423</v>
      </c>
      <c r="D989" t="str">
        <f>VLOOKUP(C989,'lookup table'!$A$2:$B$19,2,FALSE)</f>
        <v>ignore</v>
      </c>
      <c r="E989" t="str">
        <f t="shared" si="15"/>
        <v>|ignore</v>
      </c>
    </row>
    <row r="990" spans="1:5" x14ac:dyDescent="0.2">
      <c r="A990" t="s">
        <v>0</v>
      </c>
      <c r="B990" t="s">
        <v>335</v>
      </c>
      <c r="C990" t="s">
        <v>423</v>
      </c>
      <c r="D990" t="str">
        <f>VLOOKUP(C990,'lookup table'!$A$2:$B$19,2,FALSE)</f>
        <v>ignore</v>
      </c>
      <c r="E990" t="str">
        <f t="shared" si="15"/>
        <v>|ignore</v>
      </c>
    </row>
    <row r="991" spans="1:5" x14ac:dyDescent="0.2">
      <c r="A991" t="s">
        <v>0</v>
      </c>
      <c r="B991" t="s">
        <v>335</v>
      </c>
      <c r="C991" t="s">
        <v>423</v>
      </c>
      <c r="D991" t="str">
        <f>VLOOKUP(C991,'lookup table'!$A$2:$B$19,2,FALSE)</f>
        <v>ignore</v>
      </c>
      <c r="E991" t="str">
        <f t="shared" si="15"/>
        <v>|ignore</v>
      </c>
    </row>
    <row r="992" spans="1:5" x14ac:dyDescent="0.2">
      <c r="A992" t="s">
        <v>0</v>
      </c>
      <c r="B992" t="s">
        <v>353</v>
      </c>
      <c r="C992" t="s">
        <v>423</v>
      </c>
      <c r="D992" t="str">
        <f>VLOOKUP(C992,'lookup table'!$A$2:$B$19,2,FALSE)</f>
        <v>ignore</v>
      </c>
      <c r="E992" t="str">
        <f t="shared" si="15"/>
        <v>|ignore</v>
      </c>
    </row>
    <row r="993" spans="1:5" x14ac:dyDescent="0.2">
      <c r="A993" t="s">
        <v>0</v>
      </c>
      <c r="B993" t="s">
        <v>403</v>
      </c>
      <c r="C993" t="s">
        <v>423</v>
      </c>
      <c r="D993" t="str">
        <f>VLOOKUP(C993,'lookup table'!$A$2:$B$19,2,FALSE)</f>
        <v>ignore</v>
      </c>
      <c r="E993" t="str">
        <f t="shared" si="15"/>
        <v>|ignore</v>
      </c>
    </row>
    <row r="994" spans="1:5" x14ac:dyDescent="0.2">
      <c r="A994" t="s">
        <v>0</v>
      </c>
      <c r="B994" t="s">
        <v>400</v>
      </c>
      <c r="C994" t="s">
        <v>423</v>
      </c>
      <c r="D994" t="str">
        <f>VLOOKUP(C994,'lookup table'!$A$2:$B$19,2,FALSE)</f>
        <v>ignore</v>
      </c>
      <c r="E994" t="str">
        <f t="shared" si="15"/>
        <v>|ignore</v>
      </c>
    </row>
    <row r="995" spans="1:5" x14ac:dyDescent="0.2">
      <c r="A995" t="s">
        <v>0</v>
      </c>
      <c r="B995" t="s">
        <v>404</v>
      </c>
      <c r="C995" t="s">
        <v>423</v>
      </c>
      <c r="D995" t="str">
        <f>VLOOKUP(C995,'lookup table'!$A$2:$B$19,2,FALSE)</f>
        <v>ignore</v>
      </c>
      <c r="E995" t="str">
        <f t="shared" si="15"/>
        <v>|ignore</v>
      </c>
    </row>
    <row r="996" spans="1:5" x14ac:dyDescent="0.2">
      <c r="A996" t="s">
        <v>0</v>
      </c>
      <c r="B996" t="s">
        <v>404</v>
      </c>
      <c r="C996" t="s">
        <v>423</v>
      </c>
      <c r="D996" t="str">
        <f>VLOOKUP(C996,'lookup table'!$A$2:$B$19,2,FALSE)</f>
        <v>ignore</v>
      </c>
      <c r="E996" t="str">
        <f t="shared" si="15"/>
        <v>|ignore</v>
      </c>
    </row>
    <row r="997" spans="1:5" x14ac:dyDescent="0.2">
      <c r="A997" t="s">
        <v>0</v>
      </c>
      <c r="B997" t="s">
        <v>405</v>
      </c>
      <c r="C997" t="s">
        <v>423</v>
      </c>
      <c r="D997" t="str">
        <f>VLOOKUP(C997,'lookup table'!$A$2:$B$19,2,FALSE)</f>
        <v>ignore</v>
      </c>
      <c r="E997" t="str">
        <f t="shared" si="15"/>
        <v>|ignore</v>
      </c>
    </row>
    <row r="998" spans="1:5" x14ac:dyDescent="0.2">
      <c r="A998" t="s">
        <v>0</v>
      </c>
      <c r="B998" t="s">
        <v>406</v>
      </c>
      <c r="C998" t="s">
        <v>423</v>
      </c>
      <c r="D998" t="str">
        <f>VLOOKUP(C998,'lookup table'!$A$2:$B$19,2,FALSE)</f>
        <v>ignore</v>
      </c>
      <c r="E998" t="str">
        <f t="shared" si="15"/>
        <v>|ignore</v>
      </c>
    </row>
    <row r="999" spans="1:5" x14ac:dyDescent="0.2">
      <c r="A999" t="s">
        <v>0</v>
      </c>
      <c r="B999" t="s">
        <v>333</v>
      </c>
      <c r="C999" t="s">
        <v>423</v>
      </c>
      <c r="D999" t="str">
        <f>VLOOKUP(C999,'lookup table'!$A$2:$B$19,2,FALSE)</f>
        <v>ignore</v>
      </c>
      <c r="E999" t="str">
        <f t="shared" si="15"/>
        <v>|ignore</v>
      </c>
    </row>
    <row r="1000" spans="1:5" x14ac:dyDescent="0.2">
      <c r="A1000" t="s">
        <v>0</v>
      </c>
      <c r="B1000" t="s">
        <v>407</v>
      </c>
      <c r="C1000" t="s">
        <v>423</v>
      </c>
      <c r="D1000" t="str">
        <f>VLOOKUP(C1000,'lookup table'!$A$2:$B$19,2,FALSE)</f>
        <v>ignore</v>
      </c>
      <c r="E1000" t="str">
        <f t="shared" si="15"/>
        <v>|ignore</v>
      </c>
    </row>
    <row r="1001" spans="1:5" x14ac:dyDescent="0.2">
      <c r="A1001" t="s">
        <v>0</v>
      </c>
      <c r="B1001" t="s">
        <v>15</v>
      </c>
      <c r="C1001" t="s">
        <v>423</v>
      </c>
      <c r="D1001" t="str">
        <f>VLOOKUP(C1001,'lookup table'!$A$2:$B$19,2,FALSE)</f>
        <v>ignore</v>
      </c>
      <c r="E1001" t="str">
        <f t="shared" si="15"/>
        <v>|ignore</v>
      </c>
    </row>
    <row r="1002" spans="1:5" x14ac:dyDescent="0.2">
      <c r="A1002" t="s">
        <v>0</v>
      </c>
      <c r="B1002" t="s">
        <v>15</v>
      </c>
      <c r="C1002" t="s">
        <v>423</v>
      </c>
      <c r="D1002" t="str">
        <f>VLOOKUP(C1002,'lookup table'!$A$2:$B$19,2,FALSE)</f>
        <v>ignore</v>
      </c>
      <c r="E1002" t="str">
        <f t="shared" si="15"/>
        <v>|ignore</v>
      </c>
    </row>
    <row r="1003" spans="1:5" x14ac:dyDescent="0.2">
      <c r="A1003" t="s">
        <v>0</v>
      </c>
      <c r="B1003" t="s">
        <v>409</v>
      </c>
      <c r="C1003" t="s">
        <v>423</v>
      </c>
      <c r="D1003" t="str">
        <f>VLOOKUP(C1003,'lookup table'!$A$2:$B$19,2,FALSE)</f>
        <v>ignore</v>
      </c>
      <c r="E1003" t="str">
        <f t="shared" si="15"/>
        <v>|ignore</v>
      </c>
    </row>
    <row r="1004" spans="1:5" x14ac:dyDescent="0.2">
      <c r="A1004" t="s">
        <v>0</v>
      </c>
      <c r="B1004" t="s">
        <v>409</v>
      </c>
      <c r="C1004" t="s">
        <v>423</v>
      </c>
      <c r="D1004" t="str">
        <f>VLOOKUP(C1004,'lookup table'!$A$2:$B$19,2,FALSE)</f>
        <v>ignore</v>
      </c>
      <c r="E1004" t="str">
        <f t="shared" si="15"/>
        <v>|ignore</v>
      </c>
    </row>
    <row r="1005" spans="1:5" x14ac:dyDescent="0.2">
      <c r="A1005" t="s">
        <v>0</v>
      </c>
      <c r="B1005" t="s">
        <v>409</v>
      </c>
      <c r="C1005" t="s">
        <v>423</v>
      </c>
      <c r="D1005" t="str">
        <f>VLOOKUP(C1005,'lookup table'!$A$2:$B$19,2,FALSE)</f>
        <v>ignore</v>
      </c>
      <c r="E1005" t="str">
        <f t="shared" si="15"/>
        <v>|ignore</v>
      </c>
    </row>
    <row r="1006" spans="1:5" x14ac:dyDescent="0.2">
      <c r="A1006" t="s">
        <v>0</v>
      </c>
      <c r="B1006" t="s">
        <v>334</v>
      </c>
      <c r="C1006" t="s">
        <v>423</v>
      </c>
      <c r="D1006" t="str">
        <f>VLOOKUP(C1006,'lookup table'!$A$2:$B$19,2,FALSE)</f>
        <v>ignore</v>
      </c>
      <c r="E1006" t="str">
        <f t="shared" si="15"/>
        <v>|ignore</v>
      </c>
    </row>
    <row r="1007" spans="1:5" x14ac:dyDescent="0.2">
      <c r="A1007" t="s">
        <v>0</v>
      </c>
      <c r="B1007" t="s">
        <v>401</v>
      </c>
      <c r="C1007" t="s">
        <v>423</v>
      </c>
      <c r="D1007" t="str">
        <f>VLOOKUP(C1007,'lookup table'!$A$2:$B$19,2,FALSE)</f>
        <v>ignore</v>
      </c>
      <c r="E1007" t="str">
        <f t="shared" si="15"/>
        <v>|ignore</v>
      </c>
    </row>
    <row r="1008" spans="1:5" x14ac:dyDescent="0.2">
      <c r="A1008" t="s">
        <v>0</v>
      </c>
      <c r="B1008" t="s">
        <v>405</v>
      </c>
      <c r="C1008" t="s">
        <v>423</v>
      </c>
      <c r="D1008" t="str">
        <f>VLOOKUP(C1008,'lookup table'!$A$2:$B$19,2,FALSE)</f>
        <v>ignore</v>
      </c>
      <c r="E1008" t="str">
        <f t="shared" si="15"/>
        <v>|ignore</v>
      </c>
    </row>
    <row r="1009" spans="1:5" x14ac:dyDescent="0.2">
      <c r="A1009" t="s">
        <v>0</v>
      </c>
      <c r="B1009" t="s">
        <v>406</v>
      </c>
      <c r="C1009" t="s">
        <v>423</v>
      </c>
      <c r="D1009" t="str">
        <f>VLOOKUP(C1009,'lookup table'!$A$2:$B$19,2,FALSE)</f>
        <v>ignore</v>
      </c>
      <c r="E1009" t="str">
        <f t="shared" si="15"/>
        <v>|ignore</v>
      </c>
    </row>
    <row r="1010" spans="1:5" x14ac:dyDescent="0.2">
      <c r="A1010" t="s">
        <v>0</v>
      </c>
      <c r="B1010" t="s">
        <v>410</v>
      </c>
      <c r="C1010" t="s">
        <v>423</v>
      </c>
      <c r="D1010" t="str">
        <f>VLOOKUP(C1010,'lookup table'!$A$2:$B$19,2,FALSE)</f>
        <v>ignore</v>
      </c>
      <c r="E1010" t="str">
        <f t="shared" si="15"/>
        <v>|ignore</v>
      </c>
    </row>
    <row r="1011" spans="1:5" x14ac:dyDescent="0.2">
      <c r="A1011" t="s">
        <v>0</v>
      </c>
      <c r="B1011" t="s">
        <v>410</v>
      </c>
      <c r="C1011" t="s">
        <v>423</v>
      </c>
      <c r="D1011" t="str">
        <f>VLOOKUP(C1011,'lookup table'!$A$2:$B$19,2,FALSE)</f>
        <v>ignore</v>
      </c>
      <c r="E1011" t="str">
        <f t="shared" si="15"/>
        <v>|ignore</v>
      </c>
    </row>
    <row r="1012" spans="1:5" x14ac:dyDescent="0.2">
      <c r="A1012" t="s">
        <v>0</v>
      </c>
      <c r="B1012" t="s">
        <v>411</v>
      </c>
      <c r="C1012" t="s">
        <v>423</v>
      </c>
      <c r="D1012" t="str">
        <f>VLOOKUP(C1012,'lookup table'!$A$2:$B$19,2,FALSE)</f>
        <v>ignore</v>
      </c>
      <c r="E1012" t="str">
        <f t="shared" si="15"/>
        <v>|ignore</v>
      </c>
    </row>
    <row r="1013" spans="1:5" x14ac:dyDescent="0.2">
      <c r="A1013" t="s">
        <v>0</v>
      </c>
      <c r="B1013" t="s">
        <v>379</v>
      </c>
      <c r="C1013" t="s">
        <v>423</v>
      </c>
      <c r="D1013" t="str">
        <f>VLOOKUP(C1013,'lookup table'!$A$2:$B$19,2,FALSE)</f>
        <v>ignore</v>
      </c>
      <c r="E1013" t="str">
        <f t="shared" si="15"/>
        <v>|ignore</v>
      </c>
    </row>
    <row r="1014" spans="1:5" x14ac:dyDescent="0.2">
      <c r="A1014" t="s">
        <v>0</v>
      </c>
      <c r="B1014" t="s">
        <v>412</v>
      </c>
      <c r="C1014" t="s">
        <v>423</v>
      </c>
      <c r="D1014" t="str">
        <f>VLOOKUP(C1014,'lookup table'!$A$2:$B$19,2,FALSE)</f>
        <v>ignore</v>
      </c>
      <c r="E1014" t="str">
        <f t="shared" si="15"/>
        <v>|ignore</v>
      </c>
    </row>
    <row r="1015" spans="1:5" x14ac:dyDescent="0.2">
      <c r="A1015" t="s">
        <v>0</v>
      </c>
      <c r="B1015" t="s">
        <v>380</v>
      </c>
      <c r="C1015" t="s">
        <v>423</v>
      </c>
      <c r="D1015" t="str">
        <f>VLOOKUP(C1015,'lookup table'!$A$2:$B$19,2,FALSE)</f>
        <v>ignore</v>
      </c>
      <c r="E1015" t="str">
        <f t="shared" si="15"/>
        <v>|ignore</v>
      </c>
    </row>
    <row r="1016" spans="1:5" x14ac:dyDescent="0.2">
      <c r="A1016" t="s">
        <v>0</v>
      </c>
      <c r="B1016" t="s">
        <v>413</v>
      </c>
      <c r="C1016" t="s">
        <v>423</v>
      </c>
      <c r="D1016" t="str">
        <f>VLOOKUP(C1016,'lookup table'!$A$2:$B$19,2,FALSE)</f>
        <v>ignore</v>
      </c>
      <c r="E1016" t="str">
        <f t="shared" si="15"/>
        <v>|ignore</v>
      </c>
    </row>
    <row r="1017" spans="1:5" x14ac:dyDescent="0.2">
      <c r="A1017" t="s">
        <v>0</v>
      </c>
      <c r="B1017" t="s">
        <v>413</v>
      </c>
      <c r="C1017" t="s">
        <v>423</v>
      </c>
      <c r="D1017" t="str">
        <f>VLOOKUP(C1017,'lookup table'!$A$2:$B$19,2,FALSE)</f>
        <v>ignore</v>
      </c>
      <c r="E1017" t="str">
        <f t="shared" si="15"/>
        <v>|ignore</v>
      </c>
    </row>
    <row r="1018" spans="1:5" x14ac:dyDescent="0.2">
      <c r="A1018" t="s">
        <v>0</v>
      </c>
      <c r="B1018" t="s">
        <v>332</v>
      </c>
      <c r="C1018" t="s">
        <v>423</v>
      </c>
      <c r="D1018" t="str">
        <f>VLOOKUP(C1018,'lookup table'!$A$2:$B$19,2,FALSE)</f>
        <v>ignore</v>
      </c>
      <c r="E1018" t="str">
        <f t="shared" si="15"/>
        <v>|ignore</v>
      </c>
    </row>
    <row r="1019" spans="1:5" x14ac:dyDescent="0.2">
      <c r="A1019" t="s">
        <v>0</v>
      </c>
      <c r="B1019" t="s">
        <v>332</v>
      </c>
      <c r="C1019" t="s">
        <v>423</v>
      </c>
      <c r="D1019" t="str">
        <f>VLOOKUP(C1019,'lookup table'!$A$2:$B$19,2,FALSE)</f>
        <v>ignore</v>
      </c>
      <c r="E1019" t="str">
        <f t="shared" si="15"/>
        <v>|ignore</v>
      </c>
    </row>
    <row r="1020" spans="1:5" x14ac:dyDescent="0.2">
      <c r="A1020" t="s">
        <v>0</v>
      </c>
      <c r="B1020" t="s">
        <v>200</v>
      </c>
      <c r="C1020" t="s">
        <v>423</v>
      </c>
      <c r="D1020" t="str">
        <f>VLOOKUP(C1020,'lookup table'!$A$2:$B$19,2,FALSE)</f>
        <v>ignore</v>
      </c>
      <c r="E1020" t="str">
        <f t="shared" si="15"/>
        <v>|ignore</v>
      </c>
    </row>
    <row r="1021" spans="1:5" x14ac:dyDescent="0.2">
      <c r="A1021" t="s">
        <v>0</v>
      </c>
      <c r="B1021" t="s">
        <v>129</v>
      </c>
      <c r="C1021" t="s">
        <v>423</v>
      </c>
      <c r="D1021" t="str">
        <f>VLOOKUP(C1021,'lookup table'!$A$2:$B$19,2,FALSE)</f>
        <v>ignore</v>
      </c>
      <c r="E1021" t="str">
        <f t="shared" si="15"/>
        <v>|ignore</v>
      </c>
    </row>
    <row r="1022" spans="1:5" x14ac:dyDescent="0.2">
      <c r="A1022" t="s">
        <v>0</v>
      </c>
      <c r="B1022" t="s">
        <v>354</v>
      </c>
      <c r="C1022" t="s">
        <v>423</v>
      </c>
      <c r="D1022" t="str">
        <f>VLOOKUP(C1022,'lookup table'!$A$2:$B$19,2,FALSE)</f>
        <v>ignore</v>
      </c>
      <c r="E1022" t="str">
        <f t="shared" si="15"/>
        <v>|ignore</v>
      </c>
    </row>
    <row r="1023" spans="1:5" x14ac:dyDescent="0.2">
      <c r="A1023" t="s">
        <v>0</v>
      </c>
      <c r="B1023" t="s">
        <v>355</v>
      </c>
      <c r="C1023" t="s">
        <v>423</v>
      </c>
      <c r="D1023" t="str">
        <f>VLOOKUP(C1023,'lookup table'!$A$2:$B$19,2,FALSE)</f>
        <v>ignore</v>
      </c>
      <c r="E1023" t="str">
        <f t="shared" si="15"/>
        <v>|ignore</v>
      </c>
    </row>
    <row r="1024" spans="1:5" x14ac:dyDescent="0.2">
      <c r="A1024" t="s">
        <v>0</v>
      </c>
      <c r="B1024" t="s">
        <v>356</v>
      </c>
      <c r="C1024" t="s">
        <v>423</v>
      </c>
      <c r="D1024" t="str">
        <f>VLOOKUP(C1024,'lookup table'!$A$2:$B$19,2,FALSE)</f>
        <v>ignore</v>
      </c>
      <c r="E1024" t="str">
        <f t="shared" si="15"/>
        <v>|ignore</v>
      </c>
    </row>
    <row r="1025" spans="1:5" x14ac:dyDescent="0.2">
      <c r="A1025" t="s">
        <v>0</v>
      </c>
      <c r="B1025" t="s">
        <v>357</v>
      </c>
      <c r="C1025" t="s">
        <v>423</v>
      </c>
      <c r="D1025" t="str">
        <f>VLOOKUP(C1025,'lookup table'!$A$2:$B$19,2,FALSE)</f>
        <v>ignore</v>
      </c>
      <c r="E1025" t="str">
        <f t="shared" si="15"/>
        <v>|ignore</v>
      </c>
    </row>
    <row r="1026" spans="1:5" x14ac:dyDescent="0.2">
      <c r="A1026" t="s">
        <v>0</v>
      </c>
      <c r="B1026" t="s">
        <v>358</v>
      </c>
      <c r="C1026" t="s">
        <v>423</v>
      </c>
      <c r="D1026" t="str">
        <f>VLOOKUP(C1026,'lookup table'!$A$2:$B$19,2,FALSE)</f>
        <v>ignore</v>
      </c>
      <c r="E1026" t="str">
        <f t="shared" si="15"/>
        <v>|ignore</v>
      </c>
    </row>
    <row r="1027" spans="1:5" x14ac:dyDescent="0.2">
      <c r="A1027" t="s">
        <v>0</v>
      </c>
      <c r="B1027" t="s">
        <v>359</v>
      </c>
      <c r="C1027" t="s">
        <v>423</v>
      </c>
      <c r="D1027" t="str">
        <f>VLOOKUP(C1027,'lookup table'!$A$2:$B$19,2,FALSE)</f>
        <v>ignore</v>
      </c>
      <c r="E1027" t="str">
        <f t="shared" ref="E1027:E1090" si="16">IF(ISNA(D1027),"",IF(A1027="","",A1027) &amp; "|" &amp; D1027)</f>
        <v>|ignore</v>
      </c>
    </row>
    <row r="1028" spans="1:5" x14ac:dyDescent="0.2">
      <c r="A1028" t="s">
        <v>0</v>
      </c>
      <c r="B1028" t="s">
        <v>360</v>
      </c>
      <c r="C1028" t="s">
        <v>423</v>
      </c>
      <c r="D1028" t="str">
        <f>VLOOKUP(C1028,'lookup table'!$A$2:$B$19,2,FALSE)</f>
        <v>ignore</v>
      </c>
      <c r="E1028" t="str">
        <f t="shared" si="16"/>
        <v>|ignore</v>
      </c>
    </row>
    <row r="1029" spans="1:5" x14ac:dyDescent="0.2">
      <c r="A1029" t="s">
        <v>0</v>
      </c>
      <c r="B1029" t="s">
        <v>361</v>
      </c>
      <c r="C1029" t="s">
        <v>423</v>
      </c>
      <c r="D1029" t="str">
        <f>VLOOKUP(C1029,'lookup table'!$A$2:$B$19,2,FALSE)</f>
        <v>ignore</v>
      </c>
      <c r="E1029" t="str">
        <f t="shared" si="16"/>
        <v>|ignore</v>
      </c>
    </row>
    <row r="1030" spans="1:5" x14ac:dyDescent="0.2">
      <c r="A1030" t="s">
        <v>0</v>
      </c>
      <c r="B1030" t="s">
        <v>362</v>
      </c>
      <c r="C1030" t="s">
        <v>423</v>
      </c>
      <c r="D1030" t="str">
        <f>VLOOKUP(C1030,'lookup table'!$A$2:$B$19,2,FALSE)</f>
        <v>ignore</v>
      </c>
      <c r="E1030" t="str">
        <f t="shared" si="16"/>
        <v>|ignore</v>
      </c>
    </row>
    <row r="1031" spans="1:5" x14ac:dyDescent="0.2">
      <c r="A1031" t="s">
        <v>0</v>
      </c>
      <c r="B1031" t="s">
        <v>363</v>
      </c>
      <c r="C1031" t="s">
        <v>423</v>
      </c>
      <c r="D1031" t="str">
        <f>VLOOKUP(C1031,'lookup table'!$A$2:$B$19,2,FALSE)</f>
        <v>ignore</v>
      </c>
      <c r="E1031" t="str">
        <f t="shared" si="16"/>
        <v>|ignore</v>
      </c>
    </row>
    <row r="1032" spans="1:5" x14ac:dyDescent="0.2">
      <c r="A1032" t="s">
        <v>0</v>
      </c>
      <c r="B1032" t="s">
        <v>364</v>
      </c>
      <c r="C1032" t="s">
        <v>423</v>
      </c>
      <c r="D1032" t="str">
        <f>VLOOKUP(C1032,'lookup table'!$A$2:$B$19,2,FALSE)</f>
        <v>ignore</v>
      </c>
      <c r="E1032" t="str">
        <f t="shared" si="16"/>
        <v>|ignore</v>
      </c>
    </row>
    <row r="1033" spans="1:5" x14ac:dyDescent="0.2">
      <c r="A1033" t="s">
        <v>0</v>
      </c>
      <c r="B1033" t="s">
        <v>365</v>
      </c>
      <c r="C1033" t="s">
        <v>423</v>
      </c>
      <c r="D1033" t="str">
        <f>VLOOKUP(C1033,'lookup table'!$A$2:$B$19,2,FALSE)</f>
        <v>ignore</v>
      </c>
      <c r="E1033" t="str">
        <f t="shared" si="16"/>
        <v>|ignore</v>
      </c>
    </row>
    <row r="1034" spans="1:5" x14ac:dyDescent="0.2">
      <c r="A1034" t="s">
        <v>0</v>
      </c>
      <c r="B1034" t="s">
        <v>366</v>
      </c>
      <c r="C1034" t="s">
        <v>423</v>
      </c>
      <c r="D1034" t="str">
        <f>VLOOKUP(C1034,'lookup table'!$A$2:$B$19,2,FALSE)</f>
        <v>ignore</v>
      </c>
      <c r="E1034" t="str">
        <f t="shared" si="16"/>
        <v>|ignore</v>
      </c>
    </row>
    <row r="1035" spans="1:5" x14ac:dyDescent="0.2">
      <c r="A1035" t="s">
        <v>0</v>
      </c>
      <c r="B1035" t="s">
        <v>367</v>
      </c>
      <c r="C1035" t="s">
        <v>423</v>
      </c>
      <c r="D1035" t="str">
        <f>VLOOKUP(C1035,'lookup table'!$A$2:$B$19,2,FALSE)</f>
        <v>ignore</v>
      </c>
      <c r="E1035" t="str">
        <f t="shared" si="16"/>
        <v>|ignore</v>
      </c>
    </row>
    <row r="1036" spans="1:5" x14ac:dyDescent="0.2">
      <c r="A1036" t="s">
        <v>0</v>
      </c>
      <c r="B1036" t="s">
        <v>368</v>
      </c>
      <c r="C1036" t="s">
        <v>423</v>
      </c>
      <c r="D1036" t="str">
        <f>VLOOKUP(C1036,'lookup table'!$A$2:$B$19,2,FALSE)</f>
        <v>ignore</v>
      </c>
      <c r="E1036" t="str">
        <f t="shared" si="16"/>
        <v>|ignore</v>
      </c>
    </row>
    <row r="1037" spans="1:5" x14ac:dyDescent="0.2">
      <c r="A1037" t="s">
        <v>0</v>
      </c>
      <c r="B1037" t="s">
        <v>332</v>
      </c>
      <c r="C1037" t="s">
        <v>423</v>
      </c>
      <c r="D1037" t="str">
        <f>VLOOKUP(C1037,'lookup table'!$A$2:$B$19,2,FALSE)</f>
        <v>ignore</v>
      </c>
      <c r="E1037" t="str">
        <f t="shared" si="16"/>
        <v>|ignore</v>
      </c>
    </row>
    <row r="1038" spans="1:5" x14ac:dyDescent="0.2">
      <c r="A1038" t="s">
        <v>0</v>
      </c>
      <c r="B1038" t="s">
        <v>130</v>
      </c>
      <c r="C1038" t="s">
        <v>423</v>
      </c>
      <c r="D1038" t="str">
        <f>VLOOKUP(C1038,'lookup table'!$A$2:$B$19,2,FALSE)</f>
        <v>ignore</v>
      </c>
      <c r="E1038" t="str">
        <f t="shared" si="16"/>
        <v>|ignore</v>
      </c>
    </row>
    <row r="1039" spans="1:5" x14ac:dyDescent="0.2">
      <c r="A1039" t="s">
        <v>0</v>
      </c>
      <c r="B1039" t="s">
        <v>130</v>
      </c>
      <c r="C1039" t="s">
        <v>423</v>
      </c>
      <c r="D1039" t="str">
        <f>VLOOKUP(C1039,'lookup table'!$A$2:$B$19,2,FALSE)</f>
        <v>ignore</v>
      </c>
      <c r="E1039" t="str">
        <f t="shared" si="16"/>
        <v>|ignore</v>
      </c>
    </row>
    <row r="1040" spans="1:5" x14ac:dyDescent="0.2">
      <c r="A1040" t="s">
        <v>0</v>
      </c>
      <c r="B1040" t="s">
        <v>131</v>
      </c>
      <c r="C1040" t="s">
        <v>423</v>
      </c>
      <c r="D1040" t="str">
        <f>VLOOKUP(C1040,'lookup table'!$A$2:$B$19,2,FALSE)</f>
        <v>ignore</v>
      </c>
      <c r="E1040" t="str">
        <f t="shared" si="16"/>
        <v>|ignore</v>
      </c>
    </row>
    <row r="1041" spans="1:5" x14ac:dyDescent="0.2">
      <c r="A1041" t="s">
        <v>0</v>
      </c>
      <c r="B1041" t="s">
        <v>369</v>
      </c>
      <c r="C1041" t="s">
        <v>423</v>
      </c>
      <c r="D1041" t="str">
        <f>VLOOKUP(C1041,'lookup table'!$A$2:$B$19,2,FALSE)</f>
        <v>ignore</v>
      </c>
      <c r="E1041" t="str">
        <f t="shared" si="16"/>
        <v>|ignore</v>
      </c>
    </row>
    <row r="1042" spans="1:5" x14ac:dyDescent="0.2">
      <c r="A1042" t="s">
        <v>0</v>
      </c>
      <c r="B1042" t="s">
        <v>370</v>
      </c>
      <c r="C1042" t="s">
        <v>423</v>
      </c>
      <c r="D1042" t="str">
        <f>VLOOKUP(C1042,'lookup table'!$A$2:$B$19,2,FALSE)</f>
        <v>ignore</v>
      </c>
      <c r="E1042" t="str">
        <f t="shared" si="16"/>
        <v>|ignore</v>
      </c>
    </row>
    <row r="1043" spans="1:5" x14ac:dyDescent="0.2">
      <c r="A1043" t="s">
        <v>0</v>
      </c>
      <c r="B1043" t="s">
        <v>200</v>
      </c>
      <c r="C1043" t="s">
        <v>423</v>
      </c>
      <c r="D1043" t="str">
        <f>VLOOKUP(C1043,'lookup table'!$A$2:$B$19,2,FALSE)</f>
        <v>ignore</v>
      </c>
      <c r="E1043" t="str">
        <f t="shared" si="16"/>
        <v>|ignore</v>
      </c>
    </row>
    <row r="1044" spans="1:5" x14ac:dyDescent="0.2">
      <c r="A1044" t="s">
        <v>0</v>
      </c>
      <c r="B1044" t="s">
        <v>402</v>
      </c>
      <c r="C1044" t="s">
        <v>423</v>
      </c>
      <c r="D1044" t="str">
        <f>VLOOKUP(C1044,'lookup table'!$A$2:$B$19,2,FALSE)</f>
        <v>ignore</v>
      </c>
      <c r="E1044" t="str">
        <f t="shared" si="16"/>
        <v>|ignore</v>
      </c>
    </row>
    <row r="1045" spans="1:5" x14ac:dyDescent="0.2">
      <c r="A1045" t="s">
        <v>0</v>
      </c>
      <c r="B1045" t="s">
        <v>333</v>
      </c>
      <c r="C1045" t="s">
        <v>423</v>
      </c>
      <c r="D1045" t="str">
        <f>VLOOKUP(C1045,'lookup table'!$A$2:$B$19,2,FALSE)</f>
        <v>ignore</v>
      </c>
      <c r="E1045" t="str">
        <f t="shared" si="16"/>
        <v>|ignore</v>
      </c>
    </row>
    <row r="1046" spans="1:5" x14ac:dyDescent="0.2">
      <c r="A1046" t="s">
        <v>0</v>
      </c>
      <c r="B1046" t="s">
        <v>106</v>
      </c>
      <c r="C1046" t="s">
        <v>423</v>
      </c>
      <c r="D1046" t="str">
        <f>VLOOKUP(C1046,'lookup table'!$A$2:$B$19,2,FALSE)</f>
        <v>ignore</v>
      </c>
      <c r="E1046" t="str">
        <f t="shared" si="16"/>
        <v>|ignore</v>
      </c>
    </row>
    <row r="1047" spans="1:5" x14ac:dyDescent="0.2">
      <c r="A1047" t="s">
        <v>0</v>
      </c>
      <c r="B1047" t="s">
        <v>396</v>
      </c>
      <c r="C1047" t="s">
        <v>423</v>
      </c>
      <c r="D1047" t="str">
        <f>VLOOKUP(C1047,'lookup table'!$A$2:$B$19,2,FALSE)</f>
        <v>ignore</v>
      </c>
      <c r="E1047" t="str">
        <f t="shared" si="16"/>
        <v>|ignore</v>
      </c>
    </row>
    <row r="1048" spans="1:5" x14ac:dyDescent="0.2">
      <c r="A1048" t="s">
        <v>0</v>
      </c>
      <c r="B1048" t="s">
        <v>107</v>
      </c>
      <c r="C1048" t="s">
        <v>423</v>
      </c>
      <c r="D1048" t="str">
        <f>VLOOKUP(C1048,'lookup table'!$A$2:$B$19,2,FALSE)</f>
        <v>ignore</v>
      </c>
      <c r="E1048" t="str">
        <f t="shared" si="16"/>
        <v>|ignore</v>
      </c>
    </row>
    <row r="1049" spans="1:5" x14ac:dyDescent="0.2">
      <c r="A1049" t="s">
        <v>0</v>
      </c>
      <c r="B1049" t="s">
        <v>396</v>
      </c>
      <c r="C1049" t="s">
        <v>423</v>
      </c>
      <c r="D1049" t="str">
        <f>VLOOKUP(C1049,'lookup table'!$A$2:$B$19,2,FALSE)</f>
        <v>ignore</v>
      </c>
      <c r="E1049" t="str">
        <f t="shared" si="16"/>
        <v>|ignore</v>
      </c>
    </row>
    <row r="1050" spans="1:5" x14ac:dyDescent="0.2">
      <c r="A1050" t="s">
        <v>0</v>
      </c>
      <c r="B1050" t="s">
        <v>333</v>
      </c>
      <c r="C1050" t="s">
        <v>423</v>
      </c>
      <c r="D1050" t="str">
        <f>VLOOKUP(C1050,'lookup table'!$A$2:$B$19,2,FALSE)</f>
        <v>ignore</v>
      </c>
      <c r="E1050" t="str">
        <f t="shared" si="16"/>
        <v>|ignore</v>
      </c>
    </row>
    <row r="1051" spans="1:5" x14ac:dyDescent="0.2">
      <c r="A1051" t="s">
        <v>0</v>
      </c>
      <c r="B1051" t="s">
        <v>332</v>
      </c>
      <c r="C1051" t="s">
        <v>423</v>
      </c>
      <c r="D1051" t="str">
        <f>VLOOKUP(C1051,'lookup table'!$A$2:$B$19,2,FALSE)</f>
        <v>ignore</v>
      </c>
      <c r="E1051" t="str">
        <f t="shared" si="16"/>
        <v>|ignore</v>
      </c>
    </row>
    <row r="1052" spans="1:5" x14ac:dyDescent="0.2">
      <c r="A1052" t="s">
        <v>0</v>
      </c>
      <c r="B1052" t="s">
        <v>16</v>
      </c>
      <c r="C1052" t="s">
        <v>423</v>
      </c>
      <c r="D1052" t="str">
        <f>VLOOKUP(C1052,'lookup table'!$A$2:$B$19,2,FALSE)</f>
        <v>ignore</v>
      </c>
      <c r="E1052" t="str">
        <f t="shared" si="16"/>
        <v>|ignore</v>
      </c>
    </row>
    <row r="1053" spans="1:5" x14ac:dyDescent="0.2">
      <c r="A1053" t="s">
        <v>0</v>
      </c>
      <c r="B1053" t="s">
        <v>132</v>
      </c>
      <c r="C1053" t="s">
        <v>423</v>
      </c>
      <c r="D1053" t="str">
        <f>VLOOKUP(C1053,'lookup table'!$A$2:$B$19,2,FALSE)</f>
        <v>ignore</v>
      </c>
      <c r="E1053" t="str">
        <f t="shared" si="16"/>
        <v>|ignore</v>
      </c>
    </row>
    <row r="1054" spans="1:5" x14ac:dyDescent="0.2">
      <c r="A1054" t="s">
        <v>0</v>
      </c>
      <c r="B1054" t="s">
        <v>119</v>
      </c>
      <c r="C1054" t="s">
        <v>423</v>
      </c>
      <c r="D1054" t="str">
        <f>VLOOKUP(C1054,'lookup table'!$A$2:$B$19,2,FALSE)</f>
        <v>ignore</v>
      </c>
      <c r="E1054" t="str">
        <f t="shared" si="16"/>
        <v>|ignore</v>
      </c>
    </row>
    <row r="1055" spans="1:5" x14ac:dyDescent="0.2">
      <c r="A1055" t="s">
        <v>0</v>
      </c>
      <c r="B1055" t="s">
        <v>414</v>
      </c>
      <c r="C1055" t="s">
        <v>423</v>
      </c>
      <c r="D1055" t="str">
        <f>VLOOKUP(C1055,'lookup table'!$A$2:$B$19,2,FALSE)</f>
        <v>ignore</v>
      </c>
      <c r="E1055" t="str">
        <f t="shared" si="16"/>
        <v>|ignore</v>
      </c>
    </row>
    <row r="1056" spans="1:5" x14ac:dyDescent="0.2">
      <c r="A1056" t="s">
        <v>0</v>
      </c>
      <c r="B1056" t="s">
        <v>393</v>
      </c>
      <c r="C1056" t="s">
        <v>423</v>
      </c>
      <c r="D1056" t="str">
        <f>VLOOKUP(C1056,'lookup table'!$A$2:$B$19,2,FALSE)</f>
        <v>ignore</v>
      </c>
      <c r="E1056" t="str">
        <f t="shared" si="16"/>
        <v>|ignore</v>
      </c>
    </row>
    <row r="1057" spans="1:5" x14ac:dyDescent="0.2">
      <c r="A1057" t="s">
        <v>0</v>
      </c>
      <c r="B1057" t="s">
        <v>394</v>
      </c>
      <c r="C1057" t="s">
        <v>423</v>
      </c>
      <c r="D1057" t="str">
        <f>VLOOKUP(C1057,'lookup table'!$A$2:$B$19,2,FALSE)</f>
        <v>ignore</v>
      </c>
      <c r="E1057" t="str">
        <f t="shared" si="16"/>
        <v>|ignore</v>
      </c>
    </row>
    <row r="1058" spans="1:5" x14ac:dyDescent="0.2">
      <c r="A1058" t="s">
        <v>0</v>
      </c>
      <c r="B1058" t="s">
        <v>395</v>
      </c>
      <c r="C1058" t="s">
        <v>423</v>
      </c>
      <c r="D1058" t="str">
        <f>VLOOKUP(C1058,'lookup table'!$A$2:$B$19,2,FALSE)</f>
        <v>ignore</v>
      </c>
      <c r="E1058" t="str">
        <f t="shared" si="16"/>
        <v>|ignore</v>
      </c>
    </row>
    <row r="1059" spans="1:5" x14ac:dyDescent="0.2">
      <c r="A1059" t="s">
        <v>0</v>
      </c>
      <c r="B1059" t="s">
        <v>415</v>
      </c>
      <c r="C1059" t="s">
        <v>423</v>
      </c>
      <c r="D1059" t="str">
        <f>VLOOKUP(C1059,'lookup table'!$A$2:$B$19,2,FALSE)</f>
        <v>ignore</v>
      </c>
      <c r="E1059" t="str">
        <f t="shared" si="16"/>
        <v>|ignore</v>
      </c>
    </row>
    <row r="1060" spans="1:5" x14ac:dyDescent="0.2">
      <c r="A1060" t="s">
        <v>0</v>
      </c>
      <c r="B1060" t="s">
        <v>133</v>
      </c>
      <c r="C1060" t="s">
        <v>423</v>
      </c>
      <c r="D1060" t="str">
        <f>VLOOKUP(C1060,'lookup table'!$A$2:$B$19,2,FALSE)</f>
        <v>ignore</v>
      </c>
      <c r="E1060" t="str">
        <f t="shared" si="16"/>
        <v>|ignore</v>
      </c>
    </row>
    <row r="1061" spans="1:5" x14ac:dyDescent="0.2">
      <c r="A1061" t="s">
        <v>0</v>
      </c>
      <c r="B1061" t="s">
        <v>134</v>
      </c>
      <c r="C1061" t="s">
        <v>423</v>
      </c>
      <c r="D1061" t="str">
        <f>VLOOKUP(C1061,'lookup table'!$A$2:$B$19,2,FALSE)</f>
        <v>ignore</v>
      </c>
      <c r="E1061" t="str">
        <f t="shared" si="16"/>
        <v>|ignore</v>
      </c>
    </row>
    <row r="1062" spans="1:5" x14ac:dyDescent="0.2">
      <c r="A1062" t="s">
        <v>0</v>
      </c>
      <c r="B1062" t="s">
        <v>416</v>
      </c>
      <c r="C1062" t="s">
        <v>423</v>
      </c>
      <c r="D1062" t="str">
        <f>VLOOKUP(C1062,'lookup table'!$A$2:$B$19,2,FALSE)</f>
        <v>ignore</v>
      </c>
      <c r="E1062" t="str">
        <f t="shared" si="16"/>
        <v>|ignore</v>
      </c>
    </row>
    <row r="1063" spans="1:5" x14ac:dyDescent="0.2">
      <c r="A1063" t="s">
        <v>0</v>
      </c>
      <c r="B1063" t="s">
        <v>417</v>
      </c>
      <c r="C1063" t="s">
        <v>423</v>
      </c>
      <c r="D1063" t="str">
        <f>VLOOKUP(C1063,'lookup table'!$A$2:$B$19,2,FALSE)</f>
        <v>ignore</v>
      </c>
      <c r="E1063" t="str">
        <f t="shared" si="16"/>
        <v>|ignore</v>
      </c>
    </row>
    <row r="1064" spans="1:5" x14ac:dyDescent="0.2">
      <c r="A1064" t="s">
        <v>0</v>
      </c>
      <c r="B1064" t="s">
        <v>418</v>
      </c>
      <c r="C1064" t="s">
        <v>423</v>
      </c>
      <c r="D1064" t="str">
        <f>VLOOKUP(C1064,'lookup table'!$A$2:$B$19,2,FALSE)</f>
        <v>ignore</v>
      </c>
      <c r="E1064" t="str">
        <f t="shared" si="16"/>
        <v>|ignore</v>
      </c>
    </row>
    <row r="1065" spans="1:5" x14ac:dyDescent="0.2">
      <c r="A1065" t="s">
        <v>0</v>
      </c>
      <c r="B1065" t="s">
        <v>419</v>
      </c>
      <c r="C1065" t="s">
        <v>423</v>
      </c>
      <c r="D1065" t="str">
        <f>VLOOKUP(C1065,'lookup table'!$A$2:$B$19,2,FALSE)</f>
        <v>ignore</v>
      </c>
      <c r="E1065" t="str">
        <f t="shared" si="16"/>
        <v>|ignore</v>
      </c>
    </row>
    <row r="1066" spans="1:5" x14ac:dyDescent="0.2">
      <c r="A1066" t="s">
        <v>0</v>
      </c>
      <c r="B1066" t="s">
        <v>16</v>
      </c>
      <c r="C1066" t="s">
        <v>423</v>
      </c>
      <c r="D1066" t="str">
        <f>VLOOKUP(C1066,'lookup table'!$A$2:$B$19,2,FALSE)</f>
        <v>ignore</v>
      </c>
      <c r="E1066" t="str">
        <f t="shared" si="16"/>
        <v>|ignore</v>
      </c>
    </row>
    <row r="1067" spans="1:5" x14ac:dyDescent="0.2">
      <c r="A1067" t="s">
        <v>0</v>
      </c>
      <c r="B1067" t="s">
        <v>420</v>
      </c>
      <c r="C1067" t="s">
        <v>423</v>
      </c>
      <c r="D1067" t="str">
        <f>VLOOKUP(C1067,'lookup table'!$A$2:$B$19,2,FALSE)</f>
        <v>ignore</v>
      </c>
      <c r="E1067" t="str">
        <f t="shared" si="16"/>
        <v>|ignore</v>
      </c>
    </row>
    <row r="1068" spans="1:5" x14ac:dyDescent="0.2">
      <c r="A1068" t="s">
        <v>0</v>
      </c>
      <c r="B1068" t="s">
        <v>16</v>
      </c>
      <c r="C1068" t="s">
        <v>423</v>
      </c>
      <c r="D1068" t="str">
        <f>VLOOKUP(C1068,'lookup table'!$A$2:$B$19,2,FALSE)</f>
        <v>ignore</v>
      </c>
      <c r="E1068" t="str">
        <f t="shared" si="16"/>
        <v>|ignore</v>
      </c>
    </row>
    <row r="1069" spans="1:5" x14ac:dyDescent="0.2">
      <c r="A1069" t="s">
        <v>0</v>
      </c>
      <c r="B1069" t="s">
        <v>421</v>
      </c>
      <c r="C1069" t="s">
        <v>423</v>
      </c>
      <c r="D1069" t="str">
        <f>VLOOKUP(C1069,'lookup table'!$A$2:$B$19,2,FALSE)</f>
        <v>ignore</v>
      </c>
      <c r="E1069" t="str">
        <f t="shared" si="16"/>
        <v>|ignore</v>
      </c>
    </row>
    <row r="1070" spans="1:5" x14ac:dyDescent="0.2">
      <c r="A1070" t="s">
        <v>0</v>
      </c>
      <c r="B1070" t="s">
        <v>417</v>
      </c>
      <c r="C1070" t="s">
        <v>423</v>
      </c>
      <c r="D1070" t="str">
        <f>VLOOKUP(C1070,'lookup table'!$A$2:$B$19,2,FALSE)</f>
        <v>ignore</v>
      </c>
      <c r="E1070" t="str">
        <f t="shared" si="16"/>
        <v>|ignore</v>
      </c>
    </row>
    <row r="1071" spans="1:5" x14ac:dyDescent="0.2">
      <c r="A1071" t="s">
        <v>0</v>
      </c>
      <c r="B1071" t="s">
        <v>421</v>
      </c>
      <c r="C1071" t="s">
        <v>423</v>
      </c>
      <c r="D1071" t="str">
        <f>VLOOKUP(C1071,'lookup table'!$A$2:$B$19,2,FALSE)</f>
        <v>ignore</v>
      </c>
      <c r="E1071" t="str">
        <f t="shared" si="16"/>
        <v>|ignore</v>
      </c>
    </row>
    <row r="1072" spans="1:5" x14ac:dyDescent="0.2">
      <c r="A1072" t="s">
        <v>0</v>
      </c>
      <c r="B1072" t="s">
        <v>17</v>
      </c>
      <c r="C1072" t="s">
        <v>423</v>
      </c>
      <c r="D1072" t="str">
        <f>VLOOKUP(C1072,'lookup table'!$A$2:$B$19,2,FALSE)</f>
        <v>ignore</v>
      </c>
      <c r="E1072" t="str">
        <f t="shared" si="16"/>
        <v>|ignore</v>
      </c>
    </row>
    <row r="1073" spans="1:5" x14ac:dyDescent="0.2">
      <c r="A1073" t="s">
        <v>0</v>
      </c>
      <c r="B1073" t="s">
        <v>18</v>
      </c>
      <c r="C1073" t="s">
        <v>423</v>
      </c>
      <c r="D1073" t="str">
        <f>VLOOKUP(C1073,'lookup table'!$A$2:$B$19,2,FALSE)</f>
        <v>ignore</v>
      </c>
      <c r="E1073" t="str">
        <f t="shared" si="16"/>
        <v>|ignore</v>
      </c>
    </row>
    <row r="1074" spans="1:5" x14ac:dyDescent="0.2">
      <c r="A1074" t="s">
        <v>0</v>
      </c>
      <c r="B1074" t="s">
        <v>13</v>
      </c>
      <c r="C1074" t="s">
        <v>424</v>
      </c>
      <c r="D1074" t="str">
        <f>VLOOKUP(C1074,'lookup table'!$A$2:$B$19,2,FALSE)</f>
        <v>GRC</v>
      </c>
      <c r="E1074" t="str">
        <f t="shared" si="16"/>
        <v>|GRC</v>
      </c>
    </row>
    <row r="1075" spans="1:5" x14ac:dyDescent="0.2">
      <c r="A1075" t="s">
        <v>0</v>
      </c>
      <c r="B1075" t="s">
        <v>1</v>
      </c>
      <c r="C1075" t="s">
        <v>424</v>
      </c>
      <c r="D1075" t="str">
        <f>VLOOKUP(C1075,'lookup table'!$A$2:$B$19,2,FALSE)</f>
        <v>GRC</v>
      </c>
      <c r="E1075" t="str">
        <f t="shared" si="16"/>
        <v>|GRC</v>
      </c>
    </row>
    <row r="1076" spans="1:5" x14ac:dyDescent="0.2">
      <c r="A1076" t="s">
        <v>0</v>
      </c>
      <c r="B1076" t="s">
        <v>3</v>
      </c>
      <c r="C1076" t="s">
        <v>424</v>
      </c>
      <c r="D1076" t="str">
        <f>VLOOKUP(C1076,'lookup table'!$A$2:$B$19,2,FALSE)</f>
        <v>GRC</v>
      </c>
      <c r="E1076" t="str">
        <f t="shared" si="16"/>
        <v>|GRC</v>
      </c>
    </row>
    <row r="1077" spans="1:5" x14ac:dyDescent="0.2">
      <c r="A1077" t="s">
        <v>0</v>
      </c>
      <c r="B1077" t="s">
        <v>7</v>
      </c>
      <c r="C1077" t="s">
        <v>424</v>
      </c>
      <c r="D1077" t="str">
        <f>VLOOKUP(C1077,'lookup table'!$A$2:$B$19,2,FALSE)</f>
        <v>GRC</v>
      </c>
      <c r="E1077" t="str">
        <f t="shared" si="16"/>
        <v>|GRC</v>
      </c>
    </row>
    <row r="1078" spans="1:5" x14ac:dyDescent="0.2">
      <c r="A1078" t="s">
        <v>0</v>
      </c>
      <c r="B1078" t="s">
        <v>7</v>
      </c>
      <c r="C1078" t="s">
        <v>424</v>
      </c>
      <c r="D1078" t="str">
        <f>VLOOKUP(C1078,'lookup table'!$A$2:$B$19,2,FALSE)</f>
        <v>GRC</v>
      </c>
      <c r="E1078" t="str">
        <f t="shared" si="16"/>
        <v>|GRC</v>
      </c>
    </row>
    <row r="1079" spans="1:5" x14ac:dyDescent="0.2">
      <c r="A1079" t="s">
        <v>0</v>
      </c>
      <c r="B1079" t="s">
        <v>4</v>
      </c>
      <c r="C1079" t="s">
        <v>424</v>
      </c>
      <c r="D1079" t="str">
        <f>VLOOKUP(C1079,'lookup table'!$A$2:$B$19,2,FALSE)</f>
        <v>GRC</v>
      </c>
      <c r="E1079" t="str">
        <f t="shared" si="16"/>
        <v>|GRC</v>
      </c>
    </row>
    <row r="1080" spans="1:5" x14ac:dyDescent="0.2">
      <c r="A1080" t="s">
        <v>0</v>
      </c>
      <c r="B1080" t="s">
        <v>8</v>
      </c>
      <c r="C1080" t="s">
        <v>424</v>
      </c>
      <c r="D1080" t="str">
        <f>VLOOKUP(C1080,'lookup table'!$A$2:$B$19,2,FALSE)</f>
        <v>GRC</v>
      </c>
      <c r="E1080" t="str">
        <f t="shared" si="16"/>
        <v>|GRC</v>
      </c>
    </row>
    <row r="1081" spans="1:5" x14ac:dyDescent="0.2">
      <c r="A1081" t="s">
        <v>0</v>
      </c>
      <c r="B1081" t="s">
        <v>8</v>
      </c>
      <c r="C1081" t="s">
        <v>424</v>
      </c>
      <c r="D1081" t="str">
        <f>VLOOKUP(C1081,'lookup table'!$A$2:$B$19,2,FALSE)</f>
        <v>GRC</v>
      </c>
      <c r="E1081" t="str">
        <f t="shared" si="16"/>
        <v>|GRC</v>
      </c>
    </row>
    <row r="1082" spans="1:5" x14ac:dyDescent="0.2">
      <c r="A1082" t="s">
        <v>0</v>
      </c>
      <c r="B1082" t="s">
        <v>15</v>
      </c>
      <c r="C1082" t="s">
        <v>424</v>
      </c>
      <c r="D1082" t="str">
        <f>VLOOKUP(C1082,'lookup table'!$A$2:$B$19,2,FALSE)</f>
        <v>GRC</v>
      </c>
      <c r="E1082" t="str">
        <f t="shared" si="16"/>
        <v>|GRC</v>
      </c>
    </row>
    <row r="1083" spans="1:5" x14ac:dyDescent="0.2">
      <c r="A1083" t="s">
        <v>0</v>
      </c>
      <c r="B1083" t="s">
        <v>15</v>
      </c>
      <c r="C1083" t="s">
        <v>424</v>
      </c>
      <c r="D1083" t="str">
        <f>VLOOKUP(C1083,'lookup table'!$A$2:$B$19,2,FALSE)</f>
        <v>GRC</v>
      </c>
      <c r="E1083" t="str">
        <f t="shared" si="16"/>
        <v>|GRC</v>
      </c>
    </row>
    <row r="1084" spans="1:5" x14ac:dyDescent="0.2">
      <c r="A1084" t="s">
        <v>0</v>
      </c>
      <c r="B1084" t="s">
        <v>1</v>
      </c>
      <c r="C1084" t="s">
        <v>425</v>
      </c>
      <c r="D1084" t="str">
        <f>VLOOKUP(C1084,'lookup table'!$A$2:$B$19,2,FALSE)</f>
        <v>Investee Segment</v>
      </c>
      <c r="E1084" t="str">
        <f t="shared" si="16"/>
        <v>|Investee Segment</v>
      </c>
    </row>
    <row r="1085" spans="1:5" x14ac:dyDescent="0.2">
      <c r="A1085" t="s">
        <v>0</v>
      </c>
      <c r="B1085" t="s">
        <v>3</v>
      </c>
      <c r="C1085" t="s">
        <v>425</v>
      </c>
      <c r="D1085" t="str">
        <f>VLOOKUP(C1085,'lookup table'!$A$2:$B$19,2,FALSE)</f>
        <v>Investee Segment</v>
      </c>
      <c r="E1085" t="str">
        <f t="shared" si="16"/>
        <v>|Investee Segment</v>
      </c>
    </row>
    <row r="1086" spans="1:5" x14ac:dyDescent="0.2">
      <c r="A1086" t="s">
        <v>0</v>
      </c>
      <c r="B1086" t="s">
        <v>7</v>
      </c>
      <c r="C1086" t="s">
        <v>425</v>
      </c>
      <c r="D1086" t="str">
        <f>VLOOKUP(C1086,'lookup table'!$A$2:$B$19,2,FALSE)</f>
        <v>Investee Segment</v>
      </c>
      <c r="E1086" t="str">
        <f t="shared" si="16"/>
        <v>|Investee Segment</v>
      </c>
    </row>
    <row r="1087" spans="1:5" x14ac:dyDescent="0.2">
      <c r="A1087" t="s">
        <v>0</v>
      </c>
      <c r="B1087" t="s">
        <v>7</v>
      </c>
      <c r="C1087" t="s">
        <v>425</v>
      </c>
      <c r="D1087" t="str">
        <f>VLOOKUP(C1087,'lookup table'!$A$2:$B$19,2,FALSE)</f>
        <v>Investee Segment</v>
      </c>
      <c r="E1087" t="str">
        <f t="shared" si="16"/>
        <v>|Investee Segment</v>
      </c>
    </row>
    <row r="1088" spans="1:5" x14ac:dyDescent="0.2">
      <c r="A1088" t="s">
        <v>0</v>
      </c>
      <c r="B1088" t="s">
        <v>4</v>
      </c>
      <c r="C1088" t="s">
        <v>425</v>
      </c>
      <c r="D1088" t="str">
        <f>VLOOKUP(C1088,'lookup table'!$A$2:$B$19,2,FALSE)</f>
        <v>Investee Segment</v>
      </c>
      <c r="E1088" t="str">
        <f t="shared" si="16"/>
        <v>|Investee Segment</v>
      </c>
    </row>
    <row r="1089" spans="1:5" x14ac:dyDescent="0.2">
      <c r="A1089" t="s">
        <v>0</v>
      </c>
      <c r="B1089" t="s">
        <v>8</v>
      </c>
      <c r="C1089" t="s">
        <v>425</v>
      </c>
      <c r="D1089" t="str">
        <f>VLOOKUP(C1089,'lookup table'!$A$2:$B$19,2,FALSE)</f>
        <v>Investee Segment</v>
      </c>
      <c r="E1089" t="str">
        <f t="shared" si="16"/>
        <v>|Investee Segment</v>
      </c>
    </row>
    <row r="1090" spans="1:5" x14ac:dyDescent="0.2">
      <c r="A1090" t="s">
        <v>0</v>
      </c>
      <c r="B1090" t="s">
        <v>8</v>
      </c>
      <c r="C1090" t="s">
        <v>425</v>
      </c>
      <c r="D1090" t="str">
        <f>VLOOKUP(C1090,'lookup table'!$A$2:$B$19,2,FALSE)</f>
        <v>Investee Segment</v>
      </c>
      <c r="E1090" t="str">
        <f t="shared" si="16"/>
        <v>|Investee Segment</v>
      </c>
    </row>
    <row r="1091" spans="1:5" x14ac:dyDescent="0.2">
      <c r="A1091" t="s">
        <v>0</v>
      </c>
      <c r="B1091" t="s">
        <v>405</v>
      </c>
      <c r="C1091" t="s">
        <v>425</v>
      </c>
      <c r="D1091" t="str">
        <f>VLOOKUP(C1091,'lookup table'!$A$2:$B$19,2,FALSE)</f>
        <v>Investee Segment</v>
      </c>
      <c r="E1091" t="str">
        <f t="shared" ref="E1091:E1154" si="17">IF(ISNA(D1091),"",IF(A1091="","",A1091) &amp; "|" &amp; D1091)</f>
        <v>|Investee Segment</v>
      </c>
    </row>
    <row r="1092" spans="1:5" x14ac:dyDescent="0.2">
      <c r="A1092" t="s">
        <v>0</v>
      </c>
      <c r="B1092" t="s">
        <v>15</v>
      </c>
      <c r="C1092" t="s">
        <v>425</v>
      </c>
      <c r="D1092" t="str">
        <f>VLOOKUP(C1092,'lookup table'!$A$2:$B$19,2,FALSE)</f>
        <v>Investee Segment</v>
      </c>
      <c r="E1092" t="str">
        <f t="shared" si="17"/>
        <v>|Investee Segment</v>
      </c>
    </row>
    <row r="1093" spans="1:5" x14ac:dyDescent="0.2">
      <c r="A1093" t="s">
        <v>0</v>
      </c>
      <c r="B1093" t="s">
        <v>15</v>
      </c>
      <c r="C1093" t="s">
        <v>425</v>
      </c>
      <c r="D1093" t="str">
        <f>VLOOKUP(C1093,'lookup table'!$A$2:$B$19,2,FALSE)</f>
        <v>Investee Segment</v>
      </c>
      <c r="E1093" t="str">
        <f t="shared" si="17"/>
        <v>|Investee Segment</v>
      </c>
    </row>
    <row r="1094" spans="1:5" x14ac:dyDescent="0.2">
      <c r="A1094" t="s">
        <v>0</v>
      </c>
      <c r="B1094" t="s">
        <v>405</v>
      </c>
      <c r="C1094" t="s">
        <v>425</v>
      </c>
      <c r="D1094" t="str">
        <f>VLOOKUP(C1094,'lookup table'!$A$2:$B$19,2,FALSE)</f>
        <v>Investee Segment</v>
      </c>
      <c r="E1094" t="str">
        <f t="shared" si="17"/>
        <v>|Investee Segment</v>
      </c>
    </row>
    <row r="1095" spans="1:5" x14ac:dyDescent="0.2">
      <c r="A1095" t="s">
        <v>0</v>
      </c>
      <c r="B1095" t="s">
        <v>16</v>
      </c>
      <c r="C1095" t="s">
        <v>425</v>
      </c>
      <c r="D1095" t="str">
        <f>VLOOKUP(C1095,'lookup table'!$A$2:$B$19,2,FALSE)</f>
        <v>Investee Segment</v>
      </c>
      <c r="E1095" t="str">
        <f t="shared" si="17"/>
        <v>|Investee Segment</v>
      </c>
    </row>
    <row r="1096" spans="1:5" x14ac:dyDescent="0.2">
      <c r="A1096" t="s">
        <v>0</v>
      </c>
      <c r="B1096" t="s">
        <v>16</v>
      </c>
      <c r="C1096" t="s">
        <v>425</v>
      </c>
      <c r="D1096" t="str">
        <f>VLOOKUP(C1096,'lookup table'!$A$2:$B$19,2,FALSE)</f>
        <v>Investee Segment</v>
      </c>
      <c r="E1096" t="str">
        <f t="shared" si="17"/>
        <v>|Investee Segment</v>
      </c>
    </row>
    <row r="1097" spans="1:5" x14ac:dyDescent="0.2">
      <c r="A1097" t="s">
        <v>0</v>
      </c>
      <c r="B1097" t="s">
        <v>16</v>
      </c>
      <c r="C1097" t="s">
        <v>425</v>
      </c>
      <c r="D1097" t="str">
        <f>VLOOKUP(C1097,'lookup table'!$A$2:$B$19,2,FALSE)</f>
        <v>Investee Segment</v>
      </c>
      <c r="E1097" t="str">
        <f t="shared" si="17"/>
        <v>|Investee Segment</v>
      </c>
    </row>
    <row r="1098" spans="1:5" x14ac:dyDescent="0.2">
      <c r="A1098" t="s">
        <v>0</v>
      </c>
      <c r="B1098" t="s">
        <v>17</v>
      </c>
      <c r="C1098" t="s">
        <v>425</v>
      </c>
      <c r="D1098" t="str">
        <f>VLOOKUP(C1098,'lookup table'!$A$2:$B$19,2,FALSE)</f>
        <v>Investee Segment</v>
      </c>
      <c r="E1098" t="str">
        <f t="shared" si="17"/>
        <v>|Investee Segment</v>
      </c>
    </row>
    <row r="1099" spans="1:5" x14ac:dyDescent="0.2">
      <c r="A1099" t="s">
        <v>0</v>
      </c>
      <c r="B1099" t="s">
        <v>1</v>
      </c>
      <c r="C1099" t="s">
        <v>426</v>
      </c>
      <c r="D1099" t="str">
        <f>VLOOKUP(C1099,'lookup table'!$A$2:$B$19,2,FALSE)</f>
        <v>Investee Unit</v>
      </c>
      <c r="E1099" t="str">
        <f t="shared" si="17"/>
        <v>|Investee Unit</v>
      </c>
    </row>
    <row r="1100" spans="1:5" x14ac:dyDescent="0.2">
      <c r="A1100" t="s">
        <v>0</v>
      </c>
      <c r="B1100" t="s">
        <v>3</v>
      </c>
      <c r="C1100" t="s">
        <v>426</v>
      </c>
      <c r="D1100" t="str">
        <f>VLOOKUP(C1100,'lookup table'!$A$2:$B$19,2,FALSE)</f>
        <v>Investee Unit</v>
      </c>
      <c r="E1100" t="str">
        <f t="shared" si="17"/>
        <v>|Investee Unit</v>
      </c>
    </row>
    <row r="1101" spans="1:5" x14ac:dyDescent="0.2">
      <c r="A1101" t="s">
        <v>0</v>
      </c>
      <c r="B1101" t="s">
        <v>7</v>
      </c>
      <c r="C1101" t="s">
        <v>426</v>
      </c>
      <c r="D1101" t="str">
        <f>VLOOKUP(C1101,'lookup table'!$A$2:$B$19,2,FALSE)</f>
        <v>Investee Unit</v>
      </c>
      <c r="E1101" t="str">
        <f t="shared" si="17"/>
        <v>|Investee Unit</v>
      </c>
    </row>
    <row r="1102" spans="1:5" x14ac:dyDescent="0.2">
      <c r="A1102" t="s">
        <v>0</v>
      </c>
      <c r="B1102" t="s">
        <v>7</v>
      </c>
      <c r="C1102" t="s">
        <v>426</v>
      </c>
      <c r="D1102" t="str">
        <f>VLOOKUP(C1102,'lookup table'!$A$2:$B$19,2,FALSE)</f>
        <v>Investee Unit</v>
      </c>
      <c r="E1102" t="str">
        <f t="shared" si="17"/>
        <v>|Investee Unit</v>
      </c>
    </row>
    <row r="1103" spans="1:5" x14ac:dyDescent="0.2">
      <c r="A1103" t="s">
        <v>0</v>
      </c>
      <c r="B1103" t="s">
        <v>4</v>
      </c>
      <c r="C1103" t="s">
        <v>426</v>
      </c>
      <c r="D1103" t="str">
        <f>VLOOKUP(C1103,'lookup table'!$A$2:$B$19,2,FALSE)</f>
        <v>Investee Unit</v>
      </c>
      <c r="E1103" t="str">
        <f t="shared" si="17"/>
        <v>|Investee Unit</v>
      </c>
    </row>
    <row r="1104" spans="1:5" x14ac:dyDescent="0.2">
      <c r="A1104" t="s">
        <v>0</v>
      </c>
      <c r="B1104" t="s">
        <v>8</v>
      </c>
      <c r="C1104" t="s">
        <v>426</v>
      </c>
      <c r="D1104" t="str">
        <f>VLOOKUP(C1104,'lookup table'!$A$2:$B$19,2,FALSE)</f>
        <v>Investee Unit</v>
      </c>
      <c r="E1104" t="str">
        <f t="shared" si="17"/>
        <v>|Investee Unit</v>
      </c>
    </row>
    <row r="1105" spans="1:5" x14ac:dyDescent="0.2">
      <c r="A1105" t="s">
        <v>0</v>
      </c>
      <c r="B1105" t="s">
        <v>8</v>
      </c>
      <c r="C1105" t="s">
        <v>426</v>
      </c>
      <c r="D1105" t="str">
        <f>VLOOKUP(C1105,'lookup table'!$A$2:$B$19,2,FALSE)</f>
        <v>Investee Unit</v>
      </c>
      <c r="E1105" t="str">
        <f t="shared" si="17"/>
        <v>|Investee Unit</v>
      </c>
    </row>
    <row r="1106" spans="1:5" x14ac:dyDescent="0.2">
      <c r="A1106" t="s">
        <v>0</v>
      </c>
      <c r="B1106" t="s">
        <v>405</v>
      </c>
      <c r="C1106" t="s">
        <v>426</v>
      </c>
      <c r="D1106" t="str">
        <f>VLOOKUP(C1106,'lookup table'!$A$2:$B$19,2,FALSE)</f>
        <v>Investee Unit</v>
      </c>
      <c r="E1106" t="str">
        <f t="shared" si="17"/>
        <v>|Investee Unit</v>
      </c>
    </row>
    <row r="1107" spans="1:5" x14ac:dyDescent="0.2">
      <c r="A1107" t="s">
        <v>0</v>
      </c>
      <c r="B1107" t="s">
        <v>15</v>
      </c>
      <c r="C1107" t="s">
        <v>426</v>
      </c>
      <c r="D1107" t="str">
        <f>VLOOKUP(C1107,'lookup table'!$A$2:$B$19,2,FALSE)</f>
        <v>Investee Unit</v>
      </c>
      <c r="E1107" t="str">
        <f t="shared" si="17"/>
        <v>|Investee Unit</v>
      </c>
    </row>
    <row r="1108" spans="1:5" x14ac:dyDescent="0.2">
      <c r="A1108" t="s">
        <v>0</v>
      </c>
      <c r="B1108" t="s">
        <v>15</v>
      </c>
      <c r="C1108" t="s">
        <v>426</v>
      </c>
      <c r="D1108" t="str">
        <f>VLOOKUP(C1108,'lookup table'!$A$2:$B$19,2,FALSE)</f>
        <v>Investee Unit</v>
      </c>
      <c r="E1108" t="str">
        <f t="shared" si="17"/>
        <v>|Investee Unit</v>
      </c>
    </row>
    <row r="1109" spans="1:5" x14ac:dyDescent="0.2">
      <c r="A1109" t="s">
        <v>0</v>
      </c>
      <c r="B1109" t="s">
        <v>405</v>
      </c>
      <c r="C1109" t="s">
        <v>426</v>
      </c>
      <c r="D1109" t="str">
        <f>VLOOKUP(C1109,'lookup table'!$A$2:$B$19,2,FALSE)</f>
        <v>Investee Unit</v>
      </c>
      <c r="E1109" t="str">
        <f t="shared" si="17"/>
        <v>|Investee Unit</v>
      </c>
    </row>
    <row r="1110" spans="1:5" x14ac:dyDescent="0.2">
      <c r="A1110" t="s">
        <v>0</v>
      </c>
      <c r="B1110" t="s">
        <v>16</v>
      </c>
      <c r="C1110" t="s">
        <v>426</v>
      </c>
      <c r="D1110" t="str">
        <f>VLOOKUP(C1110,'lookup table'!$A$2:$B$19,2,FALSE)</f>
        <v>Investee Unit</v>
      </c>
      <c r="E1110" t="str">
        <f t="shared" si="17"/>
        <v>|Investee Unit</v>
      </c>
    </row>
    <row r="1111" spans="1:5" x14ac:dyDescent="0.2">
      <c r="A1111" t="s">
        <v>0</v>
      </c>
      <c r="B1111" t="s">
        <v>16</v>
      </c>
      <c r="C1111" t="s">
        <v>426</v>
      </c>
      <c r="D1111" t="str">
        <f>VLOOKUP(C1111,'lookup table'!$A$2:$B$19,2,FALSE)</f>
        <v>Investee Unit</v>
      </c>
      <c r="E1111" t="str">
        <f t="shared" si="17"/>
        <v>|Investee Unit</v>
      </c>
    </row>
    <row r="1112" spans="1:5" x14ac:dyDescent="0.2">
      <c r="A1112" t="s">
        <v>0</v>
      </c>
      <c r="B1112" t="s">
        <v>16</v>
      </c>
      <c r="C1112" t="s">
        <v>426</v>
      </c>
      <c r="D1112" t="str">
        <f>VLOOKUP(C1112,'lookup table'!$A$2:$B$19,2,FALSE)</f>
        <v>Investee Unit</v>
      </c>
      <c r="E1112" t="str">
        <f t="shared" si="17"/>
        <v>|Investee Unit</v>
      </c>
    </row>
    <row r="1113" spans="1:5" x14ac:dyDescent="0.2">
      <c r="A1113" t="s">
        <v>0</v>
      </c>
      <c r="B1113" t="s">
        <v>17</v>
      </c>
      <c r="C1113" t="s">
        <v>426</v>
      </c>
      <c r="D1113" t="str">
        <f>VLOOKUP(C1113,'lookup table'!$A$2:$B$19,2,FALSE)</f>
        <v>Investee Unit</v>
      </c>
      <c r="E1113" t="str">
        <f t="shared" si="17"/>
        <v>|Investee Unit</v>
      </c>
    </row>
    <row r="1114" spans="1:5" x14ac:dyDescent="0.2">
      <c r="A1114" t="s">
        <v>0</v>
      </c>
      <c r="B1114" t="s">
        <v>427</v>
      </c>
      <c r="C1114" t="s">
        <v>428</v>
      </c>
      <c r="D1114" t="str">
        <f>VLOOKUP(C1114,'lookup table'!$A$2:$B$19,2,FALSE)</f>
        <v>LoB</v>
      </c>
      <c r="E1114" t="str">
        <f t="shared" si="17"/>
        <v>|LoB</v>
      </c>
    </row>
    <row r="1115" spans="1:5" x14ac:dyDescent="0.2">
      <c r="A1115" t="s">
        <v>0</v>
      </c>
      <c r="B1115" t="s">
        <v>13</v>
      </c>
      <c r="C1115" t="s">
        <v>428</v>
      </c>
      <c r="D1115" t="str">
        <f>VLOOKUP(C1115,'lookup table'!$A$2:$B$19,2,FALSE)</f>
        <v>LoB</v>
      </c>
      <c r="E1115" t="str">
        <f t="shared" si="17"/>
        <v>|LoB</v>
      </c>
    </row>
    <row r="1116" spans="1:5" x14ac:dyDescent="0.2">
      <c r="A1116" t="s">
        <v>0</v>
      </c>
      <c r="B1116" t="s">
        <v>429</v>
      </c>
      <c r="C1116" t="s">
        <v>428</v>
      </c>
      <c r="D1116" t="str">
        <f>VLOOKUP(C1116,'lookup table'!$A$2:$B$19,2,FALSE)</f>
        <v>LoB</v>
      </c>
      <c r="E1116" t="str">
        <f t="shared" si="17"/>
        <v>|LoB</v>
      </c>
    </row>
    <row r="1117" spans="1:5" x14ac:dyDescent="0.2">
      <c r="A1117" t="s">
        <v>0</v>
      </c>
      <c r="B1117" t="s">
        <v>1</v>
      </c>
      <c r="C1117" t="s">
        <v>428</v>
      </c>
      <c r="D1117" t="str">
        <f>VLOOKUP(C1117,'lookup table'!$A$2:$B$19,2,FALSE)</f>
        <v>LoB</v>
      </c>
      <c r="E1117" t="str">
        <f t="shared" si="17"/>
        <v>|LoB</v>
      </c>
    </row>
    <row r="1118" spans="1:5" x14ac:dyDescent="0.2">
      <c r="A1118" t="s">
        <v>0</v>
      </c>
      <c r="B1118" t="s">
        <v>3</v>
      </c>
      <c r="C1118" t="s">
        <v>428</v>
      </c>
      <c r="D1118" t="str">
        <f>VLOOKUP(C1118,'lookup table'!$A$2:$B$19,2,FALSE)</f>
        <v>LoB</v>
      </c>
      <c r="E1118" t="str">
        <f t="shared" si="17"/>
        <v>|LoB</v>
      </c>
    </row>
    <row r="1119" spans="1:5" x14ac:dyDescent="0.2">
      <c r="A1119" t="s">
        <v>0</v>
      </c>
      <c r="B1119" t="s">
        <v>7</v>
      </c>
      <c r="C1119" t="s">
        <v>428</v>
      </c>
      <c r="D1119" t="str">
        <f>VLOOKUP(C1119,'lookup table'!$A$2:$B$19,2,FALSE)</f>
        <v>LoB</v>
      </c>
      <c r="E1119" t="str">
        <f t="shared" si="17"/>
        <v>|LoB</v>
      </c>
    </row>
    <row r="1120" spans="1:5" x14ac:dyDescent="0.2">
      <c r="A1120" t="s">
        <v>0</v>
      </c>
      <c r="B1120" t="s">
        <v>7</v>
      </c>
      <c r="C1120" t="s">
        <v>428</v>
      </c>
      <c r="D1120" t="str">
        <f>VLOOKUP(C1120,'lookup table'!$A$2:$B$19,2,FALSE)</f>
        <v>LoB</v>
      </c>
      <c r="E1120" t="str">
        <f t="shared" si="17"/>
        <v>|LoB</v>
      </c>
    </row>
    <row r="1121" spans="1:5" x14ac:dyDescent="0.2">
      <c r="A1121" t="s">
        <v>0</v>
      </c>
      <c r="B1121" t="s">
        <v>4</v>
      </c>
      <c r="C1121" t="s">
        <v>428</v>
      </c>
      <c r="D1121" t="str">
        <f>VLOOKUP(C1121,'lookup table'!$A$2:$B$19,2,FALSE)</f>
        <v>LoB</v>
      </c>
      <c r="E1121" t="str">
        <f t="shared" si="17"/>
        <v>|LoB</v>
      </c>
    </row>
    <row r="1122" spans="1:5" x14ac:dyDescent="0.2">
      <c r="A1122" t="s">
        <v>0</v>
      </c>
      <c r="B1122" t="s">
        <v>35</v>
      </c>
      <c r="C1122" t="s">
        <v>428</v>
      </c>
      <c r="D1122" t="str">
        <f>VLOOKUP(C1122,'lookup table'!$A$2:$B$19,2,FALSE)</f>
        <v>LoB</v>
      </c>
      <c r="E1122" t="str">
        <f t="shared" si="17"/>
        <v>|LoB</v>
      </c>
    </row>
    <row r="1123" spans="1:5" x14ac:dyDescent="0.2">
      <c r="A1123" t="s">
        <v>0</v>
      </c>
      <c r="B1123" t="s">
        <v>430</v>
      </c>
      <c r="C1123" t="s">
        <v>428</v>
      </c>
      <c r="D1123" t="str">
        <f>VLOOKUP(C1123,'lookup table'!$A$2:$B$19,2,FALSE)</f>
        <v>LoB</v>
      </c>
      <c r="E1123" t="str">
        <f t="shared" si="17"/>
        <v>|LoB</v>
      </c>
    </row>
    <row r="1124" spans="1:5" x14ac:dyDescent="0.2">
      <c r="A1124" t="s">
        <v>0</v>
      </c>
      <c r="B1124" t="s">
        <v>431</v>
      </c>
      <c r="C1124" t="s">
        <v>428</v>
      </c>
      <c r="D1124" t="str">
        <f>VLOOKUP(C1124,'lookup table'!$A$2:$B$19,2,FALSE)</f>
        <v>LoB</v>
      </c>
      <c r="E1124" t="str">
        <f t="shared" si="17"/>
        <v>|LoB</v>
      </c>
    </row>
    <row r="1125" spans="1:5" x14ac:dyDescent="0.2">
      <c r="A1125" t="s">
        <v>0</v>
      </c>
      <c r="B1125" t="s">
        <v>432</v>
      </c>
      <c r="C1125" t="s">
        <v>428</v>
      </c>
      <c r="D1125" t="str">
        <f>VLOOKUP(C1125,'lookup table'!$A$2:$B$19,2,FALSE)</f>
        <v>LoB</v>
      </c>
      <c r="E1125" t="str">
        <f t="shared" si="17"/>
        <v>|LoB</v>
      </c>
    </row>
    <row r="1126" spans="1:5" x14ac:dyDescent="0.2">
      <c r="A1126" t="s">
        <v>0</v>
      </c>
      <c r="B1126" t="s">
        <v>433</v>
      </c>
      <c r="C1126" t="s">
        <v>428</v>
      </c>
      <c r="D1126" t="str">
        <f>VLOOKUP(C1126,'lookup table'!$A$2:$B$19,2,FALSE)</f>
        <v>LoB</v>
      </c>
      <c r="E1126" t="str">
        <f t="shared" si="17"/>
        <v>|LoB</v>
      </c>
    </row>
    <row r="1127" spans="1:5" x14ac:dyDescent="0.2">
      <c r="A1127" t="s">
        <v>0</v>
      </c>
      <c r="B1127" t="s">
        <v>434</v>
      </c>
      <c r="C1127" t="s">
        <v>428</v>
      </c>
      <c r="D1127" t="str">
        <f>VLOOKUP(C1127,'lookup table'!$A$2:$B$19,2,FALSE)</f>
        <v>LoB</v>
      </c>
      <c r="E1127" t="str">
        <f t="shared" si="17"/>
        <v>|LoB</v>
      </c>
    </row>
    <row r="1128" spans="1:5" x14ac:dyDescent="0.2">
      <c r="A1128" t="s">
        <v>0</v>
      </c>
      <c r="B1128" t="s">
        <v>435</v>
      </c>
      <c r="C1128" t="s">
        <v>428</v>
      </c>
      <c r="D1128" t="str">
        <f>VLOOKUP(C1128,'lookup table'!$A$2:$B$19,2,FALSE)</f>
        <v>LoB</v>
      </c>
      <c r="E1128" t="str">
        <f t="shared" si="17"/>
        <v>|LoB</v>
      </c>
    </row>
    <row r="1129" spans="1:5" x14ac:dyDescent="0.2">
      <c r="A1129" t="s">
        <v>0</v>
      </c>
      <c r="B1129" t="s">
        <v>69</v>
      </c>
      <c r="C1129" t="s">
        <v>428</v>
      </c>
      <c r="D1129" t="str">
        <f>VLOOKUP(C1129,'lookup table'!$A$2:$B$19,2,FALSE)</f>
        <v>LoB</v>
      </c>
      <c r="E1129" t="str">
        <f t="shared" si="17"/>
        <v>|LoB</v>
      </c>
    </row>
    <row r="1130" spans="1:5" x14ac:dyDescent="0.2">
      <c r="A1130" t="s">
        <v>0</v>
      </c>
      <c r="B1130" t="s">
        <v>70</v>
      </c>
      <c r="C1130" t="s">
        <v>428</v>
      </c>
      <c r="D1130" t="str">
        <f>VLOOKUP(C1130,'lookup table'!$A$2:$B$19,2,FALSE)</f>
        <v>LoB</v>
      </c>
      <c r="E1130" t="str">
        <f t="shared" si="17"/>
        <v>|LoB</v>
      </c>
    </row>
    <row r="1131" spans="1:5" x14ac:dyDescent="0.2">
      <c r="A1131" t="s">
        <v>0</v>
      </c>
      <c r="B1131" t="s">
        <v>71</v>
      </c>
      <c r="C1131" t="s">
        <v>428</v>
      </c>
      <c r="D1131" t="str">
        <f>VLOOKUP(C1131,'lookup table'!$A$2:$B$19,2,FALSE)</f>
        <v>LoB</v>
      </c>
      <c r="E1131" t="str">
        <f t="shared" si="17"/>
        <v>|LoB</v>
      </c>
    </row>
    <row r="1132" spans="1:5" x14ac:dyDescent="0.2">
      <c r="A1132" t="s">
        <v>0</v>
      </c>
      <c r="B1132" t="s">
        <v>72</v>
      </c>
      <c r="C1132" t="s">
        <v>428</v>
      </c>
      <c r="D1132" t="str">
        <f>VLOOKUP(C1132,'lookup table'!$A$2:$B$19,2,FALSE)</f>
        <v>LoB</v>
      </c>
      <c r="E1132" t="str">
        <f t="shared" si="17"/>
        <v>|LoB</v>
      </c>
    </row>
    <row r="1133" spans="1:5" x14ac:dyDescent="0.2">
      <c r="A1133" t="s">
        <v>0</v>
      </c>
      <c r="B1133" t="s">
        <v>72</v>
      </c>
      <c r="C1133" t="s">
        <v>428</v>
      </c>
      <c r="D1133" t="str">
        <f>VLOOKUP(C1133,'lookup table'!$A$2:$B$19,2,FALSE)</f>
        <v>LoB</v>
      </c>
      <c r="E1133" t="str">
        <f t="shared" si="17"/>
        <v>|LoB</v>
      </c>
    </row>
    <row r="1134" spans="1:5" x14ac:dyDescent="0.2">
      <c r="A1134" t="s">
        <v>0</v>
      </c>
      <c r="B1134" t="s">
        <v>17</v>
      </c>
      <c r="C1134" t="s">
        <v>428</v>
      </c>
      <c r="D1134" t="str">
        <f>VLOOKUP(C1134,'lookup table'!$A$2:$B$19,2,FALSE)</f>
        <v>LoB</v>
      </c>
      <c r="E1134" t="str">
        <f t="shared" si="17"/>
        <v>|LoB</v>
      </c>
    </row>
    <row r="1135" spans="1:5" x14ac:dyDescent="0.2">
      <c r="A1135" t="s">
        <v>0</v>
      </c>
      <c r="B1135" t="s">
        <v>73</v>
      </c>
      <c r="C1135" t="s">
        <v>428</v>
      </c>
      <c r="D1135" t="str">
        <f>VLOOKUP(C1135,'lookup table'!$A$2:$B$19,2,FALSE)</f>
        <v>LoB</v>
      </c>
      <c r="E1135" t="str">
        <f t="shared" si="17"/>
        <v>|LoB</v>
      </c>
    </row>
    <row r="1136" spans="1:5" x14ac:dyDescent="0.2">
      <c r="A1136" t="s">
        <v>0</v>
      </c>
      <c r="B1136" t="s">
        <v>105</v>
      </c>
      <c r="C1136" t="s">
        <v>428</v>
      </c>
      <c r="D1136" t="str">
        <f>VLOOKUP(C1136,'lookup table'!$A$2:$B$19,2,FALSE)</f>
        <v>LoB</v>
      </c>
      <c r="E1136" t="str">
        <f t="shared" si="17"/>
        <v>|LoB</v>
      </c>
    </row>
    <row r="1137" spans="1:5" x14ac:dyDescent="0.2">
      <c r="A1137" t="s">
        <v>0</v>
      </c>
      <c r="B1137" t="s">
        <v>105</v>
      </c>
      <c r="C1137" t="s">
        <v>428</v>
      </c>
      <c r="D1137" t="str">
        <f>VLOOKUP(C1137,'lookup table'!$A$2:$B$19,2,FALSE)</f>
        <v>LoB</v>
      </c>
      <c r="E1137" t="str">
        <f t="shared" si="17"/>
        <v>|LoB</v>
      </c>
    </row>
    <row r="1138" spans="1:5" x14ac:dyDescent="0.2">
      <c r="A1138" t="s">
        <v>0</v>
      </c>
      <c r="B1138" t="s">
        <v>105</v>
      </c>
      <c r="C1138" t="s">
        <v>428</v>
      </c>
      <c r="D1138" t="str">
        <f>VLOOKUP(C1138,'lookup table'!$A$2:$B$19,2,FALSE)</f>
        <v>LoB</v>
      </c>
      <c r="E1138" t="str">
        <f t="shared" si="17"/>
        <v>|LoB</v>
      </c>
    </row>
    <row r="1139" spans="1:5" x14ac:dyDescent="0.2">
      <c r="A1139" t="s">
        <v>0</v>
      </c>
      <c r="B1139" t="s">
        <v>106</v>
      </c>
      <c r="C1139" t="s">
        <v>428</v>
      </c>
      <c r="D1139" t="str">
        <f>VLOOKUP(C1139,'lookup table'!$A$2:$B$19,2,FALSE)</f>
        <v>LoB</v>
      </c>
      <c r="E1139" t="str">
        <f t="shared" si="17"/>
        <v>|LoB</v>
      </c>
    </row>
    <row r="1140" spans="1:5" x14ac:dyDescent="0.2">
      <c r="A1140" t="s">
        <v>0</v>
      </c>
      <c r="B1140" t="s">
        <v>107</v>
      </c>
      <c r="C1140" t="s">
        <v>428</v>
      </c>
      <c r="D1140" t="str">
        <f>VLOOKUP(C1140,'lookup table'!$A$2:$B$19,2,FALSE)</f>
        <v>LoB</v>
      </c>
      <c r="E1140" t="str">
        <f t="shared" si="17"/>
        <v>|LoB</v>
      </c>
    </row>
    <row r="1141" spans="1:5" x14ac:dyDescent="0.2">
      <c r="A1141" t="s">
        <v>0</v>
      </c>
      <c r="B1141" t="s">
        <v>391</v>
      </c>
      <c r="C1141" t="s">
        <v>428</v>
      </c>
      <c r="D1141" t="str">
        <f>VLOOKUP(C1141,'lookup table'!$A$2:$B$19,2,FALSE)</f>
        <v>LoB</v>
      </c>
      <c r="E1141" t="str">
        <f t="shared" si="17"/>
        <v>|LoB</v>
      </c>
    </row>
    <row r="1142" spans="1:5" x14ac:dyDescent="0.2">
      <c r="A1142" t="s">
        <v>0</v>
      </c>
      <c r="B1142" t="s">
        <v>391</v>
      </c>
      <c r="C1142" t="s">
        <v>428</v>
      </c>
      <c r="D1142" t="str">
        <f>VLOOKUP(C1142,'lookup table'!$A$2:$B$19,2,FALSE)</f>
        <v>LoB</v>
      </c>
      <c r="E1142" t="str">
        <f t="shared" si="17"/>
        <v>|LoB</v>
      </c>
    </row>
    <row r="1143" spans="1:5" x14ac:dyDescent="0.2">
      <c r="A1143" t="s">
        <v>0</v>
      </c>
      <c r="B1143" t="s">
        <v>119</v>
      </c>
      <c r="C1143" t="s">
        <v>428</v>
      </c>
      <c r="D1143" t="str">
        <f>VLOOKUP(C1143,'lookup table'!$A$2:$B$19,2,FALSE)</f>
        <v>LoB</v>
      </c>
      <c r="E1143" t="str">
        <f t="shared" si="17"/>
        <v>|LoB</v>
      </c>
    </row>
    <row r="1144" spans="1:5" x14ac:dyDescent="0.2">
      <c r="A1144" t="s">
        <v>0</v>
      </c>
      <c r="B1144" t="s">
        <v>120</v>
      </c>
      <c r="C1144" t="s">
        <v>428</v>
      </c>
      <c r="D1144" t="str">
        <f>VLOOKUP(C1144,'lookup table'!$A$2:$B$19,2,FALSE)</f>
        <v>LoB</v>
      </c>
      <c r="E1144" t="str">
        <f t="shared" si="17"/>
        <v>|LoB</v>
      </c>
    </row>
    <row r="1145" spans="1:5" x14ac:dyDescent="0.2">
      <c r="A1145" t="s">
        <v>0</v>
      </c>
      <c r="B1145" t="s">
        <v>121</v>
      </c>
      <c r="C1145" t="s">
        <v>428</v>
      </c>
      <c r="D1145" t="str">
        <f>VLOOKUP(C1145,'lookup table'!$A$2:$B$19,2,FALSE)</f>
        <v>LoB</v>
      </c>
      <c r="E1145" t="str">
        <f t="shared" si="17"/>
        <v>|LoB</v>
      </c>
    </row>
    <row r="1146" spans="1:5" x14ac:dyDescent="0.2">
      <c r="A1146" t="s">
        <v>0</v>
      </c>
      <c r="B1146" t="s">
        <v>70</v>
      </c>
      <c r="C1146" t="s">
        <v>428</v>
      </c>
      <c r="D1146" t="str">
        <f>VLOOKUP(C1146,'lookup table'!$A$2:$B$19,2,FALSE)</f>
        <v>LoB</v>
      </c>
      <c r="E1146" t="str">
        <f t="shared" si="17"/>
        <v>|LoB</v>
      </c>
    </row>
    <row r="1147" spans="1:5" x14ac:dyDescent="0.2">
      <c r="A1147" t="s">
        <v>0</v>
      </c>
      <c r="B1147" t="s">
        <v>122</v>
      </c>
      <c r="C1147" t="s">
        <v>428</v>
      </c>
      <c r="D1147" t="str">
        <f>VLOOKUP(C1147,'lookup table'!$A$2:$B$19,2,FALSE)</f>
        <v>LoB</v>
      </c>
      <c r="E1147" t="str">
        <f t="shared" si="17"/>
        <v>|LoB</v>
      </c>
    </row>
    <row r="1148" spans="1:5" x14ac:dyDescent="0.2">
      <c r="A1148" t="s">
        <v>0</v>
      </c>
      <c r="B1148" t="s">
        <v>107</v>
      </c>
      <c r="C1148" t="s">
        <v>428</v>
      </c>
      <c r="D1148" t="str">
        <f>VLOOKUP(C1148,'lookup table'!$A$2:$B$19,2,FALSE)</f>
        <v>LoB</v>
      </c>
      <c r="E1148" t="str">
        <f t="shared" si="17"/>
        <v>|LoB</v>
      </c>
    </row>
    <row r="1149" spans="1:5" x14ac:dyDescent="0.2">
      <c r="A1149" t="s">
        <v>0</v>
      </c>
      <c r="B1149" t="s">
        <v>72</v>
      </c>
      <c r="C1149" t="s">
        <v>428</v>
      </c>
      <c r="D1149" t="str">
        <f>VLOOKUP(C1149,'lookup table'!$A$2:$B$19,2,FALSE)</f>
        <v>LoB</v>
      </c>
      <c r="E1149" t="str">
        <f t="shared" si="17"/>
        <v>|LoB</v>
      </c>
    </row>
    <row r="1150" spans="1:5" x14ac:dyDescent="0.2">
      <c r="A1150" t="s">
        <v>0</v>
      </c>
      <c r="B1150" t="s">
        <v>72</v>
      </c>
      <c r="C1150" t="s">
        <v>428</v>
      </c>
      <c r="D1150" t="str">
        <f>VLOOKUP(C1150,'lookup table'!$A$2:$B$19,2,FALSE)</f>
        <v>LoB</v>
      </c>
      <c r="E1150" t="str">
        <f t="shared" si="17"/>
        <v>|LoB</v>
      </c>
    </row>
    <row r="1151" spans="1:5" x14ac:dyDescent="0.2">
      <c r="A1151" t="s">
        <v>0</v>
      </c>
      <c r="B1151" t="s">
        <v>72</v>
      </c>
      <c r="C1151" t="s">
        <v>428</v>
      </c>
      <c r="D1151" t="str">
        <f>VLOOKUP(C1151,'lookup table'!$A$2:$B$19,2,FALSE)</f>
        <v>LoB</v>
      </c>
      <c r="E1151" t="str">
        <f t="shared" si="17"/>
        <v>|LoB</v>
      </c>
    </row>
    <row r="1152" spans="1:5" x14ac:dyDescent="0.2">
      <c r="A1152" t="s">
        <v>0</v>
      </c>
      <c r="B1152" t="s">
        <v>71</v>
      </c>
      <c r="C1152" t="s">
        <v>428</v>
      </c>
      <c r="D1152" t="str">
        <f>VLOOKUP(C1152,'lookup table'!$A$2:$B$19,2,FALSE)</f>
        <v>LoB</v>
      </c>
      <c r="E1152" t="str">
        <f t="shared" si="17"/>
        <v>|LoB</v>
      </c>
    </row>
    <row r="1153" spans="1:5" x14ac:dyDescent="0.2">
      <c r="A1153" t="s">
        <v>0</v>
      </c>
      <c r="B1153" t="s">
        <v>8</v>
      </c>
      <c r="C1153" t="s">
        <v>428</v>
      </c>
      <c r="D1153" t="str">
        <f>VLOOKUP(C1153,'lookup table'!$A$2:$B$19,2,FALSE)</f>
        <v>LoB</v>
      </c>
      <c r="E1153" t="str">
        <f t="shared" si="17"/>
        <v>|LoB</v>
      </c>
    </row>
    <row r="1154" spans="1:5" x14ac:dyDescent="0.2">
      <c r="A1154" t="s">
        <v>0</v>
      </c>
      <c r="B1154" t="s">
        <v>8</v>
      </c>
      <c r="C1154" t="s">
        <v>428</v>
      </c>
      <c r="D1154" t="str">
        <f>VLOOKUP(C1154,'lookup table'!$A$2:$B$19,2,FALSE)</f>
        <v>LoB</v>
      </c>
      <c r="E1154" t="str">
        <f t="shared" si="17"/>
        <v>|LoB</v>
      </c>
    </row>
    <row r="1155" spans="1:5" x14ac:dyDescent="0.2">
      <c r="A1155" t="s">
        <v>0</v>
      </c>
      <c r="B1155" t="s">
        <v>15</v>
      </c>
      <c r="C1155" t="s">
        <v>428</v>
      </c>
      <c r="D1155" t="str">
        <f>VLOOKUP(C1155,'lookup table'!$A$2:$B$19,2,FALSE)</f>
        <v>LoB</v>
      </c>
      <c r="E1155" t="str">
        <f t="shared" ref="E1155:E1218" si="18">IF(ISNA(D1155),"",IF(A1155="","",A1155) &amp; "|" &amp; D1155)</f>
        <v>|LoB</v>
      </c>
    </row>
    <row r="1156" spans="1:5" x14ac:dyDescent="0.2">
      <c r="A1156" t="s">
        <v>0</v>
      </c>
      <c r="B1156" t="s">
        <v>15</v>
      </c>
      <c r="C1156" t="s">
        <v>428</v>
      </c>
      <c r="D1156" t="str">
        <f>VLOOKUP(C1156,'lookup table'!$A$2:$B$19,2,FALSE)</f>
        <v>LoB</v>
      </c>
      <c r="E1156" t="str">
        <f t="shared" si="18"/>
        <v>|LoB</v>
      </c>
    </row>
    <row r="1157" spans="1:5" x14ac:dyDescent="0.2">
      <c r="A1157" t="s">
        <v>0</v>
      </c>
      <c r="B1157" t="s">
        <v>129</v>
      </c>
      <c r="C1157" t="s">
        <v>428</v>
      </c>
      <c r="D1157" t="str">
        <f>VLOOKUP(C1157,'lookup table'!$A$2:$B$19,2,FALSE)</f>
        <v>LoB</v>
      </c>
      <c r="E1157" t="str">
        <f t="shared" si="18"/>
        <v>|LoB</v>
      </c>
    </row>
    <row r="1158" spans="1:5" x14ac:dyDescent="0.2">
      <c r="A1158" t="s">
        <v>0</v>
      </c>
      <c r="B1158" t="s">
        <v>130</v>
      </c>
      <c r="C1158" t="s">
        <v>428</v>
      </c>
      <c r="D1158" t="str">
        <f>VLOOKUP(C1158,'lookup table'!$A$2:$B$19,2,FALSE)</f>
        <v>LoB</v>
      </c>
      <c r="E1158" t="str">
        <f t="shared" si="18"/>
        <v>|LoB</v>
      </c>
    </row>
    <row r="1159" spans="1:5" x14ac:dyDescent="0.2">
      <c r="A1159" t="s">
        <v>0</v>
      </c>
      <c r="B1159" t="s">
        <v>130</v>
      </c>
      <c r="C1159" t="s">
        <v>428</v>
      </c>
      <c r="D1159" t="str">
        <f>VLOOKUP(C1159,'lookup table'!$A$2:$B$19,2,FALSE)</f>
        <v>LoB</v>
      </c>
      <c r="E1159" t="str">
        <f t="shared" si="18"/>
        <v>|LoB</v>
      </c>
    </row>
    <row r="1160" spans="1:5" x14ac:dyDescent="0.2">
      <c r="A1160" t="s">
        <v>0</v>
      </c>
      <c r="B1160" t="s">
        <v>131</v>
      </c>
      <c r="C1160" t="s">
        <v>428</v>
      </c>
      <c r="D1160" t="str">
        <f>VLOOKUP(C1160,'lookup table'!$A$2:$B$19,2,FALSE)</f>
        <v>LoB</v>
      </c>
      <c r="E1160" t="str">
        <f t="shared" si="18"/>
        <v>|LoB</v>
      </c>
    </row>
    <row r="1161" spans="1:5" x14ac:dyDescent="0.2">
      <c r="A1161" t="s">
        <v>0</v>
      </c>
      <c r="B1161" t="s">
        <v>106</v>
      </c>
      <c r="C1161" t="s">
        <v>428</v>
      </c>
      <c r="D1161" t="str">
        <f>VLOOKUP(C1161,'lookup table'!$A$2:$B$19,2,FALSE)</f>
        <v>LoB</v>
      </c>
      <c r="E1161" t="str">
        <f t="shared" si="18"/>
        <v>|LoB</v>
      </c>
    </row>
    <row r="1162" spans="1:5" x14ac:dyDescent="0.2">
      <c r="A1162" t="s">
        <v>0</v>
      </c>
      <c r="B1162" t="s">
        <v>107</v>
      </c>
      <c r="C1162" t="s">
        <v>428</v>
      </c>
      <c r="D1162" t="str">
        <f>VLOOKUP(C1162,'lookup table'!$A$2:$B$19,2,FALSE)</f>
        <v>LoB</v>
      </c>
      <c r="E1162" t="str">
        <f t="shared" si="18"/>
        <v>|LoB</v>
      </c>
    </row>
    <row r="1163" spans="1:5" x14ac:dyDescent="0.2">
      <c r="A1163" t="s">
        <v>0</v>
      </c>
      <c r="B1163" t="s">
        <v>16</v>
      </c>
      <c r="C1163" t="s">
        <v>428</v>
      </c>
      <c r="D1163" t="str">
        <f>VLOOKUP(C1163,'lookup table'!$A$2:$B$19,2,FALSE)</f>
        <v>LoB</v>
      </c>
      <c r="E1163" t="str">
        <f t="shared" si="18"/>
        <v>|LoB</v>
      </c>
    </row>
    <row r="1164" spans="1:5" x14ac:dyDescent="0.2">
      <c r="A1164" t="s">
        <v>0</v>
      </c>
      <c r="B1164" t="s">
        <v>132</v>
      </c>
      <c r="C1164" t="s">
        <v>428</v>
      </c>
      <c r="D1164" t="str">
        <f>VLOOKUP(C1164,'lookup table'!$A$2:$B$19,2,FALSE)</f>
        <v>LoB</v>
      </c>
      <c r="E1164" t="str">
        <f t="shared" si="18"/>
        <v>|LoB</v>
      </c>
    </row>
    <row r="1165" spans="1:5" x14ac:dyDescent="0.2">
      <c r="A1165" t="s">
        <v>0</v>
      </c>
      <c r="B1165" t="s">
        <v>119</v>
      </c>
      <c r="C1165" t="s">
        <v>428</v>
      </c>
      <c r="D1165" t="str">
        <f>VLOOKUP(C1165,'lookup table'!$A$2:$B$19,2,FALSE)</f>
        <v>LoB</v>
      </c>
      <c r="E1165" t="str">
        <f t="shared" si="18"/>
        <v>|LoB</v>
      </c>
    </row>
    <row r="1166" spans="1:5" x14ac:dyDescent="0.2">
      <c r="A1166" t="s">
        <v>0</v>
      </c>
      <c r="B1166" t="s">
        <v>133</v>
      </c>
      <c r="C1166" t="s">
        <v>428</v>
      </c>
      <c r="D1166" t="str">
        <f>VLOOKUP(C1166,'lookup table'!$A$2:$B$19,2,FALSE)</f>
        <v>LoB</v>
      </c>
      <c r="E1166" t="str">
        <f t="shared" si="18"/>
        <v>|LoB</v>
      </c>
    </row>
    <row r="1167" spans="1:5" x14ac:dyDescent="0.2">
      <c r="A1167" t="s">
        <v>0</v>
      </c>
      <c r="B1167" t="s">
        <v>134</v>
      </c>
      <c r="C1167" t="s">
        <v>428</v>
      </c>
      <c r="D1167" t="str">
        <f>VLOOKUP(C1167,'lookup table'!$A$2:$B$19,2,FALSE)</f>
        <v>LoB</v>
      </c>
      <c r="E1167" t="str">
        <f t="shared" si="18"/>
        <v>|LoB</v>
      </c>
    </row>
    <row r="1168" spans="1:5" x14ac:dyDescent="0.2">
      <c r="A1168" t="s">
        <v>0</v>
      </c>
      <c r="B1168" t="s">
        <v>16</v>
      </c>
      <c r="C1168" t="s">
        <v>428</v>
      </c>
      <c r="D1168" t="str">
        <f>VLOOKUP(C1168,'lookup table'!$A$2:$B$19,2,FALSE)</f>
        <v>LoB</v>
      </c>
      <c r="E1168" t="str">
        <f t="shared" si="18"/>
        <v>|LoB</v>
      </c>
    </row>
    <row r="1169" spans="1:5" x14ac:dyDescent="0.2">
      <c r="A1169" t="s">
        <v>0</v>
      </c>
      <c r="B1169" t="s">
        <v>16</v>
      </c>
      <c r="C1169" t="s">
        <v>428</v>
      </c>
      <c r="D1169" t="str">
        <f>VLOOKUP(C1169,'lookup table'!$A$2:$B$19,2,FALSE)</f>
        <v>LoB</v>
      </c>
      <c r="E1169" t="str">
        <f t="shared" si="18"/>
        <v>|LoB</v>
      </c>
    </row>
    <row r="1170" spans="1:5" x14ac:dyDescent="0.2">
      <c r="A1170" t="s">
        <v>0</v>
      </c>
      <c r="B1170" t="s">
        <v>17</v>
      </c>
      <c r="C1170" t="s">
        <v>428</v>
      </c>
      <c r="D1170" t="str">
        <f>VLOOKUP(C1170,'lookup table'!$A$2:$B$19,2,FALSE)</f>
        <v>LoB</v>
      </c>
      <c r="E1170" t="str">
        <f t="shared" si="18"/>
        <v>|LoB</v>
      </c>
    </row>
    <row r="1171" spans="1:5" x14ac:dyDescent="0.2">
      <c r="A1171" t="s">
        <v>0</v>
      </c>
      <c r="B1171" t="s">
        <v>13</v>
      </c>
      <c r="C1171" t="s">
        <v>436</v>
      </c>
      <c r="D1171" t="str">
        <f>VLOOKUP(C1171,'lookup table'!$A$2:$B$19,2,FALSE)</f>
        <v>MAT</v>
      </c>
      <c r="E1171" t="str">
        <f t="shared" si="18"/>
        <v>|MAT</v>
      </c>
    </row>
    <row r="1172" spans="1:5" x14ac:dyDescent="0.2">
      <c r="A1172" t="s">
        <v>0</v>
      </c>
      <c r="B1172" t="s">
        <v>1</v>
      </c>
      <c r="C1172" t="s">
        <v>436</v>
      </c>
      <c r="D1172" t="str">
        <f>VLOOKUP(C1172,'lookup table'!$A$2:$B$19,2,FALSE)</f>
        <v>MAT</v>
      </c>
      <c r="E1172" t="str">
        <f t="shared" si="18"/>
        <v>|MAT</v>
      </c>
    </row>
    <row r="1173" spans="1:5" x14ac:dyDescent="0.2">
      <c r="A1173" t="s">
        <v>0</v>
      </c>
      <c r="B1173" t="s">
        <v>3</v>
      </c>
      <c r="C1173" t="s">
        <v>436</v>
      </c>
      <c r="D1173" t="str">
        <f>VLOOKUP(C1173,'lookup table'!$A$2:$B$19,2,FALSE)</f>
        <v>MAT</v>
      </c>
      <c r="E1173" t="str">
        <f t="shared" si="18"/>
        <v>|MAT</v>
      </c>
    </row>
    <row r="1174" spans="1:5" x14ac:dyDescent="0.2">
      <c r="A1174" t="s">
        <v>0</v>
      </c>
      <c r="B1174" t="s">
        <v>7</v>
      </c>
      <c r="C1174" t="s">
        <v>436</v>
      </c>
      <c r="D1174" t="str">
        <f>VLOOKUP(C1174,'lookup table'!$A$2:$B$19,2,FALSE)</f>
        <v>MAT</v>
      </c>
      <c r="E1174" t="str">
        <f t="shared" si="18"/>
        <v>|MAT</v>
      </c>
    </row>
    <row r="1175" spans="1:5" x14ac:dyDescent="0.2">
      <c r="A1175" t="s">
        <v>0</v>
      </c>
      <c r="B1175" t="s">
        <v>7</v>
      </c>
      <c r="C1175" t="s">
        <v>436</v>
      </c>
      <c r="D1175" t="str">
        <f>VLOOKUP(C1175,'lookup table'!$A$2:$B$19,2,FALSE)</f>
        <v>MAT</v>
      </c>
      <c r="E1175" t="str">
        <f t="shared" si="18"/>
        <v>|MAT</v>
      </c>
    </row>
    <row r="1176" spans="1:5" x14ac:dyDescent="0.2">
      <c r="A1176" t="s">
        <v>0</v>
      </c>
      <c r="B1176" t="s">
        <v>4</v>
      </c>
      <c r="C1176" t="s">
        <v>436</v>
      </c>
      <c r="D1176" t="str">
        <f>VLOOKUP(C1176,'lookup table'!$A$2:$B$19,2,FALSE)</f>
        <v>MAT</v>
      </c>
      <c r="E1176" t="str">
        <f t="shared" si="18"/>
        <v>|MAT</v>
      </c>
    </row>
    <row r="1177" spans="1:5" x14ac:dyDescent="0.2">
      <c r="A1177" t="s">
        <v>0</v>
      </c>
      <c r="B1177" t="s">
        <v>8</v>
      </c>
      <c r="C1177" t="s">
        <v>436</v>
      </c>
      <c r="D1177" t="str">
        <f>VLOOKUP(C1177,'lookup table'!$A$2:$B$19,2,FALSE)</f>
        <v>MAT</v>
      </c>
      <c r="E1177" t="str">
        <f t="shared" si="18"/>
        <v>|MAT</v>
      </c>
    </row>
    <row r="1178" spans="1:5" x14ac:dyDescent="0.2">
      <c r="A1178" t="s">
        <v>0</v>
      </c>
      <c r="B1178" t="s">
        <v>8</v>
      </c>
      <c r="C1178" t="s">
        <v>436</v>
      </c>
      <c r="D1178" t="str">
        <f>VLOOKUP(C1178,'lookup table'!$A$2:$B$19,2,FALSE)</f>
        <v>MAT</v>
      </c>
      <c r="E1178" t="str">
        <f t="shared" si="18"/>
        <v>|MAT</v>
      </c>
    </row>
    <row r="1179" spans="1:5" x14ac:dyDescent="0.2">
      <c r="A1179" t="s">
        <v>0</v>
      </c>
      <c r="B1179" t="s">
        <v>402</v>
      </c>
      <c r="C1179" t="s">
        <v>436</v>
      </c>
      <c r="D1179" t="str">
        <f>VLOOKUP(C1179,'lookup table'!$A$2:$B$19,2,FALSE)</f>
        <v>MAT</v>
      </c>
      <c r="E1179" t="str">
        <f t="shared" si="18"/>
        <v>|MAT</v>
      </c>
    </row>
    <row r="1180" spans="1:5" x14ac:dyDescent="0.2">
      <c r="A1180" t="s">
        <v>0</v>
      </c>
      <c r="B1180" t="s">
        <v>15</v>
      </c>
      <c r="C1180" t="s">
        <v>436</v>
      </c>
      <c r="D1180" t="str">
        <f>VLOOKUP(C1180,'lookup table'!$A$2:$B$19,2,FALSE)</f>
        <v>MAT</v>
      </c>
      <c r="E1180" t="str">
        <f t="shared" si="18"/>
        <v>|MAT</v>
      </c>
    </row>
    <row r="1181" spans="1:5" x14ac:dyDescent="0.2">
      <c r="A1181" t="s">
        <v>0</v>
      </c>
      <c r="B1181" t="s">
        <v>15</v>
      </c>
      <c r="C1181" t="s">
        <v>436</v>
      </c>
      <c r="D1181" t="str">
        <f>VLOOKUP(C1181,'lookup table'!$A$2:$B$19,2,FALSE)</f>
        <v>MAT</v>
      </c>
      <c r="E1181" t="str">
        <f t="shared" si="18"/>
        <v>|MAT</v>
      </c>
    </row>
    <row r="1182" spans="1:5" x14ac:dyDescent="0.2">
      <c r="A1182" t="s">
        <v>0</v>
      </c>
      <c r="B1182" t="s">
        <v>402</v>
      </c>
      <c r="C1182" t="s">
        <v>436</v>
      </c>
      <c r="D1182" t="str">
        <f>VLOOKUP(C1182,'lookup table'!$A$2:$B$19,2,FALSE)</f>
        <v>MAT</v>
      </c>
      <c r="E1182" t="str">
        <f t="shared" si="18"/>
        <v>|MAT</v>
      </c>
    </row>
    <row r="1183" spans="1:5" x14ac:dyDescent="0.2">
      <c r="A1183" t="s">
        <v>0</v>
      </c>
      <c r="B1183" t="s">
        <v>16</v>
      </c>
      <c r="C1183" t="s">
        <v>436</v>
      </c>
      <c r="D1183" t="str">
        <f>VLOOKUP(C1183,'lookup table'!$A$2:$B$19,2,FALSE)</f>
        <v>MAT</v>
      </c>
      <c r="E1183" t="str">
        <f t="shared" si="18"/>
        <v>|MAT</v>
      </c>
    </row>
    <row r="1184" spans="1:5" x14ac:dyDescent="0.2">
      <c r="A1184" t="s">
        <v>0</v>
      </c>
      <c r="B1184" t="s">
        <v>16</v>
      </c>
      <c r="C1184" t="s">
        <v>436</v>
      </c>
      <c r="D1184" t="str">
        <f>VLOOKUP(C1184,'lookup table'!$A$2:$B$19,2,FALSE)</f>
        <v>MAT</v>
      </c>
      <c r="E1184" t="str">
        <f t="shared" si="18"/>
        <v>|MAT</v>
      </c>
    </row>
    <row r="1185" spans="1:5" x14ac:dyDescent="0.2">
      <c r="A1185" t="s">
        <v>0</v>
      </c>
      <c r="B1185" t="s">
        <v>16</v>
      </c>
      <c r="C1185" t="s">
        <v>436</v>
      </c>
      <c r="D1185" t="str">
        <f>VLOOKUP(C1185,'lookup table'!$A$2:$B$19,2,FALSE)</f>
        <v>MAT</v>
      </c>
      <c r="E1185" t="str">
        <f t="shared" si="18"/>
        <v>|MAT</v>
      </c>
    </row>
    <row r="1186" spans="1:5" x14ac:dyDescent="0.2">
      <c r="A1186" t="s">
        <v>0</v>
      </c>
      <c r="B1186" t="s">
        <v>17</v>
      </c>
      <c r="C1186" t="s">
        <v>436</v>
      </c>
      <c r="D1186" t="str">
        <f>VLOOKUP(C1186,'lookup table'!$A$2:$B$19,2,FALSE)</f>
        <v>MAT</v>
      </c>
      <c r="E1186" t="str">
        <f t="shared" si="18"/>
        <v>|MAT</v>
      </c>
    </row>
    <row r="1187" spans="1:5" x14ac:dyDescent="0.2">
      <c r="A1187" t="s">
        <v>0</v>
      </c>
      <c r="B1187" t="s">
        <v>18</v>
      </c>
      <c r="C1187" t="s">
        <v>436</v>
      </c>
      <c r="D1187" t="str">
        <f>VLOOKUP(C1187,'lookup table'!$A$2:$B$19,2,FALSE)</f>
        <v>MAT</v>
      </c>
      <c r="E1187" t="str">
        <f t="shared" si="18"/>
        <v>|MAT</v>
      </c>
    </row>
    <row r="1188" spans="1:5" x14ac:dyDescent="0.2">
      <c r="A1188" t="s">
        <v>0</v>
      </c>
      <c r="B1188" t="s">
        <v>437</v>
      </c>
      <c r="C1188" t="s">
        <v>438</v>
      </c>
      <c r="D1188" t="str">
        <f>VLOOKUP(C1188,'lookup table'!$A$2:$B$19,2,FALSE)</f>
        <v>ToM</v>
      </c>
      <c r="E1188" t="str">
        <f t="shared" si="18"/>
        <v>|ToM</v>
      </c>
    </row>
    <row r="1189" spans="1:5" x14ac:dyDescent="0.2">
      <c r="A1189" t="s">
        <v>0</v>
      </c>
      <c r="B1189" t="s">
        <v>332</v>
      </c>
      <c r="C1189" t="s">
        <v>438</v>
      </c>
      <c r="D1189" t="str">
        <f>VLOOKUP(C1189,'lookup table'!$A$2:$B$19,2,FALSE)</f>
        <v>ToM</v>
      </c>
      <c r="E1189" t="str">
        <f t="shared" si="18"/>
        <v>|ToM</v>
      </c>
    </row>
    <row r="1190" spans="1:5" x14ac:dyDescent="0.2">
      <c r="A1190" t="s">
        <v>0</v>
      </c>
      <c r="B1190" t="s">
        <v>333</v>
      </c>
      <c r="C1190" t="s">
        <v>438</v>
      </c>
      <c r="D1190" t="str">
        <f>VLOOKUP(C1190,'lookup table'!$A$2:$B$19,2,FALSE)</f>
        <v>ToM</v>
      </c>
      <c r="E1190" t="str">
        <f t="shared" si="18"/>
        <v>|ToM</v>
      </c>
    </row>
    <row r="1191" spans="1:5" x14ac:dyDescent="0.2">
      <c r="A1191" t="s">
        <v>0</v>
      </c>
      <c r="B1191" t="s">
        <v>335</v>
      </c>
      <c r="C1191" t="s">
        <v>438</v>
      </c>
      <c r="D1191" t="str">
        <f>VLOOKUP(C1191,'lookup table'!$A$2:$B$19,2,FALSE)</f>
        <v>ToM</v>
      </c>
      <c r="E1191" t="str">
        <f t="shared" si="18"/>
        <v>|ToM</v>
      </c>
    </row>
    <row r="1192" spans="1:5" x14ac:dyDescent="0.2">
      <c r="A1192" t="s">
        <v>0</v>
      </c>
      <c r="B1192" t="s">
        <v>332</v>
      </c>
      <c r="C1192" t="s">
        <v>438</v>
      </c>
      <c r="D1192" t="str">
        <f>VLOOKUP(C1192,'lookup table'!$A$2:$B$19,2,FALSE)</f>
        <v>ToM</v>
      </c>
      <c r="E1192" t="str">
        <f t="shared" si="18"/>
        <v>|ToM</v>
      </c>
    </row>
    <row r="1193" spans="1:5" x14ac:dyDescent="0.2">
      <c r="A1193" t="s">
        <v>0</v>
      </c>
      <c r="B1193" t="s">
        <v>336</v>
      </c>
      <c r="C1193" t="s">
        <v>438</v>
      </c>
      <c r="D1193" t="str">
        <f>VLOOKUP(C1193,'lookup table'!$A$2:$B$19,2,FALSE)</f>
        <v>ToM</v>
      </c>
      <c r="E1193" t="str">
        <f t="shared" si="18"/>
        <v>|ToM</v>
      </c>
    </row>
    <row r="1194" spans="1:5" x14ac:dyDescent="0.2">
      <c r="A1194" t="s">
        <v>0</v>
      </c>
      <c r="B1194" t="s">
        <v>336</v>
      </c>
      <c r="C1194" t="s">
        <v>438</v>
      </c>
      <c r="D1194" t="str">
        <f>VLOOKUP(C1194,'lookup table'!$A$2:$B$19,2,FALSE)</f>
        <v>ToM</v>
      </c>
      <c r="E1194" t="str">
        <f t="shared" si="18"/>
        <v>|ToM</v>
      </c>
    </row>
    <row r="1195" spans="1:5" x14ac:dyDescent="0.2">
      <c r="A1195" t="s">
        <v>0</v>
      </c>
      <c r="B1195" t="s">
        <v>13</v>
      </c>
      <c r="C1195" t="s">
        <v>438</v>
      </c>
      <c r="D1195" t="str">
        <f>VLOOKUP(C1195,'lookup table'!$A$2:$B$19,2,FALSE)</f>
        <v>ToM</v>
      </c>
      <c r="E1195" t="str">
        <f t="shared" si="18"/>
        <v>|ToM</v>
      </c>
    </row>
    <row r="1196" spans="1:5" x14ac:dyDescent="0.2">
      <c r="A1196" t="s">
        <v>0</v>
      </c>
      <c r="B1196" t="s">
        <v>332</v>
      </c>
      <c r="C1196" t="s">
        <v>438</v>
      </c>
      <c r="D1196" t="str">
        <f>VLOOKUP(C1196,'lookup table'!$A$2:$B$19,2,FALSE)</f>
        <v>ToM</v>
      </c>
      <c r="E1196" t="str">
        <f t="shared" si="18"/>
        <v>|ToM</v>
      </c>
    </row>
    <row r="1197" spans="1:5" x14ac:dyDescent="0.2">
      <c r="A1197" t="s">
        <v>0</v>
      </c>
      <c r="B1197" t="s">
        <v>332</v>
      </c>
      <c r="C1197" t="s">
        <v>438</v>
      </c>
      <c r="D1197" t="str">
        <f>VLOOKUP(C1197,'lookup table'!$A$2:$B$19,2,FALSE)</f>
        <v>ToM</v>
      </c>
      <c r="E1197" t="str">
        <f t="shared" si="18"/>
        <v>|ToM</v>
      </c>
    </row>
    <row r="1198" spans="1:5" x14ac:dyDescent="0.2">
      <c r="A1198" t="s">
        <v>0</v>
      </c>
      <c r="B1198" t="s">
        <v>1</v>
      </c>
      <c r="C1198" t="s">
        <v>438</v>
      </c>
      <c r="D1198" t="str">
        <f>VLOOKUP(C1198,'lookup table'!$A$2:$B$19,2,FALSE)</f>
        <v>ToM</v>
      </c>
      <c r="E1198" t="str">
        <f t="shared" si="18"/>
        <v>|ToM</v>
      </c>
    </row>
    <row r="1199" spans="1:5" x14ac:dyDescent="0.2">
      <c r="A1199" t="s">
        <v>0</v>
      </c>
      <c r="B1199" t="s">
        <v>3</v>
      </c>
      <c r="C1199" t="s">
        <v>438</v>
      </c>
      <c r="D1199" t="str">
        <f>VLOOKUP(C1199,'lookup table'!$A$2:$B$19,2,FALSE)</f>
        <v>ToM</v>
      </c>
      <c r="E1199" t="str">
        <f t="shared" si="18"/>
        <v>|ToM</v>
      </c>
    </row>
    <row r="1200" spans="1:5" x14ac:dyDescent="0.2">
      <c r="A1200" t="s">
        <v>0</v>
      </c>
      <c r="B1200" t="s">
        <v>7</v>
      </c>
      <c r="C1200" t="s">
        <v>438</v>
      </c>
      <c r="D1200" t="str">
        <f>VLOOKUP(C1200,'lookup table'!$A$2:$B$19,2,FALSE)</f>
        <v>ToM</v>
      </c>
      <c r="E1200" t="str">
        <f t="shared" si="18"/>
        <v>|ToM</v>
      </c>
    </row>
    <row r="1201" spans="1:5" x14ac:dyDescent="0.2">
      <c r="A1201" t="s">
        <v>0</v>
      </c>
      <c r="B1201" t="s">
        <v>7</v>
      </c>
      <c r="C1201" t="s">
        <v>438</v>
      </c>
      <c r="D1201" t="str">
        <f>VLOOKUP(C1201,'lookup table'!$A$2:$B$19,2,FALSE)</f>
        <v>ToM</v>
      </c>
      <c r="E1201" t="str">
        <f t="shared" si="18"/>
        <v>|ToM</v>
      </c>
    </row>
    <row r="1202" spans="1:5" x14ac:dyDescent="0.2">
      <c r="A1202" t="s">
        <v>0</v>
      </c>
      <c r="B1202" t="s">
        <v>332</v>
      </c>
      <c r="C1202" t="s">
        <v>438</v>
      </c>
      <c r="D1202" t="str">
        <f>VLOOKUP(C1202,'lookup table'!$A$2:$B$19,2,FALSE)</f>
        <v>ToM</v>
      </c>
      <c r="E1202" t="str">
        <f t="shared" si="18"/>
        <v>|ToM</v>
      </c>
    </row>
    <row r="1203" spans="1:5" x14ac:dyDescent="0.2">
      <c r="A1203" t="s">
        <v>0</v>
      </c>
      <c r="B1203" t="s">
        <v>4</v>
      </c>
      <c r="C1203" t="s">
        <v>438</v>
      </c>
      <c r="D1203" t="str">
        <f>VLOOKUP(C1203,'lookup table'!$A$2:$B$19,2,FALSE)</f>
        <v>ToM</v>
      </c>
      <c r="E1203" t="str">
        <f t="shared" si="18"/>
        <v>|ToM</v>
      </c>
    </row>
    <row r="1204" spans="1:5" x14ac:dyDescent="0.2">
      <c r="A1204" t="s">
        <v>0</v>
      </c>
      <c r="B1204" t="s">
        <v>341</v>
      </c>
      <c r="C1204" t="s">
        <v>438</v>
      </c>
      <c r="D1204" t="str">
        <f>VLOOKUP(C1204,'lookup table'!$A$2:$B$19,2,FALSE)</f>
        <v>ToM</v>
      </c>
      <c r="E1204" t="str">
        <f t="shared" si="18"/>
        <v>|ToM</v>
      </c>
    </row>
    <row r="1205" spans="1:5" x14ac:dyDescent="0.2">
      <c r="A1205" t="s">
        <v>0</v>
      </c>
      <c r="B1205" t="s">
        <v>439</v>
      </c>
      <c r="C1205" t="s">
        <v>438</v>
      </c>
      <c r="D1205" t="str">
        <f>VLOOKUP(C1205,'lookup table'!$A$2:$B$19,2,FALSE)</f>
        <v>ToM</v>
      </c>
      <c r="E1205" t="str">
        <f t="shared" si="18"/>
        <v>|ToM</v>
      </c>
    </row>
    <row r="1206" spans="1:5" x14ac:dyDescent="0.2">
      <c r="A1206" t="s">
        <v>0</v>
      </c>
      <c r="B1206" t="s">
        <v>353</v>
      </c>
      <c r="C1206" t="s">
        <v>438</v>
      </c>
      <c r="D1206" t="str">
        <f>VLOOKUP(C1206,'lookup table'!$A$2:$B$19,2,FALSE)</f>
        <v>ToM</v>
      </c>
      <c r="E1206" t="str">
        <f t="shared" si="18"/>
        <v>|ToM</v>
      </c>
    </row>
    <row r="1207" spans="1:5" x14ac:dyDescent="0.2">
      <c r="A1207" t="s">
        <v>0</v>
      </c>
      <c r="B1207" t="s">
        <v>371</v>
      </c>
      <c r="C1207" t="s">
        <v>438</v>
      </c>
      <c r="D1207" t="str">
        <f>VLOOKUP(C1207,'lookup table'!$A$2:$B$19,2,FALSE)</f>
        <v>ToM</v>
      </c>
      <c r="E1207" t="str">
        <f t="shared" si="18"/>
        <v>|ToM</v>
      </c>
    </row>
    <row r="1208" spans="1:5" x14ac:dyDescent="0.2">
      <c r="A1208" t="s">
        <v>0</v>
      </c>
      <c r="B1208" t="s">
        <v>372</v>
      </c>
      <c r="C1208" t="s">
        <v>438</v>
      </c>
      <c r="D1208" t="str">
        <f>VLOOKUP(C1208,'lookup table'!$A$2:$B$19,2,FALSE)</f>
        <v>ToM</v>
      </c>
      <c r="E1208" t="str">
        <f t="shared" si="18"/>
        <v>|ToM</v>
      </c>
    </row>
    <row r="1209" spans="1:5" x14ac:dyDescent="0.2">
      <c r="A1209" t="s">
        <v>0</v>
      </c>
      <c r="B1209" t="s">
        <v>373</v>
      </c>
      <c r="C1209" t="s">
        <v>438</v>
      </c>
      <c r="D1209" t="str">
        <f>VLOOKUP(C1209,'lookup table'!$A$2:$B$19,2,FALSE)</f>
        <v>ToM</v>
      </c>
      <c r="E1209" t="str">
        <f t="shared" si="18"/>
        <v>|ToM</v>
      </c>
    </row>
    <row r="1210" spans="1:5" x14ac:dyDescent="0.2">
      <c r="A1210" t="s">
        <v>0</v>
      </c>
      <c r="B1210" t="s">
        <v>374</v>
      </c>
      <c r="C1210" t="s">
        <v>438</v>
      </c>
      <c r="D1210" t="str">
        <f>VLOOKUP(C1210,'lookup table'!$A$2:$B$19,2,FALSE)</f>
        <v>ToM</v>
      </c>
      <c r="E1210" t="str">
        <f t="shared" si="18"/>
        <v>|ToM</v>
      </c>
    </row>
    <row r="1211" spans="1:5" x14ac:dyDescent="0.2">
      <c r="A1211" t="s">
        <v>0</v>
      </c>
      <c r="B1211" t="s">
        <v>375</v>
      </c>
      <c r="C1211" t="s">
        <v>438</v>
      </c>
      <c r="D1211" t="str">
        <f>VLOOKUP(C1211,'lookup table'!$A$2:$B$19,2,FALSE)</f>
        <v>ToM</v>
      </c>
      <c r="E1211" t="str">
        <f t="shared" si="18"/>
        <v>|ToM</v>
      </c>
    </row>
    <row r="1212" spans="1:5" x14ac:dyDescent="0.2">
      <c r="A1212" t="s">
        <v>0</v>
      </c>
      <c r="B1212" t="s">
        <v>376</v>
      </c>
      <c r="C1212" t="s">
        <v>438</v>
      </c>
      <c r="D1212" t="str">
        <f>VLOOKUP(C1212,'lookup table'!$A$2:$B$19,2,FALSE)</f>
        <v>ToM</v>
      </c>
      <c r="E1212" t="str">
        <f t="shared" si="18"/>
        <v>|ToM</v>
      </c>
    </row>
    <row r="1213" spans="1:5" x14ac:dyDescent="0.2">
      <c r="A1213" t="s">
        <v>0</v>
      </c>
      <c r="B1213" t="s">
        <v>332</v>
      </c>
      <c r="C1213" t="s">
        <v>438</v>
      </c>
      <c r="D1213" t="str">
        <f>VLOOKUP(C1213,'lookup table'!$A$2:$B$19,2,FALSE)</f>
        <v>ToM</v>
      </c>
      <c r="E1213" t="str">
        <f t="shared" si="18"/>
        <v>|ToM</v>
      </c>
    </row>
    <row r="1214" spans="1:5" x14ac:dyDescent="0.2">
      <c r="A1214" t="s">
        <v>0</v>
      </c>
      <c r="B1214" t="s">
        <v>377</v>
      </c>
      <c r="C1214" t="s">
        <v>438</v>
      </c>
      <c r="D1214" t="str">
        <f>VLOOKUP(C1214,'lookup table'!$A$2:$B$19,2,FALSE)</f>
        <v>ToM</v>
      </c>
      <c r="E1214" t="str">
        <f t="shared" si="18"/>
        <v>|ToM</v>
      </c>
    </row>
    <row r="1215" spans="1:5" x14ac:dyDescent="0.2">
      <c r="A1215" t="s">
        <v>0</v>
      </c>
      <c r="B1215" t="s">
        <v>371</v>
      </c>
      <c r="C1215" t="s">
        <v>438</v>
      </c>
      <c r="D1215" t="str">
        <f>VLOOKUP(C1215,'lookup table'!$A$2:$B$19,2,FALSE)</f>
        <v>ToM</v>
      </c>
      <c r="E1215" t="str">
        <f t="shared" si="18"/>
        <v>|ToM</v>
      </c>
    </row>
    <row r="1216" spans="1:5" x14ac:dyDescent="0.2">
      <c r="A1216" t="s">
        <v>0</v>
      </c>
      <c r="B1216" t="s">
        <v>372</v>
      </c>
      <c r="C1216" t="s">
        <v>438</v>
      </c>
      <c r="D1216" t="str">
        <f>VLOOKUP(C1216,'lookup table'!$A$2:$B$19,2,FALSE)</f>
        <v>ToM</v>
      </c>
      <c r="E1216" t="str">
        <f t="shared" si="18"/>
        <v>|ToM</v>
      </c>
    </row>
    <row r="1217" spans="1:5" x14ac:dyDescent="0.2">
      <c r="A1217" t="s">
        <v>0</v>
      </c>
      <c r="B1217" t="s">
        <v>373</v>
      </c>
      <c r="C1217" t="s">
        <v>438</v>
      </c>
      <c r="D1217" t="str">
        <f>VLOOKUP(C1217,'lookup table'!$A$2:$B$19,2,FALSE)</f>
        <v>ToM</v>
      </c>
      <c r="E1217" t="str">
        <f t="shared" si="18"/>
        <v>|ToM</v>
      </c>
    </row>
    <row r="1218" spans="1:5" x14ac:dyDescent="0.2">
      <c r="A1218" t="s">
        <v>0</v>
      </c>
      <c r="B1218" t="s">
        <v>374</v>
      </c>
      <c r="C1218" t="s">
        <v>438</v>
      </c>
      <c r="D1218" t="str">
        <f>VLOOKUP(C1218,'lookup table'!$A$2:$B$19,2,FALSE)</f>
        <v>ToM</v>
      </c>
      <c r="E1218" t="str">
        <f t="shared" si="18"/>
        <v>|ToM</v>
      </c>
    </row>
    <row r="1219" spans="1:5" x14ac:dyDescent="0.2">
      <c r="A1219" t="s">
        <v>0</v>
      </c>
      <c r="B1219" t="s">
        <v>375</v>
      </c>
      <c r="C1219" t="s">
        <v>438</v>
      </c>
      <c r="D1219" t="str">
        <f>VLOOKUP(C1219,'lookup table'!$A$2:$B$19,2,FALSE)</f>
        <v>ToM</v>
      </c>
      <c r="E1219" t="str">
        <f t="shared" ref="E1219:E1282" si="19">IF(ISNA(D1219),"",IF(A1219="","",A1219) &amp; "|" &amp; D1219)</f>
        <v>|ToM</v>
      </c>
    </row>
    <row r="1220" spans="1:5" x14ac:dyDescent="0.2">
      <c r="A1220" t="s">
        <v>0</v>
      </c>
      <c r="B1220" t="s">
        <v>376</v>
      </c>
      <c r="C1220" t="s">
        <v>438</v>
      </c>
      <c r="D1220" t="str">
        <f>VLOOKUP(C1220,'lookup table'!$A$2:$B$19,2,FALSE)</f>
        <v>ToM</v>
      </c>
      <c r="E1220" t="str">
        <f t="shared" si="19"/>
        <v>|ToM</v>
      </c>
    </row>
    <row r="1221" spans="1:5" x14ac:dyDescent="0.2">
      <c r="A1221" t="s">
        <v>0</v>
      </c>
      <c r="B1221" t="s">
        <v>377</v>
      </c>
      <c r="C1221" t="s">
        <v>438</v>
      </c>
      <c r="D1221" t="str">
        <f>VLOOKUP(C1221,'lookup table'!$A$2:$B$19,2,FALSE)</f>
        <v>ToM</v>
      </c>
      <c r="E1221" t="str">
        <f t="shared" si="19"/>
        <v>|ToM</v>
      </c>
    </row>
    <row r="1222" spans="1:5" x14ac:dyDescent="0.2">
      <c r="A1222" t="s">
        <v>0</v>
      </c>
      <c r="B1222" t="s">
        <v>371</v>
      </c>
      <c r="C1222" t="s">
        <v>438</v>
      </c>
      <c r="D1222" t="str">
        <f>VLOOKUP(C1222,'lookup table'!$A$2:$B$19,2,FALSE)</f>
        <v>ToM</v>
      </c>
      <c r="E1222" t="str">
        <f t="shared" si="19"/>
        <v>|ToM</v>
      </c>
    </row>
    <row r="1223" spans="1:5" x14ac:dyDescent="0.2">
      <c r="A1223" t="s">
        <v>0</v>
      </c>
      <c r="B1223" t="s">
        <v>372</v>
      </c>
      <c r="C1223" t="s">
        <v>438</v>
      </c>
      <c r="D1223" t="str">
        <f>VLOOKUP(C1223,'lookup table'!$A$2:$B$19,2,FALSE)</f>
        <v>ToM</v>
      </c>
      <c r="E1223" t="str">
        <f t="shared" si="19"/>
        <v>|ToM</v>
      </c>
    </row>
    <row r="1224" spans="1:5" x14ac:dyDescent="0.2">
      <c r="A1224" t="s">
        <v>0</v>
      </c>
      <c r="B1224" t="s">
        <v>373</v>
      </c>
      <c r="C1224" t="s">
        <v>438</v>
      </c>
      <c r="D1224" t="str">
        <f>VLOOKUP(C1224,'lookup table'!$A$2:$B$19,2,FALSE)</f>
        <v>ToM</v>
      </c>
      <c r="E1224" t="str">
        <f t="shared" si="19"/>
        <v>|ToM</v>
      </c>
    </row>
    <row r="1225" spans="1:5" x14ac:dyDescent="0.2">
      <c r="A1225" t="s">
        <v>0</v>
      </c>
      <c r="B1225" t="s">
        <v>374</v>
      </c>
      <c r="C1225" t="s">
        <v>438</v>
      </c>
      <c r="D1225" t="str">
        <f>VLOOKUP(C1225,'lookup table'!$A$2:$B$19,2,FALSE)</f>
        <v>ToM</v>
      </c>
      <c r="E1225" t="str">
        <f t="shared" si="19"/>
        <v>|ToM</v>
      </c>
    </row>
    <row r="1226" spans="1:5" x14ac:dyDescent="0.2">
      <c r="A1226" t="s">
        <v>0</v>
      </c>
      <c r="B1226" t="s">
        <v>375</v>
      </c>
      <c r="C1226" t="s">
        <v>438</v>
      </c>
      <c r="D1226" t="str">
        <f>VLOOKUP(C1226,'lookup table'!$A$2:$B$19,2,FALSE)</f>
        <v>ToM</v>
      </c>
      <c r="E1226" t="str">
        <f t="shared" si="19"/>
        <v>|ToM</v>
      </c>
    </row>
    <row r="1227" spans="1:5" x14ac:dyDescent="0.2">
      <c r="A1227" t="s">
        <v>0</v>
      </c>
      <c r="B1227" t="s">
        <v>375</v>
      </c>
      <c r="C1227" t="s">
        <v>438</v>
      </c>
      <c r="D1227" t="str">
        <f>VLOOKUP(C1227,'lookup table'!$A$2:$B$19,2,FALSE)</f>
        <v>ToM</v>
      </c>
      <c r="E1227" t="str">
        <f t="shared" si="19"/>
        <v>|ToM</v>
      </c>
    </row>
    <row r="1228" spans="1:5" x14ac:dyDescent="0.2">
      <c r="A1228" t="s">
        <v>0</v>
      </c>
      <c r="B1228" t="s">
        <v>377</v>
      </c>
      <c r="C1228" t="s">
        <v>438</v>
      </c>
      <c r="D1228" t="str">
        <f>VLOOKUP(C1228,'lookup table'!$A$2:$B$19,2,FALSE)</f>
        <v>ToM</v>
      </c>
      <c r="E1228" t="str">
        <f t="shared" si="19"/>
        <v>|ToM</v>
      </c>
    </row>
    <row r="1229" spans="1:5" x14ac:dyDescent="0.2">
      <c r="A1229" t="s">
        <v>0</v>
      </c>
      <c r="B1229" t="s">
        <v>371</v>
      </c>
      <c r="C1229" t="s">
        <v>438</v>
      </c>
      <c r="D1229" t="str">
        <f>VLOOKUP(C1229,'lookup table'!$A$2:$B$19,2,FALSE)</f>
        <v>ToM</v>
      </c>
      <c r="E1229" t="str">
        <f t="shared" si="19"/>
        <v>|ToM</v>
      </c>
    </row>
    <row r="1230" spans="1:5" x14ac:dyDescent="0.2">
      <c r="A1230" t="s">
        <v>0</v>
      </c>
      <c r="B1230" t="s">
        <v>332</v>
      </c>
      <c r="C1230" t="s">
        <v>438</v>
      </c>
      <c r="D1230" t="str">
        <f>VLOOKUP(C1230,'lookup table'!$A$2:$B$19,2,FALSE)</f>
        <v>ToM</v>
      </c>
      <c r="E1230" t="str">
        <f t="shared" si="19"/>
        <v>|ToM</v>
      </c>
    </row>
    <row r="1231" spans="1:5" x14ac:dyDescent="0.2">
      <c r="A1231" t="s">
        <v>0</v>
      </c>
      <c r="B1231" t="s">
        <v>69</v>
      </c>
      <c r="C1231" t="s">
        <v>438</v>
      </c>
      <c r="D1231" t="str">
        <f>VLOOKUP(C1231,'lookup table'!$A$2:$B$19,2,FALSE)</f>
        <v>ToM</v>
      </c>
      <c r="E1231" t="str">
        <f t="shared" si="19"/>
        <v>|ToM</v>
      </c>
    </row>
    <row r="1232" spans="1:5" x14ac:dyDescent="0.2">
      <c r="A1232" t="s">
        <v>0</v>
      </c>
      <c r="B1232" t="s">
        <v>379</v>
      </c>
      <c r="C1232" t="s">
        <v>438</v>
      </c>
      <c r="D1232" t="str">
        <f>VLOOKUP(C1232,'lookup table'!$A$2:$B$19,2,FALSE)</f>
        <v>ToM</v>
      </c>
      <c r="E1232" t="str">
        <f t="shared" si="19"/>
        <v>|ToM</v>
      </c>
    </row>
    <row r="1233" spans="1:5" x14ac:dyDescent="0.2">
      <c r="A1233" t="s">
        <v>0</v>
      </c>
      <c r="B1233" t="s">
        <v>372</v>
      </c>
      <c r="C1233" t="s">
        <v>438</v>
      </c>
      <c r="D1233" t="str">
        <f>VLOOKUP(C1233,'lookup table'!$A$2:$B$19,2,FALSE)</f>
        <v>ToM</v>
      </c>
      <c r="E1233" t="str">
        <f t="shared" si="19"/>
        <v>|ToM</v>
      </c>
    </row>
    <row r="1234" spans="1:5" x14ac:dyDescent="0.2">
      <c r="A1234" t="s">
        <v>0</v>
      </c>
      <c r="B1234" t="s">
        <v>373</v>
      </c>
      <c r="C1234" t="s">
        <v>438</v>
      </c>
      <c r="D1234" t="str">
        <f>VLOOKUP(C1234,'lookup table'!$A$2:$B$19,2,FALSE)</f>
        <v>ToM</v>
      </c>
      <c r="E1234" t="str">
        <f t="shared" si="19"/>
        <v>|ToM</v>
      </c>
    </row>
    <row r="1235" spans="1:5" x14ac:dyDescent="0.2">
      <c r="A1235" t="s">
        <v>0</v>
      </c>
      <c r="B1235" t="s">
        <v>374</v>
      </c>
      <c r="C1235" t="s">
        <v>438</v>
      </c>
      <c r="D1235" t="str">
        <f>VLOOKUP(C1235,'lookup table'!$A$2:$B$19,2,FALSE)</f>
        <v>ToM</v>
      </c>
      <c r="E1235" t="str">
        <f t="shared" si="19"/>
        <v>|ToM</v>
      </c>
    </row>
    <row r="1236" spans="1:5" x14ac:dyDescent="0.2">
      <c r="A1236" t="s">
        <v>0</v>
      </c>
      <c r="B1236" t="s">
        <v>375</v>
      </c>
      <c r="C1236" t="s">
        <v>438</v>
      </c>
      <c r="D1236" t="str">
        <f>VLOOKUP(C1236,'lookup table'!$A$2:$B$19,2,FALSE)</f>
        <v>ToM</v>
      </c>
      <c r="E1236" t="str">
        <f t="shared" si="19"/>
        <v>|ToM</v>
      </c>
    </row>
    <row r="1237" spans="1:5" x14ac:dyDescent="0.2">
      <c r="A1237" t="s">
        <v>0</v>
      </c>
      <c r="B1237" t="s">
        <v>376</v>
      </c>
      <c r="C1237" t="s">
        <v>438</v>
      </c>
      <c r="D1237" t="str">
        <f>VLOOKUP(C1237,'lookup table'!$A$2:$B$19,2,FALSE)</f>
        <v>ToM</v>
      </c>
      <c r="E1237" t="str">
        <f t="shared" si="19"/>
        <v>|ToM</v>
      </c>
    </row>
    <row r="1238" spans="1:5" x14ac:dyDescent="0.2">
      <c r="A1238" t="s">
        <v>0</v>
      </c>
      <c r="B1238" t="s">
        <v>377</v>
      </c>
      <c r="C1238" t="s">
        <v>438</v>
      </c>
      <c r="D1238" t="str">
        <f>VLOOKUP(C1238,'lookup table'!$A$2:$B$19,2,FALSE)</f>
        <v>ToM</v>
      </c>
      <c r="E1238" t="str">
        <f t="shared" si="19"/>
        <v>|ToM</v>
      </c>
    </row>
    <row r="1239" spans="1:5" x14ac:dyDescent="0.2">
      <c r="A1239" t="s">
        <v>0</v>
      </c>
      <c r="B1239" t="s">
        <v>371</v>
      </c>
      <c r="C1239" t="s">
        <v>438</v>
      </c>
      <c r="D1239" t="str">
        <f>VLOOKUP(C1239,'lookup table'!$A$2:$B$19,2,FALSE)</f>
        <v>ToM</v>
      </c>
      <c r="E1239" t="str">
        <f t="shared" si="19"/>
        <v>|ToM</v>
      </c>
    </row>
    <row r="1240" spans="1:5" x14ac:dyDescent="0.2">
      <c r="A1240" t="s">
        <v>0</v>
      </c>
      <c r="B1240" t="s">
        <v>372</v>
      </c>
      <c r="C1240" t="s">
        <v>438</v>
      </c>
      <c r="D1240" t="str">
        <f>VLOOKUP(C1240,'lookup table'!$A$2:$B$19,2,FALSE)</f>
        <v>ToM</v>
      </c>
      <c r="E1240" t="str">
        <f t="shared" si="19"/>
        <v>|ToM</v>
      </c>
    </row>
    <row r="1241" spans="1:5" x14ac:dyDescent="0.2">
      <c r="A1241" t="s">
        <v>0</v>
      </c>
      <c r="B1241" t="s">
        <v>373</v>
      </c>
      <c r="C1241" t="s">
        <v>438</v>
      </c>
      <c r="D1241" t="str">
        <f>VLOOKUP(C1241,'lookup table'!$A$2:$B$19,2,FALSE)</f>
        <v>ToM</v>
      </c>
      <c r="E1241" t="str">
        <f t="shared" si="19"/>
        <v>|ToM</v>
      </c>
    </row>
    <row r="1242" spans="1:5" x14ac:dyDescent="0.2">
      <c r="A1242" t="s">
        <v>0</v>
      </c>
      <c r="B1242" t="s">
        <v>374</v>
      </c>
      <c r="C1242" t="s">
        <v>438</v>
      </c>
      <c r="D1242" t="str">
        <f>VLOOKUP(C1242,'lookup table'!$A$2:$B$19,2,FALSE)</f>
        <v>ToM</v>
      </c>
      <c r="E1242" t="str">
        <f t="shared" si="19"/>
        <v>|ToM</v>
      </c>
    </row>
    <row r="1243" spans="1:5" x14ac:dyDescent="0.2">
      <c r="A1243" t="s">
        <v>0</v>
      </c>
      <c r="B1243" t="s">
        <v>375</v>
      </c>
      <c r="C1243" t="s">
        <v>438</v>
      </c>
      <c r="D1243" t="str">
        <f>VLOOKUP(C1243,'lookup table'!$A$2:$B$19,2,FALSE)</f>
        <v>ToM</v>
      </c>
      <c r="E1243" t="str">
        <f t="shared" si="19"/>
        <v>|ToM</v>
      </c>
    </row>
    <row r="1244" spans="1:5" x14ac:dyDescent="0.2">
      <c r="A1244" t="s">
        <v>0</v>
      </c>
      <c r="B1244" t="s">
        <v>376</v>
      </c>
      <c r="C1244" t="s">
        <v>438</v>
      </c>
      <c r="D1244" t="str">
        <f>VLOOKUP(C1244,'lookup table'!$A$2:$B$19,2,FALSE)</f>
        <v>ToM</v>
      </c>
      <c r="E1244" t="str">
        <f t="shared" si="19"/>
        <v>|ToM</v>
      </c>
    </row>
    <row r="1245" spans="1:5" x14ac:dyDescent="0.2">
      <c r="A1245" t="s">
        <v>0</v>
      </c>
      <c r="B1245" t="s">
        <v>377</v>
      </c>
      <c r="C1245" t="s">
        <v>438</v>
      </c>
      <c r="D1245" t="str">
        <f>VLOOKUP(C1245,'lookup table'!$A$2:$B$19,2,FALSE)</f>
        <v>ToM</v>
      </c>
      <c r="E1245" t="str">
        <f t="shared" si="19"/>
        <v>|ToM</v>
      </c>
    </row>
    <row r="1246" spans="1:5" x14ac:dyDescent="0.2">
      <c r="A1246" t="s">
        <v>0</v>
      </c>
      <c r="B1246" t="s">
        <v>70</v>
      </c>
      <c r="C1246" t="s">
        <v>438</v>
      </c>
      <c r="D1246" t="str">
        <f>VLOOKUP(C1246,'lookup table'!$A$2:$B$19,2,FALSE)</f>
        <v>ToM</v>
      </c>
      <c r="E1246" t="str">
        <f t="shared" si="19"/>
        <v>|ToM</v>
      </c>
    </row>
    <row r="1247" spans="1:5" x14ac:dyDescent="0.2">
      <c r="A1247" t="s">
        <v>0</v>
      </c>
      <c r="B1247" t="s">
        <v>381</v>
      </c>
      <c r="C1247" t="s">
        <v>438</v>
      </c>
      <c r="D1247" t="str">
        <f>VLOOKUP(C1247,'lookup table'!$A$2:$B$19,2,FALSE)</f>
        <v>ToM</v>
      </c>
      <c r="E1247" t="str">
        <f t="shared" si="19"/>
        <v>|ToM</v>
      </c>
    </row>
    <row r="1248" spans="1:5" x14ac:dyDescent="0.2">
      <c r="A1248" t="s">
        <v>0</v>
      </c>
      <c r="B1248" t="s">
        <v>73</v>
      </c>
      <c r="C1248" t="s">
        <v>438</v>
      </c>
      <c r="D1248" t="str">
        <f>VLOOKUP(C1248,'lookup table'!$A$2:$B$19,2,FALSE)</f>
        <v>ToM</v>
      </c>
      <c r="E1248" t="str">
        <f t="shared" si="19"/>
        <v>|ToM</v>
      </c>
    </row>
    <row r="1249" spans="1:5" x14ac:dyDescent="0.2">
      <c r="A1249" t="s">
        <v>0</v>
      </c>
      <c r="B1249" t="s">
        <v>383</v>
      </c>
      <c r="C1249" t="s">
        <v>438</v>
      </c>
      <c r="D1249" t="str">
        <f>VLOOKUP(C1249,'lookup table'!$A$2:$B$19,2,FALSE)</f>
        <v>ToM</v>
      </c>
      <c r="E1249" t="str">
        <f t="shared" si="19"/>
        <v>|ToM</v>
      </c>
    </row>
    <row r="1250" spans="1:5" x14ac:dyDescent="0.2">
      <c r="A1250" t="s">
        <v>0</v>
      </c>
      <c r="B1250" t="s">
        <v>385</v>
      </c>
      <c r="C1250" t="s">
        <v>438</v>
      </c>
      <c r="D1250" t="str">
        <f>VLOOKUP(C1250,'lookup table'!$A$2:$B$19,2,FALSE)</f>
        <v>ToM</v>
      </c>
      <c r="E1250" t="str">
        <f t="shared" si="19"/>
        <v>|ToM</v>
      </c>
    </row>
    <row r="1251" spans="1:5" x14ac:dyDescent="0.2">
      <c r="A1251" t="s">
        <v>0</v>
      </c>
      <c r="B1251" t="s">
        <v>386</v>
      </c>
      <c r="C1251" t="s">
        <v>438</v>
      </c>
      <c r="D1251" t="str">
        <f>VLOOKUP(C1251,'lookup table'!$A$2:$B$19,2,FALSE)</f>
        <v>ToM</v>
      </c>
      <c r="E1251" t="str">
        <f t="shared" si="19"/>
        <v>|ToM</v>
      </c>
    </row>
    <row r="1252" spans="1:5" x14ac:dyDescent="0.2">
      <c r="A1252" t="s">
        <v>0</v>
      </c>
      <c r="B1252" t="s">
        <v>333</v>
      </c>
      <c r="C1252" t="s">
        <v>438</v>
      </c>
      <c r="D1252" t="str">
        <f>VLOOKUP(C1252,'lookup table'!$A$2:$B$19,2,FALSE)</f>
        <v>ToM</v>
      </c>
      <c r="E1252" t="str">
        <f t="shared" si="19"/>
        <v>|ToM</v>
      </c>
    </row>
    <row r="1253" spans="1:5" x14ac:dyDescent="0.2">
      <c r="A1253" t="s">
        <v>0</v>
      </c>
      <c r="B1253" t="s">
        <v>333</v>
      </c>
      <c r="C1253" t="s">
        <v>438</v>
      </c>
      <c r="D1253" t="str">
        <f>VLOOKUP(C1253,'lookup table'!$A$2:$B$19,2,FALSE)</f>
        <v>ToM</v>
      </c>
      <c r="E1253" t="str">
        <f t="shared" si="19"/>
        <v>|ToM</v>
      </c>
    </row>
    <row r="1254" spans="1:5" x14ac:dyDescent="0.2">
      <c r="A1254" t="s">
        <v>0</v>
      </c>
      <c r="B1254" t="s">
        <v>387</v>
      </c>
      <c r="C1254" t="s">
        <v>438</v>
      </c>
      <c r="D1254" t="str">
        <f>VLOOKUP(C1254,'lookup table'!$A$2:$B$19,2,FALSE)</f>
        <v>ToM</v>
      </c>
      <c r="E1254" t="str">
        <f t="shared" si="19"/>
        <v>|ToM</v>
      </c>
    </row>
    <row r="1255" spans="1:5" x14ac:dyDescent="0.2">
      <c r="A1255" t="s">
        <v>0</v>
      </c>
      <c r="B1255" t="s">
        <v>388</v>
      </c>
      <c r="C1255" t="s">
        <v>438</v>
      </c>
      <c r="D1255" t="str">
        <f>VLOOKUP(C1255,'lookup table'!$A$2:$B$19,2,FALSE)</f>
        <v>ToM</v>
      </c>
      <c r="E1255" t="str">
        <f t="shared" si="19"/>
        <v>|ToM</v>
      </c>
    </row>
    <row r="1256" spans="1:5" x14ac:dyDescent="0.2">
      <c r="A1256" t="s">
        <v>0</v>
      </c>
      <c r="B1256" t="s">
        <v>333</v>
      </c>
      <c r="C1256" t="s">
        <v>438</v>
      </c>
      <c r="D1256" t="str">
        <f>VLOOKUP(C1256,'lookup table'!$A$2:$B$19,2,FALSE)</f>
        <v>ToM</v>
      </c>
      <c r="E1256" t="str">
        <f t="shared" si="19"/>
        <v>|ToM</v>
      </c>
    </row>
    <row r="1257" spans="1:5" x14ac:dyDescent="0.2">
      <c r="A1257" t="s">
        <v>0</v>
      </c>
      <c r="B1257" t="s">
        <v>107</v>
      </c>
      <c r="C1257" t="s">
        <v>438</v>
      </c>
      <c r="D1257" t="str">
        <f>VLOOKUP(C1257,'lookup table'!$A$2:$B$19,2,FALSE)</f>
        <v>ToM</v>
      </c>
      <c r="E1257" t="str">
        <f t="shared" si="19"/>
        <v>|ToM</v>
      </c>
    </row>
    <row r="1258" spans="1:5" x14ac:dyDescent="0.2">
      <c r="A1258" t="s">
        <v>0</v>
      </c>
      <c r="B1258" t="s">
        <v>390</v>
      </c>
      <c r="C1258" t="s">
        <v>438</v>
      </c>
      <c r="D1258" t="str">
        <f>VLOOKUP(C1258,'lookup table'!$A$2:$B$19,2,FALSE)</f>
        <v>ToM</v>
      </c>
      <c r="E1258" t="str">
        <f t="shared" si="19"/>
        <v>|ToM</v>
      </c>
    </row>
    <row r="1259" spans="1:5" x14ac:dyDescent="0.2">
      <c r="A1259" t="s">
        <v>0</v>
      </c>
      <c r="B1259" t="s">
        <v>391</v>
      </c>
      <c r="C1259" t="s">
        <v>438</v>
      </c>
      <c r="D1259" t="str">
        <f>VLOOKUP(C1259,'lookup table'!$A$2:$B$19,2,FALSE)</f>
        <v>ToM</v>
      </c>
      <c r="E1259" t="str">
        <f t="shared" si="19"/>
        <v>|ToM</v>
      </c>
    </row>
    <row r="1260" spans="1:5" x14ac:dyDescent="0.2">
      <c r="A1260" t="s">
        <v>0</v>
      </c>
      <c r="B1260" t="s">
        <v>391</v>
      </c>
      <c r="C1260" t="s">
        <v>438</v>
      </c>
      <c r="D1260" t="str">
        <f>VLOOKUP(C1260,'lookup table'!$A$2:$B$19,2,FALSE)</f>
        <v>ToM</v>
      </c>
      <c r="E1260" t="str">
        <f t="shared" si="19"/>
        <v>|ToM</v>
      </c>
    </row>
    <row r="1261" spans="1:5" x14ac:dyDescent="0.2">
      <c r="A1261" t="s">
        <v>0</v>
      </c>
      <c r="B1261" t="s">
        <v>333</v>
      </c>
      <c r="C1261" t="s">
        <v>438</v>
      </c>
      <c r="D1261" t="str">
        <f>VLOOKUP(C1261,'lookup table'!$A$2:$B$19,2,FALSE)</f>
        <v>ToM</v>
      </c>
      <c r="E1261" t="str">
        <f t="shared" si="19"/>
        <v>|ToM</v>
      </c>
    </row>
    <row r="1262" spans="1:5" x14ac:dyDescent="0.2">
      <c r="A1262" t="s">
        <v>0</v>
      </c>
      <c r="B1262" t="s">
        <v>332</v>
      </c>
      <c r="C1262" t="s">
        <v>438</v>
      </c>
      <c r="D1262" t="str">
        <f>VLOOKUP(C1262,'lookup table'!$A$2:$B$19,2,FALSE)</f>
        <v>ToM</v>
      </c>
      <c r="E1262" t="str">
        <f t="shared" si="19"/>
        <v>|ToM</v>
      </c>
    </row>
    <row r="1263" spans="1:5" x14ac:dyDescent="0.2">
      <c r="A1263" t="s">
        <v>0</v>
      </c>
      <c r="B1263" t="s">
        <v>393</v>
      </c>
      <c r="C1263" t="s">
        <v>438</v>
      </c>
      <c r="D1263" t="str">
        <f>VLOOKUP(C1263,'lookup table'!$A$2:$B$19,2,FALSE)</f>
        <v>ToM</v>
      </c>
      <c r="E1263" t="str">
        <f t="shared" si="19"/>
        <v>|ToM</v>
      </c>
    </row>
    <row r="1264" spans="1:5" x14ac:dyDescent="0.2">
      <c r="A1264" t="s">
        <v>0</v>
      </c>
      <c r="B1264" t="s">
        <v>395</v>
      </c>
      <c r="C1264" t="s">
        <v>438</v>
      </c>
      <c r="D1264" t="str">
        <f>VLOOKUP(C1264,'lookup table'!$A$2:$B$19,2,FALSE)</f>
        <v>ToM</v>
      </c>
      <c r="E1264" t="str">
        <f t="shared" si="19"/>
        <v>|ToM</v>
      </c>
    </row>
    <row r="1265" spans="1:5" x14ac:dyDescent="0.2">
      <c r="A1265" t="s">
        <v>0</v>
      </c>
      <c r="B1265" t="s">
        <v>120</v>
      </c>
      <c r="C1265" t="s">
        <v>438</v>
      </c>
      <c r="D1265" t="str">
        <f>VLOOKUP(C1265,'lookup table'!$A$2:$B$19,2,FALSE)</f>
        <v>ToM</v>
      </c>
      <c r="E1265" t="str">
        <f t="shared" si="19"/>
        <v>|ToM</v>
      </c>
    </row>
    <row r="1266" spans="1:5" x14ac:dyDescent="0.2">
      <c r="A1266" t="s">
        <v>0</v>
      </c>
      <c r="B1266" t="s">
        <v>70</v>
      </c>
      <c r="C1266" t="s">
        <v>438</v>
      </c>
      <c r="D1266" t="str">
        <f>VLOOKUP(C1266,'lookup table'!$A$2:$B$19,2,FALSE)</f>
        <v>ToM</v>
      </c>
      <c r="E1266" t="str">
        <f t="shared" si="19"/>
        <v>|ToM</v>
      </c>
    </row>
    <row r="1267" spans="1:5" x14ac:dyDescent="0.2">
      <c r="A1267" t="s">
        <v>0</v>
      </c>
      <c r="B1267" t="s">
        <v>107</v>
      </c>
      <c r="C1267" t="s">
        <v>438</v>
      </c>
      <c r="D1267" t="str">
        <f>VLOOKUP(C1267,'lookup table'!$A$2:$B$19,2,FALSE)</f>
        <v>ToM</v>
      </c>
      <c r="E1267" t="str">
        <f t="shared" si="19"/>
        <v>|ToM</v>
      </c>
    </row>
    <row r="1268" spans="1:5" x14ac:dyDescent="0.2">
      <c r="A1268" t="s">
        <v>0</v>
      </c>
      <c r="B1268" t="s">
        <v>390</v>
      </c>
      <c r="C1268" t="s">
        <v>438</v>
      </c>
      <c r="D1268" t="str">
        <f>VLOOKUP(C1268,'lookup table'!$A$2:$B$19,2,FALSE)</f>
        <v>ToM</v>
      </c>
      <c r="E1268" t="str">
        <f t="shared" si="19"/>
        <v>|ToM</v>
      </c>
    </row>
    <row r="1269" spans="1:5" x14ac:dyDescent="0.2">
      <c r="A1269" t="s">
        <v>0</v>
      </c>
      <c r="B1269" t="s">
        <v>333</v>
      </c>
      <c r="C1269" t="s">
        <v>438</v>
      </c>
      <c r="D1269" t="str">
        <f>VLOOKUP(C1269,'lookup table'!$A$2:$B$19,2,FALSE)</f>
        <v>ToM</v>
      </c>
      <c r="E1269" t="str">
        <f t="shared" si="19"/>
        <v>|ToM</v>
      </c>
    </row>
    <row r="1270" spans="1:5" x14ac:dyDescent="0.2">
      <c r="A1270" t="s">
        <v>0</v>
      </c>
      <c r="B1270" t="s">
        <v>440</v>
      </c>
      <c r="C1270" t="s">
        <v>438</v>
      </c>
      <c r="D1270" t="str">
        <f>VLOOKUP(C1270,'lookup table'!$A$2:$B$19,2,FALSE)</f>
        <v>ToM</v>
      </c>
      <c r="E1270" t="str">
        <f t="shared" si="19"/>
        <v>|ToM</v>
      </c>
    </row>
    <row r="1271" spans="1:5" x14ac:dyDescent="0.2">
      <c r="A1271" t="s">
        <v>0</v>
      </c>
      <c r="B1271" t="s">
        <v>396</v>
      </c>
      <c r="C1271" t="s">
        <v>438</v>
      </c>
      <c r="D1271" t="str">
        <f>VLOOKUP(C1271,'lookup table'!$A$2:$B$19,2,FALSE)</f>
        <v>ToM</v>
      </c>
      <c r="E1271" t="str">
        <f t="shared" si="19"/>
        <v>|ToM</v>
      </c>
    </row>
    <row r="1272" spans="1:5" x14ac:dyDescent="0.2">
      <c r="A1272" t="s">
        <v>0</v>
      </c>
      <c r="B1272" t="s">
        <v>333</v>
      </c>
      <c r="C1272" t="s">
        <v>438</v>
      </c>
      <c r="D1272" t="str">
        <f>VLOOKUP(C1272,'lookup table'!$A$2:$B$19,2,FALSE)</f>
        <v>ToM</v>
      </c>
      <c r="E1272" t="str">
        <f t="shared" si="19"/>
        <v>|ToM</v>
      </c>
    </row>
    <row r="1273" spans="1:5" x14ac:dyDescent="0.2">
      <c r="A1273" t="s">
        <v>0</v>
      </c>
      <c r="B1273" t="s">
        <v>123</v>
      </c>
      <c r="C1273" t="s">
        <v>438</v>
      </c>
      <c r="D1273" t="str">
        <f>VLOOKUP(C1273,'lookup table'!$A$2:$B$19,2,FALSE)</f>
        <v>ToM</v>
      </c>
      <c r="E1273" t="str">
        <f t="shared" si="19"/>
        <v>|ToM</v>
      </c>
    </row>
    <row r="1274" spans="1:5" x14ac:dyDescent="0.2">
      <c r="A1274" t="s">
        <v>0</v>
      </c>
      <c r="B1274" t="s">
        <v>124</v>
      </c>
      <c r="C1274" t="s">
        <v>438</v>
      </c>
      <c r="D1274" t="str">
        <f>VLOOKUP(C1274,'lookup table'!$A$2:$B$19,2,FALSE)</f>
        <v>ToM</v>
      </c>
      <c r="E1274" t="str">
        <f t="shared" si="19"/>
        <v>|ToM</v>
      </c>
    </row>
    <row r="1275" spans="1:5" x14ac:dyDescent="0.2">
      <c r="A1275" t="s">
        <v>0</v>
      </c>
      <c r="B1275" t="s">
        <v>125</v>
      </c>
      <c r="C1275" t="s">
        <v>438</v>
      </c>
      <c r="D1275" t="str">
        <f>VLOOKUP(C1275,'lookup table'!$A$2:$B$19,2,FALSE)</f>
        <v>ToM</v>
      </c>
      <c r="E1275" t="str">
        <f t="shared" si="19"/>
        <v>|ToM</v>
      </c>
    </row>
    <row r="1276" spans="1:5" x14ac:dyDescent="0.2">
      <c r="A1276" t="s">
        <v>0</v>
      </c>
      <c r="B1276" t="s">
        <v>126</v>
      </c>
      <c r="C1276" t="s">
        <v>438</v>
      </c>
      <c r="D1276" t="str">
        <f>VLOOKUP(C1276,'lookup table'!$A$2:$B$19,2,FALSE)</f>
        <v>ToM</v>
      </c>
      <c r="E1276" t="str">
        <f t="shared" si="19"/>
        <v>|ToM</v>
      </c>
    </row>
    <row r="1277" spans="1:5" x14ac:dyDescent="0.2">
      <c r="A1277" t="s">
        <v>0</v>
      </c>
      <c r="B1277" t="s">
        <v>127</v>
      </c>
      <c r="C1277" t="s">
        <v>438</v>
      </c>
      <c r="D1277" t="str">
        <f>VLOOKUP(C1277,'lookup table'!$A$2:$B$19,2,FALSE)</f>
        <v>ToM</v>
      </c>
      <c r="E1277" t="str">
        <f t="shared" si="19"/>
        <v>|ToM</v>
      </c>
    </row>
    <row r="1278" spans="1:5" x14ac:dyDescent="0.2">
      <c r="A1278" t="s">
        <v>0</v>
      </c>
      <c r="B1278" t="s">
        <v>128</v>
      </c>
      <c r="C1278" t="s">
        <v>438</v>
      </c>
      <c r="D1278" t="str">
        <f>VLOOKUP(C1278,'lookup table'!$A$2:$B$19,2,FALSE)</f>
        <v>ToM</v>
      </c>
      <c r="E1278" t="str">
        <f t="shared" si="19"/>
        <v>|ToM</v>
      </c>
    </row>
    <row r="1279" spans="1:5" x14ac:dyDescent="0.2">
      <c r="A1279" t="s">
        <v>0</v>
      </c>
      <c r="B1279" t="s">
        <v>397</v>
      </c>
      <c r="C1279" t="s">
        <v>438</v>
      </c>
      <c r="D1279" t="str">
        <f>VLOOKUP(C1279,'lookup table'!$A$2:$B$19,2,FALSE)</f>
        <v>ToM</v>
      </c>
      <c r="E1279" t="str">
        <f t="shared" si="19"/>
        <v>|ToM</v>
      </c>
    </row>
    <row r="1280" spans="1:5" x14ac:dyDescent="0.2">
      <c r="A1280" t="s">
        <v>0</v>
      </c>
      <c r="B1280" t="s">
        <v>332</v>
      </c>
      <c r="C1280" t="s">
        <v>438</v>
      </c>
      <c r="D1280" t="str">
        <f>VLOOKUP(C1280,'lookup table'!$A$2:$B$19,2,FALSE)</f>
        <v>ToM</v>
      </c>
      <c r="E1280" t="str">
        <f t="shared" si="19"/>
        <v>|ToM</v>
      </c>
    </row>
    <row r="1281" spans="1:5" x14ac:dyDescent="0.2">
      <c r="A1281" t="s">
        <v>0</v>
      </c>
      <c r="B1281" t="s">
        <v>332</v>
      </c>
      <c r="C1281" t="s">
        <v>438</v>
      </c>
      <c r="D1281" t="str">
        <f>VLOOKUP(C1281,'lookup table'!$A$2:$B$19,2,FALSE)</f>
        <v>ToM</v>
      </c>
      <c r="E1281" t="str">
        <f t="shared" si="19"/>
        <v>|ToM</v>
      </c>
    </row>
    <row r="1282" spans="1:5" x14ac:dyDescent="0.2">
      <c r="A1282" t="s">
        <v>0</v>
      </c>
      <c r="B1282" t="s">
        <v>333</v>
      </c>
      <c r="C1282" t="s">
        <v>438</v>
      </c>
      <c r="D1282" t="str">
        <f>VLOOKUP(C1282,'lookup table'!$A$2:$B$19,2,FALSE)</f>
        <v>ToM</v>
      </c>
      <c r="E1282" t="str">
        <f t="shared" si="19"/>
        <v>|ToM</v>
      </c>
    </row>
    <row r="1283" spans="1:5" x14ac:dyDescent="0.2">
      <c r="A1283" t="s">
        <v>0</v>
      </c>
      <c r="B1283" t="s">
        <v>398</v>
      </c>
      <c r="C1283" t="s">
        <v>438</v>
      </c>
      <c r="D1283" t="str">
        <f>VLOOKUP(C1283,'lookup table'!$A$2:$B$19,2,FALSE)</f>
        <v>ToM</v>
      </c>
      <c r="E1283" t="str">
        <f t="shared" ref="E1283:E1346" si="20">IF(ISNA(D1283),"",IF(A1283="","",A1283) &amp; "|" &amp; D1283)</f>
        <v>|ToM</v>
      </c>
    </row>
    <row r="1284" spans="1:5" x14ac:dyDescent="0.2">
      <c r="A1284" t="s">
        <v>0</v>
      </c>
      <c r="B1284" t="s">
        <v>383</v>
      </c>
      <c r="C1284" t="s">
        <v>438</v>
      </c>
      <c r="D1284" t="str">
        <f>VLOOKUP(C1284,'lookup table'!$A$2:$B$19,2,FALSE)</f>
        <v>ToM</v>
      </c>
      <c r="E1284" t="str">
        <f t="shared" si="20"/>
        <v>|ToM</v>
      </c>
    </row>
    <row r="1285" spans="1:5" x14ac:dyDescent="0.2">
      <c r="A1285" t="s">
        <v>0</v>
      </c>
      <c r="B1285" t="s">
        <v>385</v>
      </c>
      <c r="C1285" t="s">
        <v>438</v>
      </c>
      <c r="D1285" t="str">
        <f>VLOOKUP(C1285,'lookup table'!$A$2:$B$19,2,FALSE)</f>
        <v>ToM</v>
      </c>
      <c r="E1285" t="str">
        <f t="shared" si="20"/>
        <v>|ToM</v>
      </c>
    </row>
    <row r="1286" spans="1:5" x14ac:dyDescent="0.2">
      <c r="A1286" t="s">
        <v>0</v>
      </c>
      <c r="B1286" t="s">
        <v>8</v>
      </c>
      <c r="C1286" t="s">
        <v>438</v>
      </c>
      <c r="D1286" t="str">
        <f>VLOOKUP(C1286,'lookup table'!$A$2:$B$19,2,FALSE)</f>
        <v>ToM</v>
      </c>
      <c r="E1286" t="str">
        <f t="shared" si="20"/>
        <v>|ToM</v>
      </c>
    </row>
    <row r="1287" spans="1:5" x14ac:dyDescent="0.2">
      <c r="A1287" t="s">
        <v>0</v>
      </c>
      <c r="B1287" t="s">
        <v>376</v>
      </c>
      <c r="C1287" t="s">
        <v>438</v>
      </c>
      <c r="D1287" t="str">
        <f>VLOOKUP(C1287,'lookup table'!$A$2:$B$19,2,FALSE)</f>
        <v>ToM</v>
      </c>
      <c r="E1287" t="str">
        <f t="shared" si="20"/>
        <v>|ToM</v>
      </c>
    </row>
    <row r="1288" spans="1:5" x14ac:dyDescent="0.2">
      <c r="A1288" t="s">
        <v>0</v>
      </c>
      <c r="B1288" t="s">
        <v>8</v>
      </c>
      <c r="C1288" t="s">
        <v>438</v>
      </c>
      <c r="D1288" t="str">
        <f>VLOOKUP(C1288,'lookup table'!$A$2:$B$19,2,FALSE)</f>
        <v>ToM</v>
      </c>
      <c r="E1288" t="str">
        <f t="shared" si="20"/>
        <v>|ToM</v>
      </c>
    </row>
    <row r="1289" spans="1:5" x14ac:dyDescent="0.2">
      <c r="A1289" t="s">
        <v>0</v>
      </c>
      <c r="B1289" t="s">
        <v>400</v>
      </c>
      <c r="C1289" t="s">
        <v>438</v>
      </c>
      <c r="D1289" t="str">
        <f>VLOOKUP(C1289,'lookup table'!$A$2:$B$19,2,FALSE)</f>
        <v>ToM</v>
      </c>
      <c r="E1289" t="str">
        <f t="shared" si="20"/>
        <v>|ToM</v>
      </c>
    </row>
    <row r="1290" spans="1:5" x14ac:dyDescent="0.2">
      <c r="A1290" t="s">
        <v>0</v>
      </c>
      <c r="B1290" t="s">
        <v>400</v>
      </c>
      <c r="C1290" t="s">
        <v>438</v>
      </c>
      <c r="D1290" t="str">
        <f>VLOOKUP(C1290,'lookup table'!$A$2:$B$19,2,FALSE)</f>
        <v>ToM</v>
      </c>
      <c r="E1290" t="str">
        <f t="shared" si="20"/>
        <v>|ToM</v>
      </c>
    </row>
    <row r="1291" spans="1:5" x14ac:dyDescent="0.2">
      <c r="A1291" t="s">
        <v>0</v>
      </c>
      <c r="B1291" t="s">
        <v>400</v>
      </c>
      <c r="C1291" t="s">
        <v>438</v>
      </c>
      <c r="D1291" t="str">
        <f>VLOOKUP(C1291,'lookup table'!$A$2:$B$19,2,FALSE)</f>
        <v>ToM</v>
      </c>
      <c r="E1291" t="str">
        <f t="shared" si="20"/>
        <v>|ToM</v>
      </c>
    </row>
    <row r="1292" spans="1:5" x14ac:dyDescent="0.2">
      <c r="A1292" t="s">
        <v>0</v>
      </c>
      <c r="B1292" t="s">
        <v>400</v>
      </c>
      <c r="C1292" t="s">
        <v>438</v>
      </c>
      <c r="D1292" t="str">
        <f>VLOOKUP(C1292,'lookup table'!$A$2:$B$19,2,FALSE)</f>
        <v>ToM</v>
      </c>
      <c r="E1292" t="str">
        <f t="shared" si="20"/>
        <v>|ToM</v>
      </c>
    </row>
    <row r="1293" spans="1:5" x14ac:dyDescent="0.2">
      <c r="A1293" t="s">
        <v>0</v>
      </c>
      <c r="B1293" t="s">
        <v>400</v>
      </c>
      <c r="C1293" t="s">
        <v>438</v>
      </c>
      <c r="D1293" t="str">
        <f>VLOOKUP(C1293,'lookup table'!$A$2:$B$19,2,FALSE)</f>
        <v>ToM</v>
      </c>
      <c r="E1293" t="str">
        <f t="shared" si="20"/>
        <v>|ToM</v>
      </c>
    </row>
    <row r="1294" spans="1:5" x14ac:dyDescent="0.2">
      <c r="A1294" t="s">
        <v>0</v>
      </c>
      <c r="B1294" t="s">
        <v>400</v>
      </c>
      <c r="C1294" t="s">
        <v>438</v>
      </c>
      <c r="D1294" t="str">
        <f>VLOOKUP(C1294,'lookup table'!$A$2:$B$19,2,FALSE)</f>
        <v>ToM</v>
      </c>
      <c r="E1294" t="str">
        <f t="shared" si="20"/>
        <v>|ToM</v>
      </c>
    </row>
    <row r="1295" spans="1:5" x14ac:dyDescent="0.2">
      <c r="A1295" t="s">
        <v>0</v>
      </c>
      <c r="B1295" t="s">
        <v>333</v>
      </c>
      <c r="C1295" t="s">
        <v>438</v>
      </c>
      <c r="D1295" t="str">
        <f>VLOOKUP(C1295,'lookup table'!$A$2:$B$19,2,FALSE)</f>
        <v>ToM</v>
      </c>
      <c r="E1295" t="str">
        <f t="shared" si="20"/>
        <v>|ToM</v>
      </c>
    </row>
    <row r="1296" spans="1:5" x14ac:dyDescent="0.2">
      <c r="A1296" t="s">
        <v>0</v>
      </c>
      <c r="B1296" t="s">
        <v>379</v>
      </c>
      <c r="C1296" t="s">
        <v>438</v>
      </c>
      <c r="D1296" t="str">
        <f>VLOOKUP(C1296,'lookup table'!$A$2:$B$19,2,FALSE)</f>
        <v>ToM</v>
      </c>
      <c r="E1296" t="str">
        <f t="shared" si="20"/>
        <v>|ToM</v>
      </c>
    </row>
    <row r="1297" spans="1:5" x14ac:dyDescent="0.2">
      <c r="A1297" t="s">
        <v>0</v>
      </c>
      <c r="B1297" t="s">
        <v>401</v>
      </c>
      <c r="C1297" t="s">
        <v>438</v>
      </c>
      <c r="D1297" t="str">
        <f>VLOOKUP(C1297,'lookup table'!$A$2:$B$19,2,FALSE)</f>
        <v>ToM</v>
      </c>
      <c r="E1297" t="str">
        <f t="shared" si="20"/>
        <v>|ToM</v>
      </c>
    </row>
    <row r="1298" spans="1:5" x14ac:dyDescent="0.2">
      <c r="A1298" t="s">
        <v>0</v>
      </c>
      <c r="B1298" t="s">
        <v>353</v>
      </c>
      <c r="C1298" t="s">
        <v>438</v>
      </c>
      <c r="D1298" t="str">
        <f>VLOOKUP(C1298,'lookup table'!$A$2:$B$19,2,FALSE)</f>
        <v>ToM</v>
      </c>
      <c r="E1298" t="str">
        <f t="shared" si="20"/>
        <v>|ToM</v>
      </c>
    </row>
    <row r="1299" spans="1:5" x14ac:dyDescent="0.2">
      <c r="A1299" t="s">
        <v>0</v>
      </c>
      <c r="B1299" t="s">
        <v>353</v>
      </c>
      <c r="C1299" t="s">
        <v>438</v>
      </c>
      <c r="D1299" t="str">
        <f>VLOOKUP(C1299,'lookup table'!$A$2:$B$19,2,FALSE)</f>
        <v>ToM</v>
      </c>
      <c r="E1299" t="str">
        <f t="shared" si="20"/>
        <v>|ToM</v>
      </c>
    </row>
    <row r="1300" spans="1:5" x14ac:dyDescent="0.2">
      <c r="A1300" t="s">
        <v>0</v>
      </c>
      <c r="B1300" t="s">
        <v>353</v>
      </c>
      <c r="C1300" t="s">
        <v>438</v>
      </c>
      <c r="D1300" t="str">
        <f>VLOOKUP(C1300,'lookup table'!$A$2:$B$19,2,FALSE)</f>
        <v>ToM</v>
      </c>
      <c r="E1300" t="str">
        <f t="shared" si="20"/>
        <v>|ToM</v>
      </c>
    </row>
    <row r="1301" spans="1:5" x14ac:dyDescent="0.2">
      <c r="A1301" t="s">
        <v>0</v>
      </c>
      <c r="B1301" t="s">
        <v>353</v>
      </c>
      <c r="C1301" t="s">
        <v>438</v>
      </c>
      <c r="D1301" t="str">
        <f>VLOOKUP(C1301,'lookup table'!$A$2:$B$19,2,FALSE)</f>
        <v>ToM</v>
      </c>
      <c r="E1301" t="str">
        <f t="shared" si="20"/>
        <v>|ToM</v>
      </c>
    </row>
    <row r="1302" spans="1:5" x14ac:dyDescent="0.2">
      <c r="A1302" t="s">
        <v>0</v>
      </c>
      <c r="B1302" t="s">
        <v>403</v>
      </c>
      <c r="C1302" t="s">
        <v>438</v>
      </c>
      <c r="D1302" t="str">
        <f>VLOOKUP(C1302,'lookup table'!$A$2:$B$19,2,FALSE)</f>
        <v>ToM</v>
      </c>
      <c r="E1302" t="str">
        <f t="shared" si="20"/>
        <v>|ToM</v>
      </c>
    </row>
    <row r="1303" spans="1:5" x14ac:dyDescent="0.2">
      <c r="A1303" t="s">
        <v>0</v>
      </c>
      <c r="B1303" t="s">
        <v>335</v>
      </c>
      <c r="C1303" t="s">
        <v>438</v>
      </c>
      <c r="D1303" t="str">
        <f>VLOOKUP(C1303,'lookup table'!$A$2:$B$19,2,FALSE)</f>
        <v>ToM</v>
      </c>
      <c r="E1303" t="str">
        <f t="shared" si="20"/>
        <v>|ToM</v>
      </c>
    </row>
    <row r="1304" spans="1:5" x14ac:dyDescent="0.2">
      <c r="A1304" t="s">
        <v>0</v>
      </c>
      <c r="B1304" t="s">
        <v>335</v>
      </c>
      <c r="C1304" t="s">
        <v>438</v>
      </c>
      <c r="D1304" t="str">
        <f>VLOOKUP(C1304,'lookup table'!$A$2:$B$19,2,FALSE)</f>
        <v>ToM</v>
      </c>
      <c r="E1304" t="str">
        <f t="shared" si="20"/>
        <v>|ToM</v>
      </c>
    </row>
    <row r="1305" spans="1:5" x14ac:dyDescent="0.2">
      <c r="A1305" t="s">
        <v>0</v>
      </c>
      <c r="B1305" t="s">
        <v>335</v>
      </c>
      <c r="C1305" t="s">
        <v>438</v>
      </c>
      <c r="D1305" t="str">
        <f>VLOOKUP(C1305,'lookup table'!$A$2:$B$19,2,FALSE)</f>
        <v>ToM</v>
      </c>
      <c r="E1305" t="str">
        <f t="shared" si="20"/>
        <v>|ToM</v>
      </c>
    </row>
    <row r="1306" spans="1:5" x14ac:dyDescent="0.2">
      <c r="A1306" t="s">
        <v>0</v>
      </c>
      <c r="B1306" t="s">
        <v>353</v>
      </c>
      <c r="C1306" t="s">
        <v>438</v>
      </c>
      <c r="D1306" t="str">
        <f>VLOOKUP(C1306,'lookup table'!$A$2:$B$19,2,FALSE)</f>
        <v>ToM</v>
      </c>
      <c r="E1306" t="str">
        <f t="shared" si="20"/>
        <v>|ToM</v>
      </c>
    </row>
    <row r="1307" spans="1:5" x14ac:dyDescent="0.2">
      <c r="A1307" t="s">
        <v>0</v>
      </c>
      <c r="B1307" t="s">
        <v>403</v>
      </c>
      <c r="C1307" t="s">
        <v>438</v>
      </c>
      <c r="D1307" t="str">
        <f>VLOOKUP(C1307,'lookup table'!$A$2:$B$19,2,FALSE)</f>
        <v>ToM</v>
      </c>
      <c r="E1307" t="str">
        <f t="shared" si="20"/>
        <v>|ToM</v>
      </c>
    </row>
    <row r="1308" spans="1:5" x14ac:dyDescent="0.2">
      <c r="A1308" t="s">
        <v>0</v>
      </c>
      <c r="B1308" t="s">
        <v>400</v>
      </c>
      <c r="C1308" t="s">
        <v>438</v>
      </c>
      <c r="D1308" t="str">
        <f>VLOOKUP(C1308,'lookup table'!$A$2:$B$19,2,FALSE)</f>
        <v>ToM</v>
      </c>
      <c r="E1308" t="str">
        <f t="shared" si="20"/>
        <v>|ToM</v>
      </c>
    </row>
    <row r="1309" spans="1:5" x14ac:dyDescent="0.2">
      <c r="A1309" t="s">
        <v>0</v>
      </c>
      <c r="B1309" t="s">
        <v>404</v>
      </c>
      <c r="C1309" t="s">
        <v>438</v>
      </c>
      <c r="D1309" t="str">
        <f>VLOOKUP(C1309,'lookup table'!$A$2:$B$19,2,FALSE)</f>
        <v>ToM</v>
      </c>
      <c r="E1309" t="str">
        <f t="shared" si="20"/>
        <v>|ToM</v>
      </c>
    </row>
    <row r="1310" spans="1:5" x14ac:dyDescent="0.2">
      <c r="A1310" t="s">
        <v>0</v>
      </c>
      <c r="B1310" t="s">
        <v>404</v>
      </c>
      <c r="C1310" t="s">
        <v>438</v>
      </c>
      <c r="D1310" t="str">
        <f>VLOOKUP(C1310,'lookup table'!$A$2:$B$19,2,FALSE)</f>
        <v>ToM</v>
      </c>
      <c r="E1310" t="str">
        <f t="shared" si="20"/>
        <v>|ToM</v>
      </c>
    </row>
    <row r="1311" spans="1:5" x14ac:dyDescent="0.2">
      <c r="A1311" t="s">
        <v>0</v>
      </c>
      <c r="B1311" t="s">
        <v>405</v>
      </c>
      <c r="C1311" t="s">
        <v>438</v>
      </c>
      <c r="D1311" t="str">
        <f>VLOOKUP(C1311,'lookup table'!$A$2:$B$19,2,FALSE)</f>
        <v>ToM</v>
      </c>
      <c r="E1311" t="str">
        <f t="shared" si="20"/>
        <v>|ToM</v>
      </c>
    </row>
    <row r="1312" spans="1:5" x14ac:dyDescent="0.2">
      <c r="A1312" t="s">
        <v>0</v>
      </c>
      <c r="B1312" t="s">
        <v>406</v>
      </c>
      <c r="C1312" t="s">
        <v>438</v>
      </c>
      <c r="D1312" t="str">
        <f>VLOOKUP(C1312,'lookup table'!$A$2:$B$19,2,FALSE)</f>
        <v>ToM</v>
      </c>
      <c r="E1312" t="str">
        <f t="shared" si="20"/>
        <v>|ToM</v>
      </c>
    </row>
    <row r="1313" spans="1:5" x14ac:dyDescent="0.2">
      <c r="A1313" t="s">
        <v>0</v>
      </c>
      <c r="B1313" t="s">
        <v>333</v>
      </c>
      <c r="C1313" t="s">
        <v>438</v>
      </c>
      <c r="D1313" t="str">
        <f>VLOOKUP(C1313,'lookup table'!$A$2:$B$19,2,FALSE)</f>
        <v>ToM</v>
      </c>
      <c r="E1313" t="str">
        <f t="shared" si="20"/>
        <v>|ToM</v>
      </c>
    </row>
    <row r="1314" spans="1:5" x14ac:dyDescent="0.2">
      <c r="A1314" t="s">
        <v>0</v>
      </c>
      <c r="B1314" t="s">
        <v>407</v>
      </c>
      <c r="C1314" t="s">
        <v>438</v>
      </c>
      <c r="D1314" t="str">
        <f>VLOOKUP(C1314,'lookup table'!$A$2:$B$19,2,FALSE)</f>
        <v>ToM</v>
      </c>
      <c r="E1314" t="str">
        <f t="shared" si="20"/>
        <v>|ToM</v>
      </c>
    </row>
    <row r="1315" spans="1:5" x14ac:dyDescent="0.2">
      <c r="A1315" t="s">
        <v>0</v>
      </c>
      <c r="B1315" t="s">
        <v>15</v>
      </c>
      <c r="C1315" t="s">
        <v>438</v>
      </c>
      <c r="D1315" t="str">
        <f>VLOOKUP(C1315,'lookup table'!$A$2:$B$19,2,FALSE)</f>
        <v>ToM</v>
      </c>
      <c r="E1315" t="str">
        <f t="shared" si="20"/>
        <v>|ToM</v>
      </c>
    </row>
    <row r="1316" spans="1:5" x14ac:dyDescent="0.2">
      <c r="A1316" t="s">
        <v>0</v>
      </c>
      <c r="B1316" t="s">
        <v>439</v>
      </c>
      <c r="C1316" t="s">
        <v>438</v>
      </c>
      <c r="D1316" t="str">
        <f>VLOOKUP(C1316,'lookup table'!$A$2:$B$19,2,FALSE)</f>
        <v>ToM</v>
      </c>
      <c r="E1316" t="str">
        <f t="shared" si="20"/>
        <v>|ToM</v>
      </c>
    </row>
    <row r="1317" spans="1:5" x14ac:dyDescent="0.2">
      <c r="A1317" t="s">
        <v>0</v>
      </c>
      <c r="B1317" t="s">
        <v>15</v>
      </c>
      <c r="C1317" t="s">
        <v>438</v>
      </c>
      <c r="D1317" t="str">
        <f>VLOOKUP(C1317,'lookup table'!$A$2:$B$19,2,FALSE)</f>
        <v>ToM</v>
      </c>
      <c r="E1317" t="str">
        <f t="shared" si="20"/>
        <v>|ToM</v>
      </c>
    </row>
    <row r="1318" spans="1:5" x14ac:dyDescent="0.2">
      <c r="A1318" t="s">
        <v>0</v>
      </c>
      <c r="B1318" t="s">
        <v>439</v>
      </c>
      <c r="C1318" t="s">
        <v>438</v>
      </c>
      <c r="D1318" t="str">
        <f>VLOOKUP(C1318,'lookup table'!$A$2:$B$19,2,FALSE)</f>
        <v>ToM</v>
      </c>
      <c r="E1318" t="str">
        <f t="shared" si="20"/>
        <v>|ToM</v>
      </c>
    </row>
    <row r="1319" spans="1:5" x14ac:dyDescent="0.2">
      <c r="A1319" t="s">
        <v>0</v>
      </c>
      <c r="B1319" t="s">
        <v>401</v>
      </c>
      <c r="C1319" t="s">
        <v>438</v>
      </c>
      <c r="D1319" t="str">
        <f>VLOOKUP(C1319,'lookup table'!$A$2:$B$19,2,FALSE)</f>
        <v>ToM</v>
      </c>
      <c r="E1319" t="str">
        <f t="shared" si="20"/>
        <v>|ToM</v>
      </c>
    </row>
    <row r="1320" spans="1:5" x14ac:dyDescent="0.2">
      <c r="A1320" t="s">
        <v>0</v>
      </c>
      <c r="B1320" t="s">
        <v>405</v>
      </c>
      <c r="C1320" t="s">
        <v>438</v>
      </c>
      <c r="D1320" t="str">
        <f>VLOOKUP(C1320,'lookup table'!$A$2:$B$19,2,FALSE)</f>
        <v>ToM</v>
      </c>
      <c r="E1320" t="str">
        <f t="shared" si="20"/>
        <v>|ToM</v>
      </c>
    </row>
    <row r="1321" spans="1:5" x14ac:dyDescent="0.2">
      <c r="A1321" t="s">
        <v>0</v>
      </c>
      <c r="B1321" t="s">
        <v>406</v>
      </c>
      <c r="C1321" t="s">
        <v>438</v>
      </c>
      <c r="D1321" t="str">
        <f>VLOOKUP(C1321,'lookup table'!$A$2:$B$19,2,FALSE)</f>
        <v>ToM</v>
      </c>
      <c r="E1321" t="str">
        <f t="shared" si="20"/>
        <v>|ToM</v>
      </c>
    </row>
    <row r="1322" spans="1:5" x14ac:dyDescent="0.2">
      <c r="A1322" t="s">
        <v>0</v>
      </c>
      <c r="B1322" t="s">
        <v>410</v>
      </c>
      <c r="C1322" t="s">
        <v>438</v>
      </c>
      <c r="D1322" t="str">
        <f>VLOOKUP(C1322,'lookup table'!$A$2:$B$19,2,FALSE)</f>
        <v>ToM</v>
      </c>
      <c r="E1322" t="str">
        <f t="shared" si="20"/>
        <v>|ToM</v>
      </c>
    </row>
    <row r="1323" spans="1:5" x14ac:dyDescent="0.2">
      <c r="A1323" t="s">
        <v>0</v>
      </c>
      <c r="B1323" t="s">
        <v>410</v>
      </c>
      <c r="C1323" t="s">
        <v>438</v>
      </c>
      <c r="D1323" t="str">
        <f>VLOOKUP(C1323,'lookup table'!$A$2:$B$19,2,FALSE)</f>
        <v>ToM</v>
      </c>
      <c r="E1323" t="str">
        <f t="shared" si="20"/>
        <v>|ToM</v>
      </c>
    </row>
    <row r="1324" spans="1:5" x14ac:dyDescent="0.2">
      <c r="A1324" t="s">
        <v>0</v>
      </c>
      <c r="B1324" t="s">
        <v>411</v>
      </c>
      <c r="C1324" t="s">
        <v>438</v>
      </c>
      <c r="D1324" t="str">
        <f>VLOOKUP(C1324,'lookup table'!$A$2:$B$19,2,FALSE)</f>
        <v>ToM</v>
      </c>
      <c r="E1324" t="str">
        <f t="shared" si="20"/>
        <v>|ToM</v>
      </c>
    </row>
    <row r="1325" spans="1:5" x14ac:dyDescent="0.2">
      <c r="A1325" t="s">
        <v>0</v>
      </c>
      <c r="B1325" t="s">
        <v>439</v>
      </c>
      <c r="C1325" t="s">
        <v>438</v>
      </c>
      <c r="D1325" t="str">
        <f>VLOOKUP(C1325,'lookup table'!$A$2:$B$19,2,FALSE)</f>
        <v>ToM</v>
      </c>
      <c r="E1325" t="str">
        <f t="shared" si="20"/>
        <v>|ToM</v>
      </c>
    </row>
    <row r="1326" spans="1:5" x14ac:dyDescent="0.2">
      <c r="A1326" t="s">
        <v>0</v>
      </c>
      <c r="B1326" t="s">
        <v>379</v>
      </c>
      <c r="C1326" t="s">
        <v>438</v>
      </c>
      <c r="D1326" t="str">
        <f>VLOOKUP(C1326,'lookup table'!$A$2:$B$19,2,FALSE)</f>
        <v>ToM</v>
      </c>
      <c r="E1326" t="str">
        <f t="shared" si="20"/>
        <v>|ToM</v>
      </c>
    </row>
    <row r="1327" spans="1:5" x14ac:dyDescent="0.2">
      <c r="A1327" t="s">
        <v>0</v>
      </c>
      <c r="B1327" t="s">
        <v>412</v>
      </c>
      <c r="C1327" t="s">
        <v>438</v>
      </c>
      <c r="D1327" t="str">
        <f>VLOOKUP(C1327,'lookup table'!$A$2:$B$19,2,FALSE)</f>
        <v>ToM</v>
      </c>
      <c r="E1327" t="str">
        <f t="shared" si="20"/>
        <v>|ToM</v>
      </c>
    </row>
    <row r="1328" spans="1:5" x14ac:dyDescent="0.2">
      <c r="A1328" t="s">
        <v>0</v>
      </c>
      <c r="B1328" t="s">
        <v>332</v>
      </c>
      <c r="C1328" t="s">
        <v>438</v>
      </c>
      <c r="D1328" t="str">
        <f>VLOOKUP(C1328,'lookup table'!$A$2:$B$19,2,FALSE)</f>
        <v>ToM</v>
      </c>
      <c r="E1328" t="str">
        <f t="shared" si="20"/>
        <v>|ToM</v>
      </c>
    </row>
    <row r="1329" spans="1:5" x14ac:dyDescent="0.2">
      <c r="A1329" t="s">
        <v>0</v>
      </c>
      <c r="B1329" t="s">
        <v>332</v>
      </c>
      <c r="C1329" t="s">
        <v>438</v>
      </c>
      <c r="D1329" t="str">
        <f>VLOOKUP(C1329,'lookup table'!$A$2:$B$19,2,FALSE)</f>
        <v>ToM</v>
      </c>
      <c r="E1329" t="str">
        <f t="shared" si="20"/>
        <v>|ToM</v>
      </c>
    </row>
    <row r="1330" spans="1:5" x14ac:dyDescent="0.2">
      <c r="A1330" t="s">
        <v>0</v>
      </c>
      <c r="B1330" t="s">
        <v>129</v>
      </c>
      <c r="C1330" t="s">
        <v>438</v>
      </c>
      <c r="D1330" t="str">
        <f>VLOOKUP(C1330,'lookup table'!$A$2:$B$19,2,FALSE)</f>
        <v>ToM</v>
      </c>
      <c r="E1330" t="str">
        <f t="shared" si="20"/>
        <v>|ToM</v>
      </c>
    </row>
    <row r="1331" spans="1:5" x14ac:dyDescent="0.2">
      <c r="A1331" t="s">
        <v>0</v>
      </c>
      <c r="B1331" t="s">
        <v>332</v>
      </c>
      <c r="C1331" t="s">
        <v>438</v>
      </c>
      <c r="D1331" t="str">
        <f>VLOOKUP(C1331,'lookup table'!$A$2:$B$19,2,FALSE)</f>
        <v>ToM</v>
      </c>
      <c r="E1331" t="str">
        <f t="shared" si="20"/>
        <v>|ToM</v>
      </c>
    </row>
    <row r="1332" spans="1:5" x14ac:dyDescent="0.2">
      <c r="A1332" t="s">
        <v>0</v>
      </c>
      <c r="B1332" t="s">
        <v>130</v>
      </c>
      <c r="C1332" t="s">
        <v>438</v>
      </c>
      <c r="D1332" t="str">
        <f>VLOOKUP(C1332,'lookup table'!$A$2:$B$19,2,FALSE)</f>
        <v>ToM</v>
      </c>
      <c r="E1332" t="str">
        <f t="shared" si="20"/>
        <v>|ToM</v>
      </c>
    </row>
    <row r="1333" spans="1:5" x14ac:dyDescent="0.2">
      <c r="A1333" t="s">
        <v>0</v>
      </c>
      <c r="B1333" t="s">
        <v>130</v>
      </c>
      <c r="C1333" t="s">
        <v>438</v>
      </c>
      <c r="D1333" t="str">
        <f>VLOOKUP(C1333,'lookup table'!$A$2:$B$19,2,FALSE)</f>
        <v>ToM</v>
      </c>
      <c r="E1333" t="str">
        <f t="shared" si="20"/>
        <v>|ToM</v>
      </c>
    </row>
    <row r="1334" spans="1:5" x14ac:dyDescent="0.2">
      <c r="A1334" t="s">
        <v>0</v>
      </c>
      <c r="B1334" t="s">
        <v>131</v>
      </c>
      <c r="C1334" t="s">
        <v>438</v>
      </c>
      <c r="D1334" t="str">
        <f>VLOOKUP(C1334,'lookup table'!$A$2:$B$19,2,FALSE)</f>
        <v>ToM</v>
      </c>
      <c r="E1334" t="str">
        <f t="shared" si="20"/>
        <v>|ToM</v>
      </c>
    </row>
    <row r="1335" spans="1:5" x14ac:dyDescent="0.2">
      <c r="A1335" t="s">
        <v>0</v>
      </c>
      <c r="B1335" t="s">
        <v>333</v>
      </c>
      <c r="C1335" t="s">
        <v>438</v>
      </c>
      <c r="D1335" t="str">
        <f>VLOOKUP(C1335,'lookup table'!$A$2:$B$19,2,FALSE)</f>
        <v>ToM</v>
      </c>
      <c r="E1335" t="str">
        <f t="shared" si="20"/>
        <v>|ToM</v>
      </c>
    </row>
    <row r="1336" spans="1:5" x14ac:dyDescent="0.2">
      <c r="A1336" t="s">
        <v>0</v>
      </c>
      <c r="B1336" t="s">
        <v>396</v>
      </c>
      <c r="C1336" t="s">
        <v>438</v>
      </c>
      <c r="D1336" t="str">
        <f>VLOOKUP(C1336,'lookup table'!$A$2:$B$19,2,FALSE)</f>
        <v>ToM</v>
      </c>
      <c r="E1336" t="str">
        <f t="shared" si="20"/>
        <v>|ToM</v>
      </c>
    </row>
    <row r="1337" spans="1:5" x14ac:dyDescent="0.2">
      <c r="A1337" t="s">
        <v>0</v>
      </c>
      <c r="B1337" t="s">
        <v>107</v>
      </c>
      <c r="C1337" t="s">
        <v>438</v>
      </c>
      <c r="D1337" t="str">
        <f>VLOOKUP(C1337,'lookup table'!$A$2:$B$19,2,FALSE)</f>
        <v>ToM</v>
      </c>
      <c r="E1337" t="str">
        <f t="shared" si="20"/>
        <v>|ToM</v>
      </c>
    </row>
    <row r="1338" spans="1:5" x14ac:dyDescent="0.2">
      <c r="A1338" t="s">
        <v>0</v>
      </c>
      <c r="B1338" t="s">
        <v>396</v>
      </c>
      <c r="C1338" t="s">
        <v>438</v>
      </c>
      <c r="D1338" t="str">
        <f>VLOOKUP(C1338,'lookup table'!$A$2:$B$19,2,FALSE)</f>
        <v>ToM</v>
      </c>
      <c r="E1338" t="str">
        <f t="shared" si="20"/>
        <v>|ToM</v>
      </c>
    </row>
    <row r="1339" spans="1:5" x14ac:dyDescent="0.2">
      <c r="A1339" t="s">
        <v>0</v>
      </c>
      <c r="B1339" t="s">
        <v>333</v>
      </c>
      <c r="C1339" t="s">
        <v>438</v>
      </c>
      <c r="D1339" t="str">
        <f>VLOOKUP(C1339,'lookup table'!$A$2:$B$19,2,FALSE)</f>
        <v>ToM</v>
      </c>
      <c r="E1339" t="str">
        <f t="shared" si="20"/>
        <v>|ToM</v>
      </c>
    </row>
    <row r="1340" spans="1:5" x14ac:dyDescent="0.2">
      <c r="A1340" t="s">
        <v>0</v>
      </c>
      <c r="B1340" t="s">
        <v>332</v>
      </c>
      <c r="C1340" t="s">
        <v>438</v>
      </c>
      <c r="D1340" t="str">
        <f>VLOOKUP(C1340,'lookup table'!$A$2:$B$19,2,FALSE)</f>
        <v>ToM</v>
      </c>
      <c r="E1340" t="str">
        <f t="shared" si="20"/>
        <v>|ToM</v>
      </c>
    </row>
    <row r="1341" spans="1:5" x14ac:dyDescent="0.2">
      <c r="A1341" t="s">
        <v>0</v>
      </c>
      <c r="B1341" t="s">
        <v>16</v>
      </c>
      <c r="C1341" t="s">
        <v>438</v>
      </c>
      <c r="D1341" t="str">
        <f>VLOOKUP(C1341,'lookup table'!$A$2:$B$19,2,FALSE)</f>
        <v>ToM</v>
      </c>
      <c r="E1341" t="str">
        <f t="shared" si="20"/>
        <v>|ToM</v>
      </c>
    </row>
    <row r="1342" spans="1:5" x14ac:dyDescent="0.2">
      <c r="A1342" t="s">
        <v>0</v>
      </c>
      <c r="B1342" t="s">
        <v>414</v>
      </c>
      <c r="C1342" t="s">
        <v>438</v>
      </c>
      <c r="D1342" t="str">
        <f>VLOOKUP(C1342,'lookup table'!$A$2:$B$19,2,FALSE)</f>
        <v>ToM</v>
      </c>
      <c r="E1342" t="str">
        <f t="shared" si="20"/>
        <v>|ToM</v>
      </c>
    </row>
    <row r="1343" spans="1:5" x14ac:dyDescent="0.2">
      <c r="A1343" t="s">
        <v>0</v>
      </c>
      <c r="B1343" t="s">
        <v>393</v>
      </c>
      <c r="C1343" t="s">
        <v>438</v>
      </c>
      <c r="D1343" t="str">
        <f>VLOOKUP(C1343,'lookup table'!$A$2:$B$19,2,FALSE)</f>
        <v>ToM</v>
      </c>
      <c r="E1343" t="str">
        <f t="shared" si="20"/>
        <v>|ToM</v>
      </c>
    </row>
    <row r="1344" spans="1:5" x14ac:dyDescent="0.2">
      <c r="A1344" t="s">
        <v>0</v>
      </c>
      <c r="B1344" t="s">
        <v>395</v>
      </c>
      <c r="C1344" t="s">
        <v>438</v>
      </c>
      <c r="D1344" t="str">
        <f>VLOOKUP(C1344,'lookup table'!$A$2:$B$19,2,FALSE)</f>
        <v>ToM</v>
      </c>
      <c r="E1344" t="str">
        <f t="shared" si="20"/>
        <v>|ToM</v>
      </c>
    </row>
    <row r="1345" spans="1:5" x14ac:dyDescent="0.2">
      <c r="A1345" t="s">
        <v>0</v>
      </c>
      <c r="B1345" t="s">
        <v>415</v>
      </c>
      <c r="C1345" t="s">
        <v>438</v>
      </c>
      <c r="D1345" t="str">
        <f>VLOOKUP(C1345,'lookup table'!$A$2:$B$19,2,FALSE)</f>
        <v>ToM</v>
      </c>
      <c r="E1345" t="str">
        <f t="shared" si="20"/>
        <v>|ToM</v>
      </c>
    </row>
    <row r="1346" spans="1:5" x14ac:dyDescent="0.2">
      <c r="A1346" t="s">
        <v>0</v>
      </c>
      <c r="B1346" t="s">
        <v>416</v>
      </c>
      <c r="C1346" t="s">
        <v>438</v>
      </c>
      <c r="D1346" t="str">
        <f>VLOOKUP(C1346,'lookup table'!$A$2:$B$19,2,FALSE)</f>
        <v>ToM</v>
      </c>
      <c r="E1346" t="str">
        <f t="shared" si="20"/>
        <v>|ToM</v>
      </c>
    </row>
    <row r="1347" spans="1:5" x14ac:dyDescent="0.2">
      <c r="A1347" t="s">
        <v>0</v>
      </c>
      <c r="B1347" t="s">
        <v>417</v>
      </c>
      <c r="C1347" t="s">
        <v>438</v>
      </c>
      <c r="D1347" t="str">
        <f>VLOOKUP(C1347,'lookup table'!$A$2:$B$19,2,FALSE)</f>
        <v>ToM</v>
      </c>
      <c r="E1347" t="str">
        <f t="shared" ref="E1347:E1410" si="21">IF(ISNA(D1347),"",IF(A1347="","",A1347) &amp; "|" &amp; D1347)</f>
        <v>|ToM</v>
      </c>
    </row>
    <row r="1348" spans="1:5" x14ac:dyDescent="0.2">
      <c r="A1348" t="s">
        <v>0</v>
      </c>
      <c r="B1348" t="s">
        <v>16</v>
      </c>
      <c r="C1348" t="s">
        <v>438</v>
      </c>
      <c r="D1348" t="str">
        <f>VLOOKUP(C1348,'lookup table'!$A$2:$B$19,2,FALSE)</f>
        <v>ToM</v>
      </c>
      <c r="E1348" t="str">
        <f t="shared" si="21"/>
        <v>|ToM</v>
      </c>
    </row>
    <row r="1349" spans="1:5" x14ac:dyDescent="0.2">
      <c r="A1349" t="s">
        <v>0</v>
      </c>
      <c r="B1349" t="s">
        <v>16</v>
      </c>
      <c r="C1349" t="s">
        <v>438</v>
      </c>
      <c r="D1349" t="str">
        <f>VLOOKUP(C1349,'lookup table'!$A$2:$B$19,2,FALSE)</f>
        <v>ToM</v>
      </c>
      <c r="E1349" t="str">
        <f t="shared" si="21"/>
        <v>|ToM</v>
      </c>
    </row>
    <row r="1350" spans="1:5" x14ac:dyDescent="0.2">
      <c r="A1350" t="s">
        <v>0</v>
      </c>
      <c r="B1350" t="s">
        <v>417</v>
      </c>
      <c r="C1350" t="s">
        <v>438</v>
      </c>
      <c r="D1350" t="str">
        <f>VLOOKUP(C1350,'lookup table'!$A$2:$B$19,2,FALSE)</f>
        <v>ToM</v>
      </c>
      <c r="E1350" t="str">
        <f t="shared" si="21"/>
        <v>|ToM</v>
      </c>
    </row>
    <row r="1351" spans="1:5" x14ac:dyDescent="0.2">
      <c r="A1351" t="s">
        <v>0</v>
      </c>
      <c r="B1351" t="s">
        <v>17</v>
      </c>
      <c r="C1351" t="s">
        <v>438</v>
      </c>
      <c r="D1351" t="str">
        <f>VLOOKUP(C1351,'lookup table'!$A$2:$B$19,2,FALSE)</f>
        <v>ToM</v>
      </c>
      <c r="E1351" t="str">
        <f t="shared" si="21"/>
        <v>|ToM</v>
      </c>
    </row>
    <row r="1352" spans="1:5" x14ac:dyDescent="0.2">
      <c r="A1352" t="s">
        <v>0</v>
      </c>
      <c r="B1352" t="s">
        <v>437</v>
      </c>
      <c r="C1352" t="s">
        <v>441</v>
      </c>
      <c r="D1352" t="str">
        <f>VLOOKUP(C1352,'lookup table'!$A$2:$B$19,2,FALSE)</f>
        <v>Partner Segment</v>
      </c>
      <c r="E1352" t="str">
        <f t="shared" si="21"/>
        <v>|Partner Segment</v>
      </c>
    </row>
    <row r="1353" spans="1:5" x14ac:dyDescent="0.2">
      <c r="A1353" t="s">
        <v>0</v>
      </c>
      <c r="B1353" t="s">
        <v>13</v>
      </c>
      <c r="C1353" t="s">
        <v>441</v>
      </c>
      <c r="D1353" t="str">
        <f>VLOOKUP(C1353,'lookup table'!$A$2:$B$19,2,FALSE)</f>
        <v>Partner Segment</v>
      </c>
      <c r="E1353" t="str">
        <f t="shared" si="21"/>
        <v>|Partner Segment</v>
      </c>
    </row>
    <row r="1354" spans="1:5" x14ac:dyDescent="0.2">
      <c r="A1354" t="s">
        <v>0</v>
      </c>
      <c r="B1354" t="s">
        <v>1</v>
      </c>
      <c r="C1354" t="s">
        <v>441</v>
      </c>
      <c r="D1354" t="str">
        <f>VLOOKUP(C1354,'lookup table'!$A$2:$B$19,2,FALSE)</f>
        <v>Partner Segment</v>
      </c>
      <c r="E1354" t="str">
        <f t="shared" si="21"/>
        <v>|Partner Segment</v>
      </c>
    </row>
    <row r="1355" spans="1:5" x14ac:dyDescent="0.2">
      <c r="A1355" t="s">
        <v>0</v>
      </c>
      <c r="B1355" t="s">
        <v>3</v>
      </c>
      <c r="C1355" t="s">
        <v>441</v>
      </c>
      <c r="D1355" t="str">
        <f>VLOOKUP(C1355,'lookup table'!$A$2:$B$19,2,FALSE)</f>
        <v>Partner Segment</v>
      </c>
      <c r="E1355" t="str">
        <f t="shared" si="21"/>
        <v>|Partner Segment</v>
      </c>
    </row>
    <row r="1356" spans="1:5" x14ac:dyDescent="0.2">
      <c r="A1356" t="s">
        <v>0</v>
      </c>
      <c r="B1356" t="s">
        <v>7</v>
      </c>
      <c r="C1356" t="s">
        <v>441</v>
      </c>
      <c r="D1356" t="str">
        <f>VLOOKUP(C1356,'lookup table'!$A$2:$B$19,2,FALSE)</f>
        <v>Partner Segment</v>
      </c>
      <c r="E1356" t="str">
        <f t="shared" si="21"/>
        <v>|Partner Segment</v>
      </c>
    </row>
    <row r="1357" spans="1:5" x14ac:dyDescent="0.2">
      <c r="A1357" t="s">
        <v>0</v>
      </c>
      <c r="B1357" t="s">
        <v>7</v>
      </c>
      <c r="C1357" t="s">
        <v>441</v>
      </c>
      <c r="D1357" t="str">
        <f>VLOOKUP(C1357,'lookup table'!$A$2:$B$19,2,FALSE)</f>
        <v>Partner Segment</v>
      </c>
      <c r="E1357" t="str">
        <f t="shared" si="21"/>
        <v>|Partner Segment</v>
      </c>
    </row>
    <row r="1358" spans="1:5" x14ac:dyDescent="0.2">
      <c r="A1358" t="s">
        <v>0</v>
      </c>
      <c r="B1358" t="s">
        <v>4</v>
      </c>
      <c r="C1358" t="s">
        <v>441</v>
      </c>
      <c r="D1358" t="str">
        <f>VLOOKUP(C1358,'lookup table'!$A$2:$B$19,2,FALSE)</f>
        <v>Partner Segment</v>
      </c>
      <c r="E1358" t="str">
        <f t="shared" si="21"/>
        <v>|Partner Segment</v>
      </c>
    </row>
    <row r="1359" spans="1:5" x14ac:dyDescent="0.2">
      <c r="A1359" t="s">
        <v>0</v>
      </c>
      <c r="B1359" t="s">
        <v>35</v>
      </c>
      <c r="C1359" t="s">
        <v>441</v>
      </c>
      <c r="D1359" t="str">
        <f>VLOOKUP(C1359,'lookup table'!$A$2:$B$19,2,FALSE)</f>
        <v>Partner Segment</v>
      </c>
      <c r="E1359" t="str">
        <f t="shared" si="21"/>
        <v>|Partner Segment</v>
      </c>
    </row>
    <row r="1360" spans="1:5" x14ac:dyDescent="0.2">
      <c r="A1360" t="s">
        <v>0</v>
      </c>
      <c r="B1360" t="s">
        <v>70</v>
      </c>
      <c r="C1360" t="s">
        <v>441</v>
      </c>
      <c r="D1360" t="str">
        <f>VLOOKUP(C1360,'lookup table'!$A$2:$B$19,2,FALSE)</f>
        <v>Partner Segment</v>
      </c>
      <c r="E1360" t="str">
        <f t="shared" si="21"/>
        <v>|Partner Segment</v>
      </c>
    </row>
    <row r="1361" spans="1:5" x14ac:dyDescent="0.2">
      <c r="A1361" t="s">
        <v>0</v>
      </c>
      <c r="B1361" t="s">
        <v>71</v>
      </c>
      <c r="C1361" t="s">
        <v>441</v>
      </c>
      <c r="D1361" t="str">
        <f>VLOOKUP(C1361,'lookup table'!$A$2:$B$19,2,FALSE)</f>
        <v>Partner Segment</v>
      </c>
      <c r="E1361" t="str">
        <f t="shared" si="21"/>
        <v>|Partner Segment</v>
      </c>
    </row>
    <row r="1362" spans="1:5" x14ac:dyDescent="0.2">
      <c r="A1362" t="s">
        <v>0</v>
      </c>
      <c r="B1362" t="s">
        <v>72</v>
      </c>
      <c r="C1362" t="s">
        <v>441</v>
      </c>
      <c r="D1362" t="str">
        <f>VLOOKUP(C1362,'lookup table'!$A$2:$B$19,2,FALSE)</f>
        <v>Partner Segment</v>
      </c>
      <c r="E1362" t="str">
        <f t="shared" si="21"/>
        <v>|Partner Segment</v>
      </c>
    </row>
    <row r="1363" spans="1:5" x14ac:dyDescent="0.2">
      <c r="A1363" t="s">
        <v>0</v>
      </c>
      <c r="B1363" t="s">
        <v>72</v>
      </c>
      <c r="C1363" t="s">
        <v>441</v>
      </c>
      <c r="D1363" t="str">
        <f>VLOOKUP(C1363,'lookup table'!$A$2:$B$19,2,FALSE)</f>
        <v>Partner Segment</v>
      </c>
      <c r="E1363" t="str">
        <f t="shared" si="21"/>
        <v>|Partner Segment</v>
      </c>
    </row>
    <row r="1364" spans="1:5" x14ac:dyDescent="0.2">
      <c r="A1364" t="s">
        <v>0</v>
      </c>
      <c r="B1364" t="s">
        <v>17</v>
      </c>
      <c r="C1364" t="s">
        <v>441</v>
      </c>
      <c r="D1364" t="str">
        <f>VLOOKUP(C1364,'lookup table'!$A$2:$B$19,2,FALSE)</f>
        <v>Partner Segment</v>
      </c>
      <c r="E1364" t="str">
        <f t="shared" si="21"/>
        <v>|Partner Segment</v>
      </c>
    </row>
    <row r="1365" spans="1:5" x14ac:dyDescent="0.2">
      <c r="A1365" t="s">
        <v>0</v>
      </c>
      <c r="B1365" t="s">
        <v>73</v>
      </c>
      <c r="C1365" t="s">
        <v>441</v>
      </c>
      <c r="D1365" t="str">
        <f>VLOOKUP(C1365,'lookup table'!$A$2:$B$19,2,FALSE)</f>
        <v>Partner Segment</v>
      </c>
      <c r="E1365" t="str">
        <f t="shared" si="21"/>
        <v>|Partner Segment</v>
      </c>
    </row>
    <row r="1366" spans="1:5" x14ac:dyDescent="0.2">
      <c r="A1366" t="s">
        <v>0</v>
      </c>
      <c r="B1366" t="s">
        <v>105</v>
      </c>
      <c r="C1366" t="s">
        <v>441</v>
      </c>
      <c r="D1366" t="str">
        <f>VLOOKUP(C1366,'lookup table'!$A$2:$B$19,2,FALSE)</f>
        <v>Partner Segment</v>
      </c>
      <c r="E1366" t="str">
        <f t="shared" si="21"/>
        <v>|Partner Segment</v>
      </c>
    </row>
    <row r="1367" spans="1:5" x14ac:dyDescent="0.2">
      <c r="A1367" t="s">
        <v>0</v>
      </c>
      <c r="B1367" t="s">
        <v>105</v>
      </c>
      <c r="C1367" t="s">
        <v>441</v>
      </c>
      <c r="D1367" t="str">
        <f>VLOOKUP(C1367,'lookup table'!$A$2:$B$19,2,FALSE)</f>
        <v>Partner Segment</v>
      </c>
      <c r="E1367" t="str">
        <f t="shared" si="21"/>
        <v>|Partner Segment</v>
      </c>
    </row>
    <row r="1368" spans="1:5" x14ac:dyDescent="0.2">
      <c r="A1368" t="s">
        <v>0</v>
      </c>
      <c r="B1368" t="s">
        <v>105</v>
      </c>
      <c r="C1368" t="s">
        <v>441</v>
      </c>
      <c r="D1368" t="str">
        <f>VLOOKUP(C1368,'lookup table'!$A$2:$B$19,2,FALSE)</f>
        <v>Partner Segment</v>
      </c>
      <c r="E1368" t="str">
        <f t="shared" si="21"/>
        <v>|Partner Segment</v>
      </c>
    </row>
    <row r="1369" spans="1:5" x14ac:dyDescent="0.2">
      <c r="A1369" t="s">
        <v>0</v>
      </c>
      <c r="B1369" t="s">
        <v>106</v>
      </c>
      <c r="C1369" t="s">
        <v>441</v>
      </c>
      <c r="D1369" t="str">
        <f>VLOOKUP(C1369,'lookup table'!$A$2:$B$19,2,FALSE)</f>
        <v>Partner Segment</v>
      </c>
      <c r="E1369" t="str">
        <f t="shared" si="21"/>
        <v>|Partner Segment</v>
      </c>
    </row>
    <row r="1370" spans="1:5" x14ac:dyDescent="0.2">
      <c r="A1370" t="s">
        <v>0</v>
      </c>
      <c r="B1370" t="s">
        <v>107</v>
      </c>
      <c r="C1370" t="s">
        <v>441</v>
      </c>
      <c r="D1370" t="str">
        <f>VLOOKUP(C1370,'lookup table'!$A$2:$B$19,2,FALSE)</f>
        <v>Partner Segment</v>
      </c>
      <c r="E1370" t="str">
        <f t="shared" si="21"/>
        <v>|Partner Segment</v>
      </c>
    </row>
    <row r="1371" spans="1:5" x14ac:dyDescent="0.2">
      <c r="A1371" t="s">
        <v>0</v>
      </c>
      <c r="B1371" t="s">
        <v>119</v>
      </c>
      <c r="C1371" t="s">
        <v>441</v>
      </c>
      <c r="D1371" t="str">
        <f>VLOOKUP(C1371,'lookup table'!$A$2:$B$19,2,FALSE)</f>
        <v>Partner Segment</v>
      </c>
      <c r="E1371" t="str">
        <f t="shared" si="21"/>
        <v>|Partner Segment</v>
      </c>
    </row>
    <row r="1372" spans="1:5" x14ac:dyDescent="0.2">
      <c r="A1372" t="s">
        <v>0</v>
      </c>
      <c r="B1372" t="s">
        <v>120</v>
      </c>
      <c r="C1372" t="s">
        <v>441</v>
      </c>
      <c r="D1372" t="str">
        <f>VLOOKUP(C1372,'lookup table'!$A$2:$B$19,2,FALSE)</f>
        <v>Partner Segment</v>
      </c>
      <c r="E1372" t="str">
        <f t="shared" si="21"/>
        <v>|Partner Segment</v>
      </c>
    </row>
    <row r="1373" spans="1:5" x14ac:dyDescent="0.2">
      <c r="A1373" t="s">
        <v>0</v>
      </c>
      <c r="B1373" t="s">
        <v>121</v>
      </c>
      <c r="C1373" t="s">
        <v>441</v>
      </c>
      <c r="D1373" t="str">
        <f>VLOOKUP(C1373,'lookup table'!$A$2:$B$19,2,FALSE)</f>
        <v>Partner Segment</v>
      </c>
      <c r="E1373" t="str">
        <f t="shared" si="21"/>
        <v>|Partner Segment</v>
      </c>
    </row>
    <row r="1374" spans="1:5" x14ac:dyDescent="0.2">
      <c r="A1374" t="s">
        <v>0</v>
      </c>
      <c r="B1374" t="s">
        <v>70</v>
      </c>
      <c r="C1374" t="s">
        <v>441</v>
      </c>
      <c r="D1374" t="str">
        <f>VLOOKUP(C1374,'lookup table'!$A$2:$B$19,2,FALSE)</f>
        <v>Partner Segment</v>
      </c>
      <c r="E1374" t="str">
        <f t="shared" si="21"/>
        <v>|Partner Segment</v>
      </c>
    </row>
    <row r="1375" spans="1:5" x14ac:dyDescent="0.2">
      <c r="A1375" t="s">
        <v>0</v>
      </c>
      <c r="B1375" t="s">
        <v>122</v>
      </c>
      <c r="C1375" t="s">
        <v>441</v>
      </c>
      <c r="D1375" t="str">
        <f>VLOOKUP(C1375,'lookup table'!$A$2:$B$19,2,FALSE)</f>
        <v>Partner Segment</v>
      </c>
      <c r="E1375" t="str">
        <f t="shared" si="21"/>
        <v>|Partner Segment</v>
      </c>
    </row>
    <row r="1376" spans="1:5" x14ac:dyDescent="0.2">
      <c r="A1376" t="s">
        <v>0</v>
      </c>
      <c r="B1376" t="s">
        <v>107</v>
      </c>
      <c r="C1376" t="s">
        <v>441</v>
      </c>
      <c r="D1376" t="str">
        <f>VLOOKUP(C1376,'lookup table'!$A$2:$B$19,2,FALSE)</f>
        <v>Partner Segment</v>
      </c>
      <c r="E1376" t="str">
        <f t="shared" si="21"/>
        <v>|Partner Segment</v>
      </c>
    </row>
    <row r="1377" spans="1:5" x14ac:dyDescent="0.2">
      <c r="A1377" t="s">
        <v>0</v>
      </c>
      <c r="B1377" t="s">
        <v>72</v>
      </c>
      <c r="C1377" t="s">
        <v>441</v>
      </c>
      <c r="D1377" t="str">
        <f>VLOOKUP(C1377,'lookup table'!$A$2:$B$19,2,FALSE)</f>
        <v>Partner Segment</v>
      </c>
      <c r="E1377" t="str">
        <f t="shared" si="21"/>
        <v>|Partner Segment</v>
      </c>
    </row>
    <row r="1378" spans="1:5" x14ac:dyDescent="0.2">
      <c r="A1378" t="s">
        <v>0</v>
      </c>
      <c r="B1378" t="s">
        <v>72</v>
      </c>
      <c r="C1378" t="s">
        <v>441</v>
      </c>
      <c r="D1378" t="str">
        <f>VLOOKUP(C1378,'lookup table'!$A$2:$B$19,2,FALSE)</f>
        <v>Partner Segment</v>
      </c>
      <c r="E1378" t="str">
        <f t="shared" si="21"/>
        <v>|Partner Segment</v>
      </c>
    </row>
    <row r="1379" spans="1:5" x14ac:dyDescent="0.2">
      <c r="A1379" t="s">
        <v>0</v>
      </c>
      <c r="B1379" t="s">
        <v>72</v>
      </c>
      <c r="C1379" t="s">
        <v>441</v>
      </c>
      <c r="D1379" t="str">
        <f>VLOOKUP(C1379,'lookup table'!$A$2:$B$19,2,FALSE)</f>
        <v>Partner Segment</v>
      </c>
      <c r="E1379" t="str">
        <f t="shared" si="21"/>
        <v>|Partner Segment</v>
      </c>
    </row>
    <row r="1380" spans="1:5" x14ac:dyDescent="0.2">
      <c r="A1380" t="s">
        <v>0</v>
      </c>
      <c r="B1380" t="s">
        <v>71</v>
      </c>
      <c r="C1380" t="s">
        <v>441</v>
      </c>
      <c r="D1380" t="str">
        <f>VLOOKUP(C1380,'lookup table'!$A$2:$B$19,2,FALSE)</f>
        <v>Partner Segment</v>
      </c>
      <c r="E1380" t="str">
        <f t="shared" si="21"/>
        <v>|Partner Segment</v>
      </c>
    </row>
    <row r="1381" spans="1:5" x14ac:dyDescent="0.2">
      <c r="A1381" t="s">
        <v>0</v>
      </c>
      <c r="B1381" t="s">
        <v>8</v>
      </c>
      <c r="C1381" t="s">
        <v>441</v>
      </c>
      <c r="D1381" t="str">
        <f>VLOOKUP(C1381,'lookup table'!$A$2:$B$19,2,FALSE)</f>
        <v>Partner Segment</v>
      </c>
      <c r="E1381" t="str">
        <f t="shared" si="21"/>
        <v>|Partner Segment</v>
      </c>
    </row>
    <row r="1382" spans="1:5" x14ac:dyDescent="0.2">
      <c r="A1382" t="s">
        <v>0</v>
      </c>
      <c r="B1382" t="s">
        <v>8</v>
      </c>
      <c r="C1382" t="s">
        <v>441</v>
      </c>
      <c r="D1382" t="str">
        <f>VLOOKUP(C1382,'lookup table'!$A$2:$B$19,2,FALSE)</f>
        <v>Partner Segment</v>
      </c>
      <c r="E1382" t="str">
        <f t="shared" si="21"/>
        <v>|Partner Segment</v>
      </c>
    </row>
    <row r="1383" spans="1:5" x14ac:dyDescent="0.2">
      <c r="A1383" t="s">
        <v>0</v>
      </c>
      <c r="B1383" t="s">
        <v>405</v>
      </c>
      <c r="C1383" t="s">
        <v>441</v>
      </c>
      <c r="D1383" t="str">
        <f>VLOOKUP(C1383,'lookup table'!$A$2:$B$19,2,FALSE)</f>
        <v>Partner Segment</v>
      </c>
      <c r="E1383" t="str">
        <f t="shared" si="21"/>
        <v>|Partner Segment</v>
      </c>
    </row>
    <row r="1384" spans="1:5" x14ac:dyDescent="0.2">
      <c r="A1384" t="s">
        <v>0</v>
      </c>
      <c r="B1384" t="s">
        <v>15</v>
      </c>
      <c r="C1384" t="s">
        <v>441</v>
      </c>
      <c r="D1384" t="str">
        <f>VLOOKUP(C1384,'lookup table'!$A$2:$B$19,2,FALSE)</f>
        <v>Partner Segment</v>
      </c>
      <c r="E1384" t="str">
        <f t="shared" si="21"/>
        <v>|Partner Segment</v>
      </c>
    </row>
    <row r="1385" spans="1:5" x14ac:dyDescent="0.2">
      <c r="A1385" t="s">
        <v>0</v>
      </c>
      <c r="B1385" t="s">
        <v>15</v>
      </c>
      <c r="C1385" t="s">
        <v>441</v>
      </c>
      <c r="D1385" t="str">
        <f>VLOOKUP(C1385,'lookup table'!$A$2:$B$19,2,FALSE)</f>
        <v>Partner Segment</v>
      </c>
      <c r="E1385" t="str">
        <f t="shared" si="21"/>
        <v>|Partner Segment</v>
      </c>
    </row>
    <row r="1386" spans="1:5" x14ac:dyDescent="0.2">
      <c r="A1386" t="s">
        <v>0</v>
      </c>
      <c r="B1386" t="s">
        <v>405</v>
      </c>
      <c r="C1386" t="s">
        <v>441</v>
      </c>
      <c r="D1386" t="str">
        <f>VLOOKUP(C1386,'lookup table'!$A$2:$B$19,2,FALSE)</f>
        <v>Partner Segment</v>
      </c>
      <c r="E1386" t="str">
        <f t="shared" si="21"/>
        <v>|Partner Segment</v>
      </c>
    </row>
    <row r="1387" spans="1:5" x14ac:dyDescent="0.2">
      <c r="A1387" t="s">
        <v>0</v>
      </c>
      <c r="B1387" t="s">
        <v>129</v>
      </c>
      <c r="C1387" t="s">
        <v>441</v>
      </c>
      <c r="D1387" t="str">
        <f>VLOOKUP(C1387,'lookup table'!$A$2:$B$19,2,FALSE)</f>
        <v>Partner Segment</v>
      </c>
      <c r="E1387" t="str">
        <f t="shared" si="21"/>
        <v>|Partner Segment</v>
      </c>
    </row>
    <row r="1388" spans="1:5" x14ac:dyDescent="0.2">
      <c r="A1388" t="s">
        <v>0</v>
      </c>
      <c r="B1388" t="s">
        <v>130</v>
      </c>
      <c r="C1388" t="s">
        <v>441</v>
      </c>
      <c r="D1388" t="str">
        <f>VLOOKUP(C1388,'lookup table'!$A$2:$B$19,2,FALSE)</f>
        <v>Partner Segment</v>
      </c>
      <c r="E1388" t="str">
        <f t="shared" si="21"/>
        <v>|Partner Segment</v>
      </c>
    </row>
    <row r="1389" spans="1:5" x14ac:dyDescent="0.2">
      <c r="A1389" t="s">
        <v>0</v>
      </c>
      <c r="B1389" t="s">
        <v>130</v>
      </c>
      <c r="C1389" t="s">
        <v>441</v>
      </c>
      <c r="D1389" t="str">
        <f>VLOOKUP(C1389,'lookup table'!$A$2:$B$19,2,FALSE)</f>
        <v>Partner Segment</v>
      </c>
      <c r="E1389" t="str">
        <f t="shared" si="21"/>
        <v>|Partner Segment</v>
      </c>
    </row>
    <row r="1390" spans="1:5" x14ac:dyDescent="0.2">
      <c r="A1390" t="s">
        <v>0</v>
      </c>
      <c r="B1390" t="s">
        <v>131</v>
      </c>
      <c r="C1390" t="s">
        <v>441</v>
      </c>
      <c r="D1390" t="str">
        <f>VLOOKUP(C1390,'lookup table'!$A$2:$B$19,2,FALSE)</f>
        <v>Partner Segment</v>
      </c>
      <c r="E1390" t="str">
        <f t="shared" si="21"/>
        <v>|Partner Segment</v>
      </c>
    </row>
    <row r="1391" spans="1:5" x14ac:dyDescent="0.2">
      <c r="A1391" t="s">
        <v>0</v>
      </c>
      <c r="B1391" t="s">
        <v>106</v>
      </c>
      <c r="C1391" t="s">
        <v>441</v>
      </c>
      <c r="D1391" t="str">
        <f>VLOOKUP(C1391,'lookup table'!$A$2:$B$19,2,FALSE)</f>
        <v>Partner Segment</v>
      </c>
      <c r="E1391" t="str">
        <f t="shared" si="21"/>
        <v>|Partner Segment</v>
      </c>
    </row>
    <row r="1392" spans="1:5" x14ac:dyDescent="0.2">
      <c r="A1392" t="s">
        <v>0</v>
      </c>
      <c r="B1392" t="s">
        <v>107</v>
      </c>
      <c r="C1392" t="s">
        <v>441</v>
      </c>
      <c r="D1392" t="str">
        <f>VLOOKUP(C1392,'lookup table'!$A$2:$B$19,2,FALSE)</f>
        <v>Partner Segment</v>
      </c>
      <c r="E1392" t="str">
        <f t="shared" si="21"/>
        <v>|Partner Segment</v>
      </c>
    </row>
    <row r="1393" spans="1:5" x14ac:dyDescent="0.2">
      <c r="A1393" t="s">
        <v>0</v>
      </c>
      <c r="B1393" t="s">
        <v>16</v>
      </c>
      <c r="C1393" t="s">
        <v>441</v>
      </c>
      <c r="D1393" t="str">
        <f>VLOOKUP(C1393,'lookup table'!$A$2:$B$19,2,FALSE)</f>
        <v>Partner Segment</v>
      </c>
      <c r="E1393" t="str">
        <f t="shared" si="21"/>
        <v>|Partner Segment</v>
      </c>
    </row>
    <row r="1394" spans="1:5" x14ac:dyDescent="0.2">
      <c r="A1394" t="s">
        <v>0</v>
      </c>
      <c r="B1394" t="s">
        <v>132</v>
      </c>
      <c r="C1394" t="s">
        <v>441</v>
      </c>
      <c r="D1394" t="str">
        <f>VLOOKUP(C1394,'lookup table'!$A$2:$B$19,2,FALSE)</f>
        <v>Partner Segment</v>
      </c>
      <c r="E1394" t="str">
        <f t="shared" si="21"/>
        <v>|Partner Segment</v>
      </c>
    </row>
    <row r="1395" spans="1:5" x14ac:dyDescent="0.2">
      <c r="A1395" t="s">
        <v>0</v>
      </c>
      <c r="B1395" t="s">
        <v>119</v>
      </c>
      <c r="C1395" t="s">
        <v>441</v>
      </c>
      <c r="D1395" t="str">
        <f>VLOOKUP(C1395,'lookup table'!$A$2:$B$19,2,FALSE)</f>
        <v>Partner Segment</v>
      </c>
      <c r="E1395" t="str">
        <f t="shared" si="21"/>
        <v>|Partner Segment</v>
      </c>
    </row>
    <row r="1396" spans="1:5" x14ac:dyDescent="0.2">
      <c r="A1396" t="s">
        <v>0</v>
      </c>
      <c r="B1396" t="s">
        <v>394</v>
      </c>
      <c r="C1396" t="s">
        <v>441</v>
      </c>
      <c r="D1396" t="str">
        <f>VLOOKUP(C1396,'lookup table'!$A$2:$B$19,2,FALSE)</f>
        <v>Partner Segment</v>
      </c>
      <c r="E1396" t="str">
        <f t="shared" si="21"/>
        <v>|Partner Segment</v>
      </c>
    </row>
    <row r="1397" spans="1:5" x14ac:dyDescent="0.2">
      <c r="A1397" t="s">
        <v>0</v>
      </c>
      <c r="B1397" t="s">
        <v>133</v>
      </c>
      <c r="C1397" t="s">
        <v>441</v>
      </c>
      <c r="D1397" t="str">
        <f>VLOOKUP(C1397,'lookup table'!$A$2:$B$19,2,FALSE)</f>
        <v>Partner Segment</v>
      </c>
      <c r="E1397" t="str">
        <f t="shared" si="21"/>
        <v>|Partner Segment</v>
      </c>
    </row>
    <row r="1398" spans="1:5" x14ac:dyDescent="0.2">
      <c r="A1398" t="s">
        <v>0</v>
      </c>
      <c r="B1398" t="s">
        <v>134</v>
      </c>
      <c r="C1398" t="s">
        <v>441</v>
      </c>
      <c r="D1398" t="str">
        <f>VLOOKUP(C1398,'lookup table'!$A$2:$B$19,2,FALSE)</f>
        <v>Partner Segment</v>
      </c>
      <c r="E1398" t="str">
        <f t="shared" si="21"/>
        <v>|Partner Segment</v>
      </c>
    </row>
    <row r="1399" spans="1:5" x14ac:dyDescent="0.2">
      <c r="A1399" t="s">
        <v>0</v>
      </c>
      <c r="B1399" t="s">
        <v>16</v>
      </c>
      <c r="C1399" t="s">
        <v>441</v>
      </c>
      <c r="D1399" t="str">
        <f>VLOOKUP(C1399,'lookup table'!$A$2:$B$19,2,FALSE)</f>
        <v>Partner Segment</v>
      </c>
      <c r="E1399" t="str">
        <f t="shared" si="21"/>
        <v>|Partner Segment</v>
      </c>
    </row>
    <row r="1400" spans="1:5" x14ac:dyDescent="0.2">
      <c r="A1400" t="s">
        <v>0</v>
      </c>
      <c r="B1400" t="s">
        <v>420</v>
      </c>
      <c r="C1400" t="s">
        <v>441</v>
      </c>
      <c r="D1400" t="str">
        <f>VLOOKUP(C1400,'lookup table'!$A$2:$B$19,2,FALSE)</f>
        <v>Partner Segment</v>
      </c>
      <c r="E1400" t="str">
        <f t="shared" si="21"/>
        <v>|Partner Segment</v>
      </c>
    </row>
    <row r="1401" spans="1:5" x14ac:dyDescent="0.2">
      <c r="A1401" t="s">
        <v>0</v>
      </c>
      <c r="B1401" t="s">
        <v>16</v>
      </c>
      <c r="C1401" t="s">
        <v>441</v>
      </c>
      <c r="D1401" t="str">
        <f>VLOOKUP(C1401,'lookup table'!$A$2:$B$19,2,FALSE)</f>
        <v>Partner Segment</v>
      </c>
      <c r="E1401" t="str">
        <f t="shared" si="21"/>
        <v>|Partner Segment</v>
      </c>
    </row>
    <row r="1402" spans="1:5" x14ac:dyDescent="0.2">
      <c r="A1402" t="s">
        <v>0</v>
      </c>
      <c r="B1402" t="s">
        <v>17</v>
      </c>
      <c r="C1402" t="s">
        <v>441</v>
      </c>
      <c r="D1402" t="str">
        <f>VLOOKUP(C1402,'lookup table'!$A$2:$B$19,2,FALSE)</f>
        <v>Partner Segment</v>
      </c>
      <c r="E1402" t="str">
        <f t="shared" si="21"/>
        <v>|Partner Segment</v>
      </c>
    </row>
    <row r="1403" spans="1:5" x14ac:dyDescent="0.2">
      <c r="A1403" t="s">
        <v>0</v>
      </c>
      <c r="B1403" t="s">
        <v>437</v>
      </c>
      <c r="C1403" t="s">
        <v>442</v>
      </c>
      <c r="D1403" t="str">
        <f>VLOOKUP(C1403,'lookup table'!$A$2:$B$19,2,FALSE)</f>
        <v>Partner Unit</v>
      </c>
      <c r="E1403" t="str">
        <f t="shared" si="21"/>
        <v>|Partner Unit</v>
      </c>
    </row>
    <row r="1404" spans="1:5" x14ac:dyDescent="0.2">
      <c r="A1404" t="s">
        <v>0</v>
      </c>
      <c r="B1404" t="s">
        <v>13</v>
      </c>
      <c r="C1404" t="s">
        <v>442</v>
      </c>
      <c r="D1404" t="str">
        <f>VLOOKUP(C1404,'lookup table'!$A$2:$B$19,2,FALSE)</f>
        <v>Partner Unit</v>
      </c>
      <c r="E1404" t="str">
        <f t="shared" si="21"/>
        <v>|Partner Unit</v>
      </c>
    </row>
    <row r="1405" spans="1:5" x14ac:dyDescent="0.2">
      <c r="A1405" t="s">
        <v>0</v>
      </c>
      <c r="B1405" t="s">
        <v>1</v>
      </c>
      <c r="C1405" t="s">
        <v>442</v>
      </c>
      <c r="D1405" t="str">
        <f>VLOOKUP(C1405,'lookup table'!$A$2:$B$19,2,FALSE)</f>
        <v>Partner Unit</v>
      </c>
      <c r="E1405" t="str">
        <f t="shared" si="21"/>
        <v>|Partner Unit</v>
      </c>
    </row>
    <row r="1406" spans="1:5" x14ac:dyDescent="0.2">
      <c r="A1406" t="s">
        <v>0</v>
      </c>
      <c r="B1406" t="s">
        <v>3</v>
      </c>
      <c r="C1406" t="s">
        <v>442</v>
      </c>
      <c r="D1406" t="str">
        <f>VLOOKUP(C1406,'lookup table'!$A$2:$B$19,2,FALSE)</f>
        <v>Partner Unit</v>
      </c>
      <c r="E1406" t="str">
        <f t="shared" si="21"/>
        <v>|Partner Unit</v>
      </c>
    </row>
    <row r="1407" spans="1:5" x14ac:dyDescent="0.2">
      <c r="A1407" t="s">
        <v>0</v>
      </c>
      <c r="B1407" t="s">
        <v>7</v>
      </c>
      <c r="C1407" t="s">
        <v>442</v>
      </c>
      <c r="D1407" t="str">
        <f>VLOOKUP(C1407,'lookup table'!$A$2:$B$19,2,FALSE)</f>
        <v>Partner Unit</v>
      </c>
      <c r="E1407" t="str">
        <f t="shared" si="21"/>
        <v>|Partner Unit</v>
      </c>
    </row>
    <row r="1408" spans="1:5" x14ac:dyDescent="0.2">
      <c r="A1408" t="s">
        <v>0</v>
      </c>
      <c r="B1408" t="s">
        <v>7</v>
      </c>
      <c r="C1408" t="s">
        <v>442</v>
      </c>
      <c r="D1408" t="str">
        <f>VLOOKUP(C1408,'lookup table'!$A$2:$B$19,2,FALSE)</f>
        <v>Partner Unit</v>
      </c>
      <c r="E1408" t="str">
        <f t="shared" si="21"/>
        <v>|Partner Unit</v>
      </c>
    </row>
    <row r="1409" spans="1:5" x14ac:dyDescent="0.2">
      <c r="A1409" t="s">
        <v>0</v>
      </c>
      <c r="B1409" t="s">
        <v>4</v>
      </c>
      <c r="C1409" t="s">
        <v>442</v>
      </c>
      <c r="D1409" t="str">
        <f>VLOOKUP(C1409,'lookup table'!$A$2:$B$19,2,FALSE)</f>
        <v>Partner Unit</v>
      </c>
      <c r="E1409" t="str">
        <f t="shared" si="21"/>
        <v>|Partner Unit</v>
      </c>
    </row>
    <row r="1410" spans="1:5" x14ac:dyDescent="0.2">
      <c r="A1410" t="s">
        <v>0</v>
      </c>
      <c r="B1410" t="s">
        <v>35</v>
      </c>
      <c r="C1410" t="s">
        <v>442</v>
      </c>
      <c r="D1410" t="str">
        <f>VLOOKUP(C1410,'lookup table'!$A$2:$B$19,2,FALSE)</f>
        <v>Partner Unit</v>
      </c>
      <c r="E1410" t="str">
        <f t="shared" si="21"/>
        <v>|Partner Unit</v>
      </c>
    </row>
    <row r="1411" spans="1:5" x14ac:dyDescent="0.2">
      <c r="A1411" t="s">
        <v>0</v>
      </c>
      <c r="B1411" t="s">
        <v>69</v>
      </c>
      <c r="C1411" t="s">
        <v>442</v>
      </c>
      <c r="D1411" t="str">
        <f>VLOOKUP(C1411,'lookup table'!$A$2:$B$19,2,FALSE)</f>
        <v>Partner Unit</v>
      </c>
      <c r="E1411" t="str">
        <f t="shared" ref="E1411:E1474" si="22">IF(ISNA(D1411),"",IF(A1411="","",A1411) &amp; "|" &amp; D1411)</f>
        <v>|Partner Unit</v>
      </c>
    </row>
    <row r="1412" spans="1:5" x14ac:dyDescent="0.2">
      <c r="A1412" t="s">
        <v>0</v>
      </c>
      <c r="B1412" t="s">
        <v>70</v>
      </c>
      <c r="C1412" t="s">
        <v>442</v>
      </c>
      <c r="D1412" t="str">
        <f>VLOOKUP(C1412,'lookup table'!$A$2:$B$19,2,FALSE)</f>
        <v>Partner Unit</v>
      </c>
      <c r="E1412" t="str">
        <f t="shared" si="22"/>
        <v>|Partner Unit</v>
      </c>
    </row>
    <row r="1413" spans="1:5" x14ac:dyDescent="0.2">
      <c r="A1413" t="s">
        <v>0</v>
      </c>
      <c r="B1413" t="s">
        <v>71</v>
      </c>
      <c r="C1413" t="s">
        <v>442</v>
      </c>
      <c r="D1413" t="str">
        <f>VLOOKUP(C1413,'lookup table'!$A$2:$B$19,2,FALSE)</f>
        <v>Partner Unit</v>
      </c>
      <c r="E1413" t="str">
        <f t="shared" si="22"/>
        <v>|Partner Unit</v>
      </c>
    </row>
    <row r="1414" spans="1:5" x14ac:dyDescent="0.2">
      <c r="A1414" t="s">
        <v>0</v>
      </c>
      <c r="B1414" t="s">
        <v>72</v>
      </c>
      <c r="C1414" t="s">
        <v>442</v>
      </c>
      <c r="D1414" t="str">
        <f>VLOOKUP(C1414,'lookup table'!$A$2:$B$19,2,FALSE)</f>
        <v>Partner Unit</v>
      </c>
      <c r="E1414" t="str">
        <f t="shared" si="22"/>
        <v>|Partner Unit</v>
      </c>
    </row>
    <row r="1415" spans="1:5" x14ac:dyDescent="0.2">
      <c r="A1415" t="s">
        <v>0</v>
      </c>
      <c r="B1415" t="s">
        <v>72</v>
      </c>
      <c r="C1415" t="s">
        <v>442</v>
      </c>
      <c r="D1415" t="str">
        <f>VLOOKUP(C1415,'lookup table'!$A$2:$B$19,2,FALSE)</f>
        <v>Partner Unit</v>
      </c>
      <c r="E1415" t="str">
        <f t="shared" si="22"/>
        <v>|Partner Unit</v>
      </c>
    </row>
    <row r="1416" spans="1:5" x14ac:dyDescent="0.2">
      <c r="A1416" t="s">
        <v>0</v>
      </c>
      <c r="B1416" t="s">
        <v>17</v>
      </c>
      <c r="C1416" t="s">
        <v>442</v>
      </c>
      <c r="D1416" t="str">
        <f>VLOOKUP(C1416,'lookup table'!$A$2:$B$19,2,FALSE)</f>
        <v>Partner Unit</v>
      </c>
      <c r="E1416" t="str">
        <f t="shared" si="22"/>
        <v>|Partner Unit</v>
      </c>
    </row>
    <row r="1417" spans="1:5" x14ac:dyDescent="0.2">
      <c r="A1417" t="s">
        <v>0</v>
      </c>
      <c r="B1417" t="s">
        <v>73</v>
      </c>
      <c r="C1417" t="s">
        <v>442</v>
      </c>
      <c r="D1417" t="str">
        <f>VLOOKUP(C1417,'lookup table'!$A$2:$B$19,2,FALSE)</f>
        <v>Partner Unit</v>
      </c>
      <c r="E1417" t="str">
        <f t="shared" si="22"/>
        <v>|Partner Unit</v>
      </c>
    </row>
    <row r="1418" spans="1:5" x14ac:dyDescent="0.2">
      <c r="A1418" t="s">
        <v>0</v>
      </c>
      <c r="B1418" t="s">
        <v>443</v>
      </c>
      <c r="C1418" t="s">
        <v>442</v>
      </c>
      <c r="D1418" t="str">
        <f>VLOOKUP(C1418,'lookup table'!$A$2:$B$19,2,FALSE)</f>
        <v>Partner Unit</v>
      </c>
      <c r="E1418" t="str">
        <f t="shared" si="22"/>
        <v>|Partner Unit</v>
      </c>
    </row>
    <row r="1419" spans="1:5" x14ac:dyDescent="0.2">
      <c r="A1419" t="s">
        <v>0</v>
      </c>
      <c r="B1419" t="s">
        <v>105</v>
      </c>
      <c r="C1419" t="s">
        <v>442</v>
      </c>
      <c r="D1419" t="str">
        <f>VLOOKUP(C1419,'lookup table'!$A$2:$B$19,2,FALSE)</f>
        <v>Partner Unit</v>
      </c>
      <c r="E1419" t="str">
        <f t="shared" si="22"/>
        <v>|Partner Unit</v>
      </c>
    </row>
    <row r="1420" spans="1:5" x14ac:dyDescent="0.2">
      <c r="A1420" t="s">
        <v>0</v>
      </c>
      <c r="B1420" t="s">
        <v>105</v>
      </c>
      <c r="C1420" t="s">
        <v>442</v>
      </c>
      <c r="D1420" t="str">
        <f>VLOOKUP(C1420,'lookup table'!$A$2:$B$19,2,FALSE)</f>
        <v>Partner Unit</v>
      </c>
      <c r="E1420" t="str">
        <f t="shared" si="22"/>
        <v>|Partner Unit</v>
      </c>
    </row>
    <row r="1421" spans="1:5" x14ac:dyDescent="0.2">
      <c r="A1421" t="s">
        <v>0</v>
      </c>
      <c r="B1421" t="s">
        <v>105</v>
      </c>
      <c r="C1421" t="s">
        <v>442</v>
      </c>
      <c r="D1421" t="str">
        <f>VLOOKUP(C1421,'lookup table'!$A$2:$B$19,2,FALSE)</f>
        <v>Partner Unit</v>
      </c>
      <c r="E1421" t="str">
        <f t="shared" si="22"/>
        <v>|Partner Unit</v>
      </c>
    </row>
    <row r="1422" spans="1:5" x14ac:dyDescent="0.2">
      <c r="A1422" t="s">
        <v>0</v>
      </c>
      <c r="B1422" t="s">
        <v>106</v>
      </c>
      <c r="C1422" t="s">
        <v>442</v>
      </c>
      <c r="D1422" t="str">
        <f>VLOOKUP(C1422,'lookup table'!$A$2:$B$19,2,FALSE)</f>
        <v>Partner Unit</v>
      </c>
      <c r="E1422" t="str">
        <f t="shared" si="22"/>
        <v>|Partner Unit</v>
      </c>
    </row>
    <row r="1423" spans="1:5" x14ac:dyDescent="0.2">
      <c r="A1423" t="s">
        <v>0</v>
      </c>
      <c r="B1423" t="s">
        <v>107</v>
      </c>
      <c r="C1423" t="s">
        <v>442</v>
      </c>
      <c r="D1423" t="str">
        <f>VLOOKUP(C1423,'lookup table'!$A$2:$B$19,2,FALSE)</f>
        <v>Partner Unit</v>
      </c>
      <c r="E1423" t="str">
        <f t="shared" si="22"/>
        <v>|Partner Unit</v>
      </c>
    </row>
    <row r="1424" spans="1:5" x14ac:dyDescent="0.2">
      <c r="A1424" t="s">
        <v>0</v>
      </c>
      <c r="B1424" t="s">
        <v>444</v>
      </c>
      <c r="C1424" t="s">
        <v>442</v>
      </c>
      <c r="D1424" t="str">
        <f>VLOOKUP(C1424,'lookup table'!$A$2:$B$19,2,FALSE)</f>
        <v>Partner Unit</v>
      </c>
      <c r="E1424" t="str">
        <f t="shared" si="22"/>
        <v>|Partner Unit</v>
      </c>
    </row>
    <row r="1425" spans="1:5" x14ac:dyDescent="0.2">
      <c r="A1425" t="s">
        <v>0</v>
      </c>
      <c r="B1425" t="s">
        <v>443</v>
      </c>
      <c r="C1425" t="s">
        <v>442</v>
      </c>
      <c r="D1425" t="str">
        <f>VLOOKUP(C1425,'lookup table'!$A$2:$B$19,2,FALSE)</f>
        <v>Partner Unit</v>
      </c>
      <c r="E1425" t="str">
        <f t="shared" si="22"/>
        <v>|Partner Unit</v>
      </c>
    </row>
    <row r="1426" spans="1:5" x14ac:dyDescent="0.2">
      <c r="A1426" t="s">
        <v>0</v>
      </c>
      <c r="B1426" t="s">
        <v>443</v>
      </c>
      <c r="C1426" t="s">
        <v>442</v>
      </c>
      <c r="D1426" t="str">
        <f>VLOOKUP(C1426,'lookup table'!$A$2:$B$19,2,FALSE)</f>
        <v>Partner Unit</v>
      </c>
      <c r="E1426" t="str">
        <f t="shared" si="22"/>
        <v>|Partner Unit</v>
      </c>
    </row>
    <row r="1427" spans="1:5" x14ac:dyDescent="0.2">
      <c r="A1427" t="s">
        <v>0</v>
      </c>
      <c r="B1427" t="s">
        <v>119</v>
      </c>
      <c r="C1427" t="s">
        <v>442</v>
      </c>
      <c r="D1427" t="str">
        <f>VLOOKUP(C1427,'lookup table'!$A$2:$B$19,2,FALSE)</f>
        <v>Partner Unit</v>
      </c>
      <c r="E1427" t="str">
        <f t="shared" si="22"/>
        <v>|Partner Unit</v>
      </c>
    </row>
    <row r="1428" spans="1:5" x14ac:dyDescent="0.2">
      <c r="A1428" t="s">
        <v>0</v>
      </c>
      <c r="B1428" t="s">
        <v>120</v>
      </c>
      <c r="C1428" t="s">
        <v>442</v>
      </c>
      <c r="D1428" t="str">
        <f>VLOOKUP(C1428,'lookup table'!$A$2:$B$19,2,FALSE)</f>
        <v>Partner Unit</v>
      </c>
      <c r="E1428" t="str">
        <f t="shared" si="22"/>
        <v>|Partner Unit</v>
      </c>
    </row>
    <row r="1429" spans="1:5" x14ac:dyDescent="0.2">
      <c r="A1429" t="s">
        <v>0</v>
      </c>
      <c r="B1429" t="s">
        <v>121</v>
      </c>
      <c r="C1429" t="s">
        <v>442</v>
      </c>
      <c r="D1429" t="str">
        <f>VLOOKUP(C1429,'lookup table'!$A$2:$B$19,2,FALSE)</f>
        <v>Partner Unit</v>
      </c>
      <c r="E1429" t="str">
        <f t="shared" si="22"/>
        <v>|Partner Unit</v>
      </c>
    </row>
    <row r="1430" spans="1:5" x14ac:dyDescent="0.2">
      <c r="A1430" t="s">
        <v>0</v>
      </c>
      <c r="B1430" t="s">
        <v>70</v>
      </c>
      <c r="C1430" t="s">
        <v>442</v>
      </c>
      <c r="D1430" t="str">
        <f>VLOOKUP(C1430,'lookup table'!$A$2:$B$19,2,FALSE)</f>
        <v>Partner Unit</v>
      </c>
      <c r="E1430" t="str">
        <f t="shared" si="22"/>
        <v>|Partner Unit</v>
      </c>
    </row>
    <row r="1431" spans="1:5" x14ac:dyDescent="0.2">
      <c r="A1431" t="s">
        <v>0</v>
      </c>
      <c r="B1431" t="s">
        <v>122</v>
      </c>
      <c r="C1431" t="s">
        <v>442</v>
      </c>
      <c r="D1431" t="str">
        <f>VLOOKUP(C1431,'lookup table'!$A$2:$B$19,2,FALSE)</f>
        <v>Partner Unit</v>
      </c>
      <c r="E1431" t="str">
        <f t="shared" si="22"/>
        <v>|Partner Unit</v>
      </c>
    </row>
    <row r="1432" spans="1:5" x14ac:dyDescent="0.2">
      <c r="A1432" t="s">
        <v>0</v>
      </c>
      <c r="B1432" t="s">
        <v>107</v>
      </c>
      <c r="C1432" t="s">
        <v>442</v>
      </c>
      <c r="D1432" t="str">
        <f>VLOOKUP(C1432,'lookup table'!$A$2:$B$19,2,FALSE)</f>
        <v>Partner Unit</v>
      </c>
      <c r="E1432" t="str">
        <f t="shared" si="22"/>
        <v>|Partner Unit</v>
      </c>
    </row>
    <row r="1433" spans="1:5" x14ac:dyDescent="0.2">
      <c r="A1433" t="s">
        <v>0</v>
      </c>
      <c r="B1433" t="s">
        <v>72</v>
      </c>
      <c r="C1433" t="s">
        <v>442</v>
      </c>
      <c r="D1433" t="str">
        <f>VLOOKUP(C1433,'lookup table'!$A$2:$B$19,2,FALSE)</f>
        <v>Partner Unit</v>
      </c>
      <c r="E1433" t="str">
        <f t="shared" si="22"/>
        <v>|Partner Unit</v>
      </c>
    </row>
    <row r="1434" spans="1:5" x14ac:dyDescent="0.2">
      <c r="A1434" t="s">
        <v>0</v>
      </c>
      <c r="B1434" t="s">
        <v>72</v>
      </c>
      <c r="C1434" t="s">
        <v>442</v>
      </c>
      <c r="D1434" t="str">
        <f>VLOOKUP(C1434,'lookup table'!$A$2:$B$19,2,FALSE)</f>
        <v>Partner Unit</v>
      </c>
      <c r="E1434" t="str">
        <f t="shared" si="22"/>
        <v>|Partner Unit</v>
      </c>
    </row>
    <row r="1435" spans="1:5" x14ac:dyDescent="0.2">
      <c r="A1435" t="s">
        <v>0</v>
      </c>
      <c r="B1435" t="s">
        <v>72</v>
      </c>
      <c r="C1435" t="s">
        <v>442</v>
      </c>
      <c r="D1435" t="str">
        <f>VLOOKUP(C1435,'lookup table'!$A$2:$B$19,2,FALSE)</f>
        <v>Partner Unit</v>
      </c>
      <c r="E1435" t="str">
        <f t="shared" si="22"/>
        <v>|Partner Unit</v>
      </c>
    </row>
    <row r="1436" spans="1:5" x14ac:dyDescent="0.2">
      <c r="A1436" t="s">
        <v>0</v>
      </c>
      <c r="B1436" t="s">
        <v>71</v>
      </c>
      <c r="C1436" t="s">
        <v>442</v>
      </c>
      <c r="D1436" t="str">
        <f>VLOOKUP(C1436,'lookup table'!$A$2:$B$19,2,FALSE)</f>
        <v>Partner Unit</v>
      </c>
      <c r="E1436" t="str">
        <f t="shared" si="22"/>
        <v>|Partner Unit</v>
      </c>
    </row>
    <row r="1437" spans="1:5" x14ac:dyDescent="0.2">
      <c r="A1437" t="s">
        <v>0</v>
      </c>
      <c r="B1437" t="s">
        <v>8</v>
      </c>
      <c r="C1437" t="s">
        <v>442</v>
      </c>
      <c r="D1437" t="str">
        <f>VLOOKUP(C1437,'lookup table'!$A$2:$B$19,2,FALSE)</f>
        <v>Partner Unit</v>
      </c>
      <c r="E1437" t="str">
        <f t="shared" si="22"/>
        <v>|Partner Unit</v>
      </c>
    </row>
    <row r="1438" spans="1:5" x14ac:dyDescent="0.2">
      <c r="A1438" t="s">
        <v>0</v>
      </c>
      <c r="B1438" t="s">
        <v>8</v>
      </c>
      <c r="C1438" t="s">
        <v>442</v>
      </c>
      <c r="D1438" t="str">
        <f>VLOOKUP(C1438,'lookup table'!$A$2:$B$19,2,FALSE)</f>
        <v>Partner Unit</v>
      </c>
      <c r="E1438" t="str">
        <f t="shared" si="22"/>
        <v>|Partner Unit</v>
      </c>
    </row>
    <row r="1439" spans="1:5" x14ac:dyDescent="0.2">
      <c r="A1439" t="s">
        <v>0</v>
      </c>
      <c r="B1439" t="s">
        <v>445</v>
      </c>
      <c r="C1439" t="s">
        <v>442</v>
      </c>
      <c r="D1439" t="str">
        <f>VLOOKUP(C1439,'lookup table'!$A$2:$B$19,2,FALSE)</f>
        <v>Partner Unit</v>
      </c>
      <c r="E1439" t="str">
        <f t="shared" si="22"/>
        <v>|Partner Unit</v>
      </c>
    </row>
    <row r="1440" spans="1:5" x14ac:dyDescent="0.2">
      <c r="A1440" t="s">
        <v>0</v>
      </c>
      <c r="B1440" t="s">
        <v>445</v>
      </c>
      <c r="C1440" t="s">
        <v>442</v>
      </c>
      <c r="D1440" t="str">
        <f>VLOOKUP(C1440,'lookup table'!$A$2:$B$19,2,FALSE)</f>
        <v>Partner Unit</v>
      </c>
      <c r="E1440" t="str">
        <f t="shared" si="22"/>
        <v>|Partner Unit</v>
      </c>
    </row>
    <row r="1441" spans="1:5" x14ac:dyDescent="0.2">
      <c r="A1441" t="s">
        <v>0</v>
      </c>
      <c r="B1441" t="s">
        <v>446</v>
      </c>
      <c r="C1441" t="s">
        <v>442</v>
      </c>
      <c r="D1441" t="str">
        <f>VLOOKUP(C1441,'lookup table'!$A$2:$B$19,2,FALSE)</f>
        <v>Partner Unit</v>
      </c>
      <c r="E1441" t="str">
        <f t="shared" si="22"/>
        <v>|Partner Unit</v>
      </c>
    </row>
    <row r="1442" spans="1:5" x14ac:dyDescent="0.2">
      <c r="A1442" t="s">
        <v>0</v>
      </c>
      <c r="B1442" t="s">
        <v>405</v>
      </c>
      <c r="C1442" t="s">
        <v>442</v>
      </c>
      <c r="D1442" t="str">
        <f>VLOOKUP(C1442,'lookup table'!$A$2:$B$19,2,FALSE)</f>
        <v>Partner Unit</v>
      </c>
      <c r="E1442" t="str">
        <f t="shared" si="22"/>
        <v>|Partner Unit</v>
      </c>
    </row>
    <row r="1443" spans="1:5" x14ac:dyDescent="0.2">
      <c r="A1443" t="s">
        <v>0</v>
      </c>
      <c r="B1443" t="s">
        <v>15</v>
      </c>
      <c r="C1443" t="s">
        <v>442</v>
      </c>
      <c r="D1443" t="str">
        <f>VLOOKUP(C1443,'lookup table'!$A$2:$B$19,2,FALSE)</f>
        <v>Partner Unit</v>
      </c>
      <c r="E1443" t="str">
        <f t="shared" si="22"/>
        <v>|Partner Unit</v>
      </c>
    </row>
    <row r="1444" spans="1:5" x14ac:dyDescent="0.2">
      <c r="A1444" t="s">
        <v>0</v>
      </c>
      <c r="B1444" t="s">
        <v>15</v>
      </c>
      <c r="C1444" t="s">
        <v>442</v>
      </c>
      <c r="D1444" t="str">
        <f>VLOOKUP(C1444,'lookup table'!$A$2:$B$19,2,FALSE)</f>
        <v>Partner Unit</v>
      </c>
      <c r="E1444" t="str">
        <f t="shared" si="22"/>
        <v>|Partner Unit</v>
      </c>
    </row>
    <row r="1445" spans="1:5" x14ac:dyDescent="0.2">
      <c r="A1445" t="s">
        <v>0</v>
      </c>
      <c r="B1445" t="s">
        <v>405</v>
      </c>
      <c r="C1445" t="s">
        <v>442</v>
      </c>
      <c r="D1445" t="str">
        <f>VLOOKUP(C1445,'lookup table'!$A$2:$B$19,2,FALSE)</f>
        <v>Partner Unit</v>
      </c>
      <c r="E1445" t="str">
        <f t="shared" si="22"/>
        <v>|Partner Unit</v>
      </c>
    </row>
    <row r="1446" spans="1:5" x14ac:dyDescent="0.2">
      <c r="A1446" t="s">
        <v>0</v>
      </c>
      <c r="B1446" t="s">
        <v>129</v>
      </c>
      <c r="C1446" t="s">
        <v>442</v>
      </c>
      <c r="D1446" t="str">
        <f>VLOOKUP(C1446,'lookup table'!$A$2:$B$19,2,FALSE)</f>
        <v>Partner Unit</v>
      </c>
      <c r="E1446" t="str">
        <f t="shared" si="22"/>
        <v>|Partner Unit</v>
      </c>
    </row>
    <row r="1447" spans="1:5" x14ac:dyDescent="0.2">
      <c r="A1447" t="s">
        <v>0</v>
      </c>
      <c r="B1447" t="s">
        <v>130</v>
      </c>
      <c r="C1447" t="s">
        <v>442</v>
      </c>
      <c r="D1447" t="str">
        <f>VLOOKUP(C1447,'lookup table'!$A$2:$B$19,2,FALSE)</f>
        <v>Partner Unit</v>
      </c>
      <c r="E1447" t="str">
        <f t="shared" si="22"/>
        <v>|Partner Unit</v>
      </c>
    </row>
    <row r="1448" spans="1:5" x14ac:dyDescent="0.2">
      <c r="A1448" t="s">
        <v>0</v>
      </c>
      <c r="B1448" t="s">
        <v>130</v>
      </c>
      <c r="C1448" t="s">
        <v>442</v>
      </c>
      <c r="D1448" t="str">
        <f>VLOOKUP(C1448,'lookup table'!$A$2:$B$19,2,FALSE)</f>
        <v>Partner Unit</v>
      </c>
      <c r="E1448" t="str">
        <f t="shared" si="22"/>
        <v>|Partner Unit</v>
      </c>
    </row>
    <row r="1449" spans="1:5" x14ac:dyDescent="0.2">
      <c r="A1449" t="s">
        <v>0</v>
      </c>
      <c r="B1449" t="s">
        <v>131</v>
      </c>
      <c r="C1449" t="s">
        <v>442</v>
      </c>
      <c r="D1449" t="str">
        <f>VLOOKUP(C1449,'lookup table'!$A$2:$B$19,2,FALSE)</f>
        <v>Partner Unit</v>
      </c>
      <c r="E1449" t="str">
        <f t="shared" si="22"/>
        <v>|Partner Unit</v>
      </c>
    </row>
    <row r="1450" spans="1:5" x14ac:dyDescent="0.2">
      <c r="A1450" t="s">
        <v>0</v>
      </c>
      <c r="B1450" t="s">
        <v>444</v>
      </c>
      <c r="C1450" t="s">
        <v>442</v>
      </c>
      <c r="D1450" t="str">
        <f>VLOOKUP(C1450,'lookup table'!$A$2:$B$19,2,FALSE)</f>
        <v>Partner Unit</v>
      </c>
      <c r="E1450" t="str">
        <f t="shared" si="22"/>
        <v>|Partner Unit</v>
      </c>
    </row>
    <row r="1451" spans="1:5" x14ac:dyDescent="0.2">
      <c r="A1451" t="s">
        <v>0</v>
      </c>
      <c r="B1451" t="s">
        <v>106</v>
      </c>
      <c r="C1451" t="s">
        <v>442</v>
      </c>
      <c r="D1451" t="str">
        <f>VLOOKUP(C1451,'lookup table'!$A$2:$B$19,2,FALSE)</f>
        <v>Partner Unit</v>
      </c>
      <c r="E1451" t="str">
        <f t="shared" si="22"/>
        <v>|Partner Unit</v>
      </c>
    </row>
    <row r="1452" spans="1:5" x14ac:dyDescent="0.2">
      <c r="A1452" t="s">
        <v>0</v>
      </c>
      <c r="B1452" t="s">
        <v>107</v>
      </c>
      <c r="C1452" t="s">
        <v>442</v>
      </c>
      <c r="D1452" t="str">
        <f>VLOOKUP(C1452,'lookup table'!$A$2:$B$19,2,FALSE)</f>
        <v>Partner Unit</v>
      </c>
      <c r="E1452" t="str">
        <f t="shared" si="22"/>
        <v>|Partner Unit</v>
      </c>
    </row>
    <row r="1453" spans="1:5" x14ac:dyDescent="0.2">
      <c r="A1453" t="s">
        <v>0</v>
      </c>
      <c r="B1453" t="s">
        <v>16</v>
      </c>
      <c r="C1453" t="s">
        <v>442</v>
      </c>
      <c r="D1453" t="str">
        <f>VLOOKUP(C1453,'lookup table'!$A$2:$B$19,2,FALSE)</f>
        <v>Partner Unit</v>
      </c>
      <c r="E1453" t="str">
        <f t="shared" si="22"/>
        <v>|Partner Unit</v>
      </c>
    </row>
    <row r="1454" spans="1:5" x14ac:dyDescent="0.2">
      <c r="A1454" t="s">
        <v>0</v>
      </c>
      <c r="B1454" t="s">
        <v>444</v>
      </c>
      <c r="C1454" t="s">
        <v>442</v>
      </c>
      <c r="D1454" t="str">
        <f>VLOOKUP(C1454,'lookup table'!$A$2:$B$19,2,FALSE)</f>
        <v>Partner Unit</v>
      </c>
      <c r="E1454" t="str">
        <f t="shared" si="22"/>
        <v>|Partner Unit</v>
      </c>
    </row>
    <row r="1455" spans="1:5" x14ac:dyDescent="0.2">
      <c r="A1455" t="s">
        <v>0</v>
      </c>
      <c r="B1455" t="s">
        <v>443</v>
      </c>
      <c r="C1455" t="s">
        <v>442</v>
      </c>
      <c r="D1455" t="str">
        <f>VLOOKUP(C1455,'lookup table'!$A$2:$B$19,2,FALSE)</f>
        <v>Partner Unit</v>
      </c>
      <c r="E1455" t="str">
        <f t="shared" si="22"/>
        <v>|Partner Unit</v>
      </c>
    </row>
    <row r="1456" spans="1:5" x14ac:dyDescent="0.2">
      <c r="A1456" t="s">
        <v>0</v>
      </c>
      <c r="B1456" t="s">
        <v>132</v>
      </c>
      <c r="C1456" t="s">
        <v>442</v>
      </c>
      <c r="D1456" t="str">
        <f>VLOOKUP(C1456,'lookup table'!$A$2:$B$19,2,FALSE)</f>
        <v>Partner Unit</v>
      </c>
      <c r="E1456" t="str">
        <f t="shared" si="22"/>
        <v>|Partner Unit</v>
      </c>
    </row>
    <row r="1457" spans="1:5" x14ac:dyDescent="0.2">
      <c r="A1457" t="s">
        <v>0</v>
      </c>
      <c r="B1457" t="s">
        <v>119</v>
      </c>
      <c r="C1457" t="s">
        <v>442</v>
      </c>
      <c r="D1457" t="str">
        <f>VLOOKUP(C1457,'lookup table'!$A$2:$B$19,2,FALSE)</f>
        <v>Partner Unit</v>
      </c>
      <c r="E1457" t="str">
        <f t="shared" si="22"/>
        <v>|Partner Unit</v>
      </c>
    </row>
    <row r="1458" spans="1:5" x14ac:dyDescent="0.2">
      <c r="A1458" t="s">
        <v>0</v>
      </c>
      <c r="B1458" t="s">
        <v>394</v>
      </c>
      <c r="C1458" t="s">
        <v>442</v>
      </c>
      <c r="D1458" t="str">
        <f>VLOOKUP(C1458,'lookup table'!$A$2:$B$19,2,FALSE)</f>
        <v>Partner Unit</v>
      </c>
      <c r="E1458" t="str">
        <f t="shared" si="22"/>
        <v>|Partner Unit</v>
      </c>
    </row>
    <row r="1459" spans="1:5" x14ac:dyDescent="0.2">
      <c r="A1459" t="s">
        <v>0</v>
      </c>
      <c r="B1459" t="s">
        <v>133</v>
      </c>
      <c r="C1459" t="s">
        <v>442</v>
      </c>
      <c r="D1459" t="str">
        <f>VLOOKUP(C1459,'lookup table'!$A$2:$B$19,2,FALSE)</f>
        <v>Partner Unit</v>
      </c>
      <c r="E1459" t="str">
        <f t="shared" si="22"/>
        <v>|Partner Unit</v>
      </c>
    </row>
    <row r="1460" spans="1:5" x14ac:dyDescent="0.2">
      <c r="A1460" t="s">
        <v>0</v>
      </c>
      <c r="B1460" t="s">
        <v>134</v>
      </c>
      <c r="C1460" t="s">
        <v>442</v>
      </c>
      <c r="D1460" t="str">
        <f>VLOOKUP(C1460,'lookup table'!$A$2:$B$19,2,FALSE)</f>
        <v>Partner Unit</v>
      </c>
      <c r="E1460" t="str">
        <f t="shared" si="22"/>
        <v>|Partner Unit</v>
      </c>
    </row>
    <row r="1461" spans="1:5" x14ac:dyDescent="0.2">
      <c r="A1461" t="s">
        <v>0</v>
      </c>
      <c r="B1461" t="s">
        <v>16</v>
      </c>
      <c r="C1461" t="s">
        <v>442</v>
      </c>
      <c r="D1461" t="str">
        <f>VLOOKUP(C1461,'lookup table'!$A$2:$B$19,2,FALSE)</f>
        <v>Partner Unit</v>
      </c>
      <c r="E1461" t="str">
        <f t="shared" si="22"/>
        <v>|Partner Unit</v>
      </c>
    </row>
    <row r="1462" spans="1:5" x14ac:dyDescent="0.2">
      <c r="A1462" t="s">
        <v>0</v>
      </c>
      <c r="B1462" t="s">
        <v>420</v>
      </c>
      <c r="C1462" t="s">
        <v>442</v>
      </c>
      <c r="D1462" t="str">
        <f>VLOOKUP(C1462,'lookup table'!$A$2:$B$19,2,FALSE)</f>
        <v>Partner Unit</v>
      </c>
      <c r="E1462" t="str">
        <f t="shared" si="22"/>
        <v>|Partner Unit</v>
      </c>
    </row>
    <row r="1463" spans="1:5" x14ac:dyDescent="0.2">
      <c r="A1463" t="s">
        <v>0</v>
      </c>
      <c r="B1463" t="s">
        <v>16</v>
      </c>
      <c r="C1463" t="s">
        <v>442</v>
      </c>
      <c r="D1463" t="str">
        <f>VLOOKUP(C1463,'lookup table'!$A$2:$B$19,2,FALSE)</f>
        <v>Partner Unit</v>
      </c>
      <c r="E1463" t="str">
        <f t="shared" si="22"/>
        <v>|Partner Unit</v>
      </c>
    </row>
    <row r="1464" spans="1:5" x14ac:dyDescent="0.2">
      <c r="A1464" t="s">
        <v>0</v>
      </c>
      <c r="B1464" t="s">
        <v>17</v>
      </c>
      <c r="C1464" t="s">
        <v>442</v>
      </c>
      <c r="D1464" t="str">
        <f>VLOOKUP(C1464,'lookup table'!$A$2:$B$19,2,FALSE)</f>
        <v>Partner Unit</v>
      </c>
      <c r="E1464" t="str">
        <f t="shared" si="22"/>
        <v>|Partner Unit</v>
      </c>
    </row>
    <row r="1465" spans="1:5" x14ac:dyDescent="0.2">
      <c r="A1465" t="s">
        <v>0</v>
      </c>
      <c r="B1465" t="s">
        <v>13</v>
      </c>
      <c r="C1465" t="s">
        <v>447</v>
      </c>
      <c r="D1465" t="str">
        <f>VLOOKUP(C1465,'lookup table'!$A$2:$B$19,2,FALSE)</f>
        <v>REX</v>
      </c>
      <c r="E1465" t="str">
        <f t="shared" si="22"/>
        <v>|REX</v>
      </c>
    </row>
    <row r="1466" spans="1:5" x14ac:dyDescent="0.2">
      <c r="A1466" t="s">
        <v>0</v>
      </c>
      <c r="B1466" t="s">
        <v>1</v>
      </c>
      <c r="C1466" t="s">
        <v>447</v>
      </c>
      <c r="D1466" t="str">
        <f>VLOOKUP(C1466,'lookup table'!$A$2:$B$19,2,FALSE)</f>
        <v>REX</v>
      </c>
      <c r="E1466" t="str">
        <f t="shared" si="22"/>
        <v>|REX</v>
      </c>
    </row>
    <row r="1467" spans="1:5" x14ac:dyDescent="0.2">
      <c r="A1467" t="s">
        <v>0</v>
      </c>
      <c r="B1467" t="s">
        <v>3</v>
      </c>
      <c r="C1467" t="s">
        <v>447</v>
      </c>
      <c r="D1467" t="str">
        <f>VLOOKUP(C1467,'lookup table'!$A$2:$B$19,2,FALSE)</f>
        <v>REX</v>
      </c>
      <c r="E1467" t="str">
        <f t="shared" si="22"/>
        <v>|REX</v>
      </c>
    </row>
    <row r="1468" spans="1:5" x14ac:dyDescent="0.2">
      <c r="A1468" t="s">
        <v>0</v>
      </c>
      <c r="B1468" t="s">
        <v>7</v>
      </c>
      <c r="C1468" t="s">
        <v>447</v>
      </c>
      <c r="D1468" t="str">
        <f>VLOOKUP(C1468,'lookup table'!$A$2:$B$19,2,FALSE)</f>
        <v>REX</v>
      </c>
      <c r="E1468" t="str">
        <f t="shared" si="22"/>
        <v>|REX</v>
      </c>
    </row>
    <row r="1469" spans="1:5" x14ac:dyDescent="0.2">
      <c r="A1469" t="s">
        <v>0</v>
      </c>
      <c r="B1469" t="s">
        <v>7</v>
      </c>
      <c r="C1469" t="s">
        <v>447</v>
      </c>
      <c r="D1469" t="str">
        <f>VLOOKUP(C1469,'lookup table'!$A$2:$B$19,2,FALSE)</f>
        <v>REX</v>
      </c>
      <c r="E1469" t="str">
        <f t="shared" si="22"/>
        <v>|REX</v>
      </c>
    </row>
    <row r="1470" spans="1:5" x14ac:dyDescent="0.2">
      <c r="A1470" t="s">
        <v>0</v>
      </c>
      <c r="B1470" t="s">
        <v>4</v>
      </c>
      <c r="C1470" t="s">
        <v>447</v>
      </c>
      <c r="D1470" t="str">
        <f>VLOOKUP(C1470,'lookup table'!$A$2:$B$19,2,FALSE)</f>
        <v>REX</v>
      </c>
      <c r="E1470" t="str">
        <f t="shared" si="22"/>
        <v>|REX</v>
      </c>
    </row>
    <row r="1471" spans="1:5" x14ac:dyDescent="0.2">
      <c r="A1471" t="s">
        <v>0</v>
      </c>
      <c r="B1471" t="s">
        <v>8</v>
      </c>
      <c r="C1471" t="s">
        <v>447</v>
      </c>
      <c r="D1471" t="str">
        <f>VLOOKUP(C1471,'lookup table'!$A$2:$B$19,2,FALSE)</f>
        <v>REX</v>
      </c>
      <c r="E1471" t="str">
        <f t="shared" si="22"/>
        <v>|REX</v>
      </c>
    </row>
    <row r="1472" spans="1:5" x14ac:dyDescent="0.2">
      <c r="A1472" t="s">
        <v>0</v>
      </c>
      <c r="B1472" t="s">
        <v>8</v>
      </c>
      <c r="C1472" t="s">
        <v>447</v>
      </c>
      <c r="D1472" t="str">
        <f>VLOOKUP(C1472,'lookup table'!$A$2:$B$19,2,FALSE)</f>
        <v>REX</v>
      </c>
      <c r="E1472" t="str">
        <f t="shared" si="22"/>
        <v>|REX</v>
      </c>
    </row>
    <row r="1473" spans="1:5" x14ac:dyDescent="0.2">
      <c r="A1473" t="s">
        <v>0</v>
      </c>
      <c r="B1473" t="s">
        <v>15</v>
      </c>
      <c r="C1473" t="s">
        <v>447</v>
      </c>
      <c r="D1473" t="str">
        <f>VLOOKUP(C1473,'lookup table'!$A$2:$B$19,2,FALSE)</f>
        <v>REX</v>
      </c>
      <c r="E1473" t="str">
        <f t="shared" si="22"/>
        <v>|REX</v>
      </c>
    </row>
    <row r="1474" spans="1:5" x14ac:dyDescent="0.2">
      <c r="A1474" t="s">
        <v>0</v>
      </c>
      <c r="B1474" t="s">
        <v>15</v>
      </c>
      <c r="C1474" t="s">
        <v>447</v>
      </c>
      <c r="D1474" t="str">
        <f>VLOOKUP(C1474,'lookup table'!$A$2:$B$19,2,FALSE)</f>
        <v>REX</v>
      </c>
      <c r="E1474" t="str">
        <f t="shared" si="22"/>
        <v>|REX</v>
      </c>
    </row>
    <row r="1475" spans="1:5" x14ac:dyDescent="0.2">
      <c r="A1475" t="s">
        <v>0</v>
      </c>
      <c r="B1475" t="s">
        <v>16</v>
      </c>
      <c r="C1475" t="s">
        <v>447</v>
      </c>
      <c r="D1475" t="str">
        <f>VLOOKUP(C1475,'lookup table'!$A$2:$B$19,2,FALSE)</f>
        <v>REX</v>
      </c>
      <c r="E1475" t="str">
        <f t="shared" ref="E1475:E1538" si="23">IF(ISNA(D1475),"",IF(A1475="","",A1475) &amp; "|" &amp; D1475)</f>
        <v>|REX</v>
      </c>
    </row>
    <row r="1476" spans="1:5" x14ac:dyDescent="0.2">
      <c r="A1476" t="s">
        <v>0</v>
      </c>
      <c r="B1476" t="s">
        <v>16</v>
      </c>
      <c r="C1476" t="s">
        <v>447</v>
      </c>
      <c r="D1476" t="str">
        <f>VLOOKUP(C1476,'lookup table'!$A$2:$B$19,2,FALSE)</f>
        <v>REX</v>
      </c>
      <c r="E1476" t="str">
        <f t="shared" si="23"/>
        <v>|REX</v>
      </c>
    </row>
    <row r="1477" spans="1:5" x14ac:dyDescent="0.2">
      <c r="A1477" t="s">
        <v>0</v>
      </c>
      <c r="B1477" t="s">
        <v>16</v>
      </c>
      <c r="C1477" t="s">
        <v>447</v>
      </c>
      <c r="D1477" t="str">
        <f>VLOOKUP(C1477,'lookup table'!$A$2:$B$19,2,FALSE)</f>
        <v>REX</v>
      </c>
      <c r="E1477" t="str">
        <f t="shared" si="23"/>
        <v>|REX</v>
      </c>
    </row>
    <row r="1478" spans="1:5" x14ac:dyDescent="0.2">
      <c r="A1478" t="s">
        <v>0</v>
      </c>
      <c r="B1478" t="s">
        <v>17</v>
      </c>
      <c r="C1478" t="s">
        <v>447</v>
      </c>
      <c r="D1478" t="str">
        <f>VLOOKUP(C1478,'lookup table'!$A$2:$B$19,2,FALSE)</f>
        <v>REX</v>
      </c>
      <c r="E1478" t="str">
        <f t="shared" si="23"/>
        <v>|REX</v>
      </c>
    </row>
    <row r="1479" spans="1:5" x14ac:dyDescent="0.2">
      <c r="A1479" t="s">
        <v>0</v>
      </c>
      <c r="B1479" t="s">
        <v>337</v>
      </c>
      <c r="C1479" t="s">
        <v>448</v>
      </c>
      <c r="D1479" t="e">
        <f>VLOOKUP(C1479,'lookup table'!$A$2:$B$19,2,FALSE)</f>
        <v>#N/A</v>
      </c>
      <c r="E1479" t="str">
        <f t="shared" si="23"/>
        <v/>
      </c>
    </row>
    <row r="1480" spans="1:5" x14ac:dyDescent="0.2">
      <c r="A1480" t="s">
        <v>0</v>
      </c>
      <c r="B1480" t="s">
        <v>337</v>
      </c>
      <c r="C1480" t="s">
        <v>448</v>
      </c>
      <c r="D1480" t="e">
        <f>VLOOKUP(C1480,'lookup table'!$A$2:$B$19,2,FALSE)</f>
        <v>#N/A</v>
      </c>
      <c r="E1480" t="str">
        <f t="shared" si="23"/>
        <v/>
      </c>
    </row>
    <row r="1481" spans="1:5" x14ac:dyDescent="0.2">
      <c r="A1481" t="s">
        <v>0</v>
      </c>
      <c r="B1481" t="s">
        <v>1</v>
      </c>
      <c r="C1481" t="s">
        <v>448</v>
      </c>
      <c r="D1481" t="e">
        <f>VLOOKUP(C1481,'lookup table'!$A$2:$B$19,2,FALSE)</f>
        <v>#N/A</v>
      </c>
      <c r="E1481" t="str">
        <f t="shared" si="23"/>
        <v/>
      </c>
    </row>
    <row r="1482" spans="1:5" x14ac:dyDescent="0.2">
      <c r="A1482" t="s">
        <v>0</v>
      </c>
      <c r="B1482" t="s">
        <v>3</v>
      </c>
      <c r="C1482" t="s">
        <v>448</v>
      </c>
      <c r="D1482" t="e">
        <f>VLOOKUP(C1482,'lookup table'!$A$2:$B$19,2,FALSE)</f>
        <v>#N/A</v>
      </c>
      <c r="E1482" t="str">
        <f t="shared" si="23"/>
        <v/>
      </c>
    </row>
    <row r="1483" spans="1:5" x14ac:dyDescent="0.2">
      <c r="A1483" t="s">
        <v>0</v>
      </c>
      <c r="B1483" t="s">
        <v>7</v>
      </c>
      <c r="C1483" t="s">
        <v>448</v>
      </c>
      <c r="D1483" t="e">
        <f>VLOOKUP(C1483,'lookup table'!$A$2:$B$19,2,FALSE)</f>
        <v>#N/A</v>
      </c>
      <c r="E1483" t="str">
        <f t="shared" si="23"/>
        <v/>
      </c>
    </row>
    <row r="1484" spans="1:5" x14ac:dyDescent="0.2">
      <c r="A1484" t="s">
        <v>0</v>
      </c>
      <c r="B1484" t="s">
        <v>7</v>
      </c>
      <c r="C1484" t="s">
        <v>448</v>
      </c>
      <c r="D1484" t="e">
        <f>VLOOKUP(C1484,'lookup table'!$A$2:$B$19,2,FALSE)</f>
        <v>#N/A</v>
      </c>
      <c r="E1484" t="str">
        <f t="shared" si="23"/>
        <v/>
      </c>
    </row>
    <row r="1485" spans="1:5" x14ac:dyDescent="0.2">
      <c r="A1485" t="s">
        <v>0</v>
      </c>
      <c r="B1485" t="s">
        <v>4</v>
      </c>
      <c r="C1485" t="s">
        <v>448</v>
      </c>
      <c r="D1485" t="e">
        <f>VLOOKUP(C1485,'lookup table'!$A$2:$B$19,2,FALSE)</f>
        <v>#N/A</v>
      </c>
      <c r="E1485" t="str">
        <f t="shared" si="23"/>
        <v/>
      </c>
    </row>
    <row r="1486" spans="1:5" x14ac:dyDescent="0.2">
      <c r="A1486" t="s">
        <v>0</v>
      </c>
      <c r="B1486" t="s">
        <v>8</v>
      </c>
      <c r="C1486" t="s">
        <v>448</v>
      </c>
      <c r="D1486" t="e">
        <f>VLOOKUP(C1486,'lookup table'!$A$2:$B$19,2,FALSE)</f>
        <v>#N/A</v>
      </c>
      <c r="E1486" t="str">
        <f t="shared" si="23"/>
        <v/>
      </c>
    </row>
    <row r="1487" spans="1:5" x14ac:dyDescent="0.2">
      <c r="A1487" t="s">
        <v>0</v>
      </c>
      <c r="B1487" t="s">
        <v>8</v>
      </c>
      <c r="C1487" t="s">
        <v>448</v>
      </c>
      <c r="D1487" t="e">
        <f>VLOOKUP(C1487,'lookup table'!$A$2:$B$19,2,FALSE)</f>
        <v>#N/A</v>
      </c>
      <c r="E1487" t="str">
        <f t="shared" si="23"/>
        <v/>
      </c>
    </row>
    <row r="1488" spans="1:5" x14ac:dyDescent="0.2">
      <c r="A1488" t="s">
        <v>0</v>
      </c>
      <c r="B1488" t="s">
        <v>1</v>
      </c>
      <c r="C1488" t="s">
        <v>449</v>
      </c>
      <c r="D1488" t="e">
        <f>VLOOKUP(C1488,'lookup table'!$A$2:$B$19,2,FALSE)</f>
        <v>#N/A</v>
      </c>
      <c r="E1488" t="str">
        <f t="shared" si="23"/>
        <v/>
      </c>
    </row>
    <row r="1489" spans="1:5" x14ac:dyDescent="0.2">
      <c r="A1489" t="s">
        <v>0</v>
      </c>
      <c r="B1489" t="s">
        <v>3</v>
      </c>
      <c r="C1489" t="s">
        <v>449</v>
      </c>
      <c r="D1489" t="e">
        <f>VLOOKUP(C1489,'lookup table'!$A$2:$B$19,2,FALSE)</f>
        <v>#N/A</v>
      </c>
      <c r="E1489" t="str">
        <f t="shared" si="23"/>
        <v/>
      </c>
    </row>
    <row r="1490" spans="1:5" x14ac:dyDescent="0.2">
      <c r="A1490" t="s">
        <v>0</v>
      </c>
      <c r="B1490" t="s">
        <v>4</v>
      </c>
      <c r="C1490" t="s">
        <v>449</v>
      </c>
      <c r="D1490" t="e">
        <f>VLOOKUP(C1490,'lookup table'!$A$2:$B$19,2,FALSE)</f>
        <v>#N/A</v>
      </c>
      <c r="E1490" t="str">
        <f t="shared" si="23"/>
        <v/>
      </c>
    </row>
    <row r="1491" spans="1:5" x14ac:dyDescent="0.2">
      <c r="A1491" t="s">
        <v>0</v>
      </c>
      <c r="B1491" t="s">
        <v>73</v>
      </c>
      <c r="C1491" t="s">
        <v>449</v>
      </c>
      <c r="D1491" t="e">
        <f>VLOOKUP(C1491,'lookup table'!$A$2:$B$19,2,FALSE)</f>
        <v>#N/A</v>
      </c>
      <c r="E1491" t="str">
        <f t="shared" si="23"/>
        <v/>
      </c>
    </row>
    <row r="1492" spans="1:5" x14ac:dyDescent="0.2">
      <c r="A1492" t="s">
        <v>0</v>
      </c>
      <c r="B1492" t="s">
        <v>119</v>
      </c>
      <c r="C1492" t="s">
        <v>449</v>
      </c>
      <c r="D1492" t="e">
        <f>VLOOKUP(C1492,'lookup table'!$A$2:$B$19,2,FALSE)</f>
        <v>#N/A</v>
      </c>
      <c r="E1492" t="str">
        <f t="shared" si="23"/>
        <v/>
      </c>
    </row>
    <row r="1493" spans="1:5" x14ac:dyDescent="0.2">
      <c r="A1493" t="s">
        <v>0</v>
      </c>
      <c r="B1493" t="s">
        <v>393</v>
      </c>
      <c r="C1493" t="s">
        <v>449</v>
      </c>
      <c r="D1493" t="e">
        <f>VLOOKUP(C1493,'lookup table'!$A$2:$B$19,2,FALSE)</f>
        <v>#N/A</v>
      </c>
      <c r="E1493" t="str">
        <f t="shared" si="23"/>
        <v/>
      </c>
    </row>
    <row r="1494" spans="1:5" x14ac:dyDescent="0.2">
      <c r="A1494" t="s">
        <v>0</v>
      </c>
      <c r="B1494" t="s">
        <v>394</v>
      </c>
      <c r="C1494" t="s">
        <v>449</v>
      </c>
      <c r="D1494" t="e">
        <f>VLOOKUP(C1494,'lookup table'!$A$2:$B$19,2,FALSE)</f>
        <v>#N/A</v>
      </c>
      <c r="E1494" t="str">
        <f t="shared" si="23"/>
        <v/>
      </c>
    </row>
    <row r="1495" spans="1:5" x14ac:dyDescent="0.2">
      <c r="A1495" t="s">
        <v>0</v>
      </c>
      <c r="B1495" t="s">
        <v>395</v>
      </c>
      <c r="C1495" t="s">
        <v>449</v>
      </c>
      <c r="D1495" t="e">
        <f>VLOOKUP(C1495,'lookup table'!$A$2:$B$19,2,FALSE)</f>
        <v>#N/A</v>
      </c>
      <c r="E1495" t="str">
        <f t="shared" si="23"/>
        <v/>
      </c>
    </row>
    <row r="1496" spans="1:5" x14ac:dyDescent="0.2">
      <c r="A1496" t="s">
        <v>0</v>
      </c>
      <c r="B1496" t="s">
        <v>120</v>
      </c>
      <c r="C1496" t="s">
        <v>449</v>
      </c>
      <c r="D1496" t="e">
        <f>VLOOKUP(C1496,'lookup table'!$A$2:$B$19,2,FALSE)</f>
        <v>#N/A</v>
      </c>
      <c r="E1496" t="str">
        <f t="shared" si="23"/>
        <v/>
      </c>
    </row>
    <row r="1497" spans="1:5" x14ac:dyDescent="0.2">
      <c r="A1497" t="s">
        <v>0</v>
      </c>
      <c r="B1497" t="s">
        <v>121</v>
      </c>
      <c r="C1497" t="s">
        <v>449</v>
      </c>
      <c r="D1497" t="e">
        <f>VLOOKUP(C1497,'lookup table'!$A$2:$B$19,2,FALSE)</f>
        <v>#N/A</v>
      </c>
      <c r="E1497" t="str">
        <f t="shared" si="23"/>
        <v/>
      </c>
    </row>
    <row r="1498" spans="1:5" x14ac:dyDescent="0.2">
      <c r="A1498" t="s">
        <v>0</v>
      </c>
      <c r="B1498" t="s">
        <v>15</v>
      </c>
      <c r="C1498" t="s">
        <v>449</v>
      </c>
      <c r="D1498" t="e">
        <f>VLOOKUP(C1498,'lookup table'!$A$2:$B$19,2,FALSE)</f>
        <v>#N/A</v>
      </c>
      <c r="E1498" t="str">
        <f t="shared" si="23"/>
        <v/>
      </c>
    </row>
    <row r="1499" spans="1:5" x14ac:dyDescent="0.2">
      <c r="A1499" t="s">
        <v>0</v>
      </c>
      <c r="B1499" t="s">
        <v>15</v>
      </c>
      <c r="C1499" t="s">
        <v>449</v>
      </c>
      <c r="D1499" t="e">
        <f>VLOOKUP(C1499,'lookup table'!$A$2:$B$19,2,FALSE)</f>
        <v>#N/A</v>
      </c>
      <c r="E1499" t="str">
        <f t="shared" si="23"/>
        <v/>
      </c>
    </row>
    <row r="1500" spans="1:5" x14ac:dyDescent="0.2">
      <c r="A1500" t="s">
        <v>0</v>
      </c>
      <c r="B1500" t="s">
        <v>16</v>
      </c>
      <c r="C1500" t="s">
        <v>449</v>
      </c>
      <c r="D1500" t="e">
        <f>VLOOKUP(C1500,'lookup table'!$A$2:$B$19,2,FALSE)</f>
        <v>#N/A</v>
      </c>
      <c r="E1500" t="str">
        <f t="shared" si="23"/>
        <v/>
      </c>
    </row>
    <row r="1501" spans="1:5" x14ac:dyDescent="0.2">
      <c r="A1501" t="s">
        <v>0</v>
      </c>
      <c r="B1501" t="s">
        <v>132</v>
      </c>
      <c r="C1501" t="s">
        <v>449</v>
      </c>
      <c r="D1501" t="e">
        <f>VLOOKUP(C1501,'lookup table'!$A$2:$B$19,2,FALSE)</f>
        <v>#N/A</v>
      </c>
      <c r="E1501" t="str">
        <f t="shared" si="23"/>
        <v/>
      </c>
    </row>
    <row r="1502" spans="1:5" x14ac:dyDescent="0.2">
      <c r="A1502" t="s">
        <v>0</v>
      </c>
      <c r="B1502" t="s">
        <v>119</v>
      </c>
      <c r="C1502" t="s">
        <v>449</v>
      </c>
      <c r="D1502" t="e">
        <f>VLOOKUP(C1502,'lookup table'!$A$2:$B$19,2,FALSE)</f>
        <v>#N/A</v>
      </c>
      <c r="E1502" t="str">
        <f t="shared" si="23"/>
        <v/>
      </c>
    </row>
    <row r="1503" spans="1:5" x14ac:dyDescent="0.2">
      <c r="A1503" t="s">
        <v>0</v>
      </c>
      <c r="B1503" t="s">
        <v>414</v>
      </c>
      <c r="C1503" t="s">
        <v>449</v>
      </c>
      <c r="D1503" t="e">
        <f>VLOOKUP(C1503,'lookup table'!$A$2:$B$19,2,FALSE)</f>
        <v>#N/A</v>
      </c>
      <c r="E1503" t="str">
        <f t="shared" si="23"/>
        <v/>
      </c>
    </row>
    <row r="1504" spans="1:5" x14ac:dyDescent="0.2">
      <c r="A1504" t="s">
        <v>0</v>
      </c>
      <c r="B1504" t="s">
        <v>393</v>
      </c>
      <c r="C1504" t="s">
        <v>449</v>
      </c>
      <c r="D1504" t="e">
        <f>VLOOKUP(C1504,'lookup table'!$A$2:$B$19,2,FALSE)</f>
        <v>#N/A</v>
      </c>
      <c r="E1504" t="str">
        <f t="shared" si="23"/>
        <v/>
      </c>
    </row>
    <row r="1505" spans="1:5" x14ac:dyDescent="0.2">
      <c r="A1505" t="s">
        <v>0</v>
      </c>
      <c r="B1505" t="s">
        <v>394</v>
      </c>
      <c r="C1505" t="s">
        <v>449</v>
      </c>
      <c r="D1505" t="e">
        <f>VLOOKUP(C1505,'lookup table'!$A$2:$B$19,2,FALSE)</f>
        <v>#N/A</v>
      </c>
      <c r="E1505" t="str">
        <f t="shared" si="23"/>
        <v/>
      </c>
    </row>
    <row r="1506" spans="1:5" x14ac:dyDescent="0.2">
      <c r="A1506" t="s">
        <v>0</v>
      </c>
      <c r="B1506" t="s">
        <v>395</v>
      </c>
      <c r="C1506" t="s">
        <v>449</v>
      </c>
      <c r="D1506" t="e">
        <f>VLOOKUP(C1506,'lookup table'!$A$2:$B$19,2,FALSE)</f>
        <v>#N/A</v>
      </c>
      <c r="E1506" t="str">
        <f t="shared" si="23"/>
        <v/>
      </c>
    </row>
    <row r="1507" spans="1:5" x14ac:dyDescent="0.2">
      <c r="A1507" t="s">
        <v>0</v>
      </c>
      <c r="B1507" t="s">
        <v>415</v>
      </c>
      <c r="C1507" t="s">
        <v>449</v>
      </c>
      <c r="D1507" t="e">
        <f>VLOOKUP(C1507,'lookup table'!$A$2:$B$19,2,FALSE)</f>
        <v>#N/A</v>
      </c>
      <c r="E1507" t="str">
        <f t="shared" si="23"/>
        <v/>
      </c>
    </row>
    <row r="1508" spans="1:5" x14ac:dyDescent="0.2">
      <c r="A1508" t="s">
        <v>0</v>
      </c>
      <c r="B1508" t="s">
        <v>133</v>
      </c>
      <c r="C1508" t="s">
        <v>449</v>
      </c>
      <c r="D1508" t="e">
        <f>VLOOKUP(C1508,'lookup table'!$A$2:$B$19,2,FALSE)</f>
        <v>#N/A</v>
      </c>
      <c r="E1508" t="str">
        <f t="shared" si="23"/>
        <v/>
      </c>
    </row>
    <row r="1509" spans="1:5" x14ac:dyDescent="0.2">
      <c r="A1509" t="s">
        <v>0</v>
      </c>
      <c r="B1509" t="s">
        <v>134</v>
      </c>
      <c r="C1509" t="s">
        <v>449</v>
      </c>
      <c r="D1509" t="e">
        <f>VLOOKUP(C1509,'lookup table'!$A$2:$B$19,2,FALSE)</f>
        <v>#N/A</v>
      </c>
      <c r="E1509" t="str">
        <f t="shared" si="23"/>
        <v/>
      </c>
    </row>
    <row r="1510" spans="1:5" x14ac:dyDescent="0.2">
      <c r="A1510" t="s">
        <v>0</v>
      </c>
      <c r="B1510" t="s">
        <v>416</v>
      </c>
      <c r="C1510" t="s">
        <v>449</v>
      </c>
      <c r="D1510" t="e">
        <f>VLOOKUP(C1510,'lookup table'!$A$2:$B$19,2,FALSE)</f>
        <v>#N/A</v>
      </c>
      <c r="E1510" t="str">
        <f t="shared" si="23"/>
        <v/>
      </c>
    </row>
    <row r="1511" spans="1:5" x14ac:dyDescent="0.2">
      <c r="A1511" t="s">
        <v>0</v>
      </c>
      <c r="B1511" t="s">
        <v>417</v>
      </c>
      <c r="C1511" t="s">
        <v>449</v>
      </c>
      <c r="D1511" t="e">
        <f>VLOOKUP(C1511,'lookup table'!$A$2:$B$19,2,FALSE)</f>
        <v>#N/A</v>
      </c>
      <c r="E1511" t="str">
        <f t="shared" si="23"/>
        <v/>
      </c>
    </row>
    <row r="1512" spans="1:5" x14ac:dyDescent="0.2">
      <c r="A1512" t="s">
        <v>0</v>
      </c>
      <c r="B1512" t="s">
        <v>418</v>
      </c>
      <c r="C1512" t="s">
        <v>449</v>
      </c>
      <c r="D1512" t="e">
        <f>VLOOKUP(C1512,'lookup table'!$A$2:$B$19,2,FALSE)</f>
        <v>#N/A</v>
      </c>
      <c r="E1512" t="str">
        <f t="shared" si="23"/>
        <v/>
      </c>
    </row>
    <row r="1513" spans="1:5" x14ac:dyDescent="0.2">
      <c r="A1513" t="s">
        <v>0</v>
      </c>
      <c r="B1513" t="s">
        <v>419</v>
      </c>
      <c r="C1513" t="s">
        <v>449</v>
      </c>
      <c r="D1513" t="e">
        <f>VLOOKUP(C1513,'lookup table'!$A$2:$B$19,2,FALSE)</f>
        <v>#N/A</v>
      </c>
      <c r="E1513" t="str">
        <f t="shared" si="23"/>
        <v/>
      </c>
    </row>
    <row r="1514" spans="1:5" x14ac:dyDescent="0.2">
      <c r="A1514" t="s">
        <v>0</v>
      </c>
      <c r="B1514" t="s">
        <v>417</v>
      </c>
      <c r="C1514" t="s">
        <v>449</v>
      </c>
      <c r="D1514" t="e">
        <f>VLOOKUP(C1514,'lookup table'!$A$2:$B$19,2,FALSE)</f>
        <v>#N/A</v>
      </c>
      <c r="E1514" t="str">
        <f t="shared" si="23"/>
        <v/>
      </c>
    </row>
    <row r="1515" spans="1:5" x14ac:dyDescent="0.2">
      <c r="A1515" t="s">
        <v>0</v>
      </c>
      <c r="B1515" t="s">
        <v>421</v>
      </c>
      <c r="C1515" t="s">
        <v>449</v>
      </c>
      <c r="D1515" t="e">
        <f>VLOOKUP(C1515,'lookup table'!$A$2:$B$19,2,FALSE)</f>
        <v>#N/A</v>
      </c>
      <c r="E1515" t="str">
        <f t="shared" si="23"/>
        <v/>
      </c>
    </row>
    <row r="1516" spans="1:5" x14ac:dyDescent="0.2">
      <c r="A1516" t="s">
        <v>0</v>
      </c>
      <c r="B1516" t="s">
        <v>450</v>
      </c>
      <c r="C1516" t="s">
        <v>449</v>
      </c>
      <c r="D1516" t="e">
        <f>VLOOKUP(C1516,'lookup table'!$A$2:$B$19,2,FALSE)</f>
        <v>#N/A</v>
      </c>
      <c r="E1516" t="str">
        <f t="shared" si="23"/>
        <v/>
      </c>
    </row>
    <row r="1517" spans="1:5" x14ac:dyDescent="0.2">
      <c r="A1517" t="s">
        <v>0</v>
      </c>
      <c r="B1517" t="s">
        <v>17</v>
      </c>
      <c r="C1517" t="s">
        <v>449</v>
      </c>
      <c r="D1517" t="e">
        <f>VLOOKUP(C1517,'lookup table'!$A$2:$B$19,2,FALSE)</f>
        <v>#N/A</v>
      </c>
      <c r="E1517" t="str">
        <f t="shared" si="23"/>
        <v/>
      </c>
    </row>
    <row r="1518" spans="1:5" x14ac:dyDescent="0.2">
      <c r="A1518" t="s">
        <v>0</v>
      </c>
      <c r="B1518" t="s">
        <v>18</v>
      </c>
      <c r="C1518" t="s">
        <v>449</v>
      </c>
      <c r="D1518" t="e">
        <f>VLOOKUP(C1518,'lookup table'!$A$2:$B$19,2,FALSE)</f>
        <v>#N/A</v>
      </c>
      <c r="E1518" t="str">
        <f t="shared" si="23"/>
        <v/>
      </c>
    </row>
    <row r="1519" spans="1:5" x14ac:dyDescent="0.2">
      <c r="A1519" t="s">
        <v>0</v>
      </c>
      <c r="B1519" t="s">
        <v>1</v>
      </c>
      <c r="C1519" t="s">
        <v>451</v>
      </c>
      <c r="D1519" t="str">
        <f>VLOOKUP(C1519,'lookup table'!$A$2:$B$19,2,FALSE)</f>
        <v>Segment</v>
      </c>
      <c r="E1519" t="str">
        <f t="shared" si="23"/>
        <v>|Segment</v>
      </c>
    </row>
    <row r="1520" spans="1:5" x14ac:dyDescent="0.2">
      <c r="A1520" t="s">
        <v>0</v>
      </c>
      <c r="B1520" t="s">
        <v>3</v>
      </c>
      <c r="C1520" t="s">
        <v>451</v>
      </c>
      <c r="D1520" t="str">
        <f>VLOOKUP(C1520,'lookup table'!$A$2:$B$19,2,FALSE)</f>
        <v>Segment</v>
      </c>
      <c r="E1520" t="str">
        <f t="shared" si="23"/>
        <v>|Segment</v>
      </c>
    </row>
    <row r="1521" spans="1:5" x14ac:dyDescent="0.2">
      <c r="A1521" t="s">
        <v>0</v>
      </c>
      <c r="B1521" t="s">
        <v>7</v>
      </c>
      <c r="C1521" t="s">
        <v>451</v>
      </c>
      <c r="D1521" t="str">
        <f>VLOOKUP(C1521,'lookup table'!$A$2:$B$19,2,FALSE)</f>
        <v>Segment</v>
      </c>
      <c r="E1521" t="str">
        <f t="shared" si="23"/>
        <v>|Segment</v>
      </c>
    </row>
    <row r="1522" spans="1:5" x14ac:dyDescent="0.2">
      <c r="A1522" t="s">
        <v>0</v>
      </c>
      <c r="B1522" t="s">
        <v>7</v>
      </c>
      <c r="C1522" t="s">
        <v>451</v>
      </c>
      <c r="D1522" t="str">
        <f>VLOOKUP(C1522,'lookup table'!$A$2:$B$19,2,FALSE)</f>
        <v>Segment</v>
      </c>
      <c r="E1522" t="str">
        <f t="shared" si="23"/>
        <v>|Segment</v>
      </c>
    </row>
    <row r="1523" spans="1:5" x14ac:dyDescent="0.2">
      <c r="A1523" t="s">
        <v>0</v>
      </c>
      <c r="B1523" t="s">
        <v>4</v>
      </c>
      <c r="C1523" t="s">
        <v>451</v>
      </c>
      <c r="D1523" t="str">
        <f>VLOOKUP(C1523,'lookup table'!$A$2:$B$19,2,FALSE)</f>
        <v>Segment</v>
      </c>
      <c r="E1523" t="str">
        <f t="shared" si="23"/>
        <v>|Segment</v>
      </c>
    </row>
    <row r="1524" spans="1:5" x14ac:dyDescent="0.2">
      <c r="A1524" t="s">
        <v>0</v>
      </c>
      <c r="B1524" t="s">
        <v>70</v>
      </c>
      <c r="C1524" t="s">
        <v>451</v>
      </c>
      <c r="D1524" t="str">
        <f>VLOOKUP(C1524,'lookup table'!$A$2:$B$19,2,FALSE)</f>
        <v>Segment</v>
      </c>
      <c r="E1524" t="str">
        <f t="shared" si="23"/>
        <v>|Segment</v>
      </c>
    </row>
    <row r="1525" spans="1:5" x14ac:dyDescent="0.2">
      <c r="A1525" t="s">
        <v>0</v>
      </c>
      <c r="B1525" t="s">
        <v>72</v>
      </c>
      <c r="C1525" t="s">
        <v>451</v>
      </c>
      <c r="D1525" t="str">
        <f>VLOOKUP(C1525,'lookup table'!$A$2:$B$19,2,FALSE)</f>
        <v>Segment</v>
      </c>
      <c r="E1525" t="str">
        <f t="shared" si="23"/>
        <v>|Segment</v>
      </c>
    </row>
    <row r="1526" spans="1:5" x14ac:dyDescent="0.2">
      <c r="A1526" t="s">
        <v>0</v>
      </c>
      <c r="B1526" t="s">
        <v>72</v>
      </c>
      <c r="C1526" t="s">
        <v>451</v>
      </c>
      <c r="D1526" t="str">
        <f>VLOOKUP(C1526,'lookup table'!$A$2:$B$19,2,FALSE)</f>
        <v>Segment</v>
      </c>
      <c r="E1526" t="str">
        <f t="shared" si="23"/>
        <v>|Segment</v>
      </c>
    </row>
    <row r="1527" spans="1:5" x14ac:dyDescent="0.2">
      <c r="A1527" t="s">
        <v>0</v>
      </c>
      <c r="B1527" t="s">
        <v>17</v>
      </c>
      <c r="C1527" t="s">
        <v>451</v>
      </c>
      <c r="D1527" t="str">
        <f>VLOOKUP(C1527,'lookup table'!$A$2:$B$19,2,FALSE)</f>
        <v>Segment</v>
      </c>
      <c r="E1527" t="str">
        <f t="shared" si="23"/>
        <v>|Segment</v>
      </c>
    </row>
    <row r="1528" spans="1:5" x14ac:dyDescent="0.2">
      <c r="A1528" t="s">
        <v>0</v>
      </c>
      <c r="B1528" t="s">
        <v>73</v>
      </c>
      <c r="C1528" t="s">
        <v>451</v>
      </c>
      <c r="D1528" t="str">
        <f>VLOOKUP(C1528,'lookup table'!$A$2:$B$19,2,FALSE)</f>
        <v>Segment</v>
      </c>
      <c r="E1528" t="str">
        <f t="shared" si="23"/>
        <v>|Segment</v>
      </c>
    </row>
    <row r="1529" spans="1:5" x14ac:dyDescent="0.2">
      <c r="A1529" t="s">
        <v>0</v>
      </c>
      <c r="B1529" t="s">
        <v>452</v>
      </c>
      <c r="C1529" t="s">
        <v>451</v>
      </c>
      <c r="D1529" t="str">
        <f>VLOOKUP(C1529,'lookup table'!$A$2:$B$19,2,FALSE)</f>
        <v>Segment</v>
      </c>
      <c r="E1529" t="str">
        <f t="shared" si="23"/>
        <v>|Segment</v>
      </c>
    </row>
    <row r="1530" spans="1:5" x14ac:dyDescent="0.2">
      <c r="A1530" t="s">
        <v>0</v>
      </c>
      <c r="B1530" t="s">
        <v>452</v>
      </c>
      <c r="C1530" t="s">
        <v>451</v>
      </c>
      <c r="D1530" t="str">
        <f>VLOOKUP(C1530,'lookup table'!$A$2:$B$19,2,FALSE)</f>
        <v>Segment</v>
      </c>
      <c r="E1530" t="str">
        <f t="shared" si="23"/>
        <v>|Segment</v>
      </c>
    </row>
    <row r="1531" spans="1:5" x14ac:dyDescent="0.2">
      <c r="A1531" t="s">
        <v>0</v>
      </c>
      <c r="B1531" t="s">
        <v>391</v>
      </c>
      <c r="C1531" t="s">
        <v>451</v>
      </c>
      <c r="D1531" t="str">
        <f>VLOOKUP(C1531,'lookup table'!$A$2:$B$19,2,FALSE)</f>
        <v>Segment</v>
      </c>
      <c r="E1531" t="str">
        <f t="shared" si="23"/>
        <v>|Segment</v>
      </c>
    </row>
    <row r="1532" spans="1:5" x14ac:dyDescent="0.2">
      <c r="A1532" t="s">
        <v>0</v>
      </c>
      <c r="B1532" t="s">
        <v>391</v>
      </c>
      <c r="C1532" t="s">
        <v>451</v>
      </c>
      <c r="D1532" t="str">
        <f>VLOOKUP(C1532,'lookup table'!$A$2:$B$19,2,FALSE)</f>
        <v>Segment</v>
      </c>
      <c r="E1532" t="str">
        <f t="shared" si="23"/>
        <v>|Segment</v>
      </c>
    </row>
    <row r="1533" spans="1:5" x14ac:dyDescent="0.2">
      <c r="A1533" t="s">
        <v>0</v>
      </c>
      <c r="B1533" t="s">
        <v>120</v>
      </c>
      <c r="C1533" t="s">
        <v>451</v>
      </c>
      <c r="D1533" t="str">
        <f>VLOOKUP(C1533,'lookup table'!$A$2:$B$19,2,FALSE)</f>
        <v>Segment</v>
      </c>
      <c r="E1533" t="str">
        <f t="shared" si="23"/>
        <v>|Segment</v>
      </c>
    </row>
    <row r="1534" spans="1:5" x14ac:dyDescent="0.2">
      <c r="A1534" t="s">
        <v>0</v>
      </c>
      <c r="B1534" t="s">
        <v>121</v>
      </c>
      <c r="C1534" t="s">
        <v>451</v>
      </c>
      <c r="D1534" t="str">
        <f>VLOOKUP(C1534,'lookup table'!$A$2:$B$19,2,FALSE)</f>
        <v>Segment</v>
      </c>
      <c r="E1534" t="str">
        <f t="shared" si="23"/>
        <v>|Segment</v>
      </c>
    </row>
    <row r="1535" spans="1:5" x14ac:dyDescent="0.2">
      <c r="A1535" t="s">
        <v>0</v>
      </c>
      <c r="B1535" t="s">
        <v>453</v>
      </c>
      <c r="C1535" t="s">
        <v>451</v>
      </c>
      <c r="D1535" t="str">
        <f>VLOOKUP(C1535,'lookup table'!$A$2:$B$19,2,FALSE)</f>
        <v>Segment</v>
      </c>
      <c r="E1535" t="str">
        <f t="shared" si="23"/>
        <v>|Segment</v>
      </c>
    </row>
    <row r="1536" spans="1:5" x14ac:dyDescent="0.2">
      <c r="A1536" t="s">
        <v>0</v>
      </c>
      <c r="B1536" t="s">
        <v>70</v>
      </c>
      <c r="C1536" t="s">
        <v>451</v>
      </c>
      <c r="D1536" t="str">
        <f>VLOOKUP(C1536,'lookup table'!$A$2:$B$19,2,FALSE)</f>
        <v>Segment</v>
      </c>
      <c r="E1536" t="str">
        <f t="shared" si="23"/>
        <v>|Segment</v>
      </c>
    </row>
    <row r="1537" spans="1:5" x14ac:dyDescent="0.2">
      <c r="A1537" t="s">
        <v>0</v>
      </c>
      <c r="B1537" t="s">
        <v>122</v>
      </c>
      <c r="C1537" t="s">
        <v>451</v>
      </c>
      <c r="D1537" t="str">
        <f>VLOOKUP(C1537,'lookup table'!$A$2:$B$19,2,FALSE)</f>
        <v>Segment</v>
      </c>
      <c r="E1537" t="str">
        <f t="shared" si="23"/>
        <v>|Segment</v>
      </c>
    </row>
    <row r="1538" spans="1:5" x14ac:dyDescent="0.2">
      <c r="A1538" t="s">
        <v>0</v>
      </c>
      <c r="B1538" t="s">
        <v>72</v>
      </c>
      <c r="C1538" t="s">
        <v>451</v>
      </c>
      <c r="D1538" t="str">
        <f>VLOOKUP(C1538,'lookup table'!$A$2:$B$19,2,FALSE)</f>
        <v>Segment</v>
      </c>
      <c r="E1538" t="str">
        <f t="shared" si="23"/>
        <v>|Segment</v>
      </c>
    </row>
    <row r="1539" spans="1:5" x14ac:dyDescent="0.2">
      <c r="A1539" t="s">
        <v>0</v>
      </c>
      <c r="B1539" t="s">
        <v>72</v>
      </c>
      <c r="C1539" t="s">
        <v>451</v>
      </c>
      <c r="D1539" t="str">
        <f>VLOOKUP(C1539,'lookup table'!$A$2:$B$19,2,FALSE)</f>
        <v>Segment</v>
      </c>
      <c r="E1539" t="str">
        <f t="shared" ref="E1539:E1602" si="24">IF(ISNA(D1539),"",IF(A1539="","",A1539) &amp; "|" &amp; D1539)</f>
        <v>|Segment</v>
      </c>
    </row>
    <row r="1540" spans="1:5" x14ac:dyDescent="0.2">
      <c r="A1540" t="s">
        <v>0</v>
      </c>
      <c r="B1540" t="s">
        <v>72</v>
      </c>
      <c r="C1540" t="s">
        <v>451</v>
      </c>
      <c r="D1540" t="str">
        <f>VLOOKUP(C1540,'lookup table'!$A$2:$B$19,2,FALSE)</f>
        <v>Segment</v>
      </c>
      <c r="E1540" t="str">
        <f t="shared" si="24"/>
        <v>|Segment</v>
      </c>
    </row>
    <row r="1541" spans="1:5" x14ac:dyDescent="0.2">
      <c r="A1541" t="s">
        <v>0</v>
      </c>
      <c r="B1541" t="s">
        <v>8</v>
      </c>
      <c r="C1541" t="s">
        <v>451</v>
      </c>
      <c r="D1541" t="str">
        <f>VLOOKUP(C1541,'lookup table'!$A$2:$B$19,2,FALSE)</f>
        <v>Segment</v>
      </c>
      <c r="E1541" t="str">
        <f t="shared" si="24"/>
        <v>|Segment</v>
      </c>
    </row>
    <row r="1542" spans="1:5" x14ac:dyDescent="0.2">
      <c r="A1542" t="s">
        <v>0</v>
      </c>
      <c r="B1542" t="s">
        <v>8</v>
      </c>
      <c r="C1542" t="s">
        <v>451</v>
      </c>
      <c r="D1542" t="str">
        <f>VLOOKUP(C1542,'lookup table'!$A$2:$B$19,2,FALSE)</f>
        <v>Segment</v>
      </c>
      <c r="E1542" t="str">
        <f t="shared" si="24"/>
        <v>|Segment</v>
      </c>
    </row>
    <row r="1543" spans="1:5" x14ac:dyDescent="0.2">
      <c r="A1543" t="s">
        <v>0</v>
      </c>
      <c r="B1543" t="s">
        <v>454</v>
      </c>
      <c r="C1543" t="s">
        <v>451</v>
      </c>
      <c r="D1543" t="str">
        <f>VLOOKUP(C1543,'lookup table'!$A$2:$B$19,2,FALSE)</f>
        <v>Segment</v>
      </c>
      <c r="E1543" t="str">
        <f t="shared" si="24"/>
        <v>|Segment</v>
      </c>
    </row>
    <row r="1544" spans="1:5" x14ac:dyDescent="0.2">
      <c r="A1544" t="s">
        <v>0</v>
      </c>
      <c r="B1544" t="s">
        <v>454</v>
      </c>
      <c r="C1544" t="s">
        <v>451</v>
      </c>
      <c r="D1544" t="str">
        <f>VLOOKUP(C1544,'lookup table'!$A$2:$B$19,2,FALSE)</f>
        <v>Segment</v>
      </c>
      <c r="E1544" t="str">
        <f t="shared" si="24"/>
        <v>|Segment</v>
      </c>
    </row>
    <row r="1545" spans="1:5" x14ac:dyDescent="0.2">
      <c r="A1545" t="s">
        <v>0</v>
      </c>
      <c r="B1545" t="s">
        <v>454</v>
      </c>
      <c r="C1545" t="s">
        <v>451</v>
      </c>
      <c r="D1545" t="str">
        <f>VLOOKUP(C1545,'lookup table'!$A$2:$B$19,2,FALSE)</f>
        <v>Segment</v>
      </c>
      <c r="E1545" t="str">
        <f t="shared" si="24"/>
        <v>|Segment</v>
      </c>
    </row>
    <row r="1546" spans="1:5" x14ac:dyDescent="0.2">
      <c r="A1546" t="s">
        <v>0</v>
      </c>
      <c r="B1546" t="s">
        <v>454</v>
      </c>
      <c r="C1546" t="s">
        <v>451</v>
      </c>
      <c r="D1546" t="str">
        <f>VLOOKUP(C1546,'lookup table'!$A$2:$B$19,2,FALSE)</f>
        <v>Segment</v>
      </c>
      <c r="E1546" t="str">
        <f t="shared" si="24"/>
        <v>|Segment</v>
      </c>
    </row>
    <row r="1547" spans="1:5" x14ac:dyDescent="0.2">
      <c r="A1547" t="s">
        <v>0</v>
      </c>
      <c r="B1547" t="s">
        <v>454</v>
      </c>
      <c r="C1547" t="s">
        <v>451</v>
      </c>
      <c r="D1547" t="str">
        <f>VLOOKUP(C1547,'lookup table'!$A$2:$B$19,2,FALSE)</f>
        <v>Segment</v>
      </c>
      <c r="E1547" t="str">
        <f t="shared" si="24"/>
        <v>|Segment</v>
      </c>
    </row>
    <row r="1548" spans="1:5" x14ac:dyDescent="0.2">
      <c r="A1548" t="s">
        <v>0</v>
      </c>
      <c r="B1548" t="s">
        <v>130</v>
      </c>
      <c r="C1548" t="s">
        <v>451</v>
      </c>
      <c r="D1548" t="str">
        <f>VLOOKUP(C1548,'lookup table'!$A$2:$B$19,2,FALSE)</f>
        <v>Segment</v>
      </c>
      <c r="E1548" t="str">
        <f t="shared" si="24"/>
        <v>|Segment</v>
      </c>
    </row>
    <row r="1549" spans="1:5" x14ac:dyDescent="0.2">
      <c r="A1549" t="s">
        <v>0</v>
      </c>
      <c r="B1549" t="s">
        <v>130</v>
      </c>
      <c r="C1549" t="s">
        <v>451</v>
      </c>
      <c r="D1549" t="str">
        <f>VLOOKUP(C1549,'lookup table'!$A$2:$B$19,2,FALSE)</f>
        <v>Segment</v>
      </c>
      <c r="E1549" t="str">
        <f t="shared" si="24"/>
        <v>|Segment</v>
      </c>
    </row>
    <row r="1550" spans="1:5" x14ac:dyDescent="0.2">
      <c r="A1550" t="s">
        <v>0</v>
      </c>
      <c r="B1550" t="s">
        <v>131</v>
      </c>
      <c r="C1550" t="s">
        <v>451</v>
      </c>
      <c r="D1550" t="str">
        <f>VLOOKUP(C1550,'lookup table'!$A$2:$B$19,2,FALSE)</f>
        <v>Segment</v>
      </c>
      <c r="E1550" t="str">
        <f t="shared" si="24"/>
        <v>|Segment</v>
      </c>
    </row>
    <row r="1551" spans="1:5" x14ac:dyDescent="0.2">
      <c r="A1551" t="s">
        <v>0</v>
      </c>
      <c r="B1551" t="s">
        <v>16</v>
      </c>
      <c r="C1551" t="s">
        <v>451</v>
      </c>
      <c r="D1551" t="str">
        <f>VLOOKUP(C1551,'lookup table'!$A$2:$B$19,2,FALSE)</f>
        <v>Segment</v>
      </c>
      <c r="E1551" t="str">
        <f t="shared" si="24"/>
        <v>|Segment</v>
      </c>
    </row>
    <row r="1552" spans="1:5" x14ac:dyDescent="0.2">
      <c r="A1552" t="s">
        <v>0</v>
      </c>
      <c r="B1552" t="s">
        <v>16</v>
      </c>
      <c r="C1552" t="s">
        <v>451</v>
      </c>
      <c r="D1552" t="str">
        <f>VLOOKUP(C1552,'lookup table'!$A$2:$B$19,2,FALSE)</f>
        <v>Segment</v>
      </c>
      <c r="E1552" t="str">
        <f t="shared" si="24"/>
        <v>|Segment</v>
      </c>
    </row>
    <row r="1553" spans="1:5" x14ac:dyDescent="0.2">
      <c r="A1553" t="s">
        <v>0</v>
      </c>
      <c r="B1553" t="s">
        <v>420</v>
      </c>
      <c r="C1553" t="s">
        <v>451</v>
      </c>
      <c r="D1553" t="str">
        <f>VLOOKUP(C1553,'lookup table'!$A$2:$B$19,2,FALSE)</f>
        <v>Segment</v>
      </c>
      <c r="E1553" t="str">
        <f t="shared" si="24"/>
        <v>|Segment</v>
      </c>
    </row>
    <row r="1554" spans="1:5" x14ac:dyDescent="0.2">
      <c r="A1554" t="s">
        <v>0</v>
      </c>
      <c r="B1554" t="s">
        <v>16</v>
      </c>
      <c r="C1554" t="s">
        <v>451</v>
      </c>
      <c r="D1554" t="str">
        <f>VLOOKUP(C1554,'lookup table'!$A$2:$B$19,2,FALSE)</f>
        <v>Segment</v>
      </c>
      <c r="E1554" t="str">
        <f t="shared" si="24"/>
        <v>|Segment</v>
      </c>
    </row>
    <row r="1555" spans="1:5" x14ac:dyDescent="0.2">
      <c r="A1555" t="s">
        <v>0</v>
      </c>
      <c r="B1555" t="s">
        <v>421</v>
      </c>
      <c r="C1555" t="s">
        <v>451</v>
      </c>
      <c r="D1555" t="str">
        <f>VLOOKUP(C1555,'lookup table'!$A$2:$B$19,2,FALSE)</f>
        <v>Segment</v>
      </c>
      <c r="E1555" t="str">
        <f t="shared" si="24"/>
        <v>|Segment</v>
      </c>
    </row>
    <row r="1556" spans="1:5" x14ac:dyDescent="0.2">
      <c r="A1556" t="s">
        <v>0</v>
      </c>
      <c r="B1556" t="s">
        <v>421</v>
      </c>
      <c r="C1556" t="s">
        <v>451</v>
      </c>
      <c r="D1556" t="str">
        <f>VLOOKUP(C1556,'lookup table'!$A$2:$B$19,2,FALSE)</f>
        <v>Segment</v>
      </c>
      <c r="E1556" t="str">
        <f t="shared" si="24"/>
        <v>|Segment</v>
      </c>
    </row>
    <row r="1557" spans="1:5" x14ac:dyDescent="0.2">
      <c r="A1557" t="s">
        <v>0</v>
      </c>
      <c r="B1557" t="s">
        <v>17</v>
      </c>
      <c r="C1557" t="s">
        <v>451</v>
      </c>
      <c r="D1557" t="str">
        <f>VLOOKUP(C1557,'lookup table'!$A$2:$B$19,2,FALSE)</f>
        <v>Segment</v>
      </c>
      <c r="E1557" t="str">
        <f t="shared" si="24"/>
        <v>|Segment</v>
      </c>
    </row>
    <row r="1558" spans="1:5" x14ac:dyDescent="0.2">
      <c r="A1558" t="s">
        <v>0</v>
      </c>
      <c r="B1558" t="s">
        <v>18</v>
      </c>
      <c r="C1558" t="s">
        <v>451</v>
      </c>
      <c r="D1558" t="str">
        <f>VLOOKUP(C1558,'lookup table'!$A$2:$B$19,2,FALSE)</f>
        <v>Segment</v>
      </c>
      <c r="E1558" t="str">
        <f t="shared" si="24"/>
        <v>|Segment</v>
      </c>
    </row>
    <row r="1559" spans="1:5" x14ac:dyDescent="0.2">
      <c r="A1559" t="s">
        <v>0</v>
      </c>
      <c r="B1559" t="s">
        <v>1</v>
      </c>
      <c r="C1559" t="s">
        <v>455</v>
      </c>
      <c r="D1559" t="e">
        <f>VLOOKUP(C1559,'lookup table'!$A$2:$B$19,2,FALSE)</f>
        <v>#N/A</v>
      </c>
      <c r="E1559" t="str">
        <f t="shared" si="24"/>
        <v/>
      </c>
    </row>
    <row r="1560" spans="1:5" x14ac:dyDescent="0.2">
      <c r="A1560" t="s">
        <v>0</v>
      </c>
      <c r="B1560" t="s">
        <v>3</v>
      </c>
      <c r="C1560" t="s">
        <v>455</v>
      </c>
      <c r="D1560" t="e">
        <f>VLOOKUP(C1560,'lookup table'!$A$2:$B$19,2,FALSE)</f>
        <v>#N/A</v>
      </c>
      <c r="E1560" t="str">
        <f t="shared" si="24"/>
        <v/>
      </c>
    </row>
    <row r="1561" spans="1:5" x14ac:dyDescent="0.2">
      <c r="A1561" t="s">
        <v>0</v>
      </c>
      <c r="B1561" t="s">
        <v>7</v>
      </c>
      <c r="C1561" t="s">
        <v>455</v>
      </c>
      <c r="D1561" t="e">
        <f>VLOOKUP(C1561,'lookup table'!$A$2:$B$19,2,FALSE)</f>
        <v>#N/A</v>
      </c>
      <c r="E1561" t="str">
        <f t="shared" si="24"/>
        <v/>
      </c>
    </row>
    <row r="1562" spans="1:5" x14ac:dyDescent="0.2">
      <c r="A1562" t="s">
        <v>0</v>
      </c>
      <c r="B1562" t="s">
        <v>7</v>
      </c>
      <c r="C1562" t="s">
        <v>455</v>
      </c>
      <c r="D1562" t="e">
        <f>VLOOKUP(C1562,'lookup table'!$A$2:$B$19,2,FALSE)</f>
        <v>#N/A</v>
      </c>
      <c r="E1562" t="str">
        <f t="shared" si="24"/>
        <v/>
      </c>
    </row>
    <row r="1563" spans="1:5" x14ac:dyDescent="0.2">
      <c r="A1563" t="s">
        <v>0</v>
      </c>
      <c r="B1563" t="s">
        <v>4</v>
      </c>
      <c r="C1563" t="s">
        <v>455</v>
      </c>
      <c r="D1563" t="e">
        <f>VLOOKUP(C1563,'lookup table'!$A$2:$B$19,2,FALSE)</f>
        <v>#N/A</v>
      </c>
      <c r="E1563" t="str">
        <f t="shared" si="24"/>
        <v/>
      </c>
    </row>
    <row r="1564" spans="1:5" x14ac:dyDescent="0.2">
      <c r="A1564" t="s">
        <v>0</v>
      </c>
      <c r="B1564" t="s">
        <v>8</v>
      </c>
      <c r="C1564" t="s">
        <v>455</v>
      </c>
      <c r="D1564" t="e">
        <f>VLOOKUP(C1564,'lookup table'!$A$2:$B$19,2,FALSE)</f>
        <v>#N/A</v>
      </c>
      <c r="E1564" t="str">
        <f t="shared" si="24"/>
        <v/>
      </c>
    </row>
    <row r="1565" spans="1:5" x14ac:dyDescent="0.2">
      <c r="A1565" t="s">
        <v>0</v>
      </c>
      <c r="B1565" t="s">
        <v>8</v>
      </c>
      <c r="C1565" t="s">
        <v>455</v>
      </c>
      <c r="D1565" t="e">
        <f>VLOOKUP(C1565,'lookup table'!$A$2:$B$19,2,FALSE)</f>
        <v>#N/A</v>
      </c>
      <c r="E1565" t="str">
        <f t="shared" si="24"/>
        <v/>
      </c>
    </row>
    <row r="1566" spans="1:5" x14ac:dyDescent="0.2">
      <c r="A1566" t="s">
        <v>0</v>
      </c>
      <c r="B1566" t="s">
        <v>1</v>
      </c>
      <c r="C1566" t="s">
        <v>456</v>
      </c>
      <c r="D1566" t="e">
        <f>VLOOKUP(C1566,'lookup table'!$A$2:$B$19,2,FALSE)</f>
        <v>#N/A</v>
      </c>
      <c r="E1566" t="str">
        <f t="shared" si="24"/>
        <v/>
      </c>
    </row>
    <row r="1567" spans="1:5" x14ac:dyDescent="0.2">
      <c r="A1567" t="s">
        <v>0</v>
      </c>
      <c r="B1567" t="s">
        <v>3</v>
      </c>
      <c r="C1567" t="s">
        <v>456</v>
      </c>
      <c r="D1567" t="e">
        <f>VLOOKUP(C1567,'lookup table'!$A$2:$B$19,2,FALSE)</f>
        <v>#N/A</v>
      </c>
      <c r="E1567" t="str">
        <f t="shared" si="24"/>
        <v/>
      </c>
    </row>
    <row r="1568" spans="1:5" x14ac:dyDescent="0.2">
      <c r="A1568" t="s">
        <v>0</v>
      </c>
      <c r="B1568" t="s">
        <v>7</v>
      </c>
      <c r="C1568" t="s">
        <v>456</v>
      </c>
      <c r="D1568" t="e">
        <f>VLOOKUP(C1568,'lookup table'!$A$2:$B$19,2,FALSE)</f>
        <v>#N/A</v>
      </c>
      <c r="E1568" t="str">
        <f t="shared" si="24"/>
        <v/>
      </c>
    </row>
    <row r="1569" spans="1:5" x14ac:dyDescent="0.2">
      <c r="A1569" t="s">
        <v>0</v>
      </c>
      <c r="B1569" t="s">
        <v>7</v>
      </c>
      <c r="C1569" t="s">
        <v>456</v>
      </c>
      <c r="D1569" t="e">
        <f>VLOOKUP(C1569,'lookup table'!$A$2:$B$19,2,FALSE)</f>
        <v>#N/A</v>
      </c>
      <c r="E1569" t="str">
        <f t="shared" si="24"/>
        <v/>
      </c>
    </row>
    <row r="1570" spans="1:5" x14ac:dyDescent="0.2">
      <c r="A1570" t="s">
        <v>0</v>
      </c>
      <c r="B1570" t="s">
        <v>4</v>
      </c>
      <c r="C1570" t="s">
        <v>456</v>
      </c>
      <c r="D1570" t="e">
        <f>VLOOKUP(C1570,'lookup table'!$A$2:$B$19,2,FALSE)</f>
        <v>#N/A</v>
      </c>
      <c r="E1570" t="str">
        <f t="shared" si="24"/>
        <v/>
      </c>
    </row>
    <row r="1571" spans="1:5" x14ac:dyDescent="0.2">
      <c r="A1571" t="s">
        <v>0</v>
      </c>
      <c r="B1571" t="s">
        <v>8</v>
      </c>
      <c r="C1571" t="s">
        <v>456</v>
      </c>
      <c r="D1571" t="e">
        <f>VLOOKUP(C1571,'lookup table'!$A$2:$B$19,2,FALSE)</f>
        <v>#N/A</v>
      </c>
      <c r="E1571" t="str">
        <f t="shared" si="24"/>
        <v/>
      </c>
    </row>
    <row r="1572" spans="1:5" x14ac:dyDescent="0.2">
      <c r="A1572" t="s">
        <v>0</v>
      </c>
      <c r="B1572" t="s">
        <v>8</v>
      </c>
      <c r="C1572" t="s">
        <v>456</v>
      </c>
      <c r="D1572" t="e">
        <f>VLOOKUP(C1572,'lookup table'!$A$2:$B$19,2,FALSE)</f>
        <v>#N/A</v>
      </c>
      <c r="E1572" t="str">
        <f t="shared" si="24"/>
        <v/>
      </c>
    </row>
    <row r="1573" spans="1:5" x14ac:dyDescent="0.2">
      <c r="A1573" t="s">
        <v>0</v>
      </c>
      <c r="B1573" t="s">
        <v>13</v>
      </c>
      <c r="C1573" t="s">
        <v>457</v>
      </c>
      <c r="D1573" t="str">
        <f>VLOOKUP(C1573,'lookup table'!$A$2:$B$19,2,FALSE)</f>
        <v>VLT</v>
      </c>
      <c r="E1573" t="str">
        <f t="shared" si="24"/>
        <v>|VLT</v>
      </c>
    </row>
    <row r="1574" spans="1:5" x14ac:dyDescent="0.2">
      <c r="A1574" t="s">
        <v>0</v>
      </c>
      <c r="B1574" t="s">
        <v>1</v>
      </c>
      <c r="C1574" t="s">
        <v>457</v>
      </c>
      <c r="D1574" t="str">
        <f>VLOOKUP(C1574,'lookup table'!$A$2:$B$19,2,FALSE)</f>
        <v>VLT</v>
      </c>
      <c r="E1574" t="str">
        <f t="shared" si="24"/>
        <v>|VLT</v>
      </c>
    </row>
    <row r="1575" spans="1:5" x14ac:dyDescent="0.2">
      <c r="A1575" t="s">
        <v>0</v>
      </c>
      <c r="B1575" t="s">
        <v>3</v>
      </c>
      <c r="C1575" t="s">
        <v>457</v>
      </c>
      <c r="D1575" t="str">
        <f>VLOOKUP(C1575,'lookup table'!$A$2:$B$19,2,FALSE)</f>
        <v>VLT</v>
      </c>
      <c r="E1575" t="str">
        <f t="shared" si="24"/>
        <v>|VLT</v>
      </c>
    </row>
    <row r="1576" spans="1:5" x14ac:dyDescent="0.2">
      <c r="A1576" t="s">
        <v>0</v>
      </c>
      <c r="B1576" t="s">
        <v>7</v>
      </c>
      <c r="C1576" t="s">
        <v>457</v>
      </c>
      <c r="D1576" t="str">
        <f>VLOOKUP(C1576,'lookup table'!$A$2:$B$19,2,FALSE)</f>
        <v>VLT</v>
      </c>
      <c r="E1576" t="str">
        <f t="shared" si="24"/>
        <v>|VLT</v>
      </c>
    </row>
    <row r="1577" spans="1:5" x14ac:dyDescent="0.2">
      <c r="A1577" t="s">
        <v>0</v>
      </c>
      <c r="B1577" t="s">
        <v>7</v>
      </c>
      <c r="C1577" t="s">
        <v>457</v>
      </c>
      <c r="D1577" t="str">
        <f>VLOOKUP(C1577,'lookup table'!$A$2:$B$19,2,FALSE)</f>
        <v>VLT</v>
      </c>
      <c r="E1577" t="str">
        <f t="shared" si="24"/>
        <v>|VLT</v>
      </c>
    </row>
    <row r="1578" spans="1:5" x14ac:dyDescent="0.2">
      <c r="A1578" t="s">
        <v>0</v>
      </c>
      <c r="B1578" t="s">
        <v>4</v>
      </c>
      <c r="C1578" t="s">
        <v>457</v>
      </c>
      <c r="D1578" t="str">
        <f>VLOOKUP(C1578,'lookup table'!$A$2:$B$19,2,FALSE)</f>
        <v>VLT</v>
      </c>
      <c r="E1578" t="str">
        <f t="shared" si="24"/>
        <v>|VLT</v>
      </c>
    </row>
    <row r="1579" spans="1:5" x14ac:dyDescent="0.2">
      <c r="A1579" t="s">
        <v>0</v>
      </c>
      <c r="B1579" t="s">
        <v>8</v>
      </c>
      <c r="C1579" t="s">
        <v>457</v>
      </c>
      <c r="D1579" t="str">
        <f>VLOOKUP(C1579,'lookup table'!$A$2:$B$19,2,FALSE)</f>
        <v>VLT</v>
      </c>
      <c r="E1579" t="str">
        <f t="shared" si="24"/>
        <v>|VLT</v>
      </c>
    </row>
    <row r="1580" spans="1:5" x14ac:dyDescent="0.2">
      <c r="A1580" t="s">
        <v>0</v>
      </c>
      <c r="B1580" t="s">
        <v>8</v>
      </c>
      <c r="C1580" t="s">
        <v>457</v>
      </c>
      <c r="D1580" t="str">
        <f>VLOOKUP(C1580,'lookup table'!$A$2:$B$19,2,FALSE)</f>
        <v>VLT</v>
      </c>
      <c r="E1580" t="str">
        <f t="shared" si="24"/>
        <v>|VLT</v>
      </c>
    </row>
    <row r="1581" spans="1:5" x14ac:dyDescent="0.2">
      <c r="A1581" t="s">
        <v>0</v>
      </c>
      <c r="B1581" t="s">
        <v>15</v>
      </c>
      <c r="C1581" t="s">
        <v>457</v>
      </c>
      <c r="D1581" t="str">
        <f>VLOOKUP(C1581,'lookup table'!$A$2:$B$19,2,FALSE)</f>
        <v>VLT</v>
      </c>
      <c r="E1581" t="str">
        <f t="shared" si="24"/>
        <v>|VLT</v>
      </c>
    </row>
    <row r="1582" spans="1:5" x14ac:dyDescent="0.2">
      <c r="A1582" t="s">
        <v>0</v>
      </c>
      <c r="B1582" t="s">
        <v>15</v>
      </c>
      <c r="C1582" t="s">
        <v>457</v>
      </c>
      <c r="D1582" t="str">
        <f>VLOOKUP(C1582,'lookup table'!$A$2:$B$19,2,FALSE)</f>
        <v>VLT</v>
      </c>
      <c r="E1582" t="str">
        <f t="shared" si="24"/>
        <v>|VLT</v>
      </c>
    </row>
    <row r="1583" spans="1:5" x14ac:dyDescent="0.2">
      <c r="A1583" t="s">
        <v>0</v>
      </c>
      <c r="B1583" t="s">
        <v>16</v>
      </c>
      <c r="C1583" t="s">
        <v>457</v>
      </c>
      <c r="D1583" t="str">
        <f>VLOOKUP(C1583,'lookup table'!$A$2:$B$19,2,FALSE)</f>
        <v>VLT</v>
      </c>
      <c r="E1583" t="str">
        <f t="shared" si="24"/>
        <v>|VLT</v>
      </c>
    </row>
    <row r="1584" spans="1:5" x14ac:dyDescent="0.2">
      <c r="A1584" t="s">
        <v>0</v>
      </c>
      <c r="B1584" t="s">
        <v>16</v>
      </c>
      <c r="C1584" t="s">
        <v>457</v>
      </c>
      <c r="D1584" t="str">
        <f>VLOOKUP(C1584,'lookup table'!$A$2:$B$19,2,FALSE)</f>
        <v>VLT</v>
      </c>
      <c r="E1584" t="str">
        <f t="shared" si="24"/>
        <v>|VLT</v>
      </c>
    </row>
    <row r="1585" spans="1:5" x14ac:dyDescent="0.2">
      <c r="A1585" t="s">
        <v>0</v>
      </c>
      <c r="B1585" t="s">
        <v>16</v>
      </c>
      <c r="C1585" t="s">
        <v>457</v>
      </c>
      <c r="D1585" t="str">
        <f>VLOOKUP(C1585,'lookup table'!$A$2:$B$19,2,FALSE)</f>
        <v>VLT</v>
      </c>
      <c r="E1585" t="str">
        <f t="shared" si="24"/>
        <v>|VLT</v>
      </c>
    </row>
    <row r="1586" spans="1:5" x14ac:dyDescent="0.2">
      <c r="A1586" t="s">
        <v>0</v>
      </c>
      <c r="B1586" t="s">
        <v>17</v>
      </c>
      <c r="C1586" t="s">
        <v>457</v>
      </c>
      <c r="D1586" t="str">
        <f>VLOOKUP(C1586,'lookup table'!$A$2:$B$19,2,FALSE)</f>
        <v>VLT</v>
      </c>
      <c r="E1586" t="str">
        <f t="shared" si="24"/>
        <v>|VLT</v>
      </c>
    </row>
    <row r="1587" spans="1:5" x14ac:dyDescent="0.2">
      <c r="A1587" t="s">
        <v>0</v>
      </c>
      <c r="B1587" t="s">
        <v>18</v>
      </c>
      <c r="C1587" t="s">
        <v>457</v>
      </c>
      <c r="D1587" t="str">
        <f>VLOOKUP(C1587,'lookup table'!$A$2:$B$19,2,FALSE)</f>
        <v>VLT</v>
      </c>
      <c r="E1587" t="str">
        <f t="shared" si="24"/>
        <v>|VLT</v>
      </c>
    </row>
    <row r="1588" spans="1:5" x14ac:dyDescent="0.2">
      <c r="A1588" t="s">
        <v>0</v>
      </c>
      <c r="B1588" t="s">
        <v>13</v>
      </c>
      <c r="C1588" t="s">
        <v>458</v>
      </c>
      <c r="D1588" t="str">
        <f>VLOOKUP(C1588,'lookup table'!$A$2:$B$19,2,FALSE)</f>
        <v>VAR</v>
      </c>
      <c r="E1588" t="str">
        <f t="shared" si="24"/>
        <v>|VAR</v>
      </c>
    </row>
    <row r="1589" spans="1:5" x14ac:dyDescent="0.2">
      <c r="A1589" t="s">
        <v>0</v>
      </c>
      <c r="B1589" t="s">
        <v>1</v>
      </c>
      <c r="C1589" t="s">
        <v>458</v>
      </c>
      <c r="D1589" t="str">
        <f>VLOOKUP(C1589,'lookup table'!$A$2:$B$19,2,FALSE)</f>
        <v>VAR</v>
      </c>
      <c r="E1589" t="str">
        <f t="shared" si="24"/>
        <v>|VAR</v>
      </c>
    </row>
    <row r="1590" spans="1:5" x14ac:dyDescent="0.2">
      <c r="A1590" t="s">
        <v>0</v>
      </c>
      <c r="B1590" t="s">
        <v>3</v>
      </c>
      <c r="C1590" t="s">
        <v>458</v>
      </c>
      <c r="D1590" t="str">
        <f>VLOOKUP(C1590,'lookup table'!$A$2:$B$19,2,FALSE)</f>
        <v>VAR</v>
      </c>
      <c r="E1590" t="str">
        <f t="shared" si="24"/>
        <v>|VAR</v>
      </c>
    </row>
    <row r="1591" spans="1:5" x14ac:dyDescent="0.2">
      <c r="A1591" t="s">
        <v>0</v>
      </c>
      <c r="B1591" t="s">
        <v>7</v>
      </c>
      <c r="C1591" t="s">
        <v>458</v>
      </c>
      <c r="D1591" t="str">
        <f>VLOOKUP(C1591,'lookup table'!$A$2:$B$19,2,FALSE)</f>
        <v>VAR</v>
      </c>
      <c r="E1591" t="str">
        <f t="shared" si="24"/>
        <v>|VAR</v>
      </c>
    </row>
    <row r="1592" spans="1:5" x14ac:dyDescent="0.2">
      <c r="A1592" t="s">
        <v>0</v>
      </c>
      <c r="B1592" t="s">
        <v>7</v>
      </c>
      <c r="C1592" t="s">
        <v>458</v>
      </c>
      <c r="D1592" t="str">
        <f>VLOOKUP(C1592,'lookup table'!$A$2:$B$19,2,FALSE)</f>
        <v>VAR</v>
      </c>
      <c r="E1592" t="str">
        <f t="shared" si="24"/>
        <v>|VAR</v>
      </c>
    </row>
    <row r="1593" spans="1:5" x14ac:dyDescent="0.2">
      <c r="A1593" t="s">
        <v>0</v>
      </c>
      <c r="B1593" t="s">
        <v>4</v>
      </c>
      <c r="C1593" t="s">
        <v>458</v>
      </c>
      <c r="D1593" t="str">
        <f>VLOOKUP(C1593,'lookup table'!$A$2:$B$19,2,FALSE)</f>
        <v>VAR</v>
      </c>
      <c r="E1593" t="str">
        <f t="shared" si="24"/>
        <v>|VAR</v>
      </c>
    </row>
    <row r="1594" spans="1:5" x14ac:dyDescent="0.2">
      <c r="A1594" t="s">
        <v>0</v>
      </c>
      <c r="B1594" t="s">
        <v>8</v>
      </c>
      <c r="C1594" t="s">
        <v>458</v>
      </c>
      <c r="D1594" t="str">
        <f>VLOOKUP(C1594,'lookup table'!$A$2:$B$19,2,FALSE)</f>
        <v>VAR</v>
      </c>
      <c r="E1594" t="str">
        <f t="shared" si="24"/>
        <v>|VAR</v>
      </c>
    </row>
    <row r="1595" spans="1:5" x14ac:dyDescent="0.2">
      <c r="A1595" t="s">
        <v>0</v>
      </c>
      <c r="B1595" t="s">
        <v>8</v>
      </c>
      <c r="C1595" t="s">
        <v>458</v>
      </c>
      <c r="D1595" t="str">
        <f>VLOOKUP(C1595,'lookup table'!$A$2:$B$19,2,FALSE)</f>
        <v>VAR</v>
      </c>
      <c r="E1595" t="str">
        <f t="shared" si="24"/>
        <v>|VAR</v>
      </c>
    </row>
    <row r="1596" spans="1:5" x14ac:dyDescent="0.2">
      <c r="A1596" t="s">
        <v>0</v>
      </c>
      <c r="B1596" t="s">
        <v>15</v>
      </c>
      <c r="C1596" t="s">
        <v>458</v>
      </c>
      <c r="D1596" t="str">
        <f>VLOOKUP(C1596,'lookup table'!$A$2:$B$19,2,FALSE)</f>
        <v>VAR</v>
      </c>
      <c r="E1596" t="str">
        <f t="shared" si="24"/>
        <v>|VAR</v>
      </c>
    </row>
    <row r="1597" spans="1:5" x14ac:dyDescent="0.2">
      <c r="A1597" t="s">
        <v>0</v>
      </c>
      <c r="B1597" t="s">
        <v>15</v>
      </c>
      <c r="C1597" t="s">
        <v>458</v>
      </c>
      <c r="D1597" t="str">
        <f>VLOOKUP(C1597,'lookup table'!$A$2:$B$19,2,FALSE)</f>
        <v>VAR</v>
      </c>
      <c r="E1597" t="str">
        <f t="shared" si="24"/>
        <v>|VAR</v>
      </c>
    </row>
    <row r="1598" spans="1:5" x14ac:dyDescent="0.2">
      <c r="A1598" t="s">
        <v>0</v>
      </c>
      <c r="B1598" t="s">
        <v>16</v>
      </c>
      <c r="C1598" t="s">
        <v>458</v>
      </c>
      <c r="D1598" t="str">
        <f>VLOOKUP(C1598,'lookup table'!$A$2:$B$19,2,FALSE)</f>
        <v>VAR</v>
      </c>
      <c r="E1598" t="str">
        <f t="shared" si="24"/>
        <v>|VAR</v>
      </c>
    </row>
    <row r="1599" spans="1:5" x14ac:dyDescent="0.2">
      <c r="A1599" t="s">
        <v>0</v>
      </c>
      <c r="B1599" t="s">
        <v>16</v>
      </c>
      <c r="C1599" t="s">
        <v>458</v>
      </c>
      <c r="D1599" t="str">
        <f>VLOOKUP(C1599,'lookup table'!$A$2:$B$19,2,FALSE)</f>
        <v>VAR</v>
      </c>
      <c r="E1599" t="str">
        <f t="shared" si="24"/>
        <v>|VAR</v>
      </c>
    </row>
    <row r="1600" spans="1:5" x14ac:dyDescent="0.2">
      <c r="A1600" t="s">
        <v>0</v>
      </c>
      <c r="B1600" t="s">
        <v>16</v>
      </c>
      <c r="C1600" t="s">
        <v>458</v>
      </c>
      <c r="D1600" t="str">
        <f>VLOOKUP(C1600,'lookup table'!$A$2:$B$19,2,FALSE)</f>
        <v>VAR</v>
      </c>
      <c r="E1600" t="str">
        <f t="shared" si="24"/>
        <v>|VAR</v>
      </c>
    </row>
    <row r="1601" spans="1:5" x14ac:dyDescent="0.2">
      <c r="A1601" t="s">
        <v>0</v>
      </c>
      <c r="B1601" t="s">
        <v>17</v>
      </c>
      <c r="C1601" t="s">
        <v>458</v>
      </c>
      <c r="D1601" t="str">
        <f>VLOOKUP(C1601,'lookup table'!$A$2:$B$19,2,FALSE)</f>
        <v>VAR</v>
      </c>
      <c r="E1601" t="str">
        <f t="shared" si="24"/>
        <v>|VAR</v>
      </c>
    </row>
    <row r="1602" spans="1:5" x14ac:dyDescent="0.2">
      <c r="A1602" t="s">
        <v>0</v>
      </c>
      <c r="B1602" t="s">
        <v>18</v>
      </c>
      <c r="C1602" t="s">
        <v>458</v>
      </c>
      <c r="D1602" t="str">
        <f>VLOOKUP(C1602,'lookup table'!$A$2:$B$19,2,FALSE)</f>
        <v>VAR</v>
      </c>
      <c r="E1602" t="str">
        <f t="shared" si="24"/>
        <v>|VAR</v>
      </c>
    </row>
    <row r="1603" spans="1:5" x14ac:dyDescent="0.2">
      <c r="A1603" t="s">
        <v>0</v>
      </c>
      <c r="B1603" t="s">
        <v>1</v>
      </c>
      <c r="C1603" t="s">
        <v>459</v>
      </c>
      <c r="D1603" t="e">
        <f>VLOOKUP(C1603,'lookup table'!$A$2:$B$19,2,FALSE)</f>
        <v>#N/A</v>
      </c>
      <c r="E1603" t="str">
        <f t="shared" ref="E1603:E1666" si="25">IF(ISNA(D1603),"",IF(A1603="","",A1603) &amp; "|" &amp; D1603)</f>
        <v/>
      </c>
    </row>
    <row r="1604" spans="1:5" x14ac:dyDescent="0.2">
      <c r="A1604" t="s">
        <v>0</v>
      </c>
      <c r="B1604" t="s">
        <v>3</v>
      </c>
      <c r="C1604" t="s">
        <v>459</v>
      </c>
      <c r="D1604" t="e">
        <f>VLOOKUP(C1604,'lookup table'!$A$2:$B$19,2,FALSE)</f>
        <v>#N/A</v>
      </c>
      <c r="E1604" t="str">
        <f t="shared" si="25"/>
        <v/>
      </c>
    </row>
    <row r="1605" spans="1:5" x14ac:dyDescent="0.2">
      <c r="A1605" t="s">
        <v>0</v>
      </c>
      <c r="B1605" t="s">
        <v>4</v>
      </c>
      <c r="C1605" t="s">
        <v>459</v>
      </c>
      <c r="D1605" t="e">
        <f>VLOOKUP(C1605,'lookup table'!$A$2:$B$19,2,FALSE)</f>
        <v>#N/A</v>
      </c>
      <c r="E1605" t="str">
        <f t="shared" si="25"/>
        <v/>
      </c>
    </row>
    <row r="1606" spans="1:5" x14ac:dyDescent="0.2">
      <c r="A1606" t="s">
        <v>0</v>
      </c>
      <c r="B1606" t="s">
        <v>1</v>
      </c>
      <c r="C1606" t="s">
        <v>460</v>
      </c>
      <c r="D1606" t="e">
        <f>VLOOKUP(C1606,'lookup table'!$A$2:$B$19,2,FALSE)</f>
        <v>#N/A</v>
      </c>
      <c r="E1606" t="str">
        <f t="shared" si="25"/>
        <v/>
      </c>
    </row>
    <row r="1607" spans="1:5" x14ac:dyDescent="0.2">
      <c r="A1607" t="s">
        <v>0</v>
      </c>
      <c r="B1607" t="s">
        <v>3</v>
      </c>
      <c r="C1607" t="s">
        <v>460</v>
      </c>
      <c r="D1607" t="e">
        <f>VLOOKUP(C1607,'lookup table'!$A$2:$B$19,2,FALSE)</f>
        <v>#N/A</v>
      </c>
      <c r="E1607" t="str">
        <f t="shared" si="25"/>
        <v/>
      </c>
    </row>
    <row r="1608" spans="1:5" x14ac:dyDescent="0.2">
      <c r="A1608" t="s">
        <v>0</v>
      </c>
      <c r="B1608" t="s">
        <v>7</v>
      </c>
      <c r="C1608" t="s">
        <v>460</v>
      </c>
      <c r="D1608" t="e">
        <f>VLOOKUP(C1608,'lookup table'!$A$2:$B$19,2,FALSE)</f>
        <v>#N/A</v>
      </c>
      <c r="E1608" t="str">
        <f t="shared" si="25"/>
        <v/>
      </c>
    </row>
    <row r="1609" spans="1:5" x14ac:dyDescent="0.2">
      <c r="A1609" t="s">
        <v>0</v>
      </c>
      <c r="B1609" t="s">
        <v>7</v>
      </c>
      <c r="C1609" t="s">
        <v>460</v>
      </c>
      <c r="D1609" t="e">
        <f>VLOOKUP(C1609,'lookup table'!$A$2:$B$19,2,FALSE)</f>
        <v>#N/A</v>
      </c>
      <c r="E1609" t="str">
        <f t="shared" si="25"/>
        <v/>
      </c>
    </row>
    <row r="1610" spans="1:5" x14ac:dyDescent="0.2">
      <c r="A1610" t="s">
        <v>0</v>
      </c>
      <c r="B1610" t="s">
        <v>4</v>
      </c>
      <c r="C1610" t="s">
        <v>460</v>
      </c>
      <c r="D1610" t="e">
        <f>VLOOKUP(C1610,'lookup table'!$A$2:$B$19,2,FALSE)</f>
        <v>#N/A</v>
      </c>
      <c r="E1610" t="str">
        <f t="shared" si="25"/>
        <v/>
      </c>
    </row>
    <row r="1611" spans="1:5" x14ac:dyDescent="0.2">
      <c r="A1611" t="s">
        <v>0</v>
      </c>
      <c r="B1611" t="s">
        <v>8</v>
      </c>
      <c r="C1611" t="s">
        <v>460</v>
      </c>
      <c r="D1611" t="e">
        <f>VLOOKUP(C1611,'lookup table'!$A$2:$B$19,2,FALSE)</f>
        <v>#N/A</v>
      </c>
      <c r="E1611" t="str">
        <f t="shared" si="25"/>
        <v/>
      </c>
    </row>
    <row r="1612" spans="1:5" x14ac:dyDescent="0.2">
      <c r="A1612" t="s">
        <v>0</v>
      </c>
      <c r="B1612" t="s">
        <v>8</v>
      </c>
      <c r="C1612" t="s">
        <v>460</v>
      </c>
      <c r="D1612" t="e">
        <f>VLOOKUP(C1612,'lookup table'!$A$2:$B$19,2,FALSE)</f>
        <v>#N/A</v>
      </c>
      <c r="E1612" t="str">
        <f t="shared" si="25"/>
        <v/>
      </c>
    </row>
    <row r="1613" spans="1:5" x14ac:dyDescent="0.2">
      <c r="A1613" t="s">
        <v>0</v>
      </c>
      <c r="B1613" t="s">
        <v>334</v>
      </c>
      <c r="C1613" t="s">
        <v>461</v>
      </c>
      <c r="D1613" t="str">
        <f>VLOOKUP(C1613,'lookup table'!$A$2:$B$19,2,FALSE)</f>
        <v>Posting Level</v>
      </c>
      <c r="E1613" t="str">
        <f t="shared" si="25"/>
        <v>|Posting Level</v>
      </c>
    </row>
    <row r="1614" spans="1:5" x14ac:dyDescent="0.2">
      <c r="A1614" t="s">
        <v>0</v>
      </c>
      <c r="B1614" t="s">
        <v>1</v>
      </c>
      <c r="C1614" t="s">
        <v>461</v>
      </c>
      <c r="D1614" t="str">
        <f>VLOOKUP(C1614,'lookup table'!$A$2:$B$19,2,FALSE)</f>
        <v>Posting Level</v>
      </c>
      <c r="E1614" t="str">
        <f t="shared" si="25"/>
        <v>|Posting Level</v>
      </c>
    </row>
    <row r="1615" spans="1:5" x14ac:dyDescent="0.2">
      <c r="A1615" t="s">
        <v>0</v>
      </c>
      <c r="B1615" t="s">
        <v>3</v>
      </c>
      <c r="C1615" t="s">
        <v>461</v>
      </c>
      <c r="D1615" t="str">
        <f>VLOOKUP(C1615,'lookup table'!$A$2:$B$19,2,FALSE)</f>
        <v>Posting Level</v>
      </c>
      <c r="E1615" t="str">
        <f t="shared" si="25"/>
        <v>|Posting Level</v>
      </c>
    </row>
    <row r="1616" spans="1:5" x14ac:dyDescent="0.2">
      <c r="A1616" t="s">
        <v>0</v>
      </c>
      <c r="B1616" t="s">
        <v>7</v>
      </c>
      <c r="C1616" t="s">
        <v>461</v>
      </c>
      <c r="D1616" t="str">
        <f>VLOOKUP(C1616,'lookup table'!$A$2:$B$19,2,FALSE)</f>
        <v>Posting Level</v>
      </c>
      <c r="E1616" t="str">
        <f t="shared" si="25"/>
        <v>|Posting Level</v>
      </c>
    </row>
    <row r="1617" spans="1:5" x14ac:dyDescent="0.2">
      <c r="A1617" t="s">
        <v>0</v>
      </c>
      <c r="B1617" t="s">
        <v>7</v>
      </c>
      <c r="C1617" t="s">
        <v>461</v>
      </c>
      <c r="D1617" t="str">
        <f>VLOOKUP(C1617,'lookup table'!$A$2:$B$19,2,FALSE)</f>
        <v>Posting Level</v>
      </c>
      <c r="E1617" t="str">
        <f t="shared" si="25"/>
        <v>|Posting Level</v>
      </c>
    </row>
    <row r="1618" spans="1:5" x14ac:dyDescent="0.2">
      <c r="A1618" t="s">
        <v>0</v>
      </c>
      <c r="B1618" t="s">
        <v>4</v>
      </c>
      <c r="C1618" t="s">
        <v>461</v>
      </c>
      <c r="D1618" t="str">
        <f>VLOOKUP(C1618,'lookup table'!$A$2:$B$19,2,FALSE)</f>
        <v>Posting Level</v>
      </c>
      <c r="E1618" t="str">
        <f t="shared" si="25"/>
        <v>|Posting Level</v>
      </c>
    </row>
    <row r="1619" spans="1:5" x14ac:dyDescent="0.2">
      <c r="A1619" t="s">
        <v>0</v>
      </c>
      <c r="B1619" t="s">
        <v>35</v>
      </c>
      <c r="C1619" t="s">
        <v>461</v>
      </c>
      <c r="D1619" t="str">
        <f>VLOOKUP(C1619,'lookup table'!$A$2:$B$19,2,FALSE)</f>
        <v>Posting Level</v>
      </c>
      <c r="E1619" t="str">
        <f t="shared" si="25"/>
        <v>|Posting Level</v>
      </c>
    </row>
    <row r="1620" spans="1:5" x14ac:dyDescent="0.2">
      <c r="A1620" t="s">
        <v>0</v>
      </c>
      <c r="B1620" t="s">
        <v>70</v>
      </c>
      <c r="C1620" t="s">
        <v>461</v>
      </c>
      <c r="D1620" t="str">
        <f>VLOOKUP(C1620,'lookup table'!$A$2:$B$19,2,FALSE)</f>
        <v>Posting Level</v>
      </c>
      <c r="E1620" t="str">
        <f t="shared" si="25"/>
        <v>|Posting Level</v>
      </c>
    </row>
    <row r="1621" spans="1:5" x14ac:dyDescent="0.2">
      <c r="A1621" t="s">
        <v>0</v>
      </c>
      <c r="B1621" t="s">
        <v>381</v>
      </c>
      <c r="C1621" t="s">
        <v>461</v>
      </c>
      <c r="D1621" t="str">
        <f>VLOOKUP(C1621,'lookup table'!$A$2:$B$19,2,FALSE)</f>
        <v>Posting Level</v>
      </c>
      <c r="E1621" t="str">
        <f t="shared" si="25"/>
        <v>|Posting Level</v>
      </c>
    </row>
    <row r="1622" spans="1:5" x14ac:dyDescent="0.2">
      <c r="A1622" t="s">
        <v>0</v>
      </c>
      <c r="B1622" t="s">
        <v>382</v>
      </c>
      <c r="C1622" t="s">
        <v>461</v>
      </c>
      <c r="D1622" t="str">
        <f>VLOOKUP(C1622,'lookup table'!$A$2:$B$19,2,FALSE)</f>
        <v>Posting Level</v>
      </c>
      <c r="E1622" t="str">
        <f t="shared" si="25"/>
        <v>|Posting Level</v>
      </c>
    </row>
    <row r="1623" spans="1:5" x14ac:dyDescent="0.2">
      <c r="A1623" t="s">
        <v>0</v>
      </c>
      <c r="B1623" t="s">
        <v>71</v>
      </c>
      <c r="C1623" t="s">
        <v>461</v>
      </c>
      <c r="D1623" t="str">
        <f>VLOOKUP(C1623,'lookup table'!$A$2:$B$19,2,FALSE)</f>
        <v>Posting Level</v>
      </c>
      <c r="E1623" t="str">
        <f t="shared" si="25"/>
        <v>|Posting Level</v>
      </c>
    </row>
    <row r="1624" spans="1:5" x14ac:dyDescent="0.2">
      <c r="A1624" t="s">
        <v>0</v>
      </c>
      <c r="B1624" t="s">
        <v>72</v>
      </c>
      <c r="C1624" t="s">
        <v>461</v>
      </c>
      <c r="D1624" t="str">
        <f>VLOOKUP(C1624,'lookup table'!$A$2:$B$19,2,FALSE)</f>
        <v>Posting Level</v>
      </c>
      <c r="E1624" t="str">
        <f t="shared" si="25"/>
        <v>|Posting Level</v>
      </c>
    </row>
    <row r="1625" spans="1:5" x14ac:dyDescent="0.2">
      <c r="A1625" t="s">
        <v>0</v>
      </c>
      <c r="B1625" t="s">
        <v>72</v>
      </c>
      <c r="C1625" t="s">
        <v>461</v>
      </c>
      <c r="D1625" t="str">
        <f>VLOOKUP(C1625,'lookup table'!$A$2:$B$19,2,FALSE)</f>
        <v>Posting Level</v>
      </c>
      <c r="E1625" t="str">
        <f t="shared" si="25"/>
        <v>|Posting Level</v>
      </c>
    </row>
    <row r="1626" spans="1:5" x14ac:dyDescent="0.2">
      <c r="A1626" t="s">
        <v>0</v>
      </c>
      <c r="B1626" t="s">
        <v>17</v>
      </c>
      <c r="C1626" t="s">
        <v>461</v>
      </c>
      <c r="D1626" t="str">
        <f>VLOOKUP(C1626,'lookup table'!$A$2:$B$19,2,FALSE)</f>
        <v>Posting Level</v>
      </c>
      <c r="E1626" t="str">
        <f t="shared" si="25"/>
        <v>|Posting Level</v>
      </c>
    </row>
    <row r="1627" spans="1:5" x14ac:dyDescent="0.2">
      <c r="A1627" t="s">
        <v>0</v>
      </c>
      <c r="B1627" t="s">
        <v>73</v>
      </c>
      <c r="C1627" t="s">
        <v>461</v>
      </c>
      <c r="D1627" t="str">
        <f>VLOOKUP(C1627,'lookup table'!$A$2:$B$19,2,FALSE)</f>
        <v>Posting Level</v>
      </c>
      <c r="E1627" t="str">
        <f t="shared" si="25"/>
        <v>|Posting Level</v>
      </c>
    </row>
    <row r="1628" spans="1:5" x14ac:dyDescent="0.2">
      <c r="A1628" t="s">
        <v>0</v>
      </c>
      <c r="B1628" t="s">
        <v>387</v>
      </c>
      <c r="C1628" t="s">
        <v>461</v>
      </c>
      <c r="D1628" t="str">
        <f>VLOOKUP(C1628,'lookup table'!$A$2:$B$19,2,FALSE)</f>
        <v>Posting Level</v>
      </c>
      <c r="E1628" t="str">
        <f t="shared" si="25"/>
        <v>|Posting Level</v>
      </c>
    </row>
    <row r="1629" spans="1:5" x14ac:dyDescent="0.2">
      <c r="A1629" t="s">
        <v>0</v>
      </c>
      <c r="B1629" t="s">
        <v>392</v>
      </c>
      <c r="C1629" t="s">
        <v>461</v>
      </c>
      <c r="D1629" t="str">
        <f>VLOOKUP(C1629,'lookup table'!$A$2:$B$19,2,FALSE)</f>
        <v>Posting Level</v>
      </c>
      <c r="E1629" t="str">
        <f t="shared" si="25"/>
        <v>|Posting Level</v>
      </c>
    </row>
    <row r="1630" spans="1:5" x14ac:dyDescent="0.2">
      <c r="A1630" t="s">
        <v>0</v>
      </c>
      <c r="B1630" t="s">
        <v>119</v>
      </c>
      <c r="C1630" t="s">
        <v>461</v>
      </c>
      <c r="D1630" t="str">
        <f>VLOOKUP(C1630,'lookup table'!$A$2:$B$19,2,FALSE)</f>
        <v>Posting Level</v>
      </c>
      <c r="E1630" t="str">
        <f t="shared" si="25"/>
        <v>|Posting Level</v>
      </c>
    </row>
    <row r="1631" spans="1:5" x14ac:dyDescent="0.2">
      <c r="A1631" t="s">
        <v>0</v>
      </c>
      <c r="B1631" t="s">
        <v>393</v>
      </c>
      <c r="C1631" t="s">
        <v>461</v>
      </c>
      <c r="D1631" t="str">
        <f>VLOOKUP(C1631,'lookup table'!$A$2:$B$19,2,FALSE)</f>
        <v>Posting Level</v>
      </c>
      <c r="E1631" t="str">
        <f t="shared" si="25"/>
        <v>|Posting Level</v>
      </c>
    </row>
    <row r="1632" spans="1:5" x14ac:dyDescent="0.2">
      <c r="A1632" t="s">
        <v>0</v>
      </c>
      <c r="B1632" t="s">
        <v>394</v>
      </c>
      <c r="C1632" t="s">
        <v>461</v>
      </c>
      <c r="D1632" t="str">
        <f>VLOOKUP(C1632,'lookup table'!$A$2:$B$19,2,FALSE)</f>
        <v>Posting Level</v>
      </c>
      <c r="E1632" t="str">
        <f t="shared" si="25"/>
        <v>|Posting Level</v>
      </c>
    </row>
    <row r="1633" spans="1:5" x14ac:dyDescent="0.2">
      <c r="A1633" t="s">
        <v>0</v>
      </c>
      <c r="B1633" t="s">
        <v>395</v>
      </c>
      <c r="C1633" t="s">
        <v>461</v>
      </c>
      <c r="D1633" t="str">
        <f>VLOOKUP(C1633,'lookup table'!$A$2:$B$19,2,FALSE)</f>
        <v>Posting Level</v>
      </c>
      <c r="E1633" t="str">
        <f t="shared" si="25"/>
        <v>|Posting Level</v>
      </c>
    </row>
    <row r="1634" spans="1:5" x14ac:dyDescent="0.2">
      <c r="A1634" t="s">
        <v>0</v>
      </c>
      <c r="B1634" t="s">
        <v>120</v>
      </c>
      <c r="C1634" t="s">
        <v>461</v>
      </c>
      <c r="D1634" t="str">
        <f>VLOOKUP(C1634,'lookup table'!$A$2:$B$19,2,FALSE)</f>
        <v>Posting Level</v>
      </c>
      <c r="E1634" t="str">
        <f t="shared" si="25"/>
        <v>|Posting Level</v>
      </c>
    </row>
    <row r="1635" spans="1:5" x14ac:dyDescent="0.2">
      <c r="A1635" t="s">
        <v>0</v>
      </c>
      <c r="B1635" t="s">
        <v>121</v>
      </c>
      <c r="C1635" t="s">
        <v>461</v>
      </c>
      <c r="D1635" t="str">
        <f>VLOOKUP(C1635,'lookup table'!$A$2:$B$19,2,FALSE)</f>
        <v>Posting Level</v>
      </c>
      <c r="E1635" t="str">
        <f t="shared" si="25"/>
        <v>|Posting Level</v>
      </c>
    </row>
    <row r="1636" spans="1:5" x14ac:dyDescent="0.2">
      <c r="A1636" t="s">
        <v>0</v>
      </c>
      <c r="B1636" t="s">
        <v>70</v>
      </c>
      <c r="C1636" t="s">
        <v>461</v>
      </c>
      <c r="D1636" t="str">
        <f>VLOOKUP(C1636,'lookup table'!$A$2:$B$19,2,FALSE)</f>
        <v>Posting Level</v>
      </c>
      <c r="E1636" t="str">
        <f t="shared" si="25"/>
        <v>|Posting Level</v>
      </c>
    </row>
    <row r="1637" spans="1:5" x14ac:dyDescent="0.2">
      <c r="A1637" t="s">
        <v>0</v>
      </c>
      <c r="B1637" t="s">
        <v>122</v>
      </c>
      <c r="C1637" t="s">
        <v>461</v>
      </c>
      <c r="D1637" t="str">
        <f>VLOOKUP(C1637,'lookup table'!$A$2:$B$19,2,FALSE)</f>
        <v>Posting Level</v>
      </c>
      <c r="E1637" t="str">
        <f t="shared" si="25"/>
        <v>|Posting Level</v>
      </c>
    </row>
    <row r="1638" spans="1:5" x14ac:dyDescent="0.2">
      <c r="A1638" t="s">
        <v>0</v>
      </c>
      <c r="B1638" t="s">
        <v>72</v>
      </c>
      <c r="C1638" t="s">
        <v>461</v>
      </c>
      <c r="D1638" t="str">
        <f>VLOOKUP(C1638,'lookup table'!$A$2:$B$19,2,FALSE)</f>
        <v>Posting Level</v>
      </c>
      <c r="E1638" t="str">
        <f t="shared" si="25"/>
        <v>|Posting Level</v>
      </c>
    </row>
    <row r="1639" spans="1:5" x14ac:dyDescent="0.2">
      <c r="A1639" t="s">
        <v>0</v>
      </c>
      <c r="B1639" t="s">
        <v>72</v>
      </c>
      <c r="C1639" t="s">
        <v>461</v>
      </c>
      <c r="D1639" t="str">
        <f>VLOOKUP(C1639,'lookup table'!$A$2:$B$19,2,FALSE)</f>
        <v>Posting Level</v>
      </c>
      <c r="E1639" t="str">
        <f t="shared" si="25"/>
        <v>|Posting Level</v>
      </c>
    </row>
    <row r="1640" spans="1:5" x14ac:dyDescent="0.2">
      <c r="A1640" t="s">
        <v>0</v>
      </c>
      <c r="B1640" t="s">
        <v>72</v>
      </c>
      <c r="C1640" t="s">
        <v>461</v>
      </c>
      <c r="D1640" t="str">
        <f>VLOOKUP(C1640,'lookup table'!$A$2:$B$19,2,FALSE)</f>
        <v>Posting Level</v>
      </c>
      <c r="E1640" t="str">
        <f t="shared" si="25"/>
        <v>|Posting Level</v>
      </c>
    </row>
    <row r="1641" spans="1:5" x14ac:dyDescent="0.2">
      <c r="A1641" t="s">
        <v>0</v>
      </c>
      <c r="B1641" t="s">
        <v>334</v>
      </c>
      <c r="C1641" t="s">
        <v>461</v>
      </c>
      <c r="D1641" t="str">
        <f>VLOOKUP(C1641,'lookup table'!$A$2:$B$19,2,FALSE)</f>
        <v>Posting Level</v>
      </c>
      <c r="E1641" t="str">
        <f t="shared" si="25"/>
        <v>|Posting Level</v>
      </c>
    </row>
    <row r="1642" spans="1:5" x14ac:dyDescent="0.2">
      <c r="A1642" t="s">
        <v>0</v>
      </c>
      <c r="B1642" t="s">
        <v>71</v>
      </c>
      <c r="C1642" t="s">
        <v>461</v>
      </c>
      <c r="D1642" t="str">
        <f>VLOOKUP(C1642,'lookup table'!$A$2:$B$19,2,FALSE)</f>
        <v>Posting Level</v>
      </c>
      <c r="E1642" t="str">
        <f t="shared" si="25"/>
        <v>|Posting Level</v>
      </c>
    </row>
    <row r="1643" spans="1:5" x14ac:dyDescent="0.2">
      <c r="A1643" t="s">
        <v>0</v>
      </c>
      <c r="B1643" t="s">
        <v>8</v>
      </c>
      <c r="C1643" t="s">
        <v>461</v>
      </c>
      <c r="D1643" t="str">
        <f>VLOOKUP(C1643,'lookup table'!$A$2:$B$19,2,FALSE)</f>
        <v>Posting Level</v>
      </c>
      <c r="E1643" t="str">
        <f t="shared" si="25"/>
        <v>|Posting Level</v>
      </c>
    </row>
    <row r="1644" spans="1:5" x14ac:dyDescent="0.2">
      <c r="A1644" t="s">
        <v>0</v>
      </c>
      <c r="B1644" t="s">
        <v>8</v>
      </c>
      <c r="C1644" t="s">
        <v>461</v>
      </c>
      <c r="D1644" t="str">
        <f>VLOOKUP(C1644,'lookup table'!$A$2:$B$19,2,FALSE)</f>
        <v>Posting Level</v>
      </c>
      <c r="E1644" t="str">
        <f t="shared" si="25"/>
        <v>|Posting Level</v>
      </c>
    </row>
    <row r="1645" spans="1:5" x14ac:dyDescent="0.2">
      <c r="A1645" t="s">
        <v>0</v>
      </c>
      <c r="B1645" t="s">
        <v>407</v>
      </c>
      <c r="C1645" t="s">
        <v>461</v>
      </c>
      <c r="D1645" t="str">
        <f>VLOOKUP(C1645,'lookup table'!$A$2:$B$19,2,FALSE)</f>
        <v>Posting Level</v>
      </c>
      <c r="E1645" t="str">
        <f t="shared" si="25"/>
        <v>|Posting Level</v>
      </c>
    </row>
    <row r="1646" spans="1:5" x14ac:dyDescent="0.2">
      <c r="A1646" t="s">
        <v>0</v>
      </c>
      <c r="B1646" t="s">
        <v>334</v>
      </c>
      <c r="C1646" t="s">
        <v>461</v>
      </c>
      <c r="D1646" t="str">
        <f>VLOOKUP(C1646,'lookup table'!$A$2:$B$19,2,FALSE)</f>
        <v>Posting Level</v>
      </c>
      <c r="E1646" t="str">
        <f t="shared" si="25"/>
        <v>|Posting Level</v>
      </c>
    </row>
    <row r="1647" spans="1:5" x14ac:dyDescent="0.2">
      <c r="A1647" t="s">
        <v>0</v>
      </c>
      <c r="B1647" t="s">
        <v>130</v>
      </c>
      <c r="C1647" t="s">
        <v>461</v>
      </c>
      <c r="D1647" t="str">
        <f>VLOOKUP(C1647,'lookup table'!$A$2:$B$19,2,FALSE)</f>
        <v>Posting Level</v>
      </c>
      <c r="E1647" t="str">
        <f t="shared" si="25"/>
        <v>|Posting Level</v>
      </c>
    </row>
    <row r="1648" spans="1:5" x14ac:dyDescent="0.2">
      <c r="A1648" t="s">
        <v>0</v>
      </c>
      <c r="B1648" t="s">
        <v>130</v>
      </c>
      <c r="C1648" t="s">
        <v>461</v>
      </c>
      <c r="D1648" t="str">
        <f>VLOOKUP(C1648,'lookup table'!$A$2:$B$19,2,FALSE)</f>
        <v>Posting Level</v>
      </c>
      <c r="E1648" t="str">
        <f t="shared" si="25"/>
        <v>|Posting Level</v>
      </c>
    </row>
    <row r="1649" spans="1:5" x14ac:dyDescent="0.2">
      <c r="A1649" t="s">
        <v>0</v>
      </c>
      <c r="B1649" t="s">
        <v>131</v>
      </c>
      <c r="C1649" t="s">
        <v>461</v>
      </c>
      <c r="D1649" t="str">
        <f>VLOOKUP(C1649,'lookup table'!$A$2:$B$19,2,FALSE)</f>
        <v>Posting Level</v>
      </c>
      <c r="E1649" t="str">
        <f t="shared" si="25"/>
        <v>|Posting Level</v>
      </c>
    </row>
    <row r="1650" spans="1:5" x14ac:dyDescent="0.2">
      <c r="A1650" t="s">
        <v>0</v>
      </c>
      <c r="B1650" t="s">
        <v>16</v>
      </c>
      <c r="C1650" t="s">
        <v>461</v>
      </c>
      <c r="D1650" t="str">
        <f>VLOOKUP(C1650,'lookup table'!$A$2:$B$19,2,FALSE)</f>
        <v>Posting Level</v>
      </c>
      <c r="E1650" t="str">
        <f t="shared" si="25"/>
        <v>|Posting Level</v>
      </c>
    </row>
    <row r="1651" spans="1:5" x14ac:dyDescent="0.2">
      <c r="A1651" t="s">
        <v>0</v>
      </c>
      <c r="B1651" t="s">
        <v>132</v>
      </c>
      <c r="C1651" t="s">
        <v>461</v>
      </c>
      <c r="D1651" t="str">
        <f>VLOOKUP(C1651,'lookup table'!$A$2:$B$19,2,FALSE)</f>
        <v>Posting Level</v>
      </c>
      <c r="E1651" t="str">
        <f t="shared" si="25"/>
        <v>|Posting Level</v>
      </c>
    </row>
    <row r="1652" spans="1:5" x14ac:dyDescent="0.2">
      <c r="A1652" t="s">
        <v>0</v>
      </c>
      <c r="B1652" t="s">
        <v>119</v>
      </c>
      <c r="C1652" t="s">
        <v>461</v>
      </c>
      <c r="D1652" t="str">
        <f>VLOOKUP(C1652,'lookup table'!$A$2:$B$19,2,FALSE)</f>
        <v>Posting Level</v>
      </c>
      <c r="E1652" t="str">
        <f t="shared" si="25"/>
        <v>|Posting Level</v>
      </c>
    </row>
    <row r="1653" spans="1:5" x14ac:dyDescent="0.2">
      <c r="A1653" t="s">
        <v>0</v>
      </c>
      <c r="B1653" t="s">
        <v>414</v>
      </c>
      <c r="C1653" t="s">
        <v>461</v>
      </c>
      <c r="D1653" t="str">
        <f>VLOOKUP(C1653,'lookup table'!$A$2:$B$19,2,FALSE)</f>
        <v>Posting Level</v>
      </c>
      <c r="E1653" t="str">
        <f t="shared" si="25"/>
        <v>|Posting Level</v>
      </c>
    </row>
    <row r="1654" spans="1:5" x14ac:dyDescent="0.2">
      <c r="A1654" t="s">
        <v>0</v>
      </c>
      <c r="B1654" t="s">
        <v>393</v>
      </c>
      <c r="C1654" t="s">
        <v>461</v>
      </c>
      <c r="D1654" t="str">
        <f>VLOOKUP(C1654,'lookup table'!$A$2:$B$19,2,FALSE)</f>
        <v>Posting Level</v>
      </c>
      <c r="E1654" t="str">
        <f t="shared" si="25"/>
        <v>|Posting Level</v>
      </c>
    </row>
    <row r="1655" spans="1:5" x14ac:dyDescent="0.2">
      <c r="A1655" t="s">
        <v>0</v>
      </c>
      <c r="B1655" t="s">
        <v>394</v>
      </c>
      <c r="C1655" t="s">
        <v>461</v>
      </c>
      <c r="D1655" t="str">
        <f>VLOOKUP(C1655,'lookup table'!$A$2:$B$19,2,FALSE)</f>
        <v>Posting Level</v>
      </c>
      <c r="E1655" t="str">
        <f t="shared" si="25"/>
        <v>|Posting Level</v>
      </c>
    </row>
    <row r="1656" spans="1:5" x14ac:dyDescent="0.2">
      <c r="A1656" t="s">
        <v>0</v>
      </c>
      <c r="B1656" t="s">
        <v>395</v>
      </c>
      <c r="C1656" t="s">
        <v>461</v>
      </c>
      <c r="D1656" t="str">
        <f>VLOOKUP(C1656,'lookup table'!$A$2:$B$19,2,FALSE)</f>
        <v>Posting Level</v>
      </c>
      <c r="E1656" t="str">
        <f t="shared" si="25"/>
        <v>|Posting Level</v>
      </c>
    </row>
    <row r="1657" spans="1:5" x14ac:dyDescent="0.2">
      <c r="A1657" t="s">
        <v>0</v>
      </c>
      <c r="B1657" t="s">
        <v>415</v>
      </c>
      <c r="C1657" t="s">
        <v>461</v>
      </c>
      <c r="D1657" t="str">
        <f>VLOOKUP(C1657,'lookup table'!$A$2:$B$19,2,FALSE)</f>
        <v>Posting Level</v>
      </c>
      <c r="E1657" t="str">
        <f t="shared" si="25"/>
        <v>|Posting Level</v>
      </c>
    </row>
    <row r="1658" spans="1:5" x14ac:dyDescent="0.2">
      <c r="A1658" t="s">
        <v>0</v>
      </c>
      <c r="B1658" t="s">
        <v>133</v>
      </c>
      <c r="C1658" t="s">
        <v>461</v>
      </c>
      <c r="D1658" t="str">
        <f>VLOOKUP(C1658,'lookup table'!$A$2:$B$19,2,FALSE)</f>
        <v>Posting Level</v>
      </c>
      <c r="E1658" t="str">
        <f t="shared" si="25"/>
        <v>|Posting Level</v>
      </c>
    </row>
    <row r="1659" spans="1:5" x14ac:dyDescent="0.2">
      <c r="A1659" t="s">
        <v>0</v>
      </c>
      <c r="B1659" t="s">
        <v>134</v>
      </c>
      <c r="C1659" t="s">
        <v>461</v>
      </c>
      <c r="D1659" t="str">
        <f>VLOOKUP(C1659,'lookup table'!$A$2:$B$19,2,FALSE)</f>
        <v>Posting Level</v>
      </c>
      <c r="E1659" t="str">
        <f t="shared" si="25"/>
        <v>|Posting Level</v>
      </c>
    </row>
    <row r="1660" spans="1:5" x14ac:dyDescent="0.2">
      <c r="A1660" t="s">
        <v>0</v>
      </c>
      <c r="B1660" t="s">
        <v>416</v>
      </c>
      <c r="C1660" t="s">
        <v>461</v>
      </c>
      <c r="D1660" t="str">
        <f>VLOOKUP(C1660,'lookup table'!$A$2:$B$19,2,FALSE)</f>
        <v>Posting Level</v>
      </c>
      <c r="E1660" t="str">
        <f t="shared" si="25"/>
        <v>|Posting Level</v>
      </c>
    </row>
    <row r="1661" spans="1:5" x14ac:dyDescent="0.2">
      <c r="A1661" t="s">
        <v>0</v>
      </c>
      <c r="B1661" t="s">
        <v>417</v>
      </c>
      <c r="C1661" t="s">
        <v>461</v>
      </c>
      <c r="D1661" t="str">
        <f>VLOOKUP(C1661,'lookup table'!$A$2:$B$19,2,FALSE)</f>
        <v>Posting Level</v>
      </c>
      <c r="E1661" t="str">
        <f t="shared" si="25"/>
        <v>|Posting Level</v>
      </c>
    </row>
    <row r="1662" spans="1:5" x14ac:dyDescent="0.2">
      <c r="A1662" t="s">
        <v>0</v>
      </c>
      <c r="B1662" t="s">
        <v>418</v>
      </c>
      <c r="C1662" t="s">
        <v>461</v>
      </c>
      <c r="D1662" t="str">
        <f>VLOOKUP(C1662,'lookup table'!$A$2:$B$19,2,FALSE)</f>
        <v>Posting Level</v>
      </c>
      <c r="E1662" t="str">
        <f t="shared" si="25"/>
        <v>|Posting Level</v>
      </c>
    </row>
    <row r="1663" spans="1:5" x14ac:dyDescent="0.2">
      <c r="A1663" t="s">
        <v>0</v>
      </c>
      <c r="B1663" t="s">
        <v>419</v>
      </c>
      <c r="C1663" t="s">
        <v>461</v>
      </c>
      <c r="D1663" t="str">
        <f>VLOOKUP(C1663,'lookup table'!$A$2:$B$19,2,FALSE)</f>
        <v>Posting Level</v>
      </c>
      <c r="E1663" t="str">
        <f t="shared" si="25"/>
        <v>|Posting Level</v>
      </c>
    </row>
    <row r="1664" spans="1:5" x14ac:dyDescent="0.2">
      <c r="A1664" t="s">
        <v>0</v>
      </c>
      <c r="B1664" t="s">
        <v>16</v>
      </c>
      <c r="C1664" t="s">
        <v>461</v>
      </c>
      <c r="D1664" t="str">
        <f>VLOOKUP(C1664,'lookup table'!$A$2:$B$19,2,FALSE)</f>
        <v>Posting Level</v>
      </c>
      <c r="E1664" t="str">
        <f t="shared" si="25"/>
        <v>|Posting Level</v>
      </c>
    </row>
    <row r="1665" spans="1:5" x14ac:dyDescent="0.2">
      <c r="A1665" t="s">
        <v>0</v>
      </c>
      <c r="B1665" t="s">
        <v>420</v>
      </c>
      <c r="C1665" t="s">
        <v>461</v>
      </c>
      <c r="D1665" t="str">
        <f>VLOOKUP(C1665,'lookup table'!$A$2:$B$19,2,FALSE)</f>
        <v>Posting Level</v>
      </c>
      <c r="E1665" t="str">
        <f t="shared" si="25"/>
        <v>|Posting Level</v>
      </c>
    </row>
    <row r="1666" spans="1:5" x14ac:dyDescent="0.2">
      <c r="A1666" t="s">
        <v>0</v>
      </c>
      <c r="B1666" t="s">
        <v>16</v>
      </c>
      <c r="C1666" t="s">
        <v>461</v>
      </c>
      <c r="D1666" t="str">
        <f>VLOOKUP(C1666,'lookup table'!$A$2:$B$19,2,FALSE)</f>
        <v>Posting Level</v>
      </c>
      <c r="E1666" t="str">
        <f t="shared" si="25"/>
        <v>|Posting Level</v>
      </c>
    </row>
    <row r="1667" spans="1:5" x14ac:dyDescent="0.2">
      <c r="A1667" t="s">
        <v>0</v>
      </c>
      <c r="B1667" t="s">
        <v>417</v>
      </c>
      <c r="C1667" t="s">
        <v>461</v>
      </c>
      <c r="D1667" t="str">
        <f>VLOOKUP(C1667,'lookup table'!$A$2:$B$19,2,FALSE)</f>
        <v>Posting Level</v>
      </c>
      <c r="E1667" t="str">
        <f t="shared" ref="E1667:E1730" si="26">IF(ISNA(D1667),"",IF(A1667="","",A1667) &amp; "|" &amp; D1667)</f>
        <v>|Posting Level</v>
      </c>
    </row>
    <row r="1668" spans="1:5" x14ac:dyDescent="0.2">
      <c r="A1668" t="s">
        <v>0</v>
      </c>
      <c r="B1668" t="s">
        <v>421</v>
      </c>
      <c r="C1668" t="s">
        <v>461</v>
      </c>
      <c r="D1668" t="str">
        <f>VLOOKUP(C1668,'lookup table'!$A$2:$B$19,2,FALSE)</f>
        <v>Posting Level</v>
      </c>
      <c r="E1668" t="str">
        <f t="shared" si="26"/>
        <v>|Posting Level</v>
      </c>
    </row>
    <row r="1669" spans="1:5" x14ac:dyDescent="0.2">
      <c r="A1669" t="s">
        <v>0</v>
      </c>
      <c r="B1669" t="s">
        <v>450</v>
      </c>
      <c r="C1669" t="s">
        <v>461</v>
      </c>
      <c r="D1669" t="str">
        <f>VLOOKUP(C1669,'lookup table'!$A$2:$B$19,2,FALSE)</f>
        <v>Posting Level</v>
      </c>
      <c r="E1669" t="str">
        <f t="shared" si="26"/>
        <v>|Posting Level</v>
      </c>
    </row>
    <row r="1670" spans="1:5" x14ac:dyDescent="0.2">
      <c r="A1670" t="s">
        <v>0</v>
      </c>
      <c r="B1670" t="s">
        <v>17</v>
      </c>
      <c r="C1670" t="s">
        <v>461</v>
      </c>
      <c r="D1670" t="str">
        <f>VLOOKUP(C1670,'lookup table'!$A$2:$B$19,2,FALSE)</f>
        <v>Posting Level</v>
      </c>
      <c r="E1670" t="str">
        <f t="shared" si="26"/>
        <v>|Posting Level</v>
      </c>
    </row>
    <row r="1671" spans="1:5" x14ac:dyDescent="0.2">
      <c r="A1671" t="s">
        <v>0</v>
      </c>
      <c r="B1671" t="s">
        <v>18</v>
      </c>
      <c r="C1671" t="s">
        <v>461</v>
      </c>
      <c r="D1671" t="str">
        <f>VLOOKUP(C1671,'lookup table'!$A$2:$B$19,2,FALSE)</f>
        <v>Posting Level</v>
      </c>
      <c r="E1671" t="str">
        <f t="shared" si="26"/>
        <v>|Posting Level</v>
      </c>
    </row>
    <row r="1672" spans="1:5" x14ac:dyDescent="0.2">
      <c r="A1672" t="s">
        <v>0</v>
      </c>
      <c r="B1672" t="s">
        <v>1</v>
      </c>
      <c r="C1672" t="s">
        <v>462</v>
      </c>
      <c r="D1672" t="e">
        <f>VLOOKUP(C1672,'lookup table'!$A$2:$B$19,2,FALSE)</f>
        <v>#N/A</v>
      </c>
      <c r="E1672" t="str">
        <f t="shared" si="26"/>
        <v/>
      </c>
    </row>
    <row r="1673" spans="1:5" x14ac:dyDescent="0.2">
      <c r="A1673" t="s">
        <v>0</v>
      </c>
      <c r="B1673" t="s">
        <v>3</v>
      </c>
      <c r="C1673" t="s">
        <v>462</v>
      </c>
      <c r="D1673" t="e">
        <f>VLOOKUP(C1673,'lookup table'!$A$2:$B$19,2,FALSE)</f>
        <v>#N/A</v>
      </c>
      <c r="E1673" t="str">
        <f t="shared" si="26"/>
        <v/>
      </c>
    </row>
    <row r="1674" spans="1:5" x14ac:dyDescent="0.2">
      <c r="A1674" t="s">
        <v>0</v>
      </c>
      <c r="B1674" t="s">
        <v>4</v>
      </c>
      <c r="C1674" t="s">
        <v>462</v>
      </c>
      <c r="D1674" t="e">
        <f>VLOOKUP(C1674,'lookup table'!$A$2:$B$19,2,FALSE)</f>
        <v>#N/A</v>
      </c>
      <c r="E1674" t="str">
        <f t="shared" si="26"/>
        <v/>
      </c>
    </row>
    <row r="1675" spans="1:5" x14ac:dyDescent="0.2">
      <c r="A1675" t="s">
        <v>0</v>
      </c>
      <c r="B1675" t="s">
        <v>1</v>
      </c>
      <c r="C1675" t="s">
        <v>463</v>
      </c>
      <c r="D1675" t="e">
        <f>VLOOKUP(C1675,'lookup table'!$A$2:$B$19,2,FALSE)</f>
        <v>#N/A</v>
      </c>
      <c r="E1675" t="str">
        <f t="shared" si="26"/>
        <v/>
      </c>
    </row>
    <row r="1676" spans="1:5" x14ac:dyDescent="0.2">
      <c r="A1676" t="s">
        <v>0</v>
      </c>
      <c r="B1676" t="s">
        <v>3</v>
      </c>
      <c r="C1676" t="s">
        <v>463</v>
      </c>
      <c r="D1676" t="e">
        <f>VLOOKUP(C1676,'lookup table'!$A$2:$B$19,2,FALSE)</f>
        <v>#N/A</v>
      </c>
      <c r="E1676" t="str">
        <f t="shared" si="26"/>
        <v/>
      </c>
    </row>
    <row r="1677" spans="1:5" x14ac:dyDescent="0.2">
      <c r="A1677" t="s">
        <v>0</v>
      </c>
      <c r="B1677" t="s">
        <v>4</v>
      </c>
      <c r="C1677" t="s">
        <v>463</v>
      </c>
      <c r="D1677" t="e">
        <f>VLOOKUP(C1677,'lookup table'!$A$2:$B$19,2,FALSE)</f>
        <v>#N/A</v>
      </c>
      <c r="E1677" t="str">
        <f t="shared" si="26"/>
        <v/>
      </c>
    </row>
    <row r="1678" spans="1:5" x14ac:dyDescent="0.2">
      <c r="A1678" t="s">
        <v>0</v>
      </c>
      <c r="B1678" t="s">
        <v>1</v>
      </c>
      <c r="C1678" t="s">
        <v>464</v>
      </c>
      <c r="D1678" t="e">
        <f>VLOOKUP(C1678,'lookup table'!$A$2:$B$19,2,FALSE)</f>
        <v>#N/A</v>
      </c>
      <c r="E1678" t="str">
        <f t="shared" si="26"/>
        <v/>
      </c>
    </row>
    <row r="1679" spans="1:5" x14ac:dyDescent="0.2">
      <c r="A1679" t="s">
        <v>0</v>
      </c>
      <c r="B1679" t="s">
        <v>3</v>
      </c>
      <c r="C1679" t="s">
        <v>464</v>
      </c>
      <c r="D1679" t="e">
        <f>VLOOKUP(C1679,'lookup table'!$A$2:$B$19,2,FALSE)</f>
        <v>#N/A</v>
      </c>
      <c r="E1679" t="str">
        <f t="shared" si="26"/>
        <v/>
      </c>
    </row>
    <row r="1680" spans="1:5" x14ac:dyDescent="0.2">
      <c r="A1680" t="s">
        <v>0</v>
      </c>
      <c r="B1680" t="s">
        <v>4</v>
      </c>
      <c r="C1680" t="s">
        <v>464</v>
      </c>
      <c r="D1680" t="e">
        <f>VLOOKUP(C1680,'lookup table'!$A$2:$B$19,2,FALSE)</f>
        <v>#N/A</v>
      </c>
      <c r="E1680" t="str">
        <f t="shared" si="26"/>
        <v/>
      </c>
    </row>
    <row r="1681" spans="1:5" x14ac:dyDescent="0.2">
      <c r="A1681" t="s">
        <v>0</v>
      </c>
      <c r="B1681" t="s">
        <v>1</v>
      </c>
      <c r="C1681" t="s">
        <v>465</v>
      </c>
      <c r="D1681" t="e">
        <f>VLOOKUP(C1681,'lookup table'!$A$2:$B$19,2,FALSE)</f>
        <v>#N/A</v>
      </c>
      <c r="E1681" t="str">
        <f t="shared" si="26"/>
        <v/>
      </c>
    </row>
    <row r="1682" spans="1:5" x14ac:dyDescent="0.2">
      <c r="A1682" t="s">
        <v>0</v>
      </c>
      <c r="B1682" t="s">
        <v>3</v>
      </c>
      <c r="C1682" t="s">
        <v>465</v>
      </c>
      <c r="D1682" t="e">
        <f>VLOOKUP(C1682,'lookup table'!$A$2:$B$19,2,FALSE)</f>
        <v>#N/A</v>
      </c>
      <c r="E1682" t="str">
        <f t="shared" si="26"/>
        <v/>
      </c>
    </row>
    <row r="1683" spans="1:5" x14ac:dyDescent="0.2">
      <c r="A1683" t="s">
        <v>0</v>
      </c>
      <c r="B1683" t="s">
        <v>7</v>
      </c>
      <c r="C1683" t="s">
        <v>465</v>
      </c>
      <c r="D1683" t="e">
        <f>VLOOKUP(C1683,'lookup table'!$A$2:$B$19,2,FALSE)</f>
        <v>#N/A</v>
      </c>
      <c r="E1683" t="str">
        <f t="shared" si="26"/>
        <v/>
      </c>
    </row>
    <row r="1684" spans="1:5" x14ac:dyDescent="0.2">
      <c r="A1684" t="s">
        <v>0</v>
      </c>
      <c r="B1684" t="s">
        <v>7</v>
      </c>
      <c r="C1684" t="s">
        <v>465</v>
      </c>
      <c r="D1684" t="e">
        <f>VLOOKUP(C1684,'lookup table'!$A$2:$B$19,2,FALSE)</f>
        <v>#N/A</v>
      </c>
      <c r="E1684" t="str">
        <f t="shared" si="26"/>
        <v/>
      </c>
    </row>
    <row r="1685" spans="1:5" x14ac:dyDescent="0.2">
      <c r="A1685" t="s">
        <v>0</v>
      </c>
      <c r="B1685" t="s">
        <v>4</v>
      </c>
      <c r="C1685" t="s">
        <v>465</v>
      </c>
      <c r="D1685" t="e">
        <f>VLOOKUP(C1685,'lookup table'!$A$2:$B$19,2,FALSE)</f>
        <v>#N/A</v>
      </c>
      <c r="E1685" t="str">
        <f t="shared" si="26"/>
        <v/>
      </c>
    </row>
    <row r="1686" spans="1:5" x14ac:dyDescent="0.2">
      <c r="A1686" t="s">
        <v>0</v>
      </c>
      <c r="B1686" t="s">
        <v>8</v>
      </c>
      <c r="C1686" t="s">
        <v>465</v>
      </c>
      <c r="D1686" t="e">
        <f>VLOOKUP(C1686,'lookup table'!$A$2:$B$19,2,FALSE)</f>
        <v>#N/A</v>
      </c>
      <c r="E1686" t="str">
        <f t="shared" si="26"/>
        <v/>
      </c>
    </row>
    <row r="1687" spans="1:5" x14ac:dyDescent="0.2">
      <c r="A1687" t="s">
        <v>0</v>
      </c>
      <c r="B1687" t="s">
        <v>8</v>
      </c>
      <c r="C1687" t="s">
        <v>465</v>
      </c>
      <c r="D1687" t="e">
        <f>VLOOKUP(C1687,'lookup table'!$A$2:$B$19,2,FALSE)</f>
        <v>#N/A</v>
      </c>
      <c r="E1687" t="str">
        <f t="shared" si="26"/>
        <v/>
      </c>
    </row>
    <row r="1688" spans="1:5" x14ac:dyDescent="0.2">
      <c r="A1688" t="s">
        <v>466</v>
      </c>
      <c r="B1688" t="s">
        <v>467</v>
      </c>
      <c r="C1688" t="s">
        <v>331</v>
      </c>
      <c r="D1688" t="str">
        <f>VLOOKUP(C1688,'lookup table'!$A$2:$B$19,2,FALSE)</f>
        <v>FS Item</v>
      </c>
      <c r="E1688" t="str">
        <f t="shared" si="26"/>
        <v>A004_70|FS Item</v>
      </c>
    </row>
    <row r="1689" spans="1:5" x14ac:dyDescent="0.2">
      <c r="A1689" t="s">
        <v>466</v>
      </c>
      <c r="B1689" t="s">
        <v>467</v>
      </c>
      <c r="C1689" t="s">
        <v>438</v>
      </c>
      <c r="D1689" t="str">
        <f>VLOOKUP(C1689,'lookup table'!$A$2:$B$19,2,FALSE)</f>
        <v>ToM</v>
      </c>
      <c r="E1689" t="str">
        <f t="shared" si="26"/>
        <v>A004_70|ToM</v>
      </c>
    </row>
    <row r="1690" spans="1:5" x14ac:dyDescent="0.2">
      <c r="A1690" t="s">
        <v>468</v>
      </c>
      <c r="B1690" t="s">
        <v>469</v>
      </c>
      <c r="C1690" t="s">
        <v>331</v>
      </c>
      <c r="D1690" t="str">
        <f>VLOOKUP(C1690,'lookup table'!$A$2:$B$19,2,FALSE)</f>
        <v>FS Item</v>
      </c>
      <c r="E1690" t="str">
        <f t="shared" si="26"/>
        <v>A021_00|FS Item</v>
      </c>
    </row>
    <row r="1691" spans="1:5" x14ac:dyDescent="0.2">
      <c r="A1691" t="s">
        <v>468</v>
      </c>
      <c r="B1691" t="s">
        <v>469</v>
      </c>
      <c r="C1691" t="s">
        <v>423</v>
      </c>
      <c r="D1691" t="str">
        <f>VLOOKUP(C1691,'lookup table'!$A$2:$B$19,2,FALSE)</f>
        <v>ignore</v>
      </c>
      <c r="E1691" t="str">
        <f t="shared" si="26"/>
        <v>A021_00|ignore</v>
      </c>
    </row>
    <row r="1692" spans="1:5" x14ac:dyDescent="0.2">
      <c r="A1692" t="s">
        <v>470</v>
      </c>
      <c r="B1692" t="s">
        <v>471</v>
      </c>
      <c r="C1692" t="s">
        <v>331</v>
      </c>
      <c r="D1692" t="str">
        <f>VLOOKUP(C1692,'lookup table'!$A$2:$B$19,2,FALSE)</f>
        <v>FS Item</v>
      </c>
      <c r="E1692" t="str">
        <f t="shared" si="26"/>
        <v>A043_00|FS Item</v>
      </c>
    </row>
    <row r="1693" spans="1:5" x14ac:dyDescent="0.2">
      <c r="A1693" t="s">
        <v>470</v>
      </c>
      <c r="B1693" t="s">
        <v>471</v>
      </c>
      <c r="C1693" t="s">
        <v>423</v>
      </c>
      <c r="D1693" t="str">
        <f>VLOOKUP(C1693,'lookup table'!$A$2:$B$19,2,FALSE)</f>
        <v>ignore</v>
      </c>
      <c r="E1693" t="str">
        <f t="shared" si="26"/>
        <v>A043_00|ignore</v>
      </c>
    </row>
    <row r="1694" spans="1:5" x14ac:dyDescent="0.2">
      <c r="A1694" t="s">
        <v>470</v>
      </c>
      <c r="B1694" t="s">
        <v>471</v>
      </c>
      <c r="C1694" t="s">
        <v>438</v>
      </c>
      <c r="D1694" t="str">
        <f>VLOOKUP(C1694,'lookup table'!$A$2:$B$19,2,FALSE)</f>
        <v>ToM</v>
      </c>
      <c r="E1694" t="str">
        <f t="shared" si="26"/>
        <v>A043_00|ToM</v>
      </c>
    </row>
    <row r="1695" spans="1:5" x14ac:dyDescent="0.2">
      <c r="A1695" t="s">
        <v>472</v>
      </c>
      <c r="B1695" t="s">
        <v>473</v>
      </c>
      <c r="C1695" t="s">
        <v>331</v>
      </c>
      <c r="D1695" t="str">
        <f>VLOOKUP(C1695,'lookup table'!$A$2:$B$19,2,FALSE)</f>
        <v>FS Item</v>
      </c>
      <c r="E1695" t="str">
        <f t="shared" si="26"/>
        <v>A043_60|FS Item</v>
      </c>
    </row>
    <row r="1696" spans="1:5" x14ac:dyDescent="0.2">
      <c r="A1696" t="s">
        <v>472</v>
      </c>
      <c r="B1696" t="s">
        <v>473</v>
      </c>
      <c r="C1696" t="s">
        <v>423</v>
      </c>
      <c r="D1696" t="str">
        <f>VLOOKUP(C1696,'lookup table'!$A$2:$B$19,2,FALSE)</f>
        <v>ignore</v>
      </c>
      <c r="E1696" t="str">
        <f t="shared" si="26"/>
        <v>A043_60|ignore</v>
      </c>
    </row>
    <row r="1697" spans="1:5" x14ac:dyDescent="0.2">
      <c r="A1697" t="s">
        <v>472</v>
      </c>
      <c r="B1697" t="s">
        <v>473</v>
      </c>
      <c r="C1697" t="s">
        <v>438</v>
      </c>
      <c r="D1697" t="str">
        <f>VLOOKUP(C1697,'lookup table'!$A$2:$B$19,2,FALSE)</f>
        <v>ToM</v>
      </c>
      <c r="E1697" t="str">
        <f t="shared" si="26"/>
        <v>A043_60|ToM</v>
      </c>
    </row>
    <row r="1698" spans="1:5" x14ac:dyDescent="0.2">
      <c r="A1698" t="s">
        <v>474</v>
      </c>
      <c r="B1698" t="s">
        <v>475</v>
      </c>
      <c r="C1698" t="s">
        <v>331</v>
      </c>
      <c r="D1698" t="str">
        <f>VLOOKUP(C1698,'lookup table'!$A$2:$B$19,2,FALSE)</f>
        <v>FS Item</v>
      </c>
      <c r="E1698" t="str">
        <f t="shared" si="26"/>
        <v>A045_00|FS Item</v>
      </c>
    </row>
    <row r="1699" spans="1:5" x14ac:dyDescent="0.2">
      <c r="A1699" t="s">
        <v>474</v>
      </c>
      <c r="B1699" t="s">
        <v>475</v>
      </c>
      <c r="C1699" t="s">
        <v>423</v>
      </c>
      <c r="D1699" t="str">
        <f>VLOOKUP(C1699,'lookup table'!$A$2:$B$19,2,FALSE)</f>
        <v>ignore</v>
      </c>
      <c r="E1699" t="str">
        <f t="shared" si="26"/>
        <v>A045_00|ignore</v>
      </c>
    </row>
    <row r="1700" spans="1:5" x14ac:dyDescent="0.2">
      <c r="A1700" t="s">
        <v>474</v>
      </c>
      <c r="B1700" t="s">
        <v>475</v>
      </c>
      <c r="C1700" t="s">
        <v>438</v>
      </c>
      <c r="D1700" t="str">
        <f>VLOOKUP(C1700,'lookup table'!$A$2:$B$19,2,FALSE)</f>
        <v>ToM</v>
      </c>
      <c r="E1700" t="str">
        <f t="shared" si="26"/>
        <v>A045_00|ToM</v>
      </c>
    </row>
    <row r="1701" spans="1:5" x14ac:dyDescent="0.2">
      <c r="A1701" t="s">
        <v>476</v>
      </c>
      <c r="B1701" t="s">
        <v>410</v>
      </c>
      <c r="C1701" t="s">
        <v>331</v>
      </c>
      <c r="D1701" t="str">
        <f>VLOOKUP(C1701,'lookup table'!$A$2:$B$19,2,FALSE)</f>
        <v>FS Item</v>
      </c>
      <c r="E1701" t="str">
        <f t="shared" si="26"/>
        <v>A046_00|FS Item</v>
      </c>
    </row>
    <row r="1702" spans="1:5" x14ac:dyDescent="0.2">
      <c r="A1702" t="s">
        <v>476</v>
      </c>
      <c r="B1702" t="s">
        <v>410</v>
      </c>
      <c r="C1702" t="s">
        <v>423</v>
      </c>
      <c r="D1702" t="str">
        <f>VLOOKUP(C1702,'lookup table'!$A$2:$B$19,2,FALSE)</f>
        <v>ignore</v>
      </c>
      <c r="E1702" t="str">
        <f t="shared" si="26"/>
        <v>A046_00|ignore</v>
      </c>
    </row>
    <row r="1703" spans="1:5" x14ac:dyDescent="0.2">
      <c r="A1703" t="s">
        <v>476</v>
      </c>
      <c r="B1703" t="s">
        <v>410</v>
      </c>
      <c r="C1703" t="s">
        <v>438</v>
      </c>
      <c r="D1703" t="str">
        <f>VLOOKUP(C1703,'lookup table'!$A$2:$B$19,2,FALSE)</f>
        <v>ToM</v>
      </c>
      <c r="E1703" t="str">
        <f t="shared" si="26"/>
        <v>A046_00|ToM</v>
      </c>
    </row>
    <row r="1704" spans="1:5" x14ac:dyDescent="0.2">
      <c r="A1704" t="s">
        <v>477</v>
      </c>
      <c r="B1704" t="s">
        <v>478</v>
      </c>
      <c r="C1704" t="s">
        <v>331</v>
      </c>
      <c r="D1704" t="str">
        <f>VLOOKUP(C1704,'lookup table'!$A$2:$B$19,2,FALSE)</f>
        <v>FS Item</v>
      </c>
      <c r="E1704" t="str">
        <f t="shared" si="26"/>
        <v>A050_00|FS Item</v>
      </c>
    </row>
    <row r="1705" spans="1:5" x14ac:dyDescent="0.2">
      <c r="A1705" t="s">
        <v>477</v>
      </c>
      <c r="B1705" t="s">
        <v>478</v>
      </c>
      <c r="C1705" t="s">
        <v>423</v>
      </c>
      <c r="D1705" t="str">
        <f>VLOOKUP(C1705,'lookup table'!$A$2:$B$19,2,FALSE)</f>
        <v>ignore</v>
      </c>
      <c r="E1705" t="str">
        <f t="shared" si="26"/>
        <v>A050_00|ignore</v>
      </c>
    </row>
    <row r="1706" spans="1:5" x14ac:dyDescent="0.2">
      <c r="A1706" t="s">
        <v>477</v>
      </c>
      <c r="B1706" t="s">
        <v>478</v>
      </c>
      <c r="C1706" t="s">
        <v>438</v>
      </c>
      <c r="D1706" t="str">
        <f>VLOOKUP(C1706,'lookup table'!$A$2:$B$19,2,FALSE)</f>
        <v>ToM</v>
      </c>
      <c r="E1706" t="str">
        <f t="shared" si="26"/>
        <v>A050_00|ToM</v>
      </c>
    </row>
    <row r="1707" spans="1:5" x14ac:dyDescent="0.2">
      <c r="A1707" t="s">
        <v>479</v>
      </c>
      <c r="B1707" t="s">
        <v>480</v>
      </c>
      <c r="C1707" t="s">
        <v>331</v>
      </c>
      <c r="D1707" t="str">
        <f>VLOOKUP(C1707,'lookup table'!$A$2:$B$19,2,FALSE)</f>
        <v>FS Item</v>
      </c>
      <c r="E1707" t="str">
        <f t="shared" si="26"/>
        <v>A075_00|FS Item</v>
      </c>
    </row>
    <row r="1708" spans="1:5" x14ac:dyDescent="0.2">
      <c r="A1708" t="s">
        <v>479</v>
      </c>
      <c r="B1708" t="s">
        <v>480</v>
      </c>
      <c r="C1708" t="s">
        <v>423</v>
      </c>
      <c r="D1708" t="str">
        <f>VLOOKUP(C1708,'lookup table'!$A$2:$B$19,2,FALSE)</f>
        <v>ignore</v>
      </c>
      <c r="E1708" t="str">
        <f t="shared" si="26"/>
        <v>A075_00|ignore</v>
      </c>
    </row>
    <row r="1709" spans="1:5" x14ac:dyDescent="0.2">
      <c r="A1709" t="s">
        <v>479</v>
      </c>
      <c r="B1709" t="s">
        <v>480</v>
      </c>
      <c r="C1709" t="s">
        <v>438</v>
      </c>
      <c r="D1709" t="str">
        <f>VLOOKUP(C1709,'lookup table'!$A$2:$B$19,2,FALSE)</f>
        <v>ToM</v>
      </c>
      <c r="E1709" t="str">
        <f t="shared" si="26"/>
        <v>A075_00|ToM</v>
      </c>
    </row>
    <row r="1710" spans="1:5" x14ac:dyDescent="0.2">
      <c r="A1710" t="s">
        <v>481</v>
      </c>
      <c r="B1710" t="s">
        <v>482</v>
      </c>
      <c r="C1710" t="s">
        <v>331</v>
      </c>
      <c r="D1710" t="str">
        <f>VLOOKUP(C1710,'lookup table'!$A$2:$B$19,2,FALSE)</f>
        <v>FS Item</v>
      </c>
      <c r="E1710" t="str">
        <f t="shared" si="26"/>
        <v>A076_00|FS Item</v>
      </c>
    </row>
    <row r="1711" spans="1:5" x14ac:dyDescent="0.2">
      <c r="A1711" t="s">
        <v>481</v>
      </c>
      <c r="B1711" t="s">
        <v>482</v>
      </c>
      <c r="C1711" t="s">
        <v>423</v>
      </c>
      <c r="D1711" t="str">
        <f>VLOOKUP(C1711,'lookup table'!$A$2:$B$19,2,FALSE)</f>
        <v>ignore</v>
      </c>
      <c r="E1711" t="str">
        <f t="shared" si="26"/>
        <v>A076_00|ignore</v>
      </c>
    </row>
    <row r="1712" spans="1:5" x14ac:dyDescent="0.2">
      <c r="A1712" t="s">
        <v>481</v>
      </c>
      <c r="B1712" t="s">
        <v>482</v>
      </c>
      <c r="C1712" t="s">
        <v>438</v>
      </c>
      <c r="D1712" t="str">
        <f>VLOOKUP(C1712,'lookup table'!$A$2:$B$19,2,FALSE)</f>
        <v>ToM</v>
      </c>
      <c r="E1712" t="str">
        <f t="shared" si="26"/>
        <v>A076_00|ToM</v>
      </c>
    </row>
    <row r="1713" spans="1:5" x14ac:dyDescent="0.2">
      <c r="A1713" t="s">
        <v>483</v>
      </c>
      <c r="B1713" t="s">
        <v>484</v>
      </c>
      <c r="C1713" t="s">
        <v>331</v>
      </c>
      <c r="D1713" t="str">
        <f>VLOOKUP(C1713,'lookup table'!$A$2:$B$19,2,FALSE)</f>
        <v>FS Item</v>
      </c>
      <c r="E1713" t="str">
        <f t="shared" si="26"/>
        <v>A078_00|FS Item</v>
      </c>
    </row>
    <row r="1714" spans="1:5" x14ac:dyDescent="0.2">
      <c r="A1714" t="s">
        <v>483</v>
      </c>
      <c r="B1714" t="s">
        <v>484</v>
      </c>
      <c r="C1714" t="s">
        <v>423</v>
      </c>
      <c r="D1714" t="str">
        <f>VLOOKUP(C1714,'lookup table'!$A$2:$B$19,2,FALSE)</f>
        <v>ignore</v>
      </c>
      <c r="E1714" t="str">
        <f t="shared" si="26"/>
        <v>A078_00|ignore</v>
      </c>
    </row>
    <row r="1715" spans="1:5" x14ac:dyDescent="0.2">
      <c r="A1715" t="s">
        <v>483</v>
      </c>
      <c r="B1715" t="s">
        <v>484</v>
      </c>
      <c r="C1715" t="s">
        <v>438</v>
      </c>
      <c r="D1715" t="str">
        <f>VLOOKUP(C1715,'lookup table'!$A$2:$B$19,2,FALSE)</f>
        <v>ToM</v>
      </c>
      <c r="E1715" t="str">
        <f t="shared" si="26"/>
        <v>A078_00|ToM</v>
      </c>
    </row>
    <row r="1716" spans="1:5" x14ac:dyDescent="0.2">
      <c r="A1716" t="s">
        <v>485</v>
      </c>
      <c r="B1716" t="s">
        <v>486</v>
      </c>
      <c r="C1716" t="s">
        <v>331</v>
      </c>
      <c r="D1716" t="str">
        <f>VLOOKUP(C1716,'lookup table'!$A$2:$B$19,2,FALSE)</f>
        <v>FS Item</v>
      </c>
      <c r="E1716" t="str">
        <f t="shared" si="26"/>
        <v>A079_00|FS Item</v>
      </c>
    </row>
    <row r="1717" spans="1:5" x14ac:dyDescent="0.2">
      <c r="A1717" t="s">
        <v>485</v>
      </c>
      <c r="B1717" t="s">
        <v>486</v>
      </c>
      <c r="C1717" t="s">
        <v>423</v>
      </c>
      <c r="D1717" t="str">
        <f>VLOOKUP(C1717,'lookup table'!$A$2:$B$19,2,FALSE)</f>
        <v>ignore</v>
      </c>
      <c r="E1717" t="str">
        <f t="shared" si="26"/>
        <v>A079_00|ignore</v>
      </c>
    </row>
    <row r="1718" spans="1:5" x14ac:dyDescent="0.2">
      <c r="A1718" t="s">
        <v>485</v>
      </c>
      <c r="B1718" t="s">
        <v>486</v>
      </c>
      <c r="C1718" t="s">
        <v>438</v>
      </c>
      <c r="D1718" t="str">
        <f>VLOOKUP(C1718,'lookup table'!$A$2:$B$19,2,FALSE)</f>
        <v>ToM</v>
      </c>
      <c r="E1718" t="str">
        <f t="shared" si="26"/>
        <v>A079_00|ToM</v>
      </c>
    </row>
    <row r="1719" spans="1:5" x14ac:dyDescent="0.2">
      <c r="A1719" t="s">
        <v>487</v>
      </c>
      <c r="B1719" t="s">
        <v>488</v>
      </c>
      <c r="C1719" t="s">
        <v>331</v>
      </c>
      <c r="D1719" t="str">
        <f>VLOOKUP(C1719,'lookup table'!$A$2:$B$19,2,FALSE)</f>
        <v>FS Item</v>
      </c>
      <c r="E1719" t="str">
        <f t="shared" si="26"/>
        <v>A080_00|FS Item</v>
      </c>
    </row>
    <row r="1720" spans="1:5" x14ac:dyDescent="0.2">
      <c r="A1720" t="s">
        <v>487</v>
      </c>
      <c r="B1720" t="s">
        <v>488</v>
      </c>
      <c r="C1720" t="s">
        <v>423</v>
      </c>
      <c r="D1720" t="str">
        <f>VLOOKUP(C1720,'lookup table'!$A$2:$B$19,2,FALSE)</f>
        <v>ignore</v>
      </c>
      <c r="E1720" t="str">
        <f t="shared" si="26"/>
        <v>A080_00|ignore</v>
      </c>
    </row>
    <row r="1721" spans="1:5" x14ac:dyDescent="0.2">
      <c r="A1721" t="s">
        <v>487</v>
      </c>
      <c r="B1721" t="s">
        <v>488</v>
      </c>
      <c r="C1721" t="s">
        <v>438</v>
      </c>
      <c r="D1721" t="str">
        <f>VLOOKUP(C1721,'lookup table'!$A$2:$B$19,2,FALSE)</f>
        <v>ToM</v>
      </c>
      <c r="E1721" t="str">
        <f t="shared" si="26"/>
        <v>A080_00|ToM</v>
      </c>
    </row>
    <row r="1722" spans="1:5" x14ac:dyDescent="0.2">
      <c r="A1722" t="s">
        <v>489</v>
      </c>
      <c r="B1722" t="s">
        <v>490</v>
      </c>
      <c r="C1722" t="s">
        <v>331</v>
      </c>
      <c r="D1722" t="str">
        <f>VLOOKUP(C1722,'lookup table'!$A$2:$B$19,2,FALSE)</f>
        <v>FS Item</v>
      </c>
      <c r="E1722" t="str">
        <f t="shared" si="26"/>
        <v>A081_00|FS Item</v>
      </c>
    </row>
    <row r="1723" spans="1:5" x14ac:dyDescent="0.2">
      <c r="A1723" t="s">
        <v>489</v>
      </c>
      <c r="B1723" t="s">
        <v>490</v>
      </c>
      <c r="C1723" t="s">
        <v>423</v>
      </c>
      <c r="D1723" t="str">
        <f>VLOOKUP(C1723,'lookup table'!$A$2:$B$19,2,FALSE)</f>
        <v>ignore</v>
      </c>
      <c r="E1723" t="str">
        <f t="shared" si="26"/>
        <v>A081_00|ignore</v>
      </c>
    </row>
    <row r="1724" spans="1:5" x14ac:dyDescent="0.2">
      <c r="A1724" t="s">
        <v>489</v>
      </c>
      <c r="B1724" t="s">
        <v>490</v>
      </c>
      <c r="C1724" t="s">
        <v>438</v>
      </c>
      <c r="D1724" t="str">
        <f>VLOOKUP(C1724,'lookup table'!$A$2:$B$19,2,FALSE)</f>
        <v>ToM</v>
      </c>
      <c r="E1724" t="str">
        <f t="shared" si="26"/>
        <v>A081_00|ToM</v>
      </c>
    </row>
    <row r="1725" spans="1:5" x14ac:dyDescent="0.2">
      <c r="A1725" t="s">
        <v>491</v>
      </c>
      <c r="B1725" t="s">
        <v>492</v>
      </c>
      <c r="C1725" t="s">
        <v>331</v>
      </c>
      <c r="D1725" t="str">
        <f>VLOOKUP(C1725,'lookup table'!$A$2:$B$19,2,FALSE)</f>
        <v>FS Item</v>
      </c>
      <c r="E1725" t="str">
        <f t="shared" si="26"/>
        <v>A084_00|FS Item</v>
      </c>
    </row>
    <row r="1726" spans="1:5" x14ac:dyDescent="0.2">
      <c r="A1726" t="s">
        <v>491</v>
      </c>
      <c r="B1726" t="s">
        <v>492</v>
      </c>
      <c r="C1726" t="s">
        <v>423</v>
      </c>
      <c r="D1726" t="str">
        <f>VLOOKUP(C1726,'lookup table'!$A$2:$B$19,2,FALSE)</f>
        <v>ignore</v>
      </c>
      <c r="E1726" t="str">
        <f t="shared" si="26"/>
        <v>A084_00|ignore</v>
      </c>
    </row>
    <row r="1727" spans="1:5" x14ac:dyDescent="0.2">
      <c r="A1727" t="s">
        <v>491</v>
      </c>
      <c r="B1727" t="s">
        <v>492</v>
      </c>
      <c r="C1727" t="s">
        <v>438</v>
      </c>
      <c r="D1727" t="str">
        <f>VLOOKUP(C1727,'lookup table'!$A$2:$B$19,2,FALSE)</f>
        <v>ToM</v>
      </c>
      <c r="E1727" t="str">
        <f t="shared" si="26"/>
        <v>A084_00|ToM</v>
      </c>
    </row>
    <row r="1728" spans="1:5" x14ac:dyDescent="0.2">
      <c r="A1728" t="s">
        <v>493</v>
      </c>
      <c r="B1728" t="s">
        <v>494</v>
      </c>
      <c r="C1728" t="s">
        <v>331</v>
      </c>
      <c r="D1728" t="str">
        <f>VLOOKUP(C1728,'lookup table'!$A$2:$B$19,2,FALSE)</f>
        <v>FS Item</v>
      </c>
      <c r="E1728" t="str">
        <f t="shared" si="26"/>
        <v>A085_00|FS Item</v>
      </c>
    </row>
    <row r="1729" spans="1:5" x14ac:dyDescent="0.2">
      <c r="A1729" t="s">
        <v>493</v>
      </c>
      <c r="B1729" t="s">
        <v>494</v>
      </c>
      <c r="C1729" t="s">
        <v>423</v>
      </c>
      <c r="D1729" t="str">
        <f>VLOOKUP(C1729,'lookup table'!$A$2:$B$19,2,FALSE)</f>
        <v>ignore</v>
      </c>
      <c r="E1729" t="str">
        <f t="shared" si="26"/>
        <v>A085_00|ignore</v>
      </c>
    </row>
    <row r="1730" spans="1:5" x14ac:dyDescent="0.2">
      <c r="A1730" t="s">
        <v>493</v>
      </c>
      <c r="B1730" t="s">
        <v>494</v>
      </c>
      <c r="C1730" t="s">
        <v>438</v>
      </c>
      <c r="D1730" t="str">
        <f>VLOOKUP(C1730,'lookup table'!$A$2:$B$19,2,FALSE)</f>
        <v>ToM</v>
      </c>
      <c r="E1730" t="str">
        <f t="shared" si="26"/>
        <v>A085_00|ToM</v>
      </c>
    </row>
    <row r="1731" spans="1:5" x14ac:dyDescent="0.2">
      <c r="A1731" t="s">
        <v>495</v>
      </c>
      <c r="B1731" t="s">
        <v>496</v>
      </c>
      <c r="C1731" t="s">
        <v>331</v>
      </c>
      <c r="D1731" t="str">
        <f>VLOOKUP(C1731,'lookup table'!$A$2:$B$19,2,FALSE)</f>
        <v>FS Item</v>
      </c>
      <c r="E1731" t="str">
        <f t="shared" ref="E1731:E1794" si="27">IF(ISNA(D1731),"",IF(A1731="","",A1731) &amp; "|" &amp; D1731)</f>
        <v>A090_00|FS Item</v>
      </c>
    </row>
    <row r="1732" spans="1:5" x14ac:dyDescent="0.2">
      <c r="A1732" t="s">
        <v>495</v>
      </c>
      <c r="B1732" t="s">
        <v>496</v>
      </c>
      <c r="C1732" t="s">
        <v>423</v>
      </c>
      <c r="D1732" t="str">
        <f>VLOOKUP(C1732,'lookup table'!$A$2:$B$19,2,FALSE)</f>
        <v>ignore</v>
      </c>
      <c r="E1732" t="str">
        <f t="shared" si="27"/>
        <v>A090_00|ignore</v>
      </c>
    </row>
    <row r="1733" spans="1:5" x14ac:dyDescent="0.2">
      <c r="A1733" t="s">
        <v>497</v>
      </c>
      <c r="B1733" t="s">
        <v>498</v>
      </c>
      <c r="C1733" t="s">
        <v>331</v>
      </c>
      <c r="D1733" t="str">
        <f>VLOOKUP(C1733,'lookup table'!$A$2:$B$19,2,FALSE)</f>
        <v>FS Item</v>
      </c>
      <c r="E1733" t="str">
        <f t="shared" si="27"/>
        <v>A091_00|FS Item</v>
      </c>
    </row>
    <row r="1734" spans="1:5" x14ac:dyDescent="0.2">
      <c r="A1734" t="s">
        <v>497</v>
      </c>
      <c r="B1734" t="s">
        <v>498</v>
      </c>
      <c r="C1734" t="s">
        <v>423</v>
      </c>
      <c r="D1734" t="str">
        <f>VLOOKUP(C1734,'lookup table'!$A$2:$B$19,2,FALSE)</f>
        <v>ignore</v>
      </c>
      <c r="E1734" t="str">
        <f t="shared" si="27"/>
        <v>A091_00|ignore</v>
      </c>
    </row>
    <row r="1735" spans="1:5" x14ac:dyDescent="0.2">
      <c r="A1735" t="s">
        <v>499</v>
      </c>
      <c r="B1735" t="s">
        <v>500</v>
      </c>
      <c r="C1735" t="s">
        <v>331</v>
      </c>
      <c r="D1735" t="str">
        <f>VLOOKUP(C1735,'lookup table'!$A$2:$B$19,2,FALSE)</f>
        <v>FS Item</v>
      </c>
      <c r="E1735" t="str">
        <f t="shared" si="27"/>
        <v>A092_00|FS Item</v>
      </c>
    </row>
    <row r="1736" spans="1:5" x14ac:dyDescent="0.2">
      <c r="A1736" t="s">
        <v>499</v>
      </c>
      <c r="B1736" t="s">
        <v>500</v>
      </c>
      <c r="C1736" t="s">
        <v>423</v>
      </c>
      <c r="D1736" t="str">
        <f>VLOOKUP(C1736,'lookup table'!$A$2:$B$19,2,FALSE)</f>
        <v>ignore</v>
      </c>
      <c r="E1736" t="str">
        <f t="shared" si="27"/>
        <v>A092_00|ignore</v>
      </c>
    </row>
    <row r="1737" spans="1:5" x14ac:dyDescent="0.2">
      <c r="A1737" t="s">
        <v>501</v>
      </c>
      <c r="B1737" t="s">
        <v>502</v>
      </c>
      <c r="C1737" t="s">
        <v>331</v>
      </c>
      <c r="D1737" t="str">
        <f>VLOOKUP(C1737,'lookup table'!$A$2:$B$19,2,FALSE)</f>
        <v>FS Item</v>
      </c>
      <c r="E1737" t="str">
        <f t="shared" si="27"/>
        <v>A093_00|FS Item</v>
      </c>
    </row>
    <row r="1738" spans="1:5" x14ac:dyDescent="0.2">
      <c r="A1738" t="s">
        <v>501</v>
      </c>
      <c r="B1738" t="s">
        <v>502</v>
      </c>
      <c r="C1738" t="s">
        <v>423</v>
      </c>
      <c r="D1738" t="str">
        <f>VLOOKUP(C1738,'lookup table'!$A$2:$B$19,2,FALSE)</f>
        <v>ignore</v>
      </c>
      <c r="E1738" t="str">
        <f t="shared" si="27"/>
        <v>A093_00|ignore</v>
      </c>
    </row>
    <row r="1739" spans="1:5" x14ac:dyDescent="0.2">
      <c r="A1739" t="s">
        <v>503</v>
      </c>
      <c r="B1739" t="s">
        <v>504</v>
      </c>
      <c r="C1739" t="s">
        <v>331</v>
      </c>
      <c r="D1739" t="str">
        <f>VLOOKUP(C1739,'lookup table'!$A$2:$B$19,2,FALSE)</f>
        <v>FS Item</v>
      </c>
      <c r="E1739" t="str">
        <f t="shared" si="27"/>
        <v>A095_00|FS Item</v>
      </c>
    </row>
    <row r="1740" spans="1:5" x14ac:dyDescent="0.2">
      <c r="A1740" t="s">
        <v>503</v>
      </c>
      <c r="B1740" t="s">
        <v>504</v>
      </c>
      <c r="C1740" t="s">
        <v>423</v>
      </c>
      <c r="D1740" t="str">
        <f>VLOOKUP(C1740,'lookup table'!$A$2:$B$19,2,FALSE)</f>
        <v>ignore</v>
      </c>
      <c r="E1740" t="str">
        <f t="shared" si="27"/>
        <v>A095_00|ignore</v>
      </c>
    </row>
    <row r="1741" spans="1:5" x14ac:dyDescent="0.2">
      <c r="A1741" t="s">
        <v>503</v>
      </c>
      <c r="B1741" t="s">
        <v>504</v>
      </c>
      <c r="C1741" t="s">
        <v>438</v>
      </c>
      <c r="D1741" t="str">
        <f>VLOOKUP(C1741,'lookup table'!$A$2:$B$19,2,FALSE)</f>
        <v>ToM</v>
      </c>
      <c r="E1741" t="str">
        <f t="shared" si="27"/>
        <v>A095_00|ToM</v>
      </c>
    </row>
    <row r="1742" spans="1:5" x14ac:dyDescent="0.2">
      <c r="A1742" t="s">
        <v>505</v>
      </c>
      <c r="B1742" t="s">
        <v>506</v>
      </c>
      <c r="C1742" t="s">
        <v>331</v>
      </c>
      <c r="D1742" t="str">
        <f>VLOOKUP(C1742,'lookup table'!$A$2:$B$19,2,FALSE)</f>
        <v>FS Item</v>
      </c>
      <c r="E1742" t="str">
        <f t="shared" si="27"/>
        <v>A096_00|FS Item</v>
      </c>
    </row>
    <row r="1743" spans="1:5" x14ac:dyDescent="0.2">
      <c r="A1743" t="s">
        <v>505</v>
      </c>
      <c r="B1743" t="s">
        <v>506</v>
      </c>
      <c r="C1743" t="s">
        <v>423</v>
      </c>
      <c r="D1743" t="str">
        <f>VLOOKUP(C1743,'lookup table'!$A$2:$B$19,2,FALSE)</f>
        <v>ignore</v>
      </c>
      <c r="E1743" t="str">
        <f t="shared" si="27"/>
        <v>A096_00|ignore</v>
      </c>
    </row>
    <row r="1744" spans="1:5" x14ac:dyDescent="0.2">
      <c r="A1744" t="s">
        <v>505</v>
      </c>
      <c r="B1744" t="s">
        <v>506</v>
      </c>
      <c r="C1744" t="s">
        <v>438</v>
      </c>
      <c r="D1744" t="str">
        <f>VLOOKUP(C1744,'lookup table'!$A$2:$B$19,2,FALSE)</f>
        <v>ToM</v>
      </c>
      <c r="E1744" t="str">
        <f t="shared" si="27"/>
        <v>A096_00|ToM</v>
      </c>
    </row>
    <row r="1745" spans="1:5" x14ac:dyDescent="0.2">
      <c r="A1745" t="s">
        <v>507</v>
      </c>
      <c r="B1745" t="s">
        <v>508</v>
      </c>
      <c r="C1745" t="s">
        <v>331</v>
      </c>
      <c r="D1745" t="str">
        <f>VLOOKUP(C1745,'lookup table'!$A$2:$B$19,2,FALSE)</f>
        <v>FS Item</v>
      </c>
      <c r="E1745" t="str">
        <f t="shared" si="27"/>
        <v>A100_70|FS Item</v>
      </c>
    </row>
    <row r="1746" spans="1:5" x14ac:dyDescent="0.2">
      <c r="A1746" t="s">
        <v>507</v>
      </c>
      <c r="B1746" t="s">
        <v>508</v>
      </c>
      <c r="C1746" t="s">
        <v>423</v>
      </c>
      <c r="D1746" t="str">
        <f>VLOOKUP(C1746,'lookup table'!$A$2:$B$19,2,FALSE)</f>
        <v>ignore</v>
      </c>
      <c r="E1746" t="str">
        <f t="shared" si="27"/>
        <v>A100_70|ignore</v>
      </c>
    </row>
    <row r="1747" spans="1:5" x14ac:dyDescent="0.2">
      <c r="A1747" t="s">
        <v>507</v>
      </c>
      <c r="B1747" t="s">
        <v>508</v>
      </c>
      <c r="C1747" t="s">
        <v>438</v>
      </c>
      <c r="D1747" t="str">
        <f>VLOOKUP(C1747,'lookup table'!$A$2:$B$19,2,FALSE)</f>
        <v>ToM</v>
      </c>
      <c r="E1747" t="str">
        <f t="shared" si="27"/>
        <v>A100_70|ToM</v>
      </c>
    </row>
    <row r="1748" spans="1:5" x14ac:dyDescent="0.2">
      <c r="A1748" t="s">
        <v>509</v>
      </c>
      <c r="B1748" t="s">
        <v>510</v>
      </c>
      <c r="C1748" t="s">
        <v>331</v>
      </c>
      <c r="D1748" t="str">
        <f>VLOOKUP(C1748,'lookup table'!$A$2:$B$19,2,FALSE)</f>
        <v>FS Item</v>
      </c>
      <c r="E1748" t="str">
        <f t="shared" si="27"/>
        <v>A106_00|FS Item</v>
      </c>
    </row>
    <row r="1749" spans="1:5" x14ac:dyDescent="0.2">
      <c r="A1749" t="s">
        <v>509</v>
      </c>
      <c r="B1749" t="s">
        <v>510</v>
      </c>
      <c r="C1749" t="s">
        <v>423</v>
      </c>
      <c r="D1749" t="str">
        <f>VLOOKUP(C1749,'lookup table'!$A$2:$B$19,2,FALSE)</f>
        <v>ignore</v>
      </c>
      <c r="E1749" t="str">
        <f t="shared" si="27"/>
        <v>A106_00|ignore</v>
      </c>
    </row>
    <row r="1750" spans="1:5" x14ac:dyDescent="0.2">
      <c r="A1750" t="s">
        <v>509</v>
      </c>
      <c r="B1750" t="s">
        <v>510</v>
      </c>
      <c r="C1750" t="s">
        <v>438</v>
      </c>
      <c r="D1750" t="str">
        <f>VLOOKUP(C1750,'lookup table'!$A$2:$B$19,2,FALSE)</f>
        <v>ToM</v>
      </c>
      <c r="E1750" t="str">
        <f t="shared" si="27"/>
        <v>A106_00|ToM</v>
      </c>
    </row>
    <row r="1751" spans="1:5" x14ac:dyDescent="0.2">
      <c r="A1751" t="s">
        <v>511</v>
      </c>
      <c r="B1751" t="s">
        <v>512</v>
      </c>
      <c r="C1751" t="s">
        <v>331</v>
      </c>
      <c r="D1751" t="str">
        <f>VLOOKUP(C1751,'lookup table'!$A$2:$B$19,2,FALSE)</f>
        <v>FS Item</v>
      </c>
      <c r="E1751" t="str">
        <f t="shared" si="27"/>
        <v>A106_60|FS Item</v>
      </c>
    </row>
    <row r="1752" spans="1:5" x14ac:dyDescent="0.2">
      <c r="A1752" t="s">
        <v>511</v>
      </c>
      <c r="B1752" t="s">
        <v>512</v>
      </c>
      <c r="C1752" t="s">
        <v>423</v>
      </c>
      <c r="D1752" t="str">
        <f>VLOOKUP(C1752,'lookup table'!$A$2:$B$19,2,FALSE)</f>
        <v>ignore</v>
      </c>
      <c r="E1752" t="str">
        <f t="shared" si="27"/>
        <v>A106_60|ignore</v>
      </c>
    </row>
    <row r="1753" spans="1:5" x14ac:dyDescent="0.2">
      <c r="A1753" t="s">
        <v>511</v>
      </c>
      <c r="B1753" t="s">
        <v>512</v>
      </c>
      <c r="C1753" t="s">
        <v>438</v>
      </c>
      <c r="D1753" t="str">
        <f>VLOOKUP(C1753,'lookup table'!$A$2:$B$19,2,FALSE)</f>
        <v>ToM</v>
      </c>
      <c r="E1753" t="str">
        <f t="shared" si="27"/>
        <v>A106_60|ToM</v>
      </c>
    </row>
    <row r="1754" spans="1:5" x14ac:dyDescent="0.2">
      <c r="A1754" t="s">
        <v>513</v>
      </c>
      <c r="B1754" t="s">
        <v>514</v>
      </c>
      <c r="C1754" t="s">
        <v>331</v>
      </c>
      <c r="D1754" t="str">
        <f>VLOOKUP(C1754,'lookup table'!$A$2:$B$19,2,FALSE)</f>
        <v>FS Item</v>
      </c>
      <c r="E1754" t="str">
        <f t="shared" si="27"/>
        <v>A107_00|FS Item</v>
      </c>
    </row>
    <row r="1755" spans="1:5" x14ac:dyDescent="0.2">
      <c r="A1755" t="s">
        <v>513</v>
      </c>
      <c r="B1755" t="s">
        <v>514</v>
      </c>
      <c r="C1755" t="s">
        <v>423</v>
      </c>
      <c r="D1755" t="str">
        <f>VLOOKUP(C1755,'lookup table'!$A$2:$B$19,2,FALSE)</f>
        <v>ignore</v>
      </c>
      <c r="E1755" t="str">
        <f t="shared" si="27"/>
        <v>A107_00|ignore</v>
      </c>
    </row>
    <row r="1756" spans="1:5" x14ac:dyDescent="0.2">
      <c r="A1756" t="s">
        <v>513</v>
      </c>
      <c r="B1756" t="s">
        <v>514</v>
      </c>
      <c r="C1756" t="s">
        <v>438</v>
      </c>
      <c r="D1756" t="str">
        <f>VLOOKUP(C1756,'lookup table'!$A$2:$B$19,2,FALSE)</f>
        <v>ToM</v>
      </c>
      <c r="E1756" t="str">
        <f t="shared" si="27"/>
        <v>A107_00|ToM</v>
      </c>
    </row>
    <row r="1757" spans="1:5" x14ac:dyDescent="0.2">
      <c r="A1757" t="s">
        <v>515</v>
      </c>
      <c r="B1757" t="s">
        <v>516</v>
      </c>
      <c r="C1757" t="s">
        <v>331</v>
      </c>
      <c r="D1757" t="str">
        <f>VLOOKUP(C1757,'lookup table'!$A$2:$B$19,2,FALSE)</f>
        <v>FS Item</v>
      </c>
      <c r="E1757" t="str">
        <f t="shared" si="27"/>
        <v>A107_60|FS Item</v>
      </c>
    </row>
    <row r="1758" spans="1:5" x14ac:dyDescent="0.2">
      <c r="A1758" t="s">
        <v>515</v>
      </c>
      <c r="B1758" t="s">
        <v>516</v>
      </c>
      <c r="C1758" t="s">
        <v>423</v>
      </c>
      <c r="D1758" t="str">
        <f>VLOOKUP(C1758,'lookup table'!$A$2:$B$19,2,FALSE)</f>
        <v>ignore</v>
      </c>
      <c r="E1758" t="str">
        <f t="shared" si="27"/>
        <v>A107_60|ignore</v>
      </c>
    </row>
    <row r="1759" spans="1:5" x14ac:dyDescent="0.2">
      <c r="A1759" t="s">
        <v>515</v>
      </c>
      <c r="B1759" t="s">
        <v>516</v>
      </c>
      <c r="C1759" t="s">
        <v>438</v>
      </c>
      <c r="D1759" t="str">
        <f>VLOOKUP(C1759,'lookup table'!$A$2:$B$19,2,FALSE)</f>
        <v>ToM</v>
      </c>
      <c r="E1759" t="str">
        <f t="shared" si="27"/>
        <v>A107_60|ToM</v>
      </c>
    </row>
    <row r="1760" spans="1:5" x14ac:dyDescent="0.2">
      <c r="A1760" t="s">
        <v>517</v>
      </c>
      <c r="B1760" t="s">
        <v>518</v>
      </c>
      <c r="C1760" t="s">
        <v>331</v>
      </c>
      <c r="D1760" t="str">
        <f>VLOOKUP(C1760,'lookup table'!$A$2:$B$19,2,FALSE)</f>
        <v>FS Item</v>
      </c>
      <c r="E1760" t="str">
        <f t="shared" si="27"/>
        <v>A108_60|FS Item</v>
      </c>
    </row>
    <row r="1761" spans="1:5" x14ac:dyDescent="0.2">
      <c r="A1761" t="s">
        <v>517</v>
      </c>
      <c r="B1761" t="s">
        <v>518</v>
      </c>
      <c r="C1761" t="s">
        <v>423</v>
      </c>
      <c r="D1761" t="str">
        <f>VLOOKUP(C1761,'lookup table'!$A$2:$B$19,2,FALSE)</f>
        <v>ignore</v>
      </c>
      <c r="E1761" t="str">
        <f t="shared" si="27"/>
        <v>A108_60|ignore</v>
      </c>
    </row>
    <row r="1762" spans="1:5" x14ac:dyDescent="0.2">
      <c r="A1762" t="s">
        <v>517</v>
      </c>
      <c r="B1762" t="s">
        <v>518</v>
      </c>
      <c r="C1762" t="s">
        <v>438</v>
      </c>
      <c r="D1762" t="str">
        <f>VLOOKUP(C1762,'lookup table'!$A$2:$B$19,2,FALSE)</f>
        <v>ToM</v>
      </c>
      <c r="E1762" t="str">
        <f t="shared" si="27"/>
        <v>A108_60|ToM</v>
      </c>
    </row>
    <row r="1763" spans="1:5" x14ac:dyDescent="0.2">
      <c r="A1763" t="s">
        <v>519</v>
      </c>
      <c r="B1763" t="s">
        <v>520</v>
      </c>
      <c r="C1763" t="s">
        <v>331</v>
      </c>
      <c r="D1763" t="str">
        <f>VLOOKUP(C1763,'lookup table'!$A$2:$B$19,2,FALSE)</f>
        <v>FS Item</v>
      </c>
      <c r="E1763" t="str">
        <f t="shared" si="27"/>
        <v>A109_60|FS Item</v>
      </c>
    </row>
    <row r="1764" spans="1:5" x14ac:dyDescent="0.2">
      <c r="A1764" t="s">
        <v>519</v>
      </c>
      <c r="B1764" t="s">
        <v>520</v>
      </c>
      <c r="C1764" t="s">
        <v>423</v>
      </c>
      <c r="D1764" t="str">
        <f>VLOOKUP(C1764,'lookup table'!$A$2:$B$19,2,FALSE)</f>
        <v>ignore</v>
      </c>
      <c r="E1764" t="str">
        <f t="shared" si="27"/>
        <v>A109_60|ignore</v>
      </c>
    </row>
    <row r="1765" spans="1:5" x14ac:dyDescent="0.2">
      <c r="A1765" t="s">
        <v>519</v>
      </c>
      <c r="B1765" t="s">
        <v>520</v>
      </c>
      <c r="C1765" t="s">
        <v>438</v>
      </c>
      <c r="D1765" t="str">
        <f>VLOOKUP(C1765,'lookup table'!$A$2:$B$19,2,FALSE)</f>
        <v>ToM</v>
      </c>
      <c r="E1765" t="str">
        <f t="shared" si="27"/>
        <v>A109_60|ToM</v>
      </c>
    </row>
    <row r="1766" spans="1:5" x14ac:dyDescent="0.2">
      <c r="A1766" t="s">
        <v>521</v>
      </c>
      <c r="B1766" t="s">
        <v>446</v>
      </c>
      <c r="C1766" t="s">
        <v>442</v>
      </c>
      <c r="D1766" t="str">
        <f>VLOOKUP(C1766,'lookup table'!$A$2:$B$19,2,FALSE)</f>
        <v>Partner Unit</v>
      </c>
      <c r="E1766" t="str">
        <f t="shared" si="27"/>
        <v>A122_00|Partner Unit</v>
      </c>
    </row>
    <row r="1767" spans="1:5" x14ac:dyDescent="0.2">
      <c r="A1767" t="s">
        <v>522</v>
      </c>
      <c r="B1767" t="s">
        <v>523</v>
      </c>
      <c r="C1767" t="s">
        <v>331</v>
      </c>
      <c r="D1767" t="str">
        <f>VLOOKUP(C1767,'lookup table'!$A$2:$B$19,2,FALSE)</f>
        <v>FS Item</v>
      </c>
      <c r="E1767" t="str">
        <f t="shared" si="27"/>
        <v>A137_00|FS Item</v>
      </c>
    </row>
    <row r="1768" spans="1:5" x14ac:dyDescent="0.2">
      <c r="A1768" t="s">
        <v>522</v>
      </c>
      <c r="B1768" t="s">
        <v>523</v>
      </c>
      <c r="C1768" t="s">
        <v>423</v>
      </c>
      <c r="D1768" t="str">
        <f>VLOOKUP(C1768,'lookup table'!$A$2:$B$19,2,FALSE)</f>
        <v>ignore</v>
      </c>
      <c r="E1768" t="str">
        <f t="shared" si="27"/>
        <v>A137_00|ignore</v>
      </c>
    </row>
    <row r="1769" spans="1:5" x14ac:dyDescent="0.2">
      <c r="A1769" t="s">
        <v>522</v>
      </c>
      <c r="B1769" t="s">
        <v>523</v>
      </c>
      <c r="C1769" t="s">
        <v>438</v>
      </c>
      <c r="D1769" t="str">
        <f>VLOOKUP(C1769,'lookup table'!$A$2:$B$19,2,FALSE)</f>
        <v>ToM</v>
      </c>
      <c r="E1769" t="str">
        <f t="shared" si="27"/>
        <v>A137_00|ToM</v>
      </c>
    </row>
    <row r="1770" spans="1:5" x14ac:dyDescent="0.2">
      <c r="A1770" t="s">
        <v>524</v>
      </c>
      <c r="B1770" t="s">
        <v>525</v>
      </c>
      <c r="C1770" t="s">
        <v>331</v>
      </c>
      <c r="D1770" t="str">
        <f>VLOOKUP(C1770,'lookup table'!$A$2:$B$19,2,FALSE)</f>
        <v>FS Item</v>
      </c>
      <c r="E1770" t="str">
        <f t="shared" si="27"/>
        <v>A142_00|FS Item</v>
      </c>
    </row>
    <row r="1771" spans="1:5" x14ac:dyDescent="0.2">
      <c r="A1771" t="s">
        <v>524</v>
      </c>
      <c r="B1771" t="s">
        <v>525</v>
      </c>
      <c r="C1771" t="s">
        <v>423</v>
      </c>
      <c r="D1771" t="str">
        <f>VLOOKUP(C1771,'lookup table'!$A$2:$B$19,2,FALSE)</f>
        <v>ignore</v>
      </c>
      <c r="E1771" t="str">
        <f t="shared" si="27"/>
        <v>A142_00|ignore</v>
      </c>
    </row>
    <row r="1772" spans="1:5" x14ac:dyDescent="0.2">
      <c r="A1772" t="s">
        <v>524</v>
      </c>
      <c r="B1772" t="s">
        <v>525</v>
      </c>
      <c r="C1772" t="s">
        <v>438</v>
      </c>
      <c r="D1772" t="str">
        <f>VLOOKUP(C1772,'lookup table'!$A$2:$B$19,2,FALSE)</f>
        <v>ToM</v>
      </c>
      <c r="E1772" t="str">
        <f t="shared" si="27"/>
        <v>A142_00|ToM</v>
      </c>
    </row>
    <row r="1773" spans="1:5" x14ac:dyDescent="0.2">
      <c r="A1773" t="s">
        <v>526</v>
      </c>
      <c r="B1773" t="s">
        <v>411</v>
      </c>
      <c r="C1773" t="s">
        <v>331</v>
      </c>
      <c r="D1773" t="str">
        <f>VLOOKUP(C1773,'lookup table'!$A$2:$B$19,2,FALSE)</f>
        <v>FS Item</v>
      </c>
      <c r="E1773" t="str">
        <f t="shared" si="27"/>
        <v>A144_00|FS Item</v>
      </c>
    </row>
    <row r="1774" spans="1:5" x14ac:dyDescent="0.2">
      <c r="A1774" t="s">
        <v>526</v>
      </c>
      <c r="B1774" t="s">
        <v>411</v>
      </c>
      <c r="C1774" t="s">
        <v>423</v>
      </c>
      <c r="D1774" t="str">
        <f>VLOOKUP(C1774,'lookup table'!$A$2:$B$19,2,FALSE)</f>
        <v>ignore</v>
      </c>
      <c r="E1774" t="str">
        <f t="shared" si="27"/>
        <v>A144_00|ignore</v>
      </c>
    </row>
    <row r="1775" spans="1:5" x14ac:dyDescent="0.2">
      <c r="A1775" t="s">
        <v>526</v>
      </c>
      <c r="B1775" t="s">
        <v>411</v>
      </c>
      <c r="C1775" t="s">
        <v>438</v>
      </c>
      <c r="D1775" t="str">
        <f>VLOOKUP(C1775,'lookup table'!$A$2:$B$19,2,FALSE)</f>
        <v>ToM</v>
      </c>
      <c r="E1775" t="str">
        <f t="shared" si="27"/>
        <v>A144_00|ToM</v>
      </c>
    </row>
    <row r="1776" spans="1:5" x14ac:dyDescent="0.2">
      <c r="A1776" t="s">
        <v>527</v>
      </c>
      <c r="B1776" t="s">
        <v>404</v>
      </c>
      <c r="C1776" t="s">
        <v>331</v>
      </c>
      <c r="D1776" t="str">
        <f>VLOOKUP(C1776,'lookup table'!$A$2:$B$19,2,FALSE)</f>
        <v>FS Item</v>
      </c>
      <c r="E1776" t="str">
        <f t="shared" si="27"/>
        <v>A149_00|FS Item</v>
      </c>
    </row>
    <row r="1777" spans="1:5" x14ac:dyDescent="0.2">
      <c r="A1777" t="s">
        <v>527</v>
      </c>
      <c r="B1777" t="s">
        <v>404</v>
      </c>
      <c r="C1777" t="s">
        <v>423</v>
      </c>
      <c r="D1777" t="str">
        <f>VLOOKUP(C1777,'lookup table'!$A$2:$B$19,2,FALSE)</f>
        <v>ignore</v>
      </c>
      <c r="E1777" t="str">
        <f t="shared" si="27"/>
        <v>A149_00|ignore</v>
      </c>
    </row>
    <row r="1778" spans="1:5" x14ac:dyDescent="0.2">
      <c r="A1778" t="s">
        <v>527</v>
      </c>
      <c r="B1778" t="s">
        <v>404</v>
      </c>
      <c r="C1778" t="s">
        <v>438</v>
      </c>
      <c r="D1778" t="str">
        <f>VLOOKUP(C1778,'lookup table'!$A$2:$B$19,2,FALSE)</f>
        <v>ToM</v>
      </c>
      <c r="E1778" t="str">
        <f t="shared" si="27"/>
        <v>A149_00|ToM</v>
      </c>
    </row>
    <row r="1779" spans="1:5" x14ac:dyDescent="0.2">
      <c r="A1779" t="s">
        <v>528</v>
      </c>
      <c r="B1779" t="s">
        <v>529</v>
      </c>
      <c r="C1779" t="s">
        <v>331</v>
      </c>
      <c r="D1779" t="str">
        <f>VLOOKUP(C1779,'lookup table'!$A$2:$B$19,2,FALSE)</f>
        <v>FS Item</v>
      </c>
      <c r="E1779" t="str">
        <f t="shared" si="27"/>
        <v>A150_00|FS Item</v>
      </c>
    </row>
    <row r="1780" spans="1:5" x14ac:dyDescent="0.2">
      <c r="A1780" t="s">
        <v>528</v>
      </c>
      <c r="B1780" t="s">
        <v>529</v>
      </c>
      <c r="C1780" t="s">
        <v>423</v>
      </c>
      <c r="D1780" t="str">
        <f>VLOOKUP(C1780,'lookup table'!$A$2:$B$19,2,FALSE)</f>
        <v>ignore</v>
      </c>
      <c r="E1780" t="str">
        <f t="shared" si="27"/>
        <v>A150_00|ignore</v>
      </c>
    </row>
    <row r="1781" spans="1:5" x14ac:dyDescent="0.2">
      <c r="A1781" t="s">
        <v>528</v>
      </c>
      <c r="B1781" t="s">
        <v>529</v>
      </c>
      <c r="C1781" t="s">
        <v>438</v>
      </c>
      <c r="D1781" t="str">
        <f>VLOOKUP(C1781,'lookup table'!$A$2:$B$19,2,FALSE)</f>
        <v>ToM</v>
      </c>
      <c r="E1781" t="str">
        <f t="shared" si="27"/>
        <v>A150_00|ToM</v>
      </c>
    </row>
    <row r="1782" spans="1:5" x14ac:dyDescent="0.2">
      <c r="A1782" t="s">
        <v>530</v>
      </c>
      <c r="B1782" t="s">
        <v>531</v>
      </c>
      <c r="C1782" t="s">
        <v>331</v>
      </c>
      <c r="D1782" t="str">
        <f>VLOOKUP(C1782,'lookup table'!$A$2:$B$19,2,FALSE)</f>
        <v>FS Item</v>
      </c>
      <c r="E1782" t="str">
        <f t="shared" si="27"/>
        <v>A151_00|FS Item</v>
      </c>
    </row>
    <row r="1783" spans="1:5" x14ac:dyDescent="0.2">
      <c r="A1783" t="s">
        <v>530</v>
      </c>
      <c r="B1783" t="s">
        <v>531</v>
      </c>
      <c r="C1783" t="s">
        <v>423</v>
      </c>
      <c r="D1783" t="str">
        <f>VLOOKUP(C1783,'lookup table'!$A$2:$B$19,2,FALSE)</f>
        <v>ignore</v>
      </c>
      <c r="E1783" t="str">
        <f t="shared" si="27"/>
        <v>A151_00|ignore</v>
      </c>
    </row>
    <row r="1784" spans="1:5" x14ac:dyDescent="0.2">
      <c r="A1784" t="s">
        <v>530</v>
      </c>
      <c r="B1784" t="s">
        <v>531</v>
      </c>
      <c r="C1784" t="s">
        <v>438</v>
      </c>
      <c r="D1784" t="str">
        <f>VLOOKUP(C1784,'lookup table'!$A$2:$B$19,2,FALSE)</f>
        <v>ToM</v>
      </c>
      <c r="E1784" t="str">
        <f t="shared" si="27"/>
        <v>A151_00|ToM</v>
      </c>
    </row>
    <row r="1785" spans="1:5" x14ac:dyDescent="0.2">
      <c r="A1785" t="s">
        <v>532</v>
      </c>
      <c r="B1785" t="s">
        <v>533</v>
      </c>
      <c r="C1785" t="s">
        <v>331</v>
      </c>
      <c r="D1785" t="str">
        <f>VLOOKUP(C1785,'lookup table'!$A$2:$B$19,2,FALSE)</f>
        <v>FS Item</v>
      </c>
      <c r="E1785" t="str">
        <f t="shared" si="27"/>
        <v>A152_00|FS Item</v>
      </c>
    </row>
    <row r="1786" spans="1:5" x14ac:dyDescent="0.2">
      <c r="A1786" t="s">
        <v>532</v>
      </c>
      <c r="B1786" t="s">
        <v>533</v>
      </c>
      <c r="C1786" t="s">
        <v>423</v>
      </c>
      <c r="D1786" t="str">
        <f>VLOOKUP(C1786,'lookup table'!$A$2:$B$19,2,FALSE)</f>
        <v>ignore</v>
      </c>
      <c r="E1786" t="str">
        <f t="shared" si="27"/>
        <v>A152_00|ignore</v>
      </c>
    </row>
    <row r="1787" spans="1:5" x14ac:dyDescent="0.2">
      <c r="A1787" t="s">
        <v>532</v>
      </c>
      <c r="B1787" t="s">
        <v>533</v>
      </c>
      <c r="C1787" t="s">
        <v>438</v>
      </c>
      <c r="D1787" t="str">
        <f>VLOOKUP(C1787,'lookup table'!$A$2:$B$19,2,FALSE)</f>
        <v>ToM</v>
      </c>
      <c r="E1787" t="str">
        <f t="shared" si="27"/>
        <v>A152_00|ToM</v>
      </c>
    </row>
    <row r="1788" spans="1:5" x14ac:dyDescent="0.2">
      <c r="A1788" t="s">
        <v>534</v>
      </c>
      <c r="B1788" t="s">
        <v>535</v>
      </c>
      <c r="C1788" t="s">
        <v>331</v>
      </c>
      <c r="D1788" t="str">
        <f>VLOOKUP(C1788,'lookup table'!$A$2:$B$19,2,FALSE)</f>
        <v>FS Item</v>
      </c>
      <c r="E1788" t="str">
        <f t="shared" si="27"/>
        <v>A153_00|FS Item</v>
      </c>
    </row>
    <row r="1789" spans="1:5" x14ac:dyDescent="0.2">
      <c r="A1789" t="s">
        <v>534</v>
      </c>
      <c r="B1789" t="s">
        <v>535</v>
      </c>
      <c r="C1789" t="s">
        <v>423</v>
      </c>
      <c r="D1789" t="str">
        <f>VLOOKUP(C1789,'lookup table'!$A$2:$B$19,2,FALSE)</f>
        <v>ignore</v>
      </c>
      <c r="E1789" t="str">
        <f t="shared" si="27"/>
        <v>A153_00|ignore</v>
      </c>
    </row>
    <row r="1790" spans="1:5" x14ac:dyDescent="0.2">
      <c r="A1790" t="s">
        <v>534</v>
      </c>
      <c r="B1790" t="s">
        <v>535</v>
      </c>
      <c r="C1790" t="s">
        <v>438</v>
      </c>
      <c r="D1790" t="str">
        <f>VLOOKUP(C1790,'lookup table'!$A$2:$B$19,2,FALSE)</f>
        <v>ToM</v>
      </c>
      <c r="E1790" t="str">
        <f t="shared" si="27"/>
        <v>A153_00|ToM</v>
      </c>
    </row>
    <row r="1791" spans="1:5" x14ac:dyDescent="0.2">
      <c r="A1791" t="s">
        <v>536</v>
      </c>
      <c r="B1791" t="s">
        <v>537</v>
      </c>
      <c r="C1791" t="s">
        <v>331</v>
      </c>
      <c r="D1791" t="str">
        <f>VLOOKUP(C1791,'lookup table'!$A$2:$B$19,2,FALSE)</f>
        <v>FS Item</v>
      </c>
      <c r="E1791" t="str">
        <f t="shared" si="27"/>
        <v>A156_00|FS Item</v>
      </c>
    </row>
    <row r="1792" spans="1:5" x14ac:dyDescent="0.2">
      <c r="A1792" t="s">
        <v>536</v>
      </c>
      <c r="B1792" t="s">
        <v>537</v>
      </c>
      <c r="C1792" t="s">
        <v>423</v>
      </c>
      <c r="D1792" t="str">
        <f>VLOOKUP(C1792,'lookup table'!$A$2:$B$19,2,FALSE)</f>
        <v>ignore</v>
      </c>
      <c r="E1792" t="str">
        <f t="shared" si="27"/>
        <v>A156_00|ignore</v>
      </c>
    </row>
    <row r="1793" spans="1:5" x14ac:dyDescent="0.2">
      <c r="A1793" t="s">
        <v>536</v>
      </c>
      <c r="B1793" t="s">
        <v>537</v>
      </c>
      <c r="C1793" t="s">
        <v>438</v>
      </c>
      <c r="D1793" t="str">
        <f>VLOOKUP(C1793,'lookup table'!$A$2:$B$19,2,FALSE)</f>
        <v>ToM</v>
      </c>
      <c r="E1793" t="str">
        <f t="shared" si="27"/>
        <v>A156_00|ToM</v>
      </c>
    </row>
    <row r="1794" spans="1:5" x14ac:dyDescent="0.2">
      <c r="A1794" t="s">
        <v>538</v>
      </c>
      <c r="B1794" t="s">
        <v>539</v>
      </c>
      <c r="C1794" t="s">
        <v>331</v>
      </c>
      <c r="D1794" t="str">
        <f>VLOOKUP(C1794,'lookup table'!$A$2:$B$19,2,FALSE)</f>
        <v>FS Item</v>
      </c>
      <c r="E1794" t="str">
        <f t="shared" si="27"/>
        <v>A157_00|FS Item</v>
      </c>
    </row>
    <row r="1795" spans="1:5" x14ac:dyDescent="0.2">
      <c r="A1795" t="s">
        <v>538</v>
      </c>
      <c r="B1795" t="s">
        <v>539</v>
      </c>
      <c r="C1795" t="s">
        <v>423</v>
      </c>
      <c r="D1795" t="str">
        <f>VLOOKUP(C1795,'lookup table'!$A$2:$B$19,2,FALSE)</f>
        <v>ignore</v>
      </c>
      <c r="E1795" t="str">
        <f t="shared" ref="E1795:E1858" si="28">IF(ISNA(D1795),"",IF(A1795="","",A1795) &amp; "|" &amp; D1795)</f>
        <v>A157_00|ignore</v>
      </c>
    </row>
    <row r="1796" spans="1:5" x14ac:dyDescent="0.2">
      <c r="A1796" t="s">
        <v>538</v>
      </c>
      <c r="B1796" t="s">
        <v>539</v>
      </c>
      <c r="C1796" t="s">
        <v>438</v>
      </c>
      <c r="D1796" t="str">
        <f>VLOOKUP(C1796,'lookup table'!$A$2:$B$19,2,FALSE)</f>
        <v>ToM</v>
      </c>
      <c r="E1796" t="str">
        <f t="shared" si="28"/>
        <v>A157_00|ToM</v>
      </c>
    </row>
    <row r="1797" spans="1:5" x14ac:dyDescent="0.2">
      <c r="A1797" t="s">
        <v>540</v>
      </c>
      <c r="B1797" t="s">
        <v>541</v>
      </c>
      <c r="C1797" t="s">
        <v>331</v>
      </c>
      <c r="D1797" t="str">
        <f>VLOOKUP(C1797,'lookup table'!$A$2:$B$19,2,FALSE)</f>
        <v>FS Item</v>
      </c>
      <c r="E1797" t="str">
        <f t="shared" si="28"/>
        <v>A158_00|FS Item</v>
      </c>
    </row>
    <row r="1798" spans="1:5" x14ac:dyDescent="0.2">
      <c r="A1798" t="s">
        <v>540</v>
      </c>
      <c r="B1798" t="s">
        <v>541</v>
      </c>
      <c r="C1798" t="s">
        <v>423</v>
      </c>
      <c r="D1798" t="str">
        <f>VLOOKUP(C1798,'lookup table'!$A$2:$B$19,2,FALSE)</f>
        <v>ignore</v>
      </c>
      <c r="E1798" t="str">
        <f t="shared" si="28"/>
        <v>A158_00|ignore</v>
      </c>
    </row>
    <row r="1799" spans="1:5" x14ac:dyDescent="0.2">
      <c r="A1799" t="s">
        <v>540</v>
      </c>
      <c r="B1799" t="s">
        <v>541</v>
      </c>
      <c r="C1799" t="s">
        <v>438</v>
      </c>
      <c r="D1799" t="str">
        <f>VLOOKUP(C1799,'lookup table'!$A$2:$B$19,2,FALSE)</f>
        <v>ToM</v>
      </c>
      <c r="E1799" t="str">
        <f t="shared" si="28"/>
        <v>A158_00|ToM</v>
      </c>
    </row>
    <row r="1800" spans="1:5" x14ac:dyDescent="0.2">
      <c r="A1800" t="s">
        <v>542</v>
      </c>
      <c r="B1800" t="s">
        <v>543</v>
      </c>
      <c r="C1800" t="s">
        <v>331</v>
      </c>
      <c r="D1800" t="str">
        <f>VLOOKUP(C1800,'lookup table'!$A$2:$B$19,2,FALSE)</f>
        <v>FS Item</v>
      </c>
      <c r="E1800" t="str">
        <f t="shared" si="28"/>
        <v>A159_00|FS Item</v>
      </c>
    </row>
    <row r="1801" spans="1:5" x14ac:dyDescent="0.2">
      <c r="A1801" t="s">
        <v>542</v>
      </c>
      <c r="B1801" t="s">
        <v>543</v>
      </c>
      <c r="C1801" t="s">
        <v>423</v>
      </c>
      <c r="D1801" t="str">
        <f>VLOOKUP(C1801,'lookup table'!$A$2:$B$19,2,FALSE)</f>
        <v>ignore</v>
      </c>
      <c r="E1801" t="str">
        <f t="shared" si="28"/>
        <v>A159_00|ignore</v>
      </c>
    </row>
    <row r="1802" spans="1:5" x14ac:dyDescent="0.2">
      <c r="A1802" t="s">
        <v>542</v>
      </c>
      <c r="B1802" t="s">
        <v>543</v>
      </c>
      <c r="C1802" t="s">
        <v>438</v>
      </c>
      <c r="D1802" t="str">
        <f>VLOOKUP(C1802,'lookup table'!$A$2:$B$19,2,FALSE)</f>
        <v>ToM</v>
      </c>
      <c r="E1802" t="str">
        <f t="shared" si="28"/>
        <v>A159_00|ToM</v>
      </c>
    </row>
    <row r="1803" spans="1:5" x14ac:dyDescent="0.2">
      <c r="A1803" t="s">
        <v>544</v>
      </c>
      <c r="B1803" t="s">
        <v>545</v>
      </c>
      <c r="C1803" t="s">
        <v>331</v>
      </c>
      <c r="D1803" t="str">
        <f>VLOOKUP(C1803,'lookup table'!$A$2:$B$19,2,FALSE)</f>
        <v>FS Item</v>
      </c>
      <c r="E1803" t="str">
        <f t="shared" si="28"/>
        <v>A159_09|FS Item</v>
      </c>
    </row>
    <row r="1804" spans="1:5" x14ac:dyDescent="0.2">
      <c r="A1804" t="s">
        <v>544</v>
      </c>
      <c r="B1804" t="s">
        <v>545</v>
      </c>
      <c r="C1804" t="s">
        <v>423</v>
      </c>
      <c r="D1804" t="str">
        <f>VLOOKUP(C1804,'lookup table'!$A$2:$B$19,2,FALSE)</f>
        <v>ignore</v>
      </c>
      <c r="E1804" t="str">
        <f t="shared" si="28"/>
        <v>A159_09|ignore</v>
      </c>
    </row>
    <row r="1805" spans="1:5" x14ac:dyDescent="0.2">
      <c r="A1805" t="s">
        <v>544</v>
      </c>
      <c r="B1805" t="s">
        <v>545</v>
      </c>
      <c r="C1805" t="s">
        <v>438</v>
      </c>
      <c r="D1805" t="str">
        <f>VLOOKUP(C1805,'lookup table'!$A$2:$B$19,2,FALSE)</f>
        <v>ToM</v>
      </c>
      <c r="E1805" t="str">
        <f t="shared" si="28"/>
        <v>A159_09|ToM</v>
      </c>
    </row>
    <row r="1806" spans="1:5" x14ac:dyDescent="0.2">
      <c r="A1806" t="s">
        <v>546</v>
      </c>
      <c r="B1806" t="s">
        <v>547</v>
      </c>
      <c r="C1806" t="s">
        <v>331</v>
      </c>
      <c r="D1806" t="str">
        <f>VLOOKUP(C1806,'lookup table'!$A$2:$B$19,2,FALSE)</f>
        <v>FS Item</v>
      </c>
      <c r="E1806" t="str">
        <f t="shared" si="28"/>
        <v>A159_60|FS Item</v>
      </c>
    </row>
    <row r="1807" spans="1:5" x14ac:dyDescent="0.2">
      <c r="A1807" t="s">
        <v>546</v>
      </c>
      <c r="B1807" t="s">
        <v>547</v>
      </c>
      <c r="C1807" t="s">
        <v>423</v>
      </c>
      <c r="D1807" t="str">
        <f>VLOOKUP(C1807,'lookup table'!$A$2:$B$19,2,FALSE)</f>
        <v>ignore</v>
      </c>
      <c r="E1807" t="str">
        <f t="shared" si="28"/>
        <v>A159_60|ignore</v>
      </c>
    </row>
    <row r="1808" spans="1:5" x14ac:dyDescent="0.2">
      <c r="A1808" t="s">
        <v>546</v>
      </c>
      <c r="B1808" t="s">
        <v>547</v>
      </c>
      <c r="C1808" t="s">
        <v>438</v>
      </c>
      <c r="D1808" t="str">
        <f>VLOOKUP(C1808,'lookup table'!$A$2:$B$19,2,FALSE)</f>
        <v>ToM</v>
      </c>
      <c r="E1808" t="str">
        <f t="shared" si="28"/>
        <v>A159_60|ToM</v>
      </c>
    </row>
    <row r="1809" spans="1:5" x14ac:dyDescent="0.2">
      <c r="A1809" t="s">
        <v>548</v>
      </c>
      <c r="B1809" t="s">
        <v>549</v>
      </c>
      <c r="C1809" t="s">
        <v>331</v>
      </c>
      <c r="D1809" t="str">
        <f>VLOOKUP(C1809,'lookup table'!$A$2:$B$19,2,FALSE)</f>
        <v>FS Item</v>
      </c>
      <c r="E1809" t="str">
        <f t="shared" si="28"/>
        <v>A162_00|FS Item</v>
      </c>
    </row>
    <row r="1810" spans="1:5" x14ac:dyDescent="0.2">
      <c r="A1810" t="s">
        <v>548</v>
      </c>
      <c r="B1810" t="s">
        <v>549</v>
      </c>
      <c r="C1810" t="s">
        <v>423</v>
      </c>
      <c r="D1810" t="str">
        <f>VLOOKUP(C1810,'lookup table'!$A$2:$B$19,2,FALSE)</f>
        <v>ignore</v>
      </c>
      <c r="E1810" t="str">
        <f t="shared" si="28"/>
        <v>A162_00|ignore</v>
      </c>
    </row>
    <row r="1811" spans="1:5" x14ac:dyDescent="0.2">
      <c r="A1811" t="s">
        <v>550</v>
      </c>
      <c r="B1811" t="s">
        <v>440</v>
      </c>
      <c r="C1811" t="s">
        <v>438</v>
      </c>
      <c r="D1811" t="str">
        <f>VLOOKUP(C1811,'lookup table'!$A$2:$B$19,2,FALSE)</f>
        <v>ToM</v>
      </c>
      <c r="E1811" t="str">
        <f t="shared" si="28"/>
        <v>A164_00|ToM</v>
      </c>
    </row>
    <row r="1812" spans="1:5" x14ac:dyDescent="0.2">
      <c r="A1812" t="s">
        <v>551</v>
      </c>
      <c r="B1812" t="s">
        <v>552</v>
      </c>
      <c r="C1812" t="s">
        <v>438</v>
      </c>
      <c r="D1812" t="str">
        <f>VLOOKUP(C1812,'lookup table'!$A$2:$B$19,2,FALSE)</f>
        <v>ToM</v>
      </c>
      <c r="E1812" t="str">
        <f t="shared" si="28"/>
        <v>A169_00|ToM</v>
      </c>
    </row>
    <row r="1813" spans="1:5" x14ac:dyDescent="0.2">
      <c r="A1813" t="s">
        <v>553</v>
      </c>
      <c r="B1813" t="s">
        <v>554</v>
      </c>
      <c r="C1813" t="s">
        <v>438</v>
      </c>
      <c r="D1813" t="str">
        <f>VLOOKUP(C1813,'lookup table'!$A$2:$B$19,2,FALSE)</f>
        <v>ToM</v>
      </c>
      <c r="E1813" t="str">
        <f t="shared" si="28"/>
        <v>A170_00|ToM</v>
      </c>
    </row>
    <row r="1814" spans="1:5" x14ac:dyDescent="0.2">
      <c r="A1814" t="s">
        <v>555</v>
      </c>
      <c r="B1814" t="s">
        <v>556</v>
      </c>
      <c r="C1814" t="s">
        <v>331</v>
      </c>
      <c r="D1814" t="str">
        <f>VLOOKUP(C1814,'lookup table'!$A$2:$B$19,2,FALSE)</f>
        <v>FS Item</v>
      </c>
      <c r="E1814" t="str">
        <f t="shared" si="28"/>
        <v>A179_00|FS Item</v>
      </c>
    </row>
    <row r="1815" spans="1:5" x14ac:dyDescent="0.2">
      <c r="A1815" t="s">
        <v>555</v>
      </c>
      <c r="B1815" t="s">
        <v>556</v>
      </c>
      <c r="C1815" t="s">
        <v>423</v>
      </c>
      <c r="D1815" t="str">
        <f>VLOOKUP(C1815,'lookup table'!$A$2:$B$19,2,FALSE)</f>
        <v>ignore</v>
      </c>
      <c r="E1815" t="str">
        <f t="shared" si="28"/>
        <v>A179_00|ignore</v>
      </c>
    </row>
    <row r="1816" spans="1:5" x14ac:dyDescent="0.2">
      <c r="A1816" t="s">
        <v>555</v>
      </c>
      <c r="B1816" t="s">
        <v>556</v>
      </c>
      <c r="C1816" t="s">
        <v>438</v>
      </c>
      <c r="D1816" t="str">
        <f>VLOOKUP(C1816,'lookup table'!$A$2:$B$19,2,FALSE)</f>
        <v>ToM</v>
      </c>
      <c r="E1816" t="str">
        <f t="shared" si="28"/>
        <v>A179_00|ToM</v>
      </c>
    </row>
    <row r="1817" spans="1:5" x14ac:dyDescent="0.2">
      <c r="A1817" t="s">
        <v>557</v>
      </c>
      <c r="B1817" t="s">
        <v>558</v>
      </c>
      <c r="C1817" t="s">
        <v>331</v>
      </c>
      <c r="D1817" t="str">
        <f>VLOOKUP(C1817,'lookup table'!$A$2:$B$19,2,FALSE)</f>
        <v>FS Item</v>
      </c>
      <c r="E1817" t="str">
        <f t="shared" si="28"/>
        <v>A180_00|FS Item</v>
      </c>
    </row>
    <row r="1818" spans="1:5" x14ac:dyDescent="0.2">
      <c r="A1818" t="s">
        <v>557</v>
      </c>
      <c r="B1818" t="s">
        <v>558</v>
      </c>
      <c r="C1818" t="s">
        <v>423</v>
      </c>
      <c r="D1818" t="str">
        <f>VLOOKUP(C1818,'lookup table'!$A$2:$B$19,2,FALSE)</f>
        <v>ignore</v>
      </c>
      <c r="E1818" t="str">
        <f t="shared" si="28"/>
        <v>A180_00|ignore</v>
      </c>
    </row>
    <row r="1819" spans="1:5" x14ac:dyDescent="0.2">
      <c r="A1819" t="s">
        <v>559</v>
      </c>
      <c r="B1819" t="s">
        <v>560</v>
      </c>
      <c r="C1819" t="s">
        <v>331</v>
      </c>
      <c r="D1819" t="str">
        <f>VLOOKUP(C1819,'lookup table'!$A$2:$B$19,2,FALSE)</f>
        <v>FS Item</v>
      </c>
      <c r="E1819" t="str">
        <f t="shared" si="28"/>
        <v>A182_00|FS Item</v>
      </c>
    </row>
    <row r="1820" spans="1:5" x14ac:dyDescent="0.2">
      <c r="A1820" t="s">
        <v>561</v>
      </c>
      <c r="B1820" t="s">
        <v>339</v>
      </c>
      <c r="C1820" t="s">
        <v>331</v>
      </c>
      <c r="D1820" t="str">
        <f>VLOOKUP(C1820,'lookup table'!$A$2:$B$19,2,FALSE)</f>
        <v>FS Item</v>
      </c>
      <c r="E1820" t="str">
        <f t="shared" si="28"/>
        <v>A183_00|FS Item</v>
      </c>
    </row>
    <row r="1821" spans="1:5" x14ac:dyDescent="0.2">
      <c r="A1821" t="s">
        <v>562</v>
      </c>
      <c r="B1821" t="s">
        <v>563</v>
      </c>
      <c r="C1821" t="s">
        <v>442</v>
      </c>
      <c r="D1821" t="str">
        <f>VLOOKUP(C1821,'lookup table'!$A$2:$B$19,2,FALSE)</f>
        <v>Partner Unit</v>
      </c>
      <c r="E1821" t="str">
        <f t="shared" si="28"/>
        <v>A184_00|Partner Unit</v>
      </c>
    </row>
    <row r="1822" spans="1:5" x14ac:dyDescent="0.2">
      <c r="A1822" t="s">
        <v>564</v>
      </c>
      <c r="B1822" t="s">
        <v>565</v>
      </c>
      <c r="C1822" t="s">
        <v>331</v>
      </c>
      <c r="D1822" t="str">
        <f>VLOOKUP(C1822,'lookup table'!$A$2:$B$19,2,FALSE)</f>
        <v>FS Item</v>
      </c>
      <c r="E1822" t="str">
        <f t="shared" si="28"/>
        <v>A185_00|FS Item</v>
      </c>
    </row>
    <row r="1823" spans="1:5" x14ac:dyDescent="0.2">
      <c r="A1823" t="s">
        <v>564</v>
      </c>
      <c r="B1823" t="s">
        <v>565</v>
      </c>
      <c r="C1823" t="s">
        <v>423</v>
      </c>
      <c r="D1823" t="str">
        <f>VLOOKUP(C1823,'lookup table'!$A$2:$B$19,2,FALSE)</f>
        <v>ignore</v>
      </c>
      <c r="E1823" t="str">
        <f t="shared" si="28"/>
        <v>A185_00|ignore</v>
      </c>
    </row>
    <row r="1824" spans="1:5" x14ac:dyDescent="0.2">
      <c r="A1824" t="s">
        <v>564</v>
      </c>
      <c r="B1824" t="s">
        <v>565</v>
      </c>
      <c r="C1824" t="s">
        <v>438</v>
      </c>
      <c r="D1824" t="str">
        <f>VLOOKUP(C1824,'lookup table'!$A$2:$B$19,2,FALSE)</f>
        <v>ToM</v>
      </c>
      <c r="E1824" t="str">
        <f t="shared" si="28"/>
        <v>A185_00|ToM</v>
      </c>
    </row>
    <row r="1825" spans="1:5" x14ac:dyDescent="0.2">
      <c r="A1825" t="s">
        <v>566</v>
      </c>
      <c r="B1825" t="s">
        <v>567</v>
      </c>
      <c r="C1825" t="s">
        <v>331</v>
      </c>
      <c r="D1825" t="str">
        <f>VLOOKUP(C1825,'lookup table'!$A$2:$B$19,2,FALSE)</f>
        <v>FS Item</v>
      </c>
      <c r="E1825" t="str">
        <f t="shared" si="28"/>
        <v>A246_00|FS Item</v>
      </c>
    </row>
    <row r="1826" spans="1:5" x14ac:dyDescent="0.2">
      <c r="A1826" t="s">
        <v>566</v>
      </c>
      <c r="B1826" t="s">
        <v>567</v>
      </c>
      <c r="C1826" t="s">
        <v>423</v>
      </c>
      <c r="D1826" t="str">
        <f>VLOOKUP(C1826,'lookup table'!$A$2:$B$19,2,FALSE)</f>
        <v>ignore</v>
      </c>
      <c r="E1826" t="str">
        <f t="shared" si="28"/>
        <v>A246_00|ignore</v>
      </c>
    </row>
    <row r="1827" spans="1:5" x14ac:dyDescent="0.2">
      <c r="A1827" t="s">
        <v>566</v>
      </c>
      <c r="B1827" t="s">
        <v>567</v>
      </c>
      <c r="C1827" t="s">
        <v>438</v>
      </c>
      <c r="D1827" t="str">
        <f>VLOOKUP(C1827,'lookup table'!$A$2:$B$19,2,FALSE)</f>
        <v>ToM</v>
      </c>
      <c r="E1827" t="str">
        <f t="shared" si="28"/>
        <v>A246_00|ToM</v>
      </c>
    </row>
    <row r="1828" spans="1:5" x14ac:dyDescent="0.2">
      <c r="A1828" t="s">
        <v>568</v>
      </c>
      <c r="B1828" t="s">
        <v>569</v>
      </c>
      <c r="C1828" t="s">
        <v>331</v>
      </c>
      <c r="D1828" t="str">
        <f>VLOOKUP(C1828,'lookup table'!$A$2:$B$19,2,FALSE)</f>
        <v>FS Item</v>
      </c>
      <c r="E1828" t="str">
        <f t="shared" si="28"/>
        <v>A246_09|FS Item</v>
      </c>
    </row>
    <row r="1829" spans="1:5" x14ac:dyDescent="0.2">
      <c r="A1829" t="s">
        <v>568</v>
      </c>
      <c r="B1829" t="s">
        <v>569</v>
      </c>
      <c r="C1829" t="s">
        <v>423</v>
      </c>
      <c r="D1829" t="str">
        <f>VLOOKUP(C1829,'lookup table'!$A$2:$B$19,2,FALSE)</f>
        <v>ignore</v>
      </c>
      <c r="E1829" t="str">
        <f t="shared" si="28"/>
        <v>A246_09|ignore</v>
      </c>
    </row>
    <row r="1830" spans="1:5" x14ac:dyDescent="0.2">
      <c r="A1830" t="s">
        <v>568</v>
      </c>
      <c r="B1830" t="s">
        <v>569</v>
      </c>
      <c r="C1830" t="s">
        <v>438</v>
      </c>
      <c r="D1830" t="str">
        <f>VLOOKUP(C1830,'lookup table'!$A$2:$B$19,2,FALSE)</f>
        <v>ToM</v>
      </c>
      <c r="E1830" t="str">
        <f t="shared" si="28"/>
        <v>A246_09|ToM</v>
      </c>
    </row>
    <row r="1831" spans="1:5" x14ac:dyDescent="0.2">
      <c r="A1831" t="s">
        <v>570</v>
      </c>
      <c r="B1831" t="s">
        <v>571</v>
      </c>
      <c r="C1831" t="s">
        <v>331</v>
      </c>
      <c r="D1831" t="str">
        <f>VLOOKUP(C1831,'lookup table'!$A$2:$B$19,2,FALSE)</f>
        <v>FS Item</v>
      </c>
      <c r="E1831" t="str">
        <f t="shared" si="28"/>
        <v>A269_00|FS Item</v>
      </c>
    </row>
    <row r="1832" spans="1:5" x14ac:dyDescent="0.2">
      <c r="A1832" t="s">
        <v>570</v>
      </c>
      <c r="B1832" t="s">
        <v>571</v>
      </c>
      <c r="C1832" t="s">
        <v>423</v>
      </c>
      <c r="D1832" t="str">
        <f>VLOOKUP(C1832,'lookup table'!$A$2:$B$19,2,FALSE)</f>
        <v>ignore</v>
      </c>
      <c r="E1832" t="str">
        <f t="shared" si="28"/>
        <v>A269_00|ignore</v>
      </c>
    </row>
    <row r="1833" spans="1:5" x14ac:dyDescent="0.2">
      <c r="A1833" t="s">
        <v>570</v>
      </c>
      <c r="B1833" t="s">
        <v>571</v>
      </c>
      <c r="C1833" t="s">
        <v>438</v>
      </c>
      <c r="D1833" t="str">
        <f>VLOOKUP(C1833,'lookup table'!$A$2:$B$19,2,FALSE)</f>
        <v>ToM</v>
      </c>
      <c r="E1833" t="str">
        <f t="shared" si="28"/>
        <v>A269_00|ToM</v>
      </c>
    </row>
    <row r="1834" spans="1:5" x14ac:dyDescent="0.2">
      <c r="A1834" t="s">
        <v>572</v>
      </c>
      <c r="B1834" t="s">
        <v>573</v>
      </c>
      <c r="C1834" t="s">
        <v>331</v>
      </c>
      <c r="D1834" t="str">
        <f>VLOOKUP(C1834,'lookup table'!$A$2:$B$19,2,FALSE)</f>
        <v>FS Item</v>
      </c>
      <c r="E1834" t="str">
        <f t="shared" si="28"/>
        <v>A275_00|FS Item</v>
      </c>
    </row>
    <row r="1835" spans="1:5" x14ac:dyDescent="0.2">
      <c r="A1835" t="s">
        <v>572</v>
      </c>
      <c r="B1835" t="s">
        <v>573</v>
      </c>
      <c r="C1835" t="s">
        <v>423</v>
      </c>
      <c r="D1835" t="str">
        <f>VLOOKUP(C1835,'lookup table'!$A$2:$B$19,2,FALSE)</f>
        <v>ignore</v>
      </c>
      <c r="E1835" t="str">
        <f t="shared" si="28"/>
        <v>A275_00|ignore</v>
      </c>
    </row>
    <row r="1836" spans="1:5" x14ac:dyDescent="0.2">
      <c r="A1836" t="s">
        <v>572</v>
      </c>
      <c r="B1836" t="s">
        <v>573</v>
      </c>
      <c r="C1836" t="s">
        <v>438</v>
      </c>
      <c r="D1836" t="str">
        <f>VLOOKUP(C1836,'lookup table'!$A$2:$B$19,2,FALSE)</f>
        <v>ToM</v>
      </c>
      <c r="E1836" t="str">
        <f t="shared" si="28"/>
        <v>A275_00|ToM</v>
      </c>
    </row>
    <row r="1837" spans="1:5" x14ac:dyDescent="0.2">
      <c r="A1837" t="s">
        <v>574</v>
      </c>
      <c r="B1837" t="s">
        <v>575</v>
      </c>
      <c r="C1837" t="s">
        <v>331</v>
      </c>
      <c r="D1837" t="str">
        <f>VLOOKUP(C1837,'lookup table'!$A$2:$B$19,2,FALSE)</f>
        <v>FS Item</v>
      </c>
      <c r="E1837" t="str">
        <f t="shared" si="28"/>
        <v>A275_09|FS Item</v>
      </c>
    </row>
    <row r="1838" spans="1:5" x14ac:dyDescent="0.2">
      <c r="A1838" t="s">
        <v>574</v>
      </c>
      <c r="B1838" t="s">
        <v>575</v>
      </c>
      <c r="C1838" t="s">
        <v>423</v>
      </c>
      <c r="D1838" t="str">
        <f>VLOOKUP(C1838,'lookup table'!$A$2:$B$19,2,FALSE)</f>
        <v>ignore</v>
      </c>
      <c r="E1838" t="str">
        <f t="shared" si="28"/>
        <v>A275_09|ignore</v>
      </c>
    </row>
    <row r="1839" spans="1:5" x14ac:dyDescent="0.2">
      <c r="A1839" t="s">
        <v>574</v>
      </c>
      <c r="B1839" t="s">
        <v>575</v>
      </c>
      <c r="C1839" t="s">
        <v>438</v>
      </c>
      <c r="D1839" t="str">
        <f>VLOOKUP(C1839,'lookup table'!$A$2:$B$19,2,FALSE)</f>
        <v>ToM</v>
      </c>
      <c r="E1839" t="str">
        <f t="shared" si="28"/>
        <v>A275_09|ToM</v>
      </c>
    </row>
    <row r="1840" spans="1:5" x14ac:dyDescent="0.2">
      <c r="A1840" t="s">
        <v>576</v>
      </c>
      <c r="B1840" t="s">
        <v>577</v>
      </c>
      <c r="C1840" t="s">
        <v>331</v>
      </c>
      <c r="D1840" t="str">
        <f>VLOOKUP(C1840,'lookup table'!$A$2:$B$19,2,FALSE)</f>
        <v>FS Item</v>
      </c>
      <c r="E1840" t="str">
        <f t="shared" si="28"/>
        <v>A276_09|FS Item</v>
      </c>
    </row>
    <row r="1841" spans="1:5" x14ac:dyDescent="0.2">
      <c r="A1841" t="s">
        <v>576</v>
      </c>
      <c r="B1841" t="s">
        <v>577</v>
      </c>
      <c r="C1841" t="s">
        <v>423</v>
      </c>
      <c r="D1841" t="str">
        <f>VLOOKUP(C1841,'lookup table'!$A$2:$B$19,2,FALSE)</f>
        <v>ignore</v>
      </c>
      <c r="E1841" t="str">
        <f t="shared" si="28"/>
        <v>A276_09|ignore</v>
      </c>
    </row>
    <row r="1842" spans="1:5" x14ac:dyDescent="0.2">
      <c r="A1842" t="s">
        <v>576</v>
      </c>
      <c r="B1842" t="s">
        <v>577</v>
      </c>
      <c r="C1842" t="s">
        <v>438</v>
      </c>
      <c r="D1842" t="str">
        <f>VLOOKUP(C1842,'lookup table'!$A$2:$B$19,2,FALSE)</f>
        <v>ToM</v>
      </c>
      <c r="E1842" t="str">
        <f t="shared" si="28"/>
        <v>A276_09|ToM</v>
      </c>
    </row>
    <row r="1843" spans="1:5" x14ac:dyDescent="0.2">
      <c r="A1843" t="s">
        <v>578</v>
      </c>
      <c r="B1843" t="s">
        <v>579</v>
      </c>
      <c r="C1843" t="s">
        <v>331</v>
      </c>
      <c r="D1843" t="str">
        <f>VLOOKUP(C1843,'lookup table'!$A$2:$B$19,2,FALSE)</f>
        <v>FS Item</v>
      </c>
      <c r="E1843" t="str">
        <f t="shared" si="28"/>
        <v>A286_00|FS Item</v>
      </c>
    </row>
    <row r="1844" spans="1:5" x14ac:dyDescent="0.2">
      <c r="A1844" t="s">
        <v>578</v>
      </c>
      <c r="B1844" t="s">
        <v>579</v>
      </c>
      <c r="C1844" t="s">
        <v>423</v>
      </c>
      <c r="D1844" t="str">
        <f>VLOOKUP(C1844,'lookup table'!$A$2:$B$19,2,FALSE)</f>
        <v>ignore</v>
      </c>
      <c r="E1844" t="str">
        <f t="shared" si="28"/>
        <v>A286_00|ignore</v>
      </c>
    </row>
    <row r="1845" spans="1:5" x14ac:dyDescent="0.2">
      <c r="A1845" t="s">
        <v>578</v>
      </c>
      <c r="B1845" t="s">
        <v>579</v>
      </c>
      <c r="C1845" t="s">
        <v>438</v>
      </c>
      <c r="D1845" t="str">
        <f>VLOOKUP(C1845,'lookup table'!$A$2:$B$19,2,FALSE)</f>
        <v>ToM</v>
      </c>
      <c r="E1845" t="str">
        <f t="shared" si="28"/>
        <v>A286_00|ToM</v>
      </c>
    </row>
    <row r="1846" spans="1:5" x14ac:dyDescent="0.2">
      <c r="A1846" t="s">
        <v>578</v>
      </c>
      <c r="B1846" t="s">
        <v>579</v>
      </c>
      <c r="C1846" t="s">
        <v>442</v>
      </c>
      <c r="D1846" t="str">
        <f>VLOOKUP(C1846,'lookup table'!$A$2:$B$19,2,FALSE)</f>
        <v>Partner Unit</v>
      </c>
      <c r="E1846" t="str">
        <f t="shared" si="28"/>
        <v>A286_00|Partner Unit</v>
      </c>
    </row>
    <row r="1847" spans="1:5" x14ac:dyDescent="0.2">
      <c r="A1847" t="s">
        <v>580</v>
      </c>
      <c r="B1847" t="s">
        <v>581</v>
      </c>
      <c r="C1847" t="s">
        <v>331</v>
      </c>
      <c r="D1847" t="str">
        <f>VLOOKUP(C1847,'lookup table'!$A$2:$B$19,2,FALSE)</f>
        <v>FS Item</v>
      </c>
      <c r="E1847" t="str">
        <f t="shared" si="28"/>
        <v>A286_09|FS Item</v>
      </c>
    </row>
    <row r="1848" spans="1:5" x14ac:dyDescent="0.2">
      <c r="A1848" t="s">
        <v>580</v>
      </c>
      <c r="B1848" t="s">
        <v>581</v>
      </c>
      <c r="C1848" t="s">
        <v>423</v>
      </c>
      <c r="D1848" t="str">
        <f>VLOOKUP(C1848,'lookup table'!$A$2:$B$19,2,FALSE)</f>
        <v>ignore</v>
      </c>
      <c r="E1848" t="str">
        <f t="shared" si="28"/>
        <v>A286_09|ignore</v>
      </c>
    </row>
    <row r="1849" spans="1:5" x14ac:dyDescent="0.2">
      <c r="A1849" t="s">
        <v>580</v>
      </c>
      <c r="B1849" t="s">
        <v>581</v>
      </c>
      <c r="C1849" t="s">
        <v>438</v>
      </c>
      <c r="D1849" t="str">
        <f>VLOOKUP(C1849,'lookup table'!$A$2:$B$19,2,FALSE)</f>
        <v>ToM</v>
      </c>
      <c r="E1849" t="str">
        <f t="shared" si="28"/>
        <v>A286_09|ToM</v>
      </c>
    </row>
    <row r="1850" spans="1:5" x14ac:dyDescent="0.2">
      <c r="A1850" t="s">
        <v>580</v>
      </c>
      <c r="B1850" t="s">
        <v>581</v>
      </c>
      <c r="C1850" t="s">
        <v>442</v>
      </c>
      <c r="D1850" t="str">
        <f>VLOOKUP(C1850,'lookup table'!$A$2:$B$19,2,FALSE)</f>
        <v>Partner Unit</v>
      </c>
      <c r="E1850" t="str">
        <f t="shared" si="28"/>
        <v>A286_09|Partner Unit</v>
      </c>
    </row>
    <row r="1851" spans="1:5" x14ac:dyDescent="0.2">
      <c r="A1851" t="s">
        <v>582</v>
      </c>
      <c r="B1851" t="s">
        <v>583</v>
      </c>
      <c r="C1851" t="s">
        <v>331</v>
      </c>
      <c r="D1851" t="str">
        <f>VLOOKUP(C1851,'lookup table'!$A$2:$B$19,2,FALSE)</f>
        <v>FS Item</v>
      </c>
      <c r="E1851" t="str">
        <f t="shared" si="28"/>
        <v>A286_60|FS Item</v>
      </c>
    </row>
    <row r="1852" spans="1:5" x14ac:dyDescent="0.2">
      <c r="A1852" t="s">
        <v>582</v>
      </c>
      <c r="B1852" t="s">
        <v>583</v>
      </c>
      <c r="C1852" t="s">
        <v>423</v>
      </c>
      <c r="D1852" t="str">
        <f>VLOOKUP(C1852,'lookup table'!$A$2:$B$19,2,FALSE)</f>
        <v>ignore</v>
      </c>
      <c r="E1852" t="str">
        <f t="shared" si="28"/>
        <v>A286_60|ignore</v>
      </c>
    </row>
    <row r="1853" spans="1:5" x14ac:dyDescent="0.2">
      <c r="A1853" t="s">
        <v>582</v>
      </c>
      <c r="B1853" t="s">
        <v>583</v>
      </c>
      <c r="C1853" t="s">
        <v>438</v>
      </c>
      <c r="D1853" t="str">
        <f>VLOOKUP(C1853,'lookup table'!$A$2:$B$19,2,FALSE)</f>
        <v>ToM</v>
      </c>
      <c r="E1853" t="str">
        <f t="shared" si="28"/>
        <v>A286_60|ToM</v>
      </c>
    </row>
    <row r="1854" spans="1:5" x14ac:dyDescent="0.2">
      <c r="A1854" t="s">
        <v>582</v>
      </c>
      <c r="B1854" t="s">
        <v>583</v>
      </c>
      <c r="C1854" t="s">
        <v>442</v>
      </c>
      <c r="D1854" t="str">
        <f>VLOOKUP(C1854,'lookup table'!$A$2:$B$19,2,FALSE)</f>
        <v>Partner Unit</v>
      </c>
      <c r="E1854" t="str">
        <f t="shared" si="28"/>
        <v>A286_60|Partner Unit</v>
      </c>
    </row>
    <row r="1855" spans="1:5" x14ac:dyDescent="0.2">
      <c r="A1855" t="s">
        <v>584</v>
      </c>
      <c r="B1855" t="s">
        <v>585</v>
      </c>
      <c r="C1855" t="s">
        <v>331</v>
      </c>
      <c r="D1855" t="str">
        <f>VLOOKUP(C1855,'lookup table'!$A$2:$B$19,2,FALSE)</f>
        <v>FS Item</v>
      </c>
      <c r="E1855" t="str">
        <f t="shared" si="28"/>
        <v>A292_00|FS Item</v>
      </c>
    </row>
    <row r="1856" spans="1:5" x14ac:dyDescent="0.2">
      <c r="A1856" t="s">
        <v>584</v>
      </c>
      <c r="B1856" t="s">
        <v>585</v>
      </c>
      <c r="C1856" t="s">
        <v>423</v>
      </c>
      <c r="D1856" t="str">
        <f>VLOOKUP(C1856,'lookup table'!$A$2:$B$19,2,FALSE)</f>
        <v>ignore</v>
      </c>
      <c r="E1856" t="str">
        <f t="shared" si="28"/>
        <v>A292_00|ignore</v>
      </c>
    </row>
    <row r="1857" spans="1:5" x14ac:dyDescent="0.2">
      <c r="A1857" t="s">
        <v>584</v>
      </c>
      <c r="B1857" t="s">
        <v>585</v>
      </c>
      <c r="C1857" t="s">
        <v>438</v>
      </c>
      <c r="D1857" t="str">
        <f>VLOOKUP(C1857,'lookup table'!$A$2:$B$19,2,FALSE)</f>
        <v>ToM</v>
      </c>
      <c r="E1857" t="str">
        <f t="shared" si="28"/>
        <v>A292_00|ToM</v>
      </c>
    </row>
    <row r="1858" spans="1:5" x14ac:dyDescent="0.2">
      <c r="A1858" t="s">
        <v>586</v>
      </c>
      <c r="B1858" t="s">
        <v>587</v>
      </c>
      <c r="C1858" t="s">
        <v>331</v>
      </c>
      <c r="D1858" t="str">
        <f>VLOOKUP(C1858,'lookup table'!$A$2:$B$19,2,FALSE)</f>
        <v>FS Item</v>
      </c>
      <c r="E1858" t="str">
        <f t="shared" si="28"/>
        <v>A293_00|FS Item</v>
      </c>
    </row>
    <row r="1859" spans="1:5" x14ac:dyDescent="0.2">
      <c r="A1859" t="s">
        <v>586</v>
      </c>
      <c r="B1859" t="s">
        <v>587</v>
      </c>
      <c r="C1859" t="s">
        <v>423</v>
      </c>
      <c r="D1859" t="str">
        <f>VLOOKUP(C1859,'lookup table'!$A$2:$B$19,2,FALSE)</f>
        <v>ignore</v>
      </c>
      <c r="E1859" t="str">
        <f t="shared" ref="E1859:E1922" si="29">IF(ISNA(D1859),"",IF(A1859="","",A1859) &amp; "|" &amp; D1859)</f>
        <v>A293_00|ignore</v>
      </c>
    </row>
    <row r="1860" spans="1:5" x14ac:dyDescent="0.2">
      <c r="A1860" t="s">
        <v>586</v>
      </c>
      <c r="B1860" t="s">
        <v>587</v>
      </c>
      <c r="C1860" t="s">
        <v>438</v>
      </c>
      <c r="D1860" t="str">
        <f>VLOOKUP(C1860,'lookup table'!$A$2:$B$19,2,FALSE)</f>
        <v>ToM</v>
      </c>
      <c r="E1860" t="str">
        <f t="shared" si="29"/>
        <v>A293_00|ToM</v>
      </c>
    </row>
    <row r="1861" spans="1:5" x14ac:dyDescent="0.2">
      <c r="A1861" t="s">
        <v>588</v>
      </c>
      <c r="B1861" t="s">
        <v>589</v>
      </c>
      <c r="C1861" t="s">
        <v>331</v>
      </c>
      <c r="D1861" t="str">
        <f>VLOOKUP(C1861,'lookup table'!$A$2:$B$19,2,FALSE)</f>
        <v>FS Item</v>
      </c>
      <c r="E1861" t="str">
        <f t="shared" si="29"/>
        <v>A293_09|FS Item</v>
      </c>
    </row>
    <row r="1862" spans="1:5" x14ac:dyDescent="0.2">
      <c r="A1862" t="s">
        <v>588</v>
      </c>
      <c r="B1862" t="s">
        <v>589</v>
      </c>
      <c r="C1862" t="s">
        <v>423</v>
      </c>
      <c r="D1862" t="str">
        <f>VLOOKUP(C1862,'lookup table'!$A$2:$B$19,2,FALSE)</f>
        <v>ignore</v>
      </c>
      <c r="E1862" t="str">
        <f t="shared" si="29"/>
        <v>A293_09|ignore</v>
      </c>
    </row>
    <row r="1863" spans="1:5" x14ac:dyDescent="0.2">
      <c r="A1863" t="s">
        <v>588</v>
      </c>
      <c r="B1863" t="s">
        <v>589</v>
      </c>
      <c r="C1863" t="s">
        <v>438</v>
      </c>
      <c r="D1863" t="str">
        <f>VLOOKUP(C1863,'lookup table'!$A$2:$B$19,2,FALSE)</f>
        <v>ToM</v>
      </c>
      <c r="E1863" t="str">
        <f t="shared" si="29"/>
        <v>A293_09|ToM</v>
      </c>
    </row>
    <row r="1864" spans="1:5" x14ac:dyDescent="0.2">
      <c r="A1864" t="s">
        <v>590</v>
      </c>
      <c r="B1864" t="s">
        <v>591</v>
      </c>
      <c r="C1864" t="s">
        <v>20</v>
      </c>
      <c r="D1864" t="str">
        <f>VLOOKUP(C1864,'lookup table'!$A$2:$B$19,2,FALSE)</f>
        <v>AY</v>
      </c>
      <c r="E1864" t="str">
        <f t="shared" si="29"/>
        <v>A302_00|AY</v>
      </c>
    </row>
    <row r="1865" spans="1:5" x14ac:dyDescent="0.2">
      <c r="A1865" t="s">
        <v>590</v>
      </c>
      <c r="B1865" t="s">
        <v>591</v>
      </c>
      <c r="C1865" t="s">
        <v>331</v>
      </c>
      <c r="D1865" t="str">
        <f>VLOOKUP(C1865,'lookup table'!$A$2:$B$19,2,FALSE)</f>
        <v>FS Item</v>
      </c>
      <c r="E1865" t="str">
        <f t="shared" si="29"/>
        <v>A302_00|FS Item</v>
      </c>
    </row>
    <row r="1866" spans="1:5" x14ac:dyDescent="0.2">
      <c r="A1866" t="s">
        <v>590</v>
      </c>
      <c r="B1866" t="s">
        <v>591</v>
      </c>
      <c r="C1866" t="s">
        <v>423</v>
      </c>
      <c r="D1866" t="str">
        <f>VLOOKUP(C1866,'lookup table'!$A$2:$B$19,2,FALSE)</f>
        <v>ignore</v>
      </c>
      <c r="E1866" t="str">
        <f t="shared" si="29"/>
        <v>A302_00|ignore</v>
      </c>
    </row>
    <row r="1867" spans="1:5" x14ac:dyDescent="0.2">
      <c r="A1867" t="s">
        <v>590</v>
      </c>
      <c r="B1867" t="s">
        <v>591</v>
      </c>
      <c r="C1867" t="s">
        <v>428</v>
      </c>
      <c r="D1867" t="str">
        <f>VLOOKUP(C1867,'lookup table'!$A$2:$B$19,2,FALSE)</f>
        <v>LoB</v>
      </c>
      <c r="E1867" t="str">
        <f t="shared" si="29"/>
        <v>A302_00|LoB</v>
      </c>
    </row>
    <row r="1868" spans="1:5" x14ac:dyDescent="0.2">
      <c r="A1868" t="s">
        <v>590</v>
      </c>
      <c r="B1868" t="s">
        <v>591</v>
      </c>
      <c r="C1868" t="s">
        <v>438</v>
      </c>
      <c r="D1868" t="str">
        <f>VLOOKUP(C1868,'lookup table'!$A$2:$B$19,2,FALSE)</f>
        <v>ToM</v>
      </c>
      <c r="E1868" t="str">
        <f t="shared" si="29"/>
        <v>A302_00|ToM</v>
      </c>
    </row>
    <row r="1869" spans="1:5" x14ac:dyDescent="0.2">
      <c r="A1869" t="s">
        <v>590</v>
      </c>
      <c r="B1869" t="s">
        <v>591</v>
      </c>
      <c r="C1869" t="s">
        <v>441</v>
      </c>
      <c r="D1869" t="str">
        <f>VLOOKUP(C1869,'lookup table'!$A$2:$B$19,2,FALSE)</f>
        <v>Partner Segment</v>
      </c>
      <c r="E1869" t="str">
        <f t="shared" si="29"/>
        <v>A302_00|Partner Segment</v>
      </c>
    </row>
    <row r="1870" spans="1:5" x14ac:dyDescent="0.2">
      <c r="A1870" t="s">
        <v>590</v>
      </c>
      <c r="B1870" t="s">
        <v>591</v>
      </c>
      <c r="C1870" t="s">
        <v>442</v>
      </c>
      <c r="D1870" t="str">
        <f>VLOOKUP(C1870,'lookup table'!$A$2:$B$19,2,FALSE)</f>
        <v>Partner Unit</v>
      </c>
      <c r="E1870" t="str">
        <f t="shared" si="29"/>
        <v>A302_00|Partner Unit</v>
      </c>
    </row>
    <row r="1871" spans="1:5" x14ac:dyDescent="0.2">
      <c r="A1871" t="s">
        <v>592</v>
      </c>
      <c r="B1871" t="s">
        <v>593</v>
      </c>
      <c r="C1871" t="s">
        <v>331</v>
      </c>
      <c r="D1871" t="str">
        <f>VLOOKUP(C1871,'lookup table'!$A$2:$B$19,2,FALSE)</f>
        <v>FS Item</v>
      </c>
      <c r="E1871" t="str">
        <f t="shared" si="29"/>
        <v>A304_17|FS Item</v>
      </c>
    </row>
    <row r="1872" spans="1:5" x14ac:dyDescent="0.2">
      <c r="A1872" t="s">
        <v>592</v>
      </c>
      <c r="B1872" t="s">
        <v>593</v>
      </c>
      <c r="C1872" t="s">
        <v>423</v>
      </c>
      <c r="D1872" t="str">
        <f>VLOOKUP(C1872,'lookup table'!$A$2:$B$19,2,FALSE)</f>
        <v>ignore</v>
      </c>
      <c r="E1872" t="str">
        <f t="shared" si="29"/>
        <v>A304_17|ignore</v>
      </c>
    </row>
    <row r="1873" spans="1:5" x14ac:dyDescent="0.2">
      <c r="A1873" t="s">
        <v>592</v>
      </c>
      <c r="B1873" t="s">
        <v>593</v>
      </c>
      <c r="C1873" t="s">
        <v>438</v>
      </c>
      <c r="D1873" t="str">
        <f>VLOOKUP(C1873,'lookup table'!$A$2:$B$19,2,FALSE)</f>
        <v>ToM</v>
      </c>
      <c r="E1873" t="str">
        <f t="shared" si="29"/>
        <v>A304_17|ToM</v>
      </c>
    </row>
    <row r="1874" spans="1:5" x14ac:dyDescent="0.2">
      <c r="A1874" t="s">
        <v>594</v>
      </c>
      <c r="B1874" t="s">
        <v>595</v>
      </c>
      <c r="C1874" t="s">
        <v>331</v>
      </c>
      <c r="D1874" t="str">
        <f>VLOOKUP(C1874,'lookup table'!$A$2:$B$19,2,FALSE)</f>
        <v>FS Item</v>
      </c>
      <c r="E1874" t="str">
        <f t="shared" si="29"/>
        <v>A305_17|FS Item</v>
      </c>
    </row>
    <row r="1875" spans="1:5" x14ac:dyDescent="0.2">
      <c r="A1875" t="s">
        <v>594</v>
      </c>
      <c r="B1875" t="s">
        <v>595</v>
      </c>
      <c r="C1875" t="s">
        <v>423</v>
      </c>
      <c r="D1875" t="str">
        <f>VLOOKUP(C1875,'lookup table'!$A$2:$B$19,2,FALSE)</f>
        <v>ignore</v>
      </c>
      <c r="E1875" t="str">
        <f t="shared" si="29"/>
        <v>A305_17|ignore</v>
      </c>
    </row>
    <row r="1876" spans="1:5" x14ac:dyDescent="0.2">
      <c r="A1876" t="s">
        <v>594</v>
      </c>
      <c r="B1876" t="s">
        <v>595</v>
      </c>
      <c r="C1876" t="s">
        <v>438</v>
      </c>
      <c r="D1876" t="str">
        <f>VLOOKUP(C1876,'lookup table'!$A$2:$B$19,2,FALSE)</f>
        <v>ToM</v>
      </c>
      <c r="E1876" t="str">
        <f t="shared" si="29"/>
        <v>A305_17|ToM</v>
      </c>
    </row>
    <row r="1877" spans="1:5" x14ac:dyDescent="0.2">
      <c r="A1877" t="s">
        <v>596</v>
      </c>
      <c r="B1877" t="s">
        <v>597</v>
      </c>
      <c r="C1877" t="s">
        <v>331</v>
      </c>
      <c r="D1877" t="str">
        <f>VLOOKUP(C1877,'lookup table'!$A$2:$B$19,2,FALSE)</f>
        <v>FS Item</v>
      </c>
      <c r="E1877" t="str">
        <f t="shared" si="29"/>
        <v>A306_17|FS Item</v>
      </c>
    </row>
    <row r="1878" spans="1:5" x14ac:dyDescent="0.2">
      <c r="A1878" t="s">
        <v>596</v>
      </c>
      <c r="B1878" t="s">
        <v>597</v>
      </c>
      <c r="C1878" t="s">
        <v>423</v>
      </c>
      <c r="D1878" t="str">
        <f>VLOOKUP(C1878,'lookup table'!$A$2:$B$19,2,FALSE)</f>
        <v>ignore</v>
      </c>
      <c r="E1878" t="str">
        <f t="shared" si="29"/>
        <v>A306_17|ignore</v>
      </c>
    </row>
    <row r="1879" spans="1:5" x14ac:dyDescent="0.2">
      <c r="A1879" t="s">
        <v>596</v>
      </c>
      <c r="B1879" t="s">
        <v>597</v>
      </c>
      <c r="C1879" t="s">
        <v>438</v>
      </c>
      <c r="D1879" t="str">
        <f>VLOOKUP(C1879,'lookup table'!$A$2:$B$19,2,FALSE)</f>
        <v>ToM</v>
      </c>
      <c r="E1879" t="str">
        <f t="shared" si="29"/>
        <v>A306_17|ToM</v>
      </c>
    </row>
    <row r="1880" spans="1:5" x14ac:dyDescent="0.2">
      <c r="A1880" t="s">
        <v>598</v>
      </c>
      <c r="B1880" t="s">
        <v>599</v>
      </c>
      <c r="C1880" t="s">
        <v>136</v>
      </c>
      <c r="D1880" t="str">
        <f>VLOOKUP(C1880,'lookup table'!$A$2:$B$19,2,FALSE)</f>
        <v>BBA Set</v>
      </c>
      <c r="E1880" t="str">
        <f t="shared" si="29"/>
        <v>A307_17|BBA Set</v>
      </c>
    </row>
    <row r="1881" spans="1:5" x14ac:dyDescent="0.2">
      <c r="A1881" t="s">
        <v>598</v>
      </c>
      <c r="B1881" t="s">
        <v>599</v>
      </c>
      <c r="C1881" t="s">
        <v>331</v>
      </c>
      <c r="D1881" t="str">
        <f>VLOOKUP(C1881,'lookup table'!$A$2:$B$19,2,FALSE)</f>
        <v>FS Item</v>
      </c>
      <c r="E1881" t="str">
        <f t="shared" si="29"/>
        <v>A307_17|FS Item</v>
      </c>
    </row>
    <row r="1882" spans="1:5" x14ac:dyDescent="0.2">
      <c r="A1882" t="s">
        <v>598</v>
      </c>
      <c r="B1882" t="s">
        <v>599</v>
      </c>
      <c r="C1882" t="s">
        <v>423</v>
      </c>
      <c r="D1882" t="str">
        <f>VLOOKUP(C1882,'lookup table'!$A$2:$B$19,2,FALSE)</f>
        <v>ignore</v>
      </c>
      <c r="E1882" t="str">
        <f t="shared" si="29"/>
        <v>A307_17|ignore</v>
      </c>
    </row>
    <row r="1883" spans="1:5" x14ac:dyDescent="0.2">
      <c r="A1883" t="s">
        <v>598</v>
      </c>
      <c r="B1883" t="s">
        <v>599</v>
      </c>
      <c r="C1883" t="s">
        <v>438</v>
      </c>
      <c r="D1883" t="str">
        <f>VLOOKUP(C1883,'lookup table'!$A$2:$B$19,2,FALSE)</f>
        <v>ToM</v>
      </c>
      <c r="E1883" t="str">
        <f t="shared" si="29"/>
        <v>A307_17|ToM</v>
      </c>
    </row>
    <row r="1884" spans="1:5" x14ac:dyDescent="0.2">
      <c r="A1884" t="s">
        <v>600</v>
      </c>
      <c r="B1884" t="s">
        <v>601</v>
      </c>
      <c r="C1884" t="s">
        <v>136</v>
      </c>
      <c r="D1884" t="str">
        <f>VLOOKUP(C1884,'lookup table'!$A$2:$B$19,2,FALSE)</f>
        <v>BBA Set</v>
      </c>
      <c r="E1884" t="str">
        <f t="shared" si="29"/>
        <v>A308_17|BBA Set</v>
      </c>
    </row>
    <row r="1885" spans="1:5" x14ac:dyDescent="0.2">
      <c r="A1885" t="s">
        <v>600</v>
      </c>
      <c r="B1885" t="s">
        <v>601</v>
      </c>
      <c r="C1885" t="s">
        <v>331</v>
      </c>
      <c r="D1885" t="str">
        <f>VLOOKUP(C1885,'lookup table'!$A$2:$B$19,2,FALSE)</f>
        <v>FS Item</v>
      </c>
      <c r="E1885" t="str">
        <f t="shared" si="29"/>
        <v>A308_17|FS Item</v>
      </c>
    </row>
    <row r="1886" spans="1:5" x14ac:dyDescent="0.2">
      <c r="A1886" t="s">
        <v>600</v>
      </c>
      <c r="B1886" t="s">
        <v>601</v>
      </c>
      <c r="C1886" t="s">
        <v>423</v>
      </c>
      <c r="D1886" t="str">
        <f>VLOOKUP(C1886,'lookup table'!$A$2:$B$19,2,FALSE)</f>
        <v>ignore</v>
      </c>
      <c r="E1886" t="str">
        <f t="shared" si="29"/>
        <v>A308_17|ignore</v>
      </c>
    </row>
    <row r="1887" spans="1:5" x14ac:dyDescent="0.2">
      <c r="A1887" t="s">
        <v>600</v>
      </c>
      <c r="B1887" t="s">
        <v>601</v>
      </c>
      <c r="C1887" t="s">
        <v>438</v>
      </c>
      <c r="D1887" t="str">
        <f>VLOOKUP(C1887,'lookup table'!$A$2:$B$19,2,FALSE)</f>
        <v>ToM</v>
      </c>
      <c r="E1887" t="str">
        <f t="shared" si="29"/>
        <v>A308_17|ToM</v>
      </c>
    </row>
    <row r="1888" spans="1:5" x14ac:dyDescent="0.2">
      <c r="A1888" t="s">
        <v>602</v>
      </c>
      <c r="B1888" t="s">
        <v>603</v>
      </c>
      <c r="C1888" t="s">
        <v>441</v>
      </c>
      <c r="D1888" t="str">
        <f>VLOOKUP(C1888,'lookup table'!$A$2:$B$19,2,FALSE)</f>
        <v>Partner Segment</v>
      </c>
      <c r="E1888" t="str">
        <f t="shared" si="29"/>
        <v>A315_00|Partner Segment</v>
      </c>
    </row>
    <row r="1889" spans="1:5" x14ac:dyDescent="0.2">
      <c r="A1889" t="s">
        <v>602</v>
      </c>
      <c r="B1889" t="s">
        <v>603</v>
      </c>
      <c r="C1889" t="s">
        <v>442</v>
      </c>
      <c r="D1889" t="str">
        <f>VLOOKUP(C1889,'lookup table'!$A$2:$B$19,2,FALSE)</f>
        <v>Partner Unit</v>
      </c>
      <c r="E1889" t="str">
        <f t="shared" si="29"/>
        <v>A315_00|Partner Unit</v>
      </c>
    </row>
    <row r="1890" spans="1:5" x14ac:dyDescent="0.2">
      <c r="A1890" t="s">
        <v>604</v>
      </c>
      <c r="B1890" t="s">
        <v>605</v>
      </c>
      <c r="C1890" t="s">
        <v>331</v>
      </c>
      <c r="D1890" t="str">
        <f>VLOOKUP(C1890,'lookup table'!$A$2:$B$19,2,FALSE)</f>
        <v>FS Item</v>
      </c>
      <c r="E1890" t="str">
        <f t="shared" si="29"/>
        <v>A328_00|FS Item</v>
      </c>
    </row>
    <row r="1891" spans="1:5" x14ac:dyDescent="0.2">
      <c r="A1891" t="s">
        <v>604</v>
      </c>
      <c r="B1891" t="s">
        <v>605</v>
      </c>
      <c r="C1891" t="s">
        <v>423</v>
      </c>
      <c r="D1891" t="str">
        <f>VLOOKUP(C1891,'lookup table'!$A$2:$B$19,2,FALSE)</f>
        <v>ignore</v>
      </c>
      <c r="E1891" t="str">
        <f t="shared" si="29"/>
        <v>A328_00|ignore</v>
      </c>
    </row>
    <row r="1892" spans="1:5" x14ac:dyDescent="0.2">
      <c r="A1892" t="s">
        <v>606</v>
      </c>
      <c r="B1892" t="s">
        <v>607</v>
      </c>
      <c r="C1892" t="s">
        <v>331</v>
      </c>
      <c r="D1892" t="str">
        <f>VLOOKUP(C1892,'lookup table'!$A$2:$B$19,2,FALSE)</f>
        <v>FS Item</v>
      </c>
      <c r="E1892" t="str">
        <f t="shared" si="29"/>
        <v>A328_17|FS Item</v>
      </c>
    </row>
    <row r="1893" spans="1:5" x14ac:dyDescent="0.2">
      <c r="A1893" t="s">
        <v>606</v>
      </c>
      <c r="B1893" t="s">
        <v>607</v>
      </c>
      <c r="C1893" t="s">
        <v>423</v>
      </c>
      <c r="D1893" t="str">
        <f>VLOOKUP(C1893,'lookup table'!$A$2:$B$19,2,FALSE)</f>
        <v>ignore</v>
      </c>
      <c r="E1893" t="str">
        <f t="shared" si="29"/>
        <v>A328_17|ignore</v>
      </c>
    </row>
    <row r="1894" spans="1:5" x14ac:dyDescent="0.2">
      <c r="A1894" t="s">
        <v>608</v>
      </c>
      <c r="B1894" t="s">
        <v>609</v>
      </c>
      <c r="C1894" t="s">
        <v>331</v>
      </c>
      <c r="D1894" t="str">
        <f>VLOOKUP(C1894,'lookup table'!$A$2:$B$19,2,FALSE)</f>
        <v>FS Item</v>
      </c>
      <c r="E1894" t="str">
        <f t="shared" si="29"/>
        <v>A328_60|FS Item</v>
      </c>
    </row>
    <row r="1895" spans="1:5" x14ac:dyDescent="0.2">
      <c r="A1895" t="s">
        <v>608</v>
      </c>
      <c r="B1895" t="s">
        <v>609</v>
      </c>
      <c r="C1895" t="s">
        <v>423</v>
      </c>
      <c r="D1895" t="str">
        <f>VLOOKUP(C1895,'lookup table'!$A$2:$B$19,2,FALSE)</f>
        <v>ignore</v>
      </c>
      <c r="E1895" t="str">
        <f t="shared" si="29"/>
        <v>A328_60|ignore</v>
      </c>
    </row>
    <row r="1896" spans="1:5" x14ac:dyDescent="0.2">
      <c r="A1896" t="s">
        <v>610</v>
      </c>
      <c r="B1896" t="s">
        <v>401</v>
      </c>
      <c r="C1896" t="s">
        <v>331</v>
      </c>
      <c r="D1896" t="str">
        <f>VLOOKUP(C1896,'lookup table'!$A$2:$B$19,2,FALSE)</f>
        <v>FS Item</v>
      </c>
      <c r="E1896" t="str">
        <f t="shared" si="29"/>
        <v>A329_17|FS Item</v>
      </c>
    </row>
    <row r="1897" spans="1:5" x14ac:dyDescent="0.2">
      <c r="A1897" t="s">
        <v>610</v>
      </c>
      <c r="B1897" t="s">
        <v>401</v>
      </c>
      <c r="C1897" t="s">
        <v>423</v>
      </c>
      <c r="D1897" t="str">
        <f>VLOOKUP(C1897,'lookup table'!$A$2:$B$19,2,FALSE)</f>
        <v>ignore</v>
      </c>
      <c r="E1897" t="str">
        <f t="shared" si="29"/>
        <v>A329_17|ignore</v>
      </c>
    </row>
    <row r="1898" spans="1:5" x14ac:dyDescent="0.2">
      <c r="A1898" t="s">
        <v>610</v>
      </c>
      <c r="B1898" t="s">
        <v>401</v>
      </c>
      <c r="C1898" t="s">
        <v>438</v>
      </c>
      <c r="D1898" t="str">
        <f>VLOOKUP(C1898,'lookup table'!$A$2:$B$19,2,FALSE)</f>
        <v>ToM</v>
      </c>
      <c r="E1898" t="str">
        <f t="shared" si="29"/>
        <v>A329_17|ToM</v>
      </c>
    </row>
    <row r="1899" spans="1:5" x14ac:dyDescent="0.2">
      <c r="A1899" t="s">
        <v>611</v>
      </c>
      <c r="B1899" t="s">
        <v>612</v>
      </c>
      <c r="C1899" t="s">
        <v>331</v>
      </c>
      <c r="D1899" t="str">
        <f>VLOOKUP(C1899,'lookup table'!$A$2:$B$19,2,FALSE)</f>
        <v>FS Item</v>
      </c>
      <c r="E1899" t="str">
        <f t="shared" si="29"/>
        <v>A330_17|FS Item</v>
      </c>
    </row>
    <row r="1900" spans="1:5" x14ac:dyDescent="0.2">
      <c r="A1900" t="s">
        <v>611</v>
      </c>
      <c r="B1900" t="s">
        <v>612</v>
      </c>
      <c r="C1900" t="s">
        <v>423</v>
      </c>
      <c r="D1900" t="str">
        <f>VLOOKUP(C1900,'lookup table'!$A$2:$B$19,2,FALSE)</f>
        <v>ignore</v>
      </c>
      <c r="E1900" t="str">
        <f t="shared" si="29"/>
        <v>A330_17|ignore</v>
      </c>
    </row>
    <row r="1901" spans="1:5" x14ac:dyDescent="0.2">
      <c r="A1901" t="s">
        <v>613</v>
      </c>
      <c r="B1901" t="s">
        <v>614</v>
      </c>
      <c r="C1901" t="s">
        <v>438</v>
      </c>
      <c r="D1901" t="str">
        <f>VLOOKUP(C1901,'lookup table'!$A$2:$B$19,2,FALSE)</f>
        <v>ToM</v>
      </c>
      <c r="E1901" t="str">
        <f t="shared" si="29"/>
        <v>A332_00|ToM</v>
      </c>
    </row>
    <row r="1902" spans="1:5" x14ac:dyDescent="0.2">
      <c r="A1902" t="s">
        <v>615</v>
      </c>
      <c r="B1902" t="s">
        <v>616</v>
      </c>
      <c r="C1902" t="s">
        <v>331</v>
      </c>
      <c r="D1902" t="str">
        <f>VLOOKUP(C1902,'lookup table'!$A$2:$B$19,2,FALSE)</f>
        <v>FS Item</v>
      </c>
      <c r="E1902" t="str">
        <f t="shared" si="29"/>
        <v>A333_00|FS Item</v>
      </c>
    </row>
    <row r="1903" spans="1:5" x14ac:dyDescent="0.2">
      <c r="A1903" t="s">
        <v>615</v>
      </c>
      <c r="B1903" t="s">
        <v>616</v>
      </c>
      <c r="C1903" t="s">
        <v>423</v>
      </c>
      <c r="D1903" t="str">
        <f>VLOOKUP(C1903,'lookup table'!$A$2:$B$19,2,FALSE)</f>
        <v>ignore</v>
      </c>
      <c r="E1903" t="str">
        <f t="shared" si="29"/>
        <v>A333_00|ignore</v>
      </c>
    </row>
    <row r="1904" spans="1:5" x14ac:dyDescent="0.2">
      <c r="A1904" t="s">
        <v>615</v>
      </c>
      <c r="B1904" t="s">
        <v>616</v>
      </c>
      <c r="C1904" t="s">
        <v>438</v>
      </c>
      <c r="D1904" t="str">
        <f>VLOOKUP(C1904,'lookup table'!$A$2:$B$19,2,FALSE)</f>
        <v>ToM</v>
      </c>
      <c r="E1904" t="str">
        <f t="shared" si="29"/>
        <v>A333_00|ToM</v>
      </c>
    </row>
    <row r="1905" spans="1:5" x14ac:dyDescent="0.2">
      <c r="A1905" t="s">
        <v>617</v>
      </c>
      <c r="B1905" t="s">
        <v>618</v>
      </c>
      <c r="C1905" t="s">
        <v>331</v>
      </c>
      <c r="D1905" t="str">
        <f>VLOOKUP(C1905,'lookup table'!$A$2:$B$19,2,FALSE)</f>
        <v>FS Item</v>
      </c>
      <c r="E1905" t="str">
        <f t="shared" si="29"/>
        <v>A335_00|FS Item</v>
      </c>
    </row>
    <row r="1906" spans="1:5" x14ac:dyDescent="0.2">
      <c r="A1906" t="s">
        <v>617</v>
      </c>
      <c r="B1906" t="s">
        <v>618</v>
      </c>
      <c r="C1906" t="s">
        <v>423</v>
      </c>
      <c r="D1906" t="str">
        <f>VLOOKUP(C1906,'lookup table'!$A$2:$B$19,2,FALSE)</f>
        <v>ignore</v>
      </c>
      <c r="E1906" t="str">
        <f t="shared" si="29"/>
        <v>A335_00|ignore</v>
      </c>
    </row>
    <row r="1907" spans="1:5" x14ac:dyDescent="0.2">
      <c r="A1907" t="s">
        <v>617</v>
      </c>
      <c r="B1907" t="s">
        <v>618</v>
      </c>
      <c r="C1907" t="s">
        <v>438</v>
      </c>
      <c r="D1907" t="str">
        <f>VLOOKUP(C1907,'lookup table'!$A$2:$B$19,2,FALSE)</f>
        <v>ToM</v>
      </c>
      <c r="E1907" t="str">
        <f t="shared" si="29"/>
        <v>A335_00|ToM</v>
      </c>
    </row>
    <row r="1908" spans="1:5" x14ac:dyDescent="0.2">
      <c r="A1908" t="s">
        <v>619</v>
      </c>
      <c r="B1908" t="s">
        <v>620</v>
      </c>
      <c r="C1908" t="s">
        <v>331</v>
      </c>
      <c r="D1908" t="str">
        <f>VLOOKUP(C1908,'lookup table'!$A$2:$B$19,2,FALSE)</f>
        <v>FS Item</v>
      </c>
      <c r="E1908" t="str">
        <f t="shared" si="29"/>
        <v>A336_00|FS Item</v>
      </c>
    </row>
    <row r="1909" spans="1:5" x14ac:dyDescent="0.2">
      <c r="A1909" t="s">
        <v>619</v>
      </c>
      <c r="B1909" t="s">
        <v>620</v>
      </c>
      <c r="C1909" t="s">
        <v>423</v>
      </c>
      <c r="D1909" t="str">
        <f>VLOOKUP(C1909,'lookup table'!$A$2:$B$19,2,FALSE)</f>
        <v>ignore</v>
      </c>
      <c r="E1909" t="str">
        <f t="shared" si="29"/>
        <v>A336_00|ignore</v>
      </c>
    </row>
    <row r="1910" spans="1:5" x14ac:dyDescent="0.2">
      <c r="A1910" t="s">
        <v>619</v>
      </c>
      <c r="B1910" t="s">
        <v>620</v>
      </c>
      <c r="C1910" t="s">
        <v>438</v>
      </c>
      <c r="D1910" t="str">
        <f>VLOOKUP(C1910,'lookup table'!$A$2:$B$19,2,FALSE)</f>
        <v>ToM</v>
      </c>
      <c r="E1910" t="str">
        <f t="shared" si="29"/>
        <v>A336_00|ToM</v>
      </c>
    </row>
    <row r="1911" spans="1:5" x14ac:dyDescent="0.2">
      <c r="A1911" t="s">
        <v>621</v>
      </c>
      <c r="B1911" t="s">
        <v>622</v>
      </c>
      <c r="C1911" t="s">
        <v>331</v>
      </c>
      <c r="D1911" t="str">
        <f>VLOOKUP(C1911,'lookup table'!$A$2:$B$19,2,FALSE)</f>
        <v>FS Item</v>
      </c>
      <c r="E1911" t="str">
        <f t="shared" si="29"/>
        <v>A337_00|FS Item</v>
      </c>
    </row>
    <row r="1912" spans="1:5" x14ac:dyDescent="0.2">
      <c r="A1912" t="s">
        <v>621</v>
      </c>
      <c r="B1912" t="s">
        <v>622</v>
      </c>
      <c r="C1912" t="s">
        <v>423</v>
      </c>
      <c r="D1912" t="str">
        <f>VLOOKUP(C1912,'lookup table'!$A$2:$B$19,2,FALSE)</f>
        <v>ignore</v>
      </c>
      <c r="E1912" t="str">
        <f t="shared" si="29"/>
        <v>A337_00|ignore</v>
      </c>
    </row>
    <row r="1913" spans="1:5" x14ac:dyDescent="0.2">
      <c r="A1913" t="s">
        <v>621</v>
      </c>
      <c r="B1913" t="s">
        <v>622</v>
      </c>
      <c r="C1913" t="s">
        <v>438</v>
      </c>
      <c r="D1913" t="str">
        <f>VLOOKUP(C1913,'lookup table'!$A$2:$B$19,2,FALSE)</f>
        <v>ToM</v>
      </c>
      <c r="E1913" t="str">
        <f t="shared" si="29"/>
        <v>A337_00|ToM</v>
      </c>
    </row>
    <row r="1914" spans="1:5" x14ac:dyDescent="0.2">
      <c r="A1914" t="s">
        <v>623</v>
      </c>
      <c r="B1914" t="s">
        <v>624</v>
      </c>
      <c r="C1914" t="s">
        <v>438</v>
      </c>
      <c r="D1914" t="str">
        <f>VLOOKUP(C1914,'lookup table'!$A$2:$B$19,2,FALSE)</f>
        <v>ToM</v>
      </c>
      <c r="E1914" t="str">
        <f t="shared" si="29"/>
        <v>A338_00|ToM</v>
      </c>
    </row>
    <row r="1915" spans="1:5" x14ac:dyDescent="0.2">
      <c r="A1915" t="s">
        <v>625</v>
      </c>
      <c r="B1915" t="s">
        <v>626</v>
      </c>
      <c r="C1915" t="s">
        <v>331</v>
      </c>
      <c r="D1915" t="str">
        <f>VLOOKUP(C1915,'lookup table'!$A$2:$B$19,2,FALSE)</f>
        <v>FS Item</v>
      </c>
      <c r="E1915" t="str">
        <f t="shared" si="29"/>
        <v>A352_00|FS Item</v>
      </c>
    </row>
    <row r="1916" spans="1:5" x14ac:dyDescent="0.2">
      <c r="A1916" t="s">
        <v>625</v>
      </c>
      <c r="B1916" t="s">
        <v>626</v>
      </c>
      <c r="C1916" t="s">
        <v>423</v>
      </c>
      <c r="D1916" t="str">
        <f>VLOOKUP(C1916,'lookup table'!$A$2:$B$19,2,FALSE)</f>
        <v>ignore</v>
      </c>
      <c r="E1916" t="str">
        <f t="shared" si="29"/>
        <v>A352_00|ignore</v>
      </c>
    </row>
    <row r="1917" spans="1:5" x14ac:dyDescent="0.2">
      <c r="A1917" t="s">
        <v>627</v>
      </c>
      <c r="B1917" t="s">
        <v>628</v>
      </c>
      <c r="C1917" t="s">
        <v>331</v>
      </c>
      <c r="D1917" t="str">
        <f>VLOOKUP(C1917,'lookup table'!$A$2:$B$19,2,FALSE)</f>
        <v>FS Item</v>
      </c>
      <c r="E1917" t="str">
        <f t="shared" si="29"/>
        <v>A352_60|FS Item</v>
      </c>
    </row>
    <row r="1918" spans="1:5" x14ac:dyDescent="0.2">
      <c r="A1918" t="s">
        <v>627</v>
      </c>
      <c r="B1918" t="s">
        <v>628</v>
      </c>
      <c r="C1918" t="s">
        <v>423</v>
      </c>
      <c r="D1918" t="str">
        <f>VLOOKUP(C1918,'lookup table'!$A$2:$B$19,2,FALSE)</f>
        <v>ignore</v>
      </c>
      <c r="E1918" t="str">
        <f t="shared" si="29"/>
        <v>A352_60|ignore</v>
      </c>
    </row>
    <row r="1919" spans="1:5" x14ac:dyDescent="0.2">
      <c r="A1919" t="s">
        <v>629</v>
      </c>
      <c r="B1919" t="s">
        <v>630</v>
      </c>
      <c r="C1919" t="s">
        <v>331</v>
      </c>
      <c r="D1919" t="str">
        <f>VLOOKUP(C1919,'lookup table'!$A$2:$B$19,2,FALSE)</f>
        <v>FS Item</v>
      </c>
      <c r="E1919" t="str">
        <f t="shared" si="29"/>
        <v>A360_00|FS Item</v>
      </c>
    </row>
    <row r="1920" spans="1:5" x14ac:dyDescent="0.2">
      <c r="A1920" t="s">
        <v>629</v>
      </c>
      <c r="B1920" t="s">
        <v>630</v>
      </c>
      <c r="C1920" t="s">
        <v>423</v>
      </c>
      <c r="D1920" t="str">
        <f>VLOOKUP(C1920,'lookup table'!$A$2:$B$19,2,FALSE)</f>
        <v>ignore</v>
      </c>
      <c r="E1920" t="str">
        <f t="shared" si="29"/>
        <v>A360_00|ignore</v>
      </c>
    </row>
    <row r="1921" spans="1:5" x14ac:dyDescent="0.2">
      <c r="A1921" t="s">
        <v>631</v>
      </c>
      <c r="B1921" t="s">
        <v>371</v>
      </c>
      <c r="C1921" t="s">
        <v>331</v>
      </c>
      <c r="D1921" t="str">
        <f>VLOOKUP(C1921,'lookup table'!$A$2:$B$19,2,FALSE)</f>
        <v>FS Item</v>
      </c>
      <c r="E1921" t="str">
        <f t="shared" si="29"/>
        <v>A369_00|FS Item</v>
      </c>
    </row>
    <row r="1922" spans="1:5" x14ac:dyDescent="0.2">
      <c r="A1922" t="s">
        <v>631</v>
      </c>
      <c r="B1922" t="s">
        <v>371</v>
      </c>
      <c r="C1922" t="s">
        <v>438</v>
      </c>
      <c r="D1922" t="str">
        <f>VLOOKUP(C1922,'lookup table'!$A$2:$B$19,2,FALSE)</f>
        <v>ToM</v>
      </c>
      <c r="E1922" t="str">
        <f t="shared" si="29"/>
        <v>A369_00|ToM</v>
      </c>
    </row>
    <row r="1923" spans="1:5" x14ac:dyDescent="0.2">
      <c r="A1923" t="s">
        <v>632</v>
      </c>
      <c r="B1923" t="s">
        <v>372</v>
      </c>
      <c r="C1923" t="s">
        <v>331</v>
      </c>
      <c r="D1923" t="str">
        <f>VLOOKUP(C1923,'lookup table'!$A$2:$B$19,2,FALSE)</f>
        <v>FS Item</v>
      </c>
      <c r="E1923" t="str">
        <f t="shared" ref="E1923:E1986" si="30">IF(ISNA(D1923),"",IF(A1923="","",A1923) &amp; "|" &amp; D1923)</f>
        <v>A370_00|FS Item</v>
      </c>
    </row>
    <row r="1924" spans="1:5" x14ac:dyDescent="0.2">
      <c r="A1924" t="s">
        <v>632</v>
      </c>
      <c r="B1924" t="s">
        <v>372</v>
      </c>
      <c r="C1924" t="s">
        <v>438</v>
      </c>
      <c r="D1924" t="str">
        <f>VLOOKUP(C1924,'lookup table'!$A$2:$B$19,2,FALSE)</f>
        <v>ToM</v>
      </c>
      <c r="E1924" t="str">
        <f t="shared" si="30"/>
        <v>A370_00|ToM</v>
      </c>
    </row>
    <row r="1925" spans="1:5" x14ac:dyDescent="0.2">
      <c r="A1925" t="s">
        <v>633</v>
      </c>
      <c r="B1925" t="s">
        <v>373</v>
      </c>
      <c r="C1925" t="s">
        <v>331</v>
      </c>
      <c r="D1925" t="str">
        <f>VLOOKUP(C1925,'lookup table'!$A$2:$B$19,2,FALSE)</f>
        <v>FS Item</v>
      </c>
      <c r="E1925" t="str">
        <f t="shared" si="30"/>
        <v>A371_00|FS Item</v>
      </c>
    </row>
    <row r="1926" spans="1:5" x14ac:dyDescent="0.2">
      <c r="A1926" t="s">
        <v>633</v>
      </c>
      <c r="B1926" t="s">
        <v>373</v>
      </c>
      <c r="C1926" t="s">
        <v>438</v>
      </c>
      <c r="D1926" t="str">
        <f>VLOOKUP(C1926,'lookup table'!$A$2:$B$19,2,FALSE)</f>
        <v>ToM</v>
      </c>
      <c r="E1926" t="str">
        <f t="shared" si="30"/>
        <v>A371_00|ToM</v>
      </c>
    </row>
    <row r="1927" spans="1:5" x14ac:dyDescent="0.2">
      <c r="A1927" t="s">
        <v>634</v>
      </c>
      <c r="B1927" t="s">
        <v>374</v>
      </c>
      <c r="C1927" t="s">
        <v>331</v>
      </c>
      <c r="D1927" t="str">
        <f>VLOOKUP(C1927,'lookup table'!$A$2:$B$19,2,FALSE)</f>
        <v>FS Item</v>
      </c>
      <c r="E1927" t="str">
        <f t="shared" si="30"/>
        <v>A372_00|FS Item</v>
      </c>
    </row>
    <row r="1928" spans="1:5" x14ac:dyDescent="0.2">
      <c r="A1928" t="s">
        <v>634</v>
      </c>
      <c r="B1928" t="s">
        <v>374</v>
      </c>
      <c r="C1928" t="s">
        <v>438</v>
      </c>
      <c r="D1928" t="str">
        <f>VLOOKUP(C1928,'lookup table'!$A$2:$B$19,2,FALSE)</f>
        <v>ToM</v>
      </c>
      <c r="E1928" t="str">
        <f t="shared" si="30"/>
        <v>A372_00|ToM</v>
      </c>
    </row>
    <row r="1929" spans="1:5" x14ac:dyDescent="0.2">
      <c r="A1929" t="s">
        <v>635</v>
      </c>
      <c r="B1929" t="s">
        <v>375</v>
      </c>
      <c r="C1929" t="s">
        <v>331</v>
      </c>
      <c r="D1929" t="str">
        <f>VLOOKUP(C1929,'lookup table'!$A$2:$B$19,2,FALSE)</f>
        <v>FS Item</v>
      </c>
      <c r="E1929" t="str">
        <f t="shared" si="30"/>
        <v>A373_00|FS Item</v>
      </c>
    </row>
    <row r="1930" spans="1:5" x14ac:dyDescent="0.2">
      <c r="A1930" t="s">
        <v>635</v>
      </c>
      <c r="B1930" t="s">
        <v>375</v>
      </c>
      <c r="C1930" t="s">
        <v>438</v>
      </c>
      <c r="D1930" t="str">
        <f>VLOOKUP(C1930,'lookup table'!$A$2:$B$19,2,FALSE)</f>
        <v>ToM</v>
      </c>
      <c r="E1930" t="str">
        <f t="shared" si="30"/>
        <v>A373_00|ToM</v>
      </c>
    </row>
    <row r="1931" spans="1:5" x14ac:dyDescent="0.2">
      <c r="A1931" t="s">
        <v>636</v>
      </c>
      <c r="B1931" t="s">
        <v>376</v>
      </c>
      <c r="C1931" t="s">
        <v>331</v>
      </c>
      <c r="D1931" t="str">
        <f>VLOOKUP(C1931,'lookup table'!$A$2:$B$19,2,FALSE)</f>
        <v>FS Item</v>
      </c>
      <c r="E1931" t="str">
        <f t="shared" si="30"/>
        <v>A374_00|FS Item</v>
      </c>
    </row>
    <row r="1932" spans="1:5" x14ac:dyDescent="0.2">
      <c r="A1932" t="s">
        <v>636</v>
      </c>
      <c r="B1932" t="s">
        <v>376</v>
      </c>
      <c r="C1932" t="s">
        <v>438</v>
      </c>
      <c r="D1932" t="str">
        <f>VLOOKUP(C1932,'lookup table'!$A$2:$B$19,2,FALSE)</f>
        <v>ToM</v>
      </c>
      <c r="E1932" t="str">
        <f t="shared" si="30"/>
        <v>A374_00|ToM</v>
      </c>
    </row>
    <row r="1933" spans="1:5" x14ac:dyDescent="0.2">
      <c r="A1933" t="s">
        <v>637</v>
      </c>
      <c r="B1933" t="s">
        <v>413</v>
      </c>
      <c r="C1933" t="s">
        <v>331</v>
      </c>
      <c r="D1933" t="str">
        <f>VLOOKUP(C1933,'lookup table'!$A$2:$B$19,2,FALSE)</f>
        <v>FS Item</v>
      </c>
      <c r="E1933" t="str">
        <f t="shared" si="30"/>
        <v>A390_17|FS Item</v>
      </c>
    </row>
    <row r="1934" spans="1:5" x14ac:dyDescent="0.2">
      <c r="A1934" t="s">
        <v>637</v>
      </c>
      <c r="B1934" t="s">
        <v>413</v>
      </c>
      <c r="C1934" t="s">
        <v>423</v>
      </c>
      <c r="D1934" t="str">
        <f>VLOOKUP(C1934,'lookup table'!$A$2:$B$19,2,FALSE)</f>
        <v>ignore</v>
      </c>
      <c r="E1934" t="str">
        <f t="shared" si="30"/>
        <v>A390_17|ignore</v>
      </c>
    </row>
    <row r="1935" spans="1:5" x14ac:dyDescent="0.2">
      <c r="A1935" t="s">
        <v>638</v>
      </c>
      <c r="B1935" t="s">
        <v>639</v>
      </c>
      <c r="C1935" t="s">
        <v>331</v>
      </c>
      <c r="D1935" t="str">
        <f>VLOOKUP(C1935,'lookup table'!$A$2:$B$19,2,FALSE)</f>
        <v>FS Item</v>
      </c>
      <c r="E1935" t="str">
        <f t="shared" si="30"/>
        <v>A400_09|FS Item</v>
      </c>
    </row>
    <row r="1936" spans="1:5" x14ac:dyDescent="0.2">
      <c r="A1936" t="s">
        <v>638</v>
      </c>
      <c r="B1936" t="s">
        <v>639</v>
      </c>
      <c r="C1936" t="s">
        <v>423</v>
      </c>
      <c r="D1936" t="str">
        <f>VLOOKUP(C1936,'lookup table'!$A$2:$B$19,2,FALSE)</f>
        <v>ignore</v>
      </c>
      <c r="E1936" t="str">
        <f t="shared" si="30"/>
        <v>A400_09|ignore</v>
      </c>
    </row>
    <row r="1937" spans="1:5" x14ac:dyDescent="0.2">
      <c r="A1937" t="s">
        <v>638</v>
      </c>
      <c r="B1937" t="s">
        <v>639</v>
      </c>
      <c r="C1937" t="s">
        <v>438</v>
      </c>
      <c r="D1937" t="str">
        <f>VLOOKUP(C1937,'lookup table'!$A$2:$B$19,2,FALSE)</f>
        <v>ToM</v>
      </c>
      <c r="E1937" t="str">
        <f t="shared" si="30"/>
        <v>A400_09|ToM</v>
      </c>
    </row>
    <row r="1938" spans="1:5" x14ac:dyDescent="0.2">
      <c r="A1938" t="s">
        <v>640</v>
      </c>
      <c r="B1938" t="s">
        <v>641</v>
      </c>
      <c r="C1938" t="s">
        <v>136</v>
      </c>
      <c r="D1938" t="str">
        <f>VLOOKUP(C1938,'lookup table'!$A$2:$B$19,2,FALSE)</f>
        <v>BBA Set</v>
      </c>
      <c r="E1938" t="str">
        <f t="shared" si="30"/>
        <v>A400_17|BBA Set</v>
      </c>
    </row>
    <row r="1939" spans="1:5" x14ac:dyDescent="0.2">
      <c r="A1939" t="s">
        <v>640</v>
      </c>
      <c r="B1939" t="s">
        <v>641</v>
      </c>
      <c r="C1939" t="s">
        <v>331</v>
      </c>
      <c r="D1939" t="str">
        <f>VLOOKUP(C1939,'lookup table'!$A$2:$B$19,2,FALSE)</f>
        <v>FS Item</v>
      </c>
      <c r="E1939" t="str">
        <f t="shared" si="30"/>
        <v>A400_17|FS Item</v>
      </c>
    </row>
    <row r="1940" spans="1:5" x14ac:dyDescent="0.2">
      <c r="A1940" t="s">
        <v>640</v>
      </c>
      <c r="B1940" t="s">
        <v>641</v>
      </c>
      <c r="C1940" t="s">
        <v>423</v>
      </c>
      <c r="D1940" t="str">
        <f>VLOOKUP(C1940,'lookup table'!$A$2:$B$19,2,FALSE)</f>
        <v>ignore</v>
      </c>
      <c r="E1940" t="str">
        <f t="shared" si="30"/>
        <v>A400_17|ignore</v>
      </c>
    </row>
    <row r="1941" spans="1:5" x14ac:dyDescent="0.2">
      <c r="A1941" t="s">
        <v>640</v>
      </c>
      <c r="B1941" t="s">
        <v>641</v>
      </c>
      <c r="C1941" t="s">
        <v>438</v>
      </c>
      <c r="D1941" t="str">
        <f>VLOOKUP(C1941,'lookup table'!$A$2:$B$19,2,FALSE)</f>
        <v>ToM</v>
      </c>
      <c r="E1941" t="str">
        <f t="shared" si="30"/>
        <v>A400_17|ToM</v>
      </c>
    </row>
    <row r="1942" spans="1:5" x14ac:dyDescent="0.2">
      <c r="A1942" t="s">
        <v>642</v>
      </c>
      <c r="B1942" t="s">
        <v>643</v>
      </c>
      <c r="C1942" t="s">
        <v>331</v>
      </c>
      <c r="D1942" t="str">
        <f>VLOOKUP(C1942,'lookup table'!$A$2:$B$19,2,FALSE)</f>
        <v>FS Item</v>
      </c>
      <c r="E1942" t="str">
        <f t="shared" si="30"/>
        <v>A401_09|FS Item</v>
      </c>
    </row>
    <row r="1943" spans="1:5" x14ac:dyDescent="0.2">
      <c r="A1943" t="s">
        <v>642</v>
      </c>
      <c r="B1943" t="s">
        <v>643</v>
      </c>
      <c r="C1943" t="s">
        <v>423</v>
      </c>
      <c r="D1943" t="str">
        <f>VLOOKUP(C1943,'lookup table'!$A$2:$B$19,2,FALSE)</f>
        <v>ignore</v>
      </c>
      <c r="E1943" t="str">
        <f t="shared" si="30"/>
        <v>A401_09|ignore</v>
      </c>
    </row>
    <row r="1944" spans="1:5" x14ac:dyDescent="0.2">
      <c r="A1944" t="s">
        <v>642</v>
      </c>
      <c r="B1944" t="s">
        <v>643</v>
      </c>
      <c r="C1944" t="s">
        <v>438</v>
      </c>
      <c r="D1944" t="str">
        <f>VLOOKUP(C1944,'lookup table'!$A$2:$B$19,2,FALSE)</f>
        <v>ToM</v>
      </c>
      <c r="E1944" t="str">
        <f t="shared" si="30"/>
        <v>A401_09|ToM</v>
      </c>
    </row>
    <row r="1945" spans="1:5" x14ac:dyDescent="0.2">
      <c r="A1945" t="s">
        <v>644</v>
      </c>
      <c r="B1945" t="s">
        <v>645</v>
      </c>
      <c r="C1945" t="s">
        <v>331</v>
      </c>
      <c r="D1945" t="str">
        <f>VLOOKUP(C1945,'lookup table'!$A$2:$B$19,2,FALSE)</f>
        <v>FS Item</v>
      </c>
      <c r="E1945" t="str">
        <f t="shared" si="30"/>
        <v>A415_00|FS Item</v>
      </c>
    </row>
    <row r="1946" spans="1:5" x14ac:dyDescent="0.2">
      <c r="A1946" t="s">
        <v>644</v>
      </c>
      <c r="B1946" t="s">
        <v>645</v>
      </c>
      <c r="C1946" t="s">
        <v>423</v>
      </c>
      <c r="D1946" t="str">
        <f>VLOOKUP(C1946,'lookup table'!$A$2:$B$19,2,FALSE)</f>
        <v>ignore</v>
      </c>
      <c r="E1946" t="str">
        <f t="shared" si="30"/>
        <v>A415_00|ignore</v>
      </c>
    </row>
    <row r="1947" spans="1:5" x14ac:dyDescent="0.2">
      <c r="A1947" t="s">
        <v>646</v>
      </c>
      <c r="B1947" t="s">
        <v>647</v>
      </c>
      <c r="C1947" t="s">
        <v>331</v>
      </c>
      <c r="D1947" t="str">
        <f>VLOOKUP(C1947,'lookup table'!$A$2:$B$19,2,FALSE)</f>
        <v>FS Item</v>
      </c>
      <c r="E1947" t="str">
        <f t="shared" si="30"/>
        <v>A416_00|FS Item</v>
      </c>
    </row>
    <row r="1948" spans="1:5" x14ac:dyDescent="0.2">
      <c r="A1948" t="s">
        <v>646</v>
      </c>
      <c r="B1948" t="s">
        <v>647</v>
      </c>
      <c r="C1948" t="s">
        <v>423</v>
      </c>
      <c r="D1948" t="str">
        <f>VLOOKUP(C1948,'lookup table'!$A$2:$B$19,2,FALSE)</f>
        <v>ignore</v>
      </c>
      <c r="E1948" t="str">
        <f t="shared" si="30"/>
        <v>A416_00|ignore</v>
      </c>
    </row>
    <row r="1949" spans="1:5" x14ac:dyDescent="0.2">
      <c r="A1949" t="s">
        <v>648</v>
      </c>
      <c r="B1949" t="s">
        <v>649</v>
      </c>
      <c r="C1949" t="s">
        <v>331</v>
      </c>
      <c r="D1949" t="str">
        <f>VLOOKUP(C1949,'lookup table'!$A$2:$B$19,2,FALSE)</f>
        <v>FS Item</v>
      </c>
      <c r="E1949" t="str">
        <f t="shared" si="30"/>
        <v>A416_09|FS Item</v>
      </c>
    </row>
    <row r="1950" spans="1:5" x14ac:dyDescent="0.2">
      <c r="A1950" t="s">
        <v>648</v>
      </c>
      <c r="B1950" t="s">
        <v>649</v>
      </c>
      <c r="C1950" t="s">
        <v>423</v>
      </c>
      <c r="D1950" t="str">
        <f>VLOOKUP(C1950,'lookup table'!$A$2:$B$19,2,FALSE)</f>
        <v>ignore</v>
      </c>
      <c r="E1950" t="str">
        <f t="shared" si="30"/>
        <v>A416_09|ignore</v>
      </c>
    </row>
    <row r="1951" spans="1:5" x14ac:dyDescent="0.2">
      <c r="A1951" t="s">
        <v>648</v>
      </c>
      <c r="B1951" t="s">
        <v>649</v>
      </c>
      <c r="C1951" t="s">
        <v>438</v>
      </c>
      <c r="D1951" t="str">
        <f>VLOOKUP(C1951,'lookup table'!$A$2:$B$19,2,FALSE)</f>
        <v>ToM</v>
      </c>
      <c r="E1951" t="str">
        <f t="shared" si="30"/>
        <v>A416_09|ToM</v>
      </c>
    </row>
    <row r="1952" spans="1:5" x14ac:dyDescent="0.2">
      <c r="A1952" t="s">
        <v>650</v>
      </c>
      <c r="B1952" t="s">
        <v>651</v>
      </c>
      <c r="C1952" t="s">
        <v>331</v>
      </c>
      <c r="D1952" t="str">
        <f>VLOOKUP(C1952,'lookup table'!$A$2:$B$19,2,FALSE)</f>
        <v>FS Item</v>
      </c>
      <c r="E1952" t="str">
        <f t="shared" si="30"/>
        <v>A436_00|FS Item</v>
      </c>
    </row>
    <row r="1953" spans="1:5" x14ac:dyDescent="0.2">
      <c r="A1953" t="s">
        <v>650</v>
      </c>
      <c r="B1953" t="s">
        <v>651</v>
      </c>
      <c r="C1953" t="s">
        <v>423</v>
      </c>
      <c r="D1953" t="str">
        <f>VLOOKUP(C1953,'lookup table'!$A$2:$B$19,2,FALSE)</f>
        <v>ignore</v>
      </c>
      <c r="E1953" t="str">
        <f t="shared" si="30"/>
        <v>A436_00|ignore</v>
      </c>
    </row>
    <row r="1954" spans="1:5" x14ac:dyDescent="0.2">
      <c r="A1954" t="s">
        <v>650</v>
      </c>
      <c r="B1954" t="s">
        <v>651</v>
      </c>
      <c r="C1954" t="s">
        <v>438</v>
      </c>
      <c r="D1954" t="str">
        <f>VLOOKUP(C1954,'lookup table'!$A$2:$B$19,2,FALSE)</f>
        <v>ToM</v>
      </c>
      <c r="E1954" t="str">
        <f t="shared" si="30"/>
        <v>A436_00|ToM</v>
      </c>
    </row>
    <row r="1955" spans="1:5" x14ac:dyDescent="0.2">
      <c r="A1955" t="s">
        <v>652</v>
      </c>
      <c r="B1955" t="s">
        <v>653</v>
      </c>
      <c r="C1955" t="s">
        <v>331</v>
      </c>
      <c r="D1955" t="str">
        <f>VLOOKUP(C1955,'lookup table'!$A$2:$B$19,2,FALSE)</f>
        <v>FS Item</v>
      </c>
      <c r="E1955" t="str">
        <f t="shared" si="30"/>
        <v>A437_00|FS Item</v>
      </c>
    </row>
    <row r="1956" spans="1:5" x14ac:dyDescent="0.2">
      <c r="A1956" t="s">
        <v>652</v>
      </c>
      <c r="B1956" t="s">
        <v>653</v>
      </c>
      <c r="C1956" t="s">
        <v>423</v>
      </c>
      <c r="D1956" t="str">
        <f>VLOOKUP(C1956,'lookup table'!$A$2:$B$19,2,FALSE)</f>
        <v>ignore</v>
      </c>
      <c r="E1956" t="str">
        <f t="shared" si="30"/>
        <v>A437_00|ignore</v>
      </c>
    </row>
    <row r="1957" spans="1:5" x14ac:dyDescent="0.2">
      <c r="A1957" t="s">
        <v>652</v>
      </c>
      <c r="B1957" t="s">
        <v>653</v>
      </c>
      <c r="C1957" t="s">
        <v>438</v>
      </c>
      <c r="D1957" t="str">
        <f>VLOOKUP(C1957,'lookup table'!$A$2:$B$19,2,FALSE)</f>
        <v>ToM</v>
      </c>
      <c r="E1957" t="str">
        <f t="shared" si="30"/>
        <v>A437_00|ToM</v>
      </c>
    </row>
    <row r="1958" spans="1:5" x14ac:dyDescent="0.2">
      <c r="A1958" t="s">
        <v>654</v>
      </c>
      <c r="B1958" t="s">
        <v>655</v>
      </c>
      <c r="C1958" t="s">
        <v>331</v>
      </c>
      <c r="D1958" t="str">
        <f>VLOOKUP(C1958,'lookup table'!$A$2:$B$19,2,FALSE)</f>
        <v>FS Item</v>
      </c>
      <c r="E1958" t="str">
        <f t="shared" si="30"/>
        <v>A438_00|FS Item</v>
      </c>
    </row>
    <row r="1959" spans="1:5" x14ac:dyDescent="0.2">
      <c r="A1959" t="s">
        <v>654</v>
      </c>
      <c r="B1959" t="s">
        <v>655</v>
      </c>
      <c r="C1959" t="s">
        <v>423</v>
      </c>
      <c r="D1959" t="str">
        <f>VLOOKUP(C1959,'lookup table'!$A$2:$B$19,2,FALSE)</f>
        <v>ignore</v>
      </c>
      <c r="E1959" t="str">
        <f t="shared" si="30"/>
        <v>A438_00|ignore</v>
      </c>
    </row>
    <row r="1960" spans="1:5" x14ac:dyDescent="0.2">
      <c r="A1960" t="s">
        <v>656</v>
      </c>
      <c r="B1960" t="s">
        <v>657</v>
      </c>
      <c r="C1960" t="s">
        <v>331</v>
      </c>
      <c r="D1960" t="str">
        <f>VLOOKUP(C1960,'lookup table'!$A$2:$B$19,2,FALSE)</f>
        <v>FS Item</v>
      </c>
      <c r="E1960" t="str">
        <f t="shared" si="30"/>
        <v>A439_00|FS Item</v>
      </c>
    </row>
    <row r="1961" spans="1:5" x14ac:dyDescent="0.2">
      <c r="A1961" t="s">
        <v>656</v>
      </c>
      <c r="B1961" t="s">
        <v>657</v>
      </c>
      <c r="C1961" t="s">
        <v>423</v>
      </c>
      <c r="D1961" t="str">
        <f>VLOOKUP(C1961,'lookup table'!$A$2:$B$19,2,FALSE)</f>
        <v>ignore</v>
      </c>
      <c r="E1961" t="str">
        <f t="shared" si="30"/>
        <v>A439_00|ignore</v>
      </c>
    </row>
    <row r="1962" spans="1:5" x14ac:dyDescent="0.2">
      <c r="A1962" t="s">
        <v>658</v>
      </c>
      <c r="B1962" t="s">
        <v>659</v>
      </c>
      <c r="C1962" t="s">
        <v>331</v>
      </c>
      <c r="D1962" t="str">
        <f>VLOOKUP(C1962,'lookup table'!$A$2:$B$19,2,FALSE)</f>
        <v>FS Item</v>
      </c>
      <c r="E1962" t="str">
        <f t="shared" si="30"/>
        <v>A440_00|FS Item</v>
      </c>
    </row>
    <row r="1963" spans="1:5" x14ac:dyDescent="0.2">
      <c r="A1963" t="s">
        <v>658</v>
      </c>
      <c r="B1963" t="s">
        <v>659</v>
      </c>
      <c r="C1963" t="s">
        <v>423</v>
      </c>
      <c r="D1963" t="str">
        <f>VLOOKUP(C1963,'lookup table'!$A$2:$B$19,2,FALSE)</f>
        <v>ignore</v>
      </c>
      <c r="E1963" t="str">
        <f t="shared" si="30"/>
        <v>A440_00|ignore</v>
      </c>
    </row>
    <row r="1964" spans="1:5" x14ac:dyDescent="0.2">
      <c r="A1964" t="s">
        <v>660</v>
      </c>
      <c r="B1964" t="s">
        <v>661</v>
      </c>
      <c r="C1964" t="s">
        <v>331</v>
      </c>
      <c r="D1964" t="str">
        <f>VLOOKUP(C1964,'lookup table'!$A$2:$B$19,2,FALSE)</f>
        <v>FS Item</v>
      </c>
      <c r="E1964" t="str">
        <f t="shared" si="30"/>
        <v>A441_00|FS Item</v>
      </c>
    </row>
    <row r="1965" spans="1:5" x14ac:dyDescent="0.2">
      <c r="A1965" t="s">
        <v>660</v>
      </c>
      <c r="B1965" t="s">
        <v>661</v>
      </c>
      <c r="C1965" t="s">
        <v>423</v>
      </c>
      <c r="D1965" t="str">
        <f>VLOOKUP(C1965,'lookup table'!$A$2:$B$19,2,FALSE)</f>
        <v>ignore</v>
      </c>
      <c r="E1965" t="str">
        <f t="shared" si="30"/>
        <v>A441_00|ignore</v>
      </c>
    </row>
    <row r="1966" spans="1:5" x14ac:dyDescent="0.2">
      <c r="A1966" t="s">
        <v>662</v>
      </c>
      <c r="B1966" t="s">
        <v>663</v>
      </c>
      <c r="C1966" t="s">
        <v>331</v>
      </c>
      <c r="D1966" t="str">
        <f>VLOOKUP(C1966,'lookup table'!$A$2:$B$19,2,FALSE)</f>
        <v>FS Item</v>
      </c>
      <c r="E1966" t="str">
        <f t="shared" si="30"/>
        <v>A442_00|FS Item</v>
      </c>
    </row>
    <row r="1967" spans="1:5" x14ac:dyDescent="0.2">
      <c r="A1967" t="s">
        <v>662</v>
      </c>
      <c r="B1967" t="s">
        <v>663</v>
      </c>
      <c r="C1967" t="s">
        <v>423</v>
      </c>
      <c r="D1967" t="str">
        <f>VLOOKUP(C1967,'lookup table'!$A$2:$B$19,2,FALSE)</f>
        <v>ignore</v>
      </c>
      <c r="E1967" t="str">
        <f t="shared" si="30"/>
        <v>A442_00|ignore</v>
      </c>
    </row>
    <row r="1968" spans="1:5" x14ac:dyDescent="0.2">
      <c r="A1968" t="s">
        <v>664</v>
      </c>
      <c r="B1968" t="s">
        <v>665</v>
      </c>
      <c r="C1968" t="s">
        <v>331</v>
      </c>
      <c r="D1968" t="str">
        <f>VLOOKUP(C1968,'lookup table'!$A$2:$B$19,2,FALSE)</f>
        <v>FS Item</v>
      </c>
      <c r="E1968" t="str">
        <f t="shared" si="30"/>
        <v>A443_00|FS Item</v>
      </c>
    </row>
    <row r="1969" spans="1:5" x14ac:dyDescent="0.2">
      <c r="A1969" t="s">
        <v>664</v>
      </c>
      <c r="B1969" t="s">
        <v>665</v>
      </c>
      <c r="C1969" t="s">
        <v>423</v>
      </c>
      <c r="D1969" t="str">
        <f>VLOOKUP(C1969,'lookup table'!$A$2:$B$19,2,FALSE)</f>
        <v>ignore</v>
      </c>
      <c r="E1969" t="str">
        <f t="shared" si="30"/>
        <v>A443_00|ignore</v>
      </c>
    </row>
    <row r="1970" spans="1:5" x14ac:dyDescent="0.2">
      <c r="A1970" t="s">
        <v>666</v>
      </c>
      <c r="B1970" t="s">
        <v>667</v>
      </c>
      <c r="C1970" t="s">
        <v>331</v>
      </c>
      <c r="D1970" t="str">
        <f>VLOOKUP(C1970,'lookup table'!$A$2:$B$19,2,FALSE)</f>
        <v>FS Item</v>
      </c>
      <c r="E1970" t="str">
        <f t="shared" si="30"/>
        <v>A444_00|FS Item</v>
      </c>
    </row>
    <row r="1971" spans="1:5" x14ac:dyDescent="0.2">
      <c r="A1971" t="s">
        <v>666</v>
      </c>
      <c r="B1971" t="s">
        <v>667</v>
      </c>
      <c r="C1971" t="s">
        <v>423</v>
      </c>
      <c r="D1971" t="str">
        <f>VLOOKUP(C1971,'lookup table'!$A$2:$B$19,2,FALSE)</f>
        <v>ignore</v>
      </c>
      <c r="E1971" t="str">
        <f t="shared" si="30"/>
        <v>A444_00|ignore</v>
      </c>
    </row>
    <row r="1972" spans="1:5" x14ac:dyDescent="0.2">
      <c r="A1972" t="s">
        <v>668</v>
      </c>
      <c r="B1972" t="s">
        <v>669</v>
      </c>
      <c r="C1972" t="s">
        <v>331</v>
      </c>
      <c r="D1972" t="str">
        <f>VLOOKUP(C1972,'lookup table'!$A$2:$B$19,2,FALSE)</f>
        <v>FS Item</v>
      </c>
      <c r="E1972" t="str">
        <f t="shared" si="30"/>
        <v>A445_00|FS Item</v>
      </c>
    </row>
    <row r="1973" spans="1:5" x14ac:dyDescent="0.2">
      <c r="A1973" t="s">
        <v>668</v>
      </c>
      <c r="B1973" t="s">
        <v>669</v>
      </c>
      <c r="C1973" t="s">
        <v>423</v>
      </c>
      <c r="D1973" t="str">
        <f>VLOOKUP(C1973,'lookup table'!$A$2:$B$19,2,FALSE)</f>
        <v>ignore</v>
      </c>
      <c r="E1973" t="str">
        <f t="shared" si="30"/>
        <v>A445_00|ignore</v>
      </c>
    </row>
    <row r="1974" spans="1:5" x14ac:dyDescent="0.2">
      <c r="A1974" t="s">
        <v>670</v>
      </c>
      <c r="B1974" t="s">
        <v>671</v>
      </c>
      <c r="C1974" t="s">
        <v>331</v>
      </c>
      <c r="D1974" t="str">
        <f>VLOOKUP(C1974,'lookup table'!$A$2:$B$19,2,FALSE)</f>
        <v>FS Item</v>
      </c>
      <c r="E1974" t="str">
        <f t="shared" si="30"/>
        <v>A446_00|FS Item</v>
      </c>
    </row>
    <row r="1975" spans="1:5" x14ac:dyDescent="0.2">
      <c r="A1975" t="s">
        <v>670</v>
      </c>
      <c r="B1975" t="s">
        <v>671</v>
      </c>
      <c r="C1975" t="s">
        <v>423</v>
      </c>
      <c r="D1975" t="str">
        <f>VLOOKUP(C1975,'lookup table'!$A$2:$B$19,2,FALSE)</f>
        <v>ignore</v>
      </c>
      <c r="E1975" t="str">
        <f t="shared" si="30"/>
        <v>A446_00|ignore</v>
      </c>
    </row>
    <row r="1976" spans="1:5" x14ac:dyDescent="0.2">
      <c r="A1976" t="s">
        <v>672</v>
      </c>
      <c r="B1976" t="s">
        <v>673</v>
      </c>
      <c r="C1976" t="s">
        <v>331</v>
      </c>
      <c r="D1976" t="str">
        <f>VLOOKUP(C1976,'lookup table'!$A$2:$B$19,2,FALSE)</f>
        <v>FS Item</v>
      </c>
      <c r="E1976" t="str">
        <f t="shared" si="30"/>
        <v>A447_00|FS Item</v>
      </c>
    </row>
    <row r="1977" spans="1:5" x14ac:dyDescent="0.2">
      <c r="A1977" t="s">
        <v>672</v>
      </c>
      <c r="B1977" t="s">
        <v>673</v>
      </c>
      <c r="C1977" t="s">
        <v>423</v>
      </c>
      <c r="D1977" t="str">
        <f>VLOOKUP(C1977,'lookup table'!$A$2:$B$19,2,FALSE)</f>
        <v>ignore</v>
      </c>
      <c r="E1977" t="str">
        <f t="shared" si="30"/>
        <v>A447_00|ignore</v>
      </c>
    </row>
    <row r="1978" spans="1:5" x14ac:dyDescent="0.2">
      <c r="A1978" t="s">
        <v>674</v>
      </c>
      <c r="B1978" t="s">
        <v>675</v>
      </c>
      <c r="C1978" t="s">
        <v>331</v>
      </c>
      <c r="D1978" t="str">
        <f>VLOOKUP(C1978,'lookup table'!$A$2:$B$19,2,FALSE)</f>
        <v>FS Item</v>
      </c>
      <c r="E1978" t="str">
        <f t="shared" si="30"/>
        <v>A448_00|FS Item</v>
      </c>
    </row>
    <row r="1979" spans="1:5" x14ac:dyDescent="0.2">
      <c r="A1979" t="s">
        <v>674</v>
      </c>
      <c r="B1979" t="s">
        <v>675</v>
      </c>
      <c r="C1979" t="s">
        <v>423</v>
      </c>
      <c r="D1979" t="str">
        <f>VLOOKUP(C1979,'lookup table'!$A$2:$B$19,2,FALSE)</f>
        <v>ignore</v>
      </c>
      <c r="E1979" t="str">
        <f t="shared" si="30"/>
        <v>A448_00|ignore</v>
      </c>
    </row>
    <row r="1980" spans="1:5" x14ac:dyDescent="0.2">
      <c r="A1980" t="s">
        <v>676</v>
      </c>
      <c r="B1980" t="s">
        <v>677</v>
      </c>
      <c r="C1980" t="s">
        <v>331</v>
      </c>
      <c r="D1980" t="str">
        <f>VLOOKUP(C1980,'lookup table'!$A$2:$B$19,2,FALSE)</f>
        <v>FS Item</v>
      </c>
      <c r="E1980" t="str">
        <f t="shared" si="30"/>
        <v>A449_00|FS Item</v>
      </c>
    </row>
    <row r="1981" spans="1:5" x14ac:dyDescent="0.2">
      <c r="A1981" t="s">
        <v>676</v>
      </c>
      <c r="B1981" t="s">
        <v>677</v>
      </c>
      <c r="C1981" t="s">
        <v>423</v>
      </c>
      <c r="D1981" t="str">
        <f>VLOOKUP(C1981,'lookup table'!$A$2:$B$19,2,FALSE)</f>
        <v>ignore</v>
      </c>
      <c r="E1981" t="str">
        <f t="shared" si="30"/>
        <v>A449_00|ignore</v>
      </c>
    </row>
    <row r="1982" spans="1:5" x14ac:dyDescent="0.2">
      <c r="A1982" t="s">
        <v>678</v>
      </c>
      <c r="B1982" t="s">
        <v>679</v>
      </c>
      <c r="C1982" t="s">
        <v>331</v>
      </c>
      <c r="D1982" t="str">
        <f>VLOOKUP(C1982,'lookup table'!$A$2:$B$19,2,FALSE)</f>
        <v>FS Item</v>
      </c>
      <c r="E1982" t="str">
        <f t="shared" si="30"/>
        <v>A450_00|FS Item</v>
      </c>
    </row>
    <row r="1983" spans="1:5" x14ac:dyDescent="0.2">
      <c r="A1983" t="s">
        <v>678</v>
      </c>
      <c r="B1983" t="s">
        <v>679</v>
      </c>
      <c r="C1983" t="s">
        <v>423</v>
      </c>
      <c r="D1983" t="str">
        <f>VLOOKUP(C1983,'lookup table'!$A$2:$B$19,2,FALSE)</f>
        <v>ignore</v>
      </c>
      <c r="E1983" t="str">
        <f t="shared" si="30"/>
        <v>A450_00|ignore</v>
      </c>
    </row>
    <row r="1984" spans="1:5" x14ac:dyDescent="0.2">
      <c r="A1984" t="s">
        <v>678</v>
      </c>
      <c r="B1984" t="s">
        <v>679</v>
      </c>
      <c r="C1984" t="s">
        <v>438</v>
      </c>
      <c r="D1984" t="str">
        <f>VLOOKUP(C1984,'lookup table'!$A$2:$B$19,2,FALSE)</f>
        <v>ToM</v>
      </c>
      <c r="E1984" t="str">
        <f t="shared" si="30"/>
        <v>A450_00|ToM</v>
      </c>
    </row>
    <row r="1985" spans="1:5" x14ac:dyDescent="0.2">
      <c r="A1985" t="s">
        <v>680</v>
      </c>
      <c r="B1985" t="s">
        <v>681</v>
      </c>
      <c r="C1985" t="s">
        <v>331</v>
      </c>
      <c r="D1985" t="str">
        <f>VLOOKUP(C1985,'lookup table'!$A$2:$B$19,2,FALSE)</f>
        <v>FS Item</v>
      </c>
      <c r="E1985" t="str">
        <f t="shared" si="30"/>
        <v>A451_00|FS Item</v>
      </c>
    </row>
    <row r="1986" spans="1:5" x14ac:dyDescent="0.2">
      <c r="A1986" t="s">
        <v>680</v>
      </c>
      <c r="B1986" t="s">
        <v>681</v>
      </c>
      <c r="C1986" t="s">
        <v>423</v>
      </c>
      <c r="D1986" t="str">
        <f>VLOOKUP(C1986,'lookup table'!$A$2:$B$19,2,FALSE)</f>
        <v>ignore</v>
      </c>
      <c r="E1986" t="str">
        <f t="shared" si="30"/>
        <v>A451_00|ignore</v>
      </c>
    </row>
    <row r="1987" spans="1:5" x14ac:dyDescent="0.2">
      <c r="A1987" t="s">
        <v>682</v>
      </c>
      <c r="B1987" t="s">
        <v>683</v>
      </c>
      <c r="C1987" t="s">
        <v>331</v>
      </c>
      <c r="D1987" t="str">
        <f>VLOOKUP(C1987,'lookup table'!$A$2:$B$19,2,FALSE)</f>
        <v>FS Item</v>
      </c>
      <c r="E1987" t="str">
        <f t="shared" ref="E1987:E2050" si="31">IF(ISNA(D1987),"",IF(A1987="","",A1987) &amp; "|" &amp; D1987)</f>
        <v>A452_00|FS Item</v>
      </c>
    </row>
    <row r="1988" spans="1:5" x14ac:dyDescent="0.2">
      <c r="A1988" t="s">
        <v>682</v>
      </c>
      <c r="B1988" t="s">
        <v>683</v>
      </c>
      <c r="C1988" t="s">
        <v>423</v>
      </c>
      <c r="D1988" t="str">
        <f>VLOOKUP(C1988,'lookup table'!$A$2:$B$19,2,FALSE)</f>
        <v>ignore</v>
      </c>
      <c r="E1988" t="str">
        <f t="shared" si="31"/>
        <v>A452_00|ignore</v>
      </c>
    </row>
    <row r="1989" spans="1:5" x14ac:dyDescent="0.2">
      <c r="A1989" t="s">
        <v>682</v>
      </c>
      <c r="B1989" t="s">
        <v>683</v>
      </c>
      <c r="C1989" t="s">
        <v>438</v>
      </c>
      <c r="D1989" t="str">
        <f>VLOOKUP(C1989,'lookup table'!$A$2:$B$19,2,FALSE)</f>
        <v>ToM</v>
      </c>
      <c r="E1989" t="str">
        <f t="shared" si="31"/>
        <v>A452_00|ToM</v>
      </c>
    </row>
    <row r="1990" spans="1:5" x14ac:dyDescent="0.2">
      <c r="A1990" t="s">
        <v>684</v>
      </c>
      <c r="B1990" t="s">
        <v>685</v>
      </c>
      <c r="C1990" t="s">
        <v>331</v>
      </c>
      <c r="D1990" t="str">
        <f>VLOOKUP(C1990,'lookup table'!$A$2:$B$19,2,FALSE)</f>
        <v>FS Item</v>
      </c>
      <c r="E1990" t="str">
        <f t="shared" si="31"/>
        <v>A453_00|FS Item</v>
      </c>
    </row>
    <row r="1991" spans="1:5" x14ac:dyDescent="0.2">
      <c r="A1991" t="s">
        <v>684</v>
      </c>
      <c r="B1991" t="s">
        <v>685</v>
      </c>
      <c r="C1991" t="s">
        <v>423</v>
      </c>
      <c r="D1991" t="str">
        <f>VLOOKUP(C1991,'lookup table'!$A$2:$B$19,2,FALSE)</f>
        <v>ignore</v>
      </c>
      <c r="E1991" t="str">
        <f t="shared" si="31"/>
        <v>A453_00|ignore</v>
      </c>
    </row>
    <row r="1992" spans="1:5" x14ac:dyDescent="0.2">
      <c r="A1992" t="s">
        <v>684</v>
      </c>
      <c r="B1992" t="s">
        <v>685</v>
      </c>
      <c r="C1992" t="s">
        <v>438</v>
      </c>
      <c r="D1992" t="str">
        <f>VLOOKUP(C1992,'lookup table'!$A$2:$B$19,2,FALSE)</f>
        <v>ToM</v>
      </c>
      <c r="E1992" t="str">
        <f t="shared" si="31"/>
        <v>A453_00|ToM</v>
      </c>
    </row>
    <row r="1993" spans="1:5" x14ac:dyDescent="0.2">
      <c r="A1993" t="s">
        <v>686</v>
      </c>
      <c r="B1993" t="s">
        <v>687</v>
      </c>
      <c r="C1993" t="s">
        <v>331</v>
      </c>
      <c r="D1993" t="str">
        <f>VLOOKUP(C1993,'lookup table'!$A$2:$B$19,2,FALSE)</f>
        <v>FS Item</v>
      </c>
      <c r="E1993" t="str">
        <f t="shared" si="31"/>
        <v>A600_00|FS Item</v>
      </c>
    </row>
    <row r="1994" spans="1:5" x14ac:dyDescent="0.2">
      <c r="A1994" t="s">
        <v>686</v>
      </c>
      <c r="B1994" t="s">
        <v>687</v>
      </c>
      <c r="C1994" t="s">
        <v>423</v>
      </c>
      <c r="D1994" t="str">
        <f>VLOOKUP(C1994,'lookup table'!$A$2:$B$19,2,FALSE)</f>
        <v>ignore</v>
      </c>
      <c r="E1994" t="str">
        <f t="shared" si="31"/>
        <v>A600_00|ignore</v>
      </c>
    </row>
    <row r="1995" spans="1:5" x14ac:dyDescent="0.2">
      <c r="A1995" t="s">
        <v>686</v>
      </c>
      <c r="B1995" t="s">
        <v>687</v>
      </c>
      <c r="C1995" t="s">
        <v>438</v>
      </c>
      <c r="D1995" t="str">
        <f>VLOOKUP(C1995,'lookup table'!$A$2:$B$19,2,FALSE)</f>
        <v>ToM</v>
      </c>
      <c r="E1995" t="str">
        <f t="shared" si="31"/>
        <v>A600_00|ToM</v>
      </c>
    </row>
    <row r="1996" spans="1:5" x14ac:dyDescent="0.2">
      <c r="A1996" t="s">
        <v>688</v>
      </c>
      <c r="B1996" t="s">
        <v>689</v>
      </c>
      <c r="C1996" t="s">
        <v>331</v>
      </c>
      <c r="D1996" t="str">
        <f>VLOOKUP(C1996,'lookup table'!$A$2:$B$19,2,FALSE)</f>
        <v>FS Item</v>
      </c>
      <c r="E1996" t="str">
        <f t="shared" si="31"/>
        <v>A633_00|FS Item</v>
      </c>
    </row>
    <row r="1997" spans="1:5" x14ac:dyDescent="0.2">
      <c r="A1997" t="s">
        <v>688</v>
      </c>
      <c r="B1997" t="s">
        <v>689</v>
      </c>
      <c r="C1997" t="s">
        <v>423</v>
      </c>
      <c r="D1997" t="str">
        <f>VLOOKUP(C1997,'lookup table'!$A$2:$B$19,2,FALSE)</f>
        <v>ignore</v>
      </c>
      <c r="E1997" t="str">
        <f t="shared" si="31"/>
        <v>A633_00|ignore</v>
      </c>
    </row>
    <row r="1998" spans="1:5" x14ac:dyDescent="0.2">
      <c r="A1998" t="s">
        <v>688</v>
      </c>
      <c r="B1998" t="s">
        <v>689</v>
      </c>
      <c r="C1998" t="s">
        <v>438</v>
      </c>
      <c r="D1998" t="str">
        <f>VLOOKUP(C1998,'lookup table'!$A$2:$B$19,2,FALSE)</f>
        <v>ToM</v>
      </c>
      <c r="E1998" t="str">
        <f t="shared" si="31"/>
        <v>A633_00|ToM</v>
      </c>
    </row>
    <row r="1999" spans="1:5" x14ac:dyDescent="0.2">
      <c r="A1999" t="s">
        <v>690</v>
      </c>
      <c r="B1999" t="s">
        <v>691</v>
      </c>
      <c r="C1999" t="s">
        <v>331</v>
      </c>
      <c r="D1999" t="str">
        <f>VLOOKUP(C1999,'lookup table'!$A$2:$B$19,2,FALSE)</f>
        <v>FS Item</v>
      </c>
      <c r="E1999" t="str">
        <f t="shared" si="31"/>
        <v>A800_00|FS Item</v>
      </c>
    </row>
    <row r="2000" spans="1:5" x14ac:dyDescent="0.2">
      <c r="A2000" t="s">
        <v>690</v>
      </c>
      <c r="B2000" t="s">
        <v>691</v>
      </c>
      <c r="C2000" t="s">
        <v>423</v>
      </c>
      <c r="D2000" t="str">
        <f>VLOOKUP(C2000,'lookup table'!$A$2:$B$19,2,FALSE)</f>
        <v>ignore</v>
      </c>
      <c r="E2000" t="str">
        <f t="shared" si="31"/>
        <v>A800_00|ignore</v>
      </c>
    </row>
    <row r="2001" spans="1:5" x14ac:dyDescent="0.2">
      <c r="A2001" t="s">
        <v>690</v>
      </c>
      <c r="B2001" t="s">
        <v>691</v>
      </c>
      <c r="C2001" t="s">
        <v>438</v>
      </c>
      <c r="D2001" t="str">
        <f>VLOOKUP(C2001,'lookup table'!$A$2:$B$19,2,FALSE)</f>
        <v>ToM</v>
      </c>
      <c r="E2001" t="str">
        <f t="shared" si="31"/>
        <v>A800_00|ToM</v>
      </c>
    </row>
    <row r="2002" spans="1:5" x14ac:dyDescent="0.2">
      <c r="A2002" t="s">
        <v>692</v>
      </c>
      <c r="B2002" t="s">
        <v>693</v>
      </c>
      <c r="C2002" t="s">
        <v>331</v>
      </c>
      <c r="D2002" t="str">
        <f>VLOOKUP(C2002,'lookup table'!$A$2:$B$19,2,FALSE)</f>
        <v>FS Item</v>
      </c>
      <c r="E2002" t="str">
        <f t="shared" si="31"/>
        <v>A801_00|FS Item</v>
      </c>
    </row>
    <row r="2003" spans="1:5" x14ac:dyDescent="0.2">
      <c r="A2003" t="s">
        <v>694</v>
      </c>
      <c r="B2003" t="s">
        <v>695</v>
      </c>
      <c r="C2003" t="s">
        <v>331</v>
      </c>
      <c r="D2003" t="str">
        <f>VLOOKUP(C2003,'lookup table'!$A$2:$B$19,2,FALSE)</f>
        <v>FS Item</v>
      </c>
      <c r="E2003" t="str">
        <f t="shared" si="31"/>
        <v>A802_00|FS Item</v>
      </c>
    </row>
    <row r="2004" spans="1:5" x14ac:dyDescent="0.2">
      <c r="A2004" t="s">
        <v>696</v>
      </c>
      <c r="B2004" t="s">
        <v>697</v>
      </c>
      <c r="C2004" t="s">
        <v>331</v>
      </c>
      <c r="D2004" t="str">
        <f>VLOOKUP(C2004,'lookup table'!$A$2:$B$19,2,FALSE)</f>
        <v>FS Item</v>
      </c>
      <c r="E2004" t="str">
        <f t="shared" si="31"/>
        <v>A861_80|FS Item</v>
      </c>
    </row>
    <row r="2005" spans="1:5" x14ac:dyDescent="0.2">
      <c r="A2005" t="s">
        <v>696</v>
      </c>
      <c r="B2005" t="s">
        <v>697</v>
      </c>
      <c r="C2005" t="s">
        <v>423</v>
      </c>
      <c r="D2005" t="str">
        <f>VLOOKUP(C2005,'lookup table'!$A$2:$B$19,2,FALSE)</f>
        <v>ignore</v>
      </c>
      <c r="E2005" t="str">
        <f t="shared" si="31"/>
        <v>A861_80|ignore</v>
      </c>
    </row>
    <row r="2006" spans="1:5" x14ac:dyDescent="0.2">
      <c r="A2006" t="s">
        <v>698</v>
      </c>
      <c r="B2006" t="s">
        <v>699</v>
      </c>
      <c r="C2006" t="s">
        <v>331</v>
      </c>
      <c r="D2006" t="str">
        <f>VLOOKUP(C2006,'lookup table'!$A$2:$B$19,2,FALSE)</f>
        <v>FS Item</v>
      </c>
      <c r="E2006" t="str">
        <f t="shared" si="31"/>
        <v>AE033_00|FS Item</v>
      </c>
    </row>
    <row r="2007" spans="1:5" x14ac:dyDescent="0.2">
      <c r="A2007" t="s">
        <v>698</v>
      </c>
      <c r="B2007" t="s">
        <v>699</v>
      </c>
      <c r="C2007" t="s">
        <v>423</v>
      </c>
      <c r="D2007" t="str">
        <f>VLOOKUP(C2007,'lookup table'!$A$2:$B$19,2,FALSE)</f>
        <v>ignore</v>
      </c>
      <c r="E2007" t="str">
        <f t="shared" si="31"/>
        <v>AE033_00|ignore</v>
      </c>
    </row>
    <row r="2008" spans="1:5" x14ac:dyDescent="0.2">
      <c r="A2008" t="s">
        <v>700</v>
      </c>
      <c r="B2008" t="s">
        <v>453</v>
      </c>
      <c r="C2008" t="s">
        <v>451</v>
      </c>
      <c r="D2008" t="str">
        <f>VLOOKUP(C2008,'lookup table'!$A$2:$B$19,2,FALSE)</f>
        <v>Segment</v>
      </c>
      <c r="E2008" t="str">
        <f t="shared" si="31"/>
        <v>AL001_17|Segment</v>
      </c>
    </row>
    <row r="2009" spans="1:5" x14ac:dyDescent="0.2">
      <c r="A2009" t="s">
        <v>701</v>
      </c>
      <c r="B2009" t="s">
        <v>702</v>
      </c>
      <c r="C2009" t="s">
        <v>451</v>
      </c>
      <c r="D2009" t="str">
        <f>VLOOKUP(C2009,'lookup table'!$A$2:$B$19,2,FALSE)</f>
        <v>Segment</v>
      </c>
      <c r="E2009" t="str">
        <f t="shared" si="31"/>
        <v>AL001_60|Segment</v>
      </c>
    </row>
    <row r="2010" spans="1:5" x14ac:dyDescent="0.2">
      <c r="A2010" t="s">
        <v>703</v>
      </c>
      <c r="B2010" t="s">
        <v>704</v>
      </c>
      <c r="C2010" t="s">
        <v>451</v>
      </c>
      <c r="D2010" t="str">
        <f>VLOOKUP(C2010,'lookup table'!$A$2:$B$19,2,FALSE)</f>
        <v>Segment</v>
      </c>
      <c r="E2010" t="str">
        <f t="shared" si="31"/>
        <v>AL001_80|Segment</v>
      </c>
    </row>
    <row r="2011" spans="1:5" x14ac:dyDescent="0.2">
      <c r="A2011" t="s">
        <v>705</v>
      </c>
      <c r="B2011" t="s">
        <v>706</v>
      </c>
      <c r="C2011" t="s">
        <v>451</v>
      </c>
      <c r="D2011" t="str">
        <f>VLOOKUP(C2011,'lookup table'!$A$2:$B$19,2,FALSE)</f>
        <v>Segment</v>
      </c>
      <c r="E2011" t="str">
        <f t="shared" si="31"/>
        <v>AL001_85|Segment</v>
      </c>
    </row>
    <row r="2012" spans="1:5" x14ac:dyDescent="0.2">
      <c r="A2012" t="s">
        <v>707</v>
      </c>
      <c r="B2012" t="s">
        <v>210</v>
      </c>
      <c r="C2012" t="s">
        <v>136</v>
      </c>
      <c r="D2012" t="str">
        <f>VLOOKUP(C2012,'lookup table'!$A$2:$B$19,2,FALSE)</f>
        <v>BBA Set</v>
      </c>
      <c r="E2012" t="str">
        <f t="shared" si="31"/>
        <v>AL002_17|BBA Set</v>
      </c>
    </row>
    <row r="2013" spans="1:5" x14ac:dyDescent="0.2">
      <c r="A2013" t="s">
        <v>708</v>
      </c>
      <c r="B2013" t="s">
        <v>709</v>
      </c>
      <c r="C2013" t="s">
        <v>136</v>
      </c>
      <c r="D2013" t="str">
        <f>VLOOKUP(C2013,'lookup table'!$A$2:$B$19,2,FALSE)</f>
        <v>BBA Set</v>
      </c>
      <c r="E2013" t="str">
        <f t="shared" si="31"/>
        <v>AL003_17|BBA Set</v>
      </c>
    </row>
    <row r="2014" spans="1:5" x14ac:dyDescent="0.2">
      <c r="A2014" t="s">
        <v>708</v>
      </c>
      <c r="B2014" t="s">
        <v>709</v>
      </c>
      <c r="C2014" t="s">
        <v>331</v>
      </c>
      <c r="D2014" t="str">
        <f>VLOOKUP(C2014,'lookup table'!$A$2:$B$19,2,FALSE)</f>
        <v>FS Item</v>
      </c>
      <c r="E2014" t="str">
        <f t="shared" si="31"/>
        <v>AL003_17|FS Item</v>
      </c>
    </row>
    <row r="2015" spans="1:5" x14ac:dyDescent="0.2">
      <c r="A2015" t="s">
        <v>708</v>
      </c>
      <c r="B2015" t="s">
        <v>709</v>
      </c>
      <c r="C2015" t="s">
        <v>423</v>
      </c>
      <c r="D2015" t="str">
        <f>VLOOKUP(C2015,'lookup table'!$A$2:$B$19,2,FALSE)</f>
        <v>ignore</v>
      </c>
      <c r="E2015" t="str">
        <f t="shared" si="31"/>
        <v>AL003_17|ignore</v>
      </c>
    </row>
    <row r="2016" spans="1:5" x14ac:dyDescent="0.2">
      <c r="A2016" t="s">
        <v>708</v>
      </c>
      <c r="B2016" t="s">
        <v>709</v>
      </c>
      <c r="C2016" t="s">
        <v>428</v>
      </c>
      <c r="D2016" t="str">
        <f>VLOOKUP(C2016,'lookup table'!$A$2:$B$19,2,FALSE)</f>
        <v>LoB</v>
      </c>
      <c r="E2016" t="str">
        <f t="shared" si="31"/>
        <v>AL003_17|LoB</v>
      </c>
    </row>
    <row r="2017" spans="1:5" x14ac:dyDescent="0.2">
      <c r="A2017" t="s">
        <v>708</v>
      </c>
      <c r="B2017" t="s">
        <v>709</v>
      </c>
      <c r="C2017" t="s">
        <v>438</v>
      </c>
      <c r="D2017" t="str">
        <f>VLOOKUP(C2017,'lookup table'!$A$2:$B$19,2,FALSE)</f>
        <v>ToM</v>
      </c>
      <c r="E2017" t="str">
        <f t="shared" si="31"/>
        <v>AL003_17|ToM</v>
      </c>
    </row>
    <row r="2018" spans="1:5" x14ac:dyDescent="0.2">
      <c r="A2018" t="s">
        <v>708</v>
      </c>
      <c r="B2018" t="s">
        <v>709</v>
      </c>
      <c r="C2018" t="s">
        <v>441</v>
      </c>
      <c r="D2018" t="str">
        <f>VLOOKUP(C2018,'lookup table'!$A$2:$B$19,2,FALSE)</f>
        <v>Partner Segment</v>
      </c>
      <c r="E2018" t="str">
        <f t="shared" si="31"/>
        <v>AL003_17|Partner Segment</v>
      </c>
    </row>
    <row r="2019" spans="1:5" x14ac:dyDescent="0.2">
      <c r="A2019" t="s">
        <v>708</v>
      </c>
      <c r="B2019" t="s">
        <v>709</v>
      </c>
      <c r="C2019" t="s">
        <v>442</v>
      </c>
      <c r="D2019" t="str">
        <f>VLOOKUP(C2019,'lookup table'!$A$2:$B$19,2,FALSE)</f>
        <v>Partner Unit</v>
      </c>
      <c r="E2019" t="str">
        <f t="shared" si="31"/>
        <v>AL003_17|Partner Unit</v>
      </c>
    </row>
    <row r="2020" spans="1:5" x14ac:dyDescent="0.2">
      <c r="A2020" t="s">
        <v>708</v>
      </c>
      <c r="B2020" t="s">
        <v>709</v>
      </c>
      <c r="C2020" t="s">
        <v>451</v>
      </c>
      <c r="D2020" t="str">
        <f>VLOOKUP(C2020,'lookup table'!$A$2:$B$19,2,FALSE)</f>
        <v>Segment</v>
      </c>
      <c r="E2020" t="str">
        <f t="shared" si="31"/>
        <v>AL003_17|Segment</v>
      </c>
    </row>
    <row r="2021" spans="1:5" x14ac:dyDescent="0.2">
      <c r="A2021" t="s">
        <v>710</v>
      </c>
      <c r="B2021" t="s">
        <v>711</v>
      </c>
      <c r="C2021" t="s">
        <v>20</v>
      </c>
      <c r="D2021" t="str">
        <f>VLOOKUP(C2021,'lookup table'!$A$2:$B$19,2,FALSE)</f>
        <v>AY</v>
      </c>
      <c r="E2021" t="str">
        <f t="shared" si="31"/>
        <v>AL005_17|AY</v>
      </c>
    </row>
    <row r="2022" spans="1:5" x14ac:dyDescent="0.2">
      <c r="A2022" t="s">
        <v>710</v>
      </c>
      <c r="B2022" t="s">
        <v>711</v>
      </c>
      <c r="C2022" t="s">
        <v>331</v>
      </c>
      <c r="D2022" t="str">
        <f>VLOOKUP(C2022,'lookup table'!$A$2:$B$19,2,FALSE)</f>
        <v>FS Item</v>
      </c>
      <c r="E2022" t="str">
        <f t="shared" si="31"/>
        <v>AL005_17|FS Item</v>
      </c>
    </row>
    <row r="2023" spans="1:5" x14ac:dyDescent="0.2">
      <c r="A2023" t="s">
        <v>710</v>
      </c>
      <c r="B2023" t="s">
        <v>711</v>
      </c>
      <c r="C2023" t="s">
        <v>423</v>
      </c>
      <c r="D2023" t="str">
        <f>VLOOKUP(C2023,'lookup table'!$A$2:$B$19,2,FALSE)</f>
        <v>ignore</v>
      </c>
      <c r="E2023" t="str">
        <f t="shared" si="31"/>
        <v>AL005_17|ignore</v>
      </c>
    </row>
    <row r="2024" spans="1:5" x14ac:dyDescent="0.2">
      <c r="A2024" t="s">
        <v>710</v>
      </c>
      <c r="B2024" t="s">
        <v>711</v>
      </c>
      <c r="C2024" t="s">
        <v>428</v>
      </c>
      <c r="D2024" t="str">
        <f>VLOOKUP(C2024,'lookup table'!$A$2:$B$19,2,FALSE)</f>
        <v>LoB</v>
      </c>
      <c r="E2024" t="str">
        <f t="shared" si="31"/>
        <v>AL005_17|LoB</v>
      </c>
    </row>
    <row r="2025" spans="1:5" x14ac:dyDescent="0.2">
      <c r="A2025" t="s">
        <v>710</v>
      </c>
      <c r="B2025" t="s">
        <v>711</v>
      </c>
      <c r="C2025" t="s">
        <v>438</v>
      </c>
      <c r="D2025" t="str">
        <f>VLOOKUP(C2025,'lookup table'!$A$2:$B$19,2,FALSE)</f>
        <v>ToM</v>
      </c>
      <c r="E2025" t="str">
        <f t="shared" si="31"/>
        <v>AL005_17|ToM</v>
      </c>
    </row>
    <row r="2026" spans="1:5" x14ac:dyDescent="0.2">
      <c r="A2026" t="s">
        <v>710</v>
      </c>
      <c r="B2026" t="s">
        <v>711</v>
      </c>
      <c r="C2026" t="s">
        <v>441</v>
      </c>
      <c r="D2026" t="str">
        <f>VLOOKUP(C2026,'lookup table'!$A$2:$B$19,2,FALSE)</f>
        <v>Partner Segment</v>
      </c>
      <c r="E2026" t="str">
        <f t="shared" si="31"/>
        <v>AL005_17|Partner Segment</v>
      </c>
    </row>
    <row r="2027" spans="1:5" x14ac:dyDescent="0.2">
      <c r="A2027" t="s">
        <v>710</v>
      </c>
      <c r="B2027" t="s">
        <v>711</v>
      </c>
      <c r="C2027" t="s">
        <v>442</v>
      </c>
      <c r="D2027" t="str">
        <f>VLOOKUP(C2027,'lookup table'!$A$2:$B$19,2,FALSE)</f>
        <v>Partner Unit</v>
      </c>
      <c r="E2027" t="str">
        <f t="shared" si="31"/>
        <v>AL005_17|Partner Unit</v>
      </c>
    </row>
    <row r="2028" spans="1:5" x14ac:dyDescent="0.2">
      <c r="A2028" t="s">
        <v>710</v>
      </c>
      <c r="B2028" t="s">
        <v>711</v>
      </c>
      <c r="C2028" t="s">
        <v>451</v>
      </c>
      <c r="D2028" t="str">
        <f>VLOOKUP(C2028,'lookup table'!$A$2:$B$19,2,FALSE)</f>
        <v>Segment</v>
      </c>
      <c r="E2028" t="str">
        <f t="shared" si="31"/>
        <v>AL005_17|Segment</v>
      </c>
    </row>
    <row r="2029" spans="1:5" x14ac:dyDescent="0.2">
      <c r="A2029" t="s">
        <v>712</v>
      </c>
      <c r="B2029" t="s">
        <v>713</v>
      </c>
      <c r="C2029" t="s">
        <v>20</v>
      </c>
      <c r="D2029" t="str">
        <f>VLOOKUP(C2029,'lookup table'!$A$2:$B$19,2,FALSE)</f>
        <v>AY</v>
      </c>
      <c r="E2029" t="str">
        <f t="shared" si="31"/>
        <v>AL006_17|AY</v>
      </c>
    </row>
    <row r="2030" spans="1:5" x14ac:dyDescent="0.2">
      <c r="A2030" t="s">
        <v>712</v>
      </c>
      <c r="B2030" t="s">
        <v>713</v>
      </c>
      <c r="C2030" t="s">
        <v>331</v>
      </c>
      <c r="D2030" t="str">
        <f>VLOOKUP(C2030,'lookup table'!$A$2:$B$19,2,FALSE)</f>
        <v>FS Item</v>
      </c>
      <c r="E2030" t="str">
        <f t="shared" si="31"/>
        <v>AL006_17|FS Item</v>
      </c>
    </row>
    <row r="2031" spans="1:5" x14ac:dyDescent="0.2">
      <c r="A2031" t="s">
        <v>712</v>
      </c>
      <c r="B2031" t="s">
        <v>713</v>
      </c>
      <c r="C2031" t="s">
        <v>423</v>
      </c>
      <c r="D2031" t="str">
        <f>VLOOKUP(C2031,'lookup table'!$A$2:$B$19,2,FALSE)</f>
        <v>ignore</v>
      </c>
      <c r="E2031" t="str">
        <f t="shared" si="31"/>
        <v>AL006_17|ignore</v>
      </c>
    </row>
    <row r="2032" spans="1:5" x14ac:dyDescent="0.2">
      <c r="A2032" t="s">
        <v>712</v>
      </c>
      <c r="B2032" t="s">
        <v>713</v>
      </c>
      <c r="C2032" t="s">
        <v>428</v>
      </c>
      <c r="D2032" t="str">
        <f>VLOOKUP(C2032,'lookup table'!$A$2:$B$19,2,FALSE)</f>
        <v>LoB</v>
      </c>
      <c r="E2032" t="str">
        <f t="shared" si="31"/>
        <v>AL006_17|LoB</v>
      </c>
    </row>
    <row r="2033" spans="1:5" x14ac:dyDescent="0.2">
      <c r="A2033" t="s">
        <v>712</v>
      </c>
      <c r="B2033" t="s">
        <v>713</v>
      </c>
      <c r="C2033" t="s">
        <v>438</v>
      </c>
      <c r="D2033" t="str">
        <f>VLOOKUP(C2033,'lookup table'!$A$2:$B$19,2,FALSE)</f>
        <v>ToM</v>
      </c>
      <c r="E2033" t="str">
        <f t="shared" si="31"/>
        <v>AL006_17|ToM</v>
      </c>
    </row>
    <row r="2034" spans="1:5" x14ac:dyDescent="0.2">
      <c r="A2034" t="s">
        <v>712</v>
      </c>
      <c r="B2034" t="s">
        <v>713</v>
      </c>
      <c r="C2034" t="s">
        <v>441</v>
      </c>
      <c r="D2034" t="str">
        <f>VLOOKUP(C2034,'lookup table'!$A$2:$B$19,2,FALSE)</f>
        <v>Partner Segment</v>
      </c>
      <c r="E2034" t="str">
        <f t="shared" si="31"/>
        <v>AL006_17|Partner Segment</v>
      </c>
    </row>
    <row r="2035" spans="1:5" x14ac:dyDescent="0.2">
      <c r="A2035" t="s">
        <v>712</v>
      </c>
      <c r="B2035" t="s">
        <v>713</v>
      </c>
      <c r="C2035" t="s">
        <v>442</v>
      </c>
      <c r="D2035" t="str">
        <f>VLOOKUP(C2035,'lookup table'!$A$2:$B$19,2,FALSE)</f>
        <v>Partner Unit</v>
      </c>
      <c r="E2035" t="str">
        <f t="shared" si="31"/>
        <v>AL006_17|Partner Unit</v>
      </c>
    </row>
    <row r="2036" spans="1:5" x14ac:dyDescent="0.2">
      <c r="A2036" t="s">
        <v>712</v>
      </c>
      <c r="B2036" t="s">
        <v>713</v>
      </c>
      <c r="C2036" t="s">
        <v>451</v>
      </c>
      <c r="D2036" t="str">
        <f>VLOOKUP(C2036,'lookup table'!$A$2:$B$19,2,FALSE)</f>
        <v>Segment</v>
      </c>
      <c r="E2036" t="str">
        <f t="shared" si="31"/>
        <v>AL006_17|Segment</v>
      </c>
    </row>
    <row r="2037" spans="1:5" x14ac:dyDescent="0.2">
      <c r="A2037" t="s">
        <v>714</v>
      </c>
      <c r="B2037" t="s">
        <v>715</v>
      </c>
      <c r="C2037" t="s">
        <v>20</v>
      </c>
      <c r="D2037" t="str">
        <f>VLOOKUP(C2037,'lookup table'!$A$2:$B$19,2,FALSE)</f>
        <v>AY</v>
      </c>
      <c r="E2037" t="str">
        <f t="shared" si="31"/>
        <v>AL007_17|AY</v>
      </c>
    </row>
    <row r="2038" spans="1:5" x14ac:dyDescent="0.2">
      <c r="A2038" t="s">
        <v>714</v>
      </c>
      <c r="B2038" t="s">
        <v>715</v>
      </c>
      <c r="C2038" t="s">
        <v>331</v>
      </c>
      <c r="D2038" t="str">
        <f>VLOOKUP(C2038,'lookup table'!$A$2:$B$19,2,FALSE)</f>
        <v>FS Item</v>
      </c>
      <c r="E2038" t="str">
        <f t="shared" si="31"/>
        <v>AL007_17|FS Item</v>
      </c>
    </row>
    <row r="2039" spans="1:5" x14ac:dyDescent="0.2">
      <c r="A2039" t="s">
        <v>714</v>
      </c>
      <c r="B2039" t="s">
        <v>715</v>
      </c>
      <c r="C2039" t="s">
        <v>423</v>
      </c>
      <c r="D2039" t="str">
        <f>VLOOKUP(C2039,'lookup table'!$A$2:$B$19,2,FALSE)</f>
        <v>ignore</v>
      </c>
      <c r="E2039" t="str">
        <f t="shared" si="31"/>
        <v>AL007_17|ignore</v>
      </c>
    </row>
    <row r="2040" spans="1:5" x14ac:dyDescent="0.2">
      <c r="A2040" t="s">
        <v>714</v>
      </c>
      <c r="B2040" t="s">
        <v>715</v>
      </c>
      <c r="C2040" t="s">
        <v>428</v>
      </c>
      <c r="D2040" t="str">
        <f>VLOOKUP(C2040,'lookup table'!$A$2:$B$19,2,FALSE)</f>
        <v>LoB</v>
      </c>
      <c r="E2040" t="str">
        <f t="shared" si="31"/>
        <v>AL007_17|LoB</v>
      </c>
    </row>
    <row r="2041" spans="1:5" x14ac:dyDescent="0.2">
      <c r="A2041" t="s">
        <v>714</v>
      </c>
      <c r="B2041" t="s">
        <v>715</v>
      </c>
      <c r="C2041" t="s">
        <v>438</v>
      </c>
      <c r="D2041" t="str">
        <f>VLOOKUP(C2041,'lookup table'!$A$2:$B$19,2,FALSE)</f>
        <v>ToM</v>
      </c>
      <c r="E2041" t="str">
        <f t="shared" si="31"/>
        <v>AL007_17|ToM</v>
      </c>
    </row>
    <row r="2042" spans="1:5" x14ac:dyDescent="0.2">
      <c r="A2042" t="s">
        <v>714</v>
      </c>
      <c r="B2042" t="s">
        <v>715</v>
      </c>
      <c r="C2042" t="s">
        <v>441</v>
      </c>
      <c r="D2042" t="str">
        <f>VLOOKUP(C2042,'lookup table'!$A$2:$B$19,2,FALSE)</f>
        <v>Partner Segment</v>
      </c>
      <c r="E2042" t="str">
        <f t="shared" si="31"/>
        <v>AL007_17|Partner Segment</v>
      </c>
    </row>
    <row r="2043" spans="1:5" x14ac:dyDescent="0.2">
      <c r="A2043" t="s">
        <v>714</v>
      </c>
      <c r="B2043" t="s">
        <v>715</v>
      </c>
      <c r="C2043" t="s">
        <v>442</v>
      </c>
      <c r="D2043" t="str">
        <f>VLOOKUP(C2043,'lookup table'!$A$2:$B$19,2,FALSE)</f>
        <v>Partner Unit</v>
      </c>
      <c r="E2043" t="str">
        <f t="shared" si="31"/>
        <v>AL007_17|Partner Unit</v>
      </c>
    </row>
    <row r="2044" spans="1:5" x14ac:dyDescent="0.2">
      <c r="A2044" t="s">
        <v>714</v>
      </c>
      <c r="B2044" t="s">
        <v>715</v>
      </c>
      <c r="C2044" t="s">
        <v>451</v>
      </c>
      <c r="D2044" t="str">
        <f>VLOOKUP(C2044,'lookup table'!$A$2:$B$19,2,FALSE)</f>
        <v>Segment</v>
      </c>
      <c r="E2044" t="str">
        <f t="shared" si="31"/>
        <v>AL007_17|Segment</v>
      </c>
    </row>
    <row r="2045" spans="1:5" x14ac:dyDescent="0.2">
      <c r="A2045" t="s">
        <v>716</v>
      </c>
      <c r="B2045" t="s">
        <v>717</v>
      </c>
      <c r="C2045" t="s">
        <v>20</v>
      </c>
      <c r="D2045" t="str">
        <f>VLOOKUP(C2045,'lookup table'!$A$2:$B$19,2,FALSE)</f>
        <v>AY</v>
      </c>
      <c r="E2045" t="str">
        <f t="shared" si="31"/>
        <v>AL008_17|AY</v>
      </c>
    </row>
    <row r="2046" spans="1:5" x14ac:dyDescent="0.2">
      <c r="A2046" t="s">
        <v>716</v>
      </c>
      <c r="B2046" t="s">
        <v>717</v>
      </c>
      <c r="C2046" t="s">
        <v>331</v>
      </c>
      <c r="D2046" t="str">
        <f>VLOOKUP(C2046,'lookup table'!$A$2:$B$19,2,FALSE)</f>
        <v>FS Item</v>
      </c>
      <c r="E2046" t="str">
        <f t="shared" si="31"/>
        <v>AL008_17|FS Item</v>
      </c>
    </row>
    <row r="2047" spans="1:5" x14ac:dyDescent="0.2">
      <c r="A2047" t="s">
        <v>716</v>
      </c>
      <c r="B2047" t="s">
        <v>717</v>
      </c>
      <c r="C2047" t="s">
        <v>423</v>
      </c>
      <c r="D2047" t="str">
        <f>VLOOKUP(C2047,'lookup table'!$A$2:$B$19,2,FALSE)</f>
        <v>ignore</v>
      </c>
      <c r="E2047" t="str">
        <f t="shared" si="31"/>
        <v>AL008_17|ignore</v>
      </c>
    </row>
    <row r="2048" spans="1:5" x14ac:dyDescent="0.2">
      <c r="A2048" t="s">
        <v>716</v>
      </c>
      <c r="B2048" t="s">
        <v>717</v>
      </c>
      <c r="C2048" t="s">
        <v>428</v>
      </c>
      <c r="D2048" t="str">
        <f>VLOOKUP(C2048,'lookup table'!$A$2:$B$19,2,FALSE)</f>
        <v>LoB</v>
      </c>
      <c r="E2048" t="str">
        <f t="shared" si="31"/>
        <v>AL008_17|LoB</v>
      </c>
    </row>
    <row r="2049" spans="1:5" x14ac:dyDescent="0.2">
      <c r="A2049" t="s">
        <v>716</v>
      </c>
      <c r="B2049" t="s">
        <v>717</v>
      </c>
      <c r="C2049" t="s">
        <v>438</v>
      </c>
      <c r="D2049" t="str">
        <f>VLOOKUP(C2049,'lookup table'!$A$2:$B$19,2,FALSE)</f>
        <v>ToM</v>
      </c>
      <c r="E2049" t="str">
        <f t="shared" si="31"/>
        <v>AL008_17|ToM</v>
      </c>
    </row>
    <row r="2050" spans="1:5" x14ac:dyDescent="0.2">
      <c r="A2050" t="s">
        <v>716</v>
      </c>
      <c r="B2050" t="s">
        <v>717</v>
      </c>
      <c r="C2050" t="s">
        <v>441</v>
      </c>
      <c r="D2050" t="str">
        <f>VLOOKUP(C2050,'lookup table'!$A$2:$B$19,2,FALSE)</f>
        <v>Partner Segment</v>
      </c>
      <c r="E2050" t="str">
        <f t="shared" si="31"/>
        <v>AL008_17|Partner Segment</v>
      </c>
    </row>
    <row r="2051" spans="1:5" x14ac:dyDescent="0.2">
      <c r="A2051" t="s">
        <v>716</v>
      </c>
      <c r="B2051" t="s">
        <v>717</v>
      </c>
      <c r="C2051" t="s">
        <v>442</v>
      </c>
      <c r="D2051" t="str">
        <f>VLOOKUP(C2051,'lookup table'!$A$2:$B$19,2,FALSE)</f>
        <v>Partner Unit</v>
      </c>
      <c r="E2051" t="str">
        <f t="shared" ref="E2051:E2114" si="32">IF(ISNA(D2051),"",IF(A2051="","",A2051) &amp; "|" &amp; D2051)</f>
        <v>AL008_17|Partner Unit</v>
      </c>
    </row>
    <row r="2052" spans="1:5" x14ac:dyDescent="0.2">
      <c r="A2052" t="s">
        <v>716</v>
      </c>
      <c r="B2052" t="s">
        <v>717</v>
      </c>
      <c r="C2052" t="s">
        <v>451</v>
      </c>
      <c r="D2052" t="str">
        <f>VLOOKUP(C2052,'lookup table'!$A$2:$B$19,2,FALSE)</f>
        <v>Segment</v>
      </c>
      <c r="E2052" t="str">
        <f t="shared" si="32"/>
        <v>AL008_17|Segment</v>
      </c>
    </row>
    <row r="2053" spans="1:5" x14ac:dyDescent="0.2">
      <c r="A2053" t="s">
        <v>718</v>
      </c>
      <c r="B2053" t="s">
        <v>719</v>
      </c>
      <c r="C2053" t="s">
        <v>20</v>
      </c>
      <c r="D2053" t="str">
        <f>VLOOKUP(C2053,'lookup table'!$A$2:$B$19,2,FALSE)</f>
        <v>AY</v>
      </c>
      <c r="E2053" t="str">
        <f t="shared" si="32"/>
        <v>AL009_17|AY</v>
      </c>
    </row>
    <row r="2054" spans="1:5" x14ac:dyDescent="0.2">
      <c r="A2054" t="s">
        <v>718</v>
      </c>
      <c r="B2054" t="s">
        <v>719</v>
      </c>
      <c r="C2054" t="s">
        <v>136</v>
      </c>
      <c r="D2054" t="str">
        <f>VLOOKUP(C2054,'lookup table'!$A$2:$B$19,2,FALSE)</f>
        <v>BBA Set</v>
      </c>
      <c r="E2054" t="str">
        <f t="shared" si="32"/>
        <v>AL009_17|BBA Set</v>
      </c>
    </row>
    <row r="2055" spans="1:5" x14ac:dyDescent="0.2">
      <c r="A2055" t="s">
        <v>718</v>
      </c>
      <c r="B2055" t="s">
        <v>719</v>
      </c>
      <c r="C2055" t="s">
        <v>331</v>
      </c>
      <c r="D2055" t="str">
        <f>VLOOKUP(C2055,'lookup table'!$A$2:$B$19,2,FALSE)</f>
        <v>FS Item</v>
      </c>
      <c r="E2055" t="str">
        <f t="shared" si="32"/>
        <v>AL009_17|FS Item</v>
      </c>
    </row>
    <row r="2056" spans="1:5" x14ac:dyDescent="0.2">
      <c r="A2056" t="s">
        <v>718</v>
      </c>
      <c r="B2056" t="s">
        <v>719</v>
      </c>
      <c r="C2056" t="s">
        <v>423</v>
      </c>
      <c r="D2056" t="str">
        <f>VLOOKUP(C2056,'lookup table'!$A$2:$B$19,2,FALSE)</f>
        <v>ignore</v>
      </c>
      <c r="E2056" t="str">
        <f t="shared" si="32"/>
        <v>AL009_17|ignore</v>
      </c>
    </row>
    <row r="2057" spans="1:5" x14ac:dyDescent="0.2">
      <c r="A2057" t="s">
        <v>718</v>
      </c>
      <c r="B2057" t="s">
        <v>719</v>
      </c>
      <c r="C2057" t="s">
        <v>428</v>
      </c>
      <c r="D2057" t="str">
        <f>VLOOKUP(C2057,'lookup table'!$A$2:$B$19,2,FALSE)</f>
        <v>LoB</v>
      </c>
      <c r="E2057" t="str">
        <f t="shared" si="32"/>
        <v>AL009_17|LoB</v>
      </c>
    </row>
    <row r="2058" spans="1:5" x14ac:dyDescent="0.2">
      <c r="A2058" t="s">
        <v>718</v>
      </c>
      <c r="B2058" t="s">
        <v>719</v>
      </c>
      <c r="C2058" t="s">
        <v>441</v>
      </c>
      <c r="D2058" t="str">
        <f>VLOOKUP(C2058,'lookup table'!$A$2:$B$19,2,FALSE)</f>
        <v>Partner Segment</v>
      </c>
      <c r="E2058" t="str">
        <f t="shared" si="32"/>
        <v>AL009_17|Partner Segment</v>
      </c>
    </row>
    <row r="2059" spans="1:5" x14ac:dyDescent="0.2">
      <c r="A2059" t="s">
        <v>718</v>
      </c>
      <c r="B2059" t="s">
        <v>719</v>
      </c>
      <c r="C2059" t="s">
        <v>442</v>
      </c>
      <c r="D2059" t="str">
        <f>VLOOKUP(C2059,'lookup table'!$A$2:$B$19,2,FALSE)</f>
        <v>Partner Unit</v>
      </c>
      <c r="E2059" t="str">
        <f t="shared" si="32"/>
        <v>AL009_17|Partner Unit</v>
      </c>
    </row>
    <row r="2060" spans="1:5" x14ac:dyDescent="0.2">
      <c r="A2060" t="s">
        <v>718</v>
      </c>
      <c r="B2060" t="s">
        <v>719</v>
      </c>
      <c r="C2060" t="s">
        <v>451</v>
      </c>
      <c r="D2060" t="str">
        <f>VLOOKUP(C2060,'lookup table'!$A$2:$B$19,2,FALSE)</f>
        <v>Segment</v>
      </c>
      <c r="E2060" t="str">
        <f t="shared" si="32"/>
        <v>AL009_17|Segment</v>
      </c>
    </row>
    <row r="2061" spans="1:5" x14ac:dyDescent="0.2">
      <c r="A2061" t="s">
        <v>720</v>
      </c>
      <c r="B2061" t="s">
        <v>405</v>
      </c>
      <c r="C2061" t="s">
        <v>331</v>
      </c>
      <c r="D2061" t="str">
        <f>VLOOKUP(C2061,'lookup table'!$A$2:$B$19,2,FALSE)</f>
        <v>FS Item</v>
      </c>
      <c r="E2061" t="str">
        <f t="shared" si="32"/>
        <v>AL010_00|FS Item</v>
      </c>
    </row>
    <row r="2062" spans="1:5" x14ac:dyDescent="0.2">
      <c r="A2062" t="s">
        <v>720</v>
      </c>
      <c r="B2062" t="s">
        <v>405</v>
      </c>
      <c r="C2062" t="s">
        <v>423</v>
      </c>
      <c r="D2062" t="str">
        <f>VLOOKUP(C2062,'lookup table'!$A$2:$B$19,2,FALSE)</f>
        <v>ignore</v>
      </c>
      <c r="E2062" t="str">
        <f t="shared" si="32"/>
        <v>AL010_00|ignore</v>
      </c>
    </row>
    <row r="2063" spans="1:5" x14ac:dyDescent="0.2">
      <c r="A2063" t="s">
        <v>720</v>
      </c>
      <c r="B2063" t="s">
        <v>405</v>
      </c>
      <c r="C2063" t="s">
        <v>425</v>
      </c>
      <c r="D2063" t="str">
        <f>VLOOKUP(C2063,'lookup table'!$A$2:$B$19,2,FALSE)</f>
        <v>Investee Segment</v>
      </c>
      <c r="E2063" t="str">
        <f t="shared" si="32"/>
        <v>AL010_00|Investee Segment</v>
      </c>
    </row>
    <row r="2064" spans="1:5" x14ac:dyDescent="0.2">
      <c r="A2064" t="s">
        <v>720</v>
      </c>
      <c r="B2064" t="s">
        <v>405</v>
      </c>
      <c r="C2064" t="s">
        <v>426</v>
      </c>
      <c r="D2064" t="str">
        <f>VLOOKUP(C2064,'lookup table'!$A$2:$B$19,2,FALSE)</f>
        <v>Investee Unit</v>
      </c>
      <c r="E2064" t="str">
        <f t="shared" si="32"/>
        <v>AL010_00|Investee Unit</v>
      </c>
    </row>
    <row r="2065" spans="1:5" x14ac:dyDescent="0.2">
      <c r="A2065" t="s">
        <v>720</v>
      </c>
      <c r="B2065" t="s">
        <v>405</v>
      </c>
      <c r="C2065" t="s">
        <v>438</v>
      </c>
      <c r="D2065" t="str">
        <f>VLOOKUP(C2065,'lookup table'!$A$2:$B$19,2,FALSE)</f>
        <v>ToM</v>
      </c>
      <c r="E2065" t="str">
        <f t="shared" si="32"/>
        <v>AL010_00|ToM</v>
      </c>
    </row>
    <row r="2066" spans="1:5" x14ac:dyDescent="0.2">
      <c r="A2066" t="s">
        <v>720</v>
      </c>
      <c r="B2066" t="s">
        <v>405</v>
      </c>
      <c r="C2066" t="s">
        <v>441</v>
      </c>
      <c r="D2066" t="str">
        <f>VLOOKUP(C2066,'lookup table'!$A$2:$B$19,2,FALSE)</f>
        <v>Partner Segment</v>
      </c>
      <c r="E2066" t="str">
        <f t="shared" si="32"/>
        <v>AL010_00|Partner Segment</v>
      </c>
    </row>
    <row r="2067" spans="1:5" x14ac:dyDescent="0.2">
      <c r="A2067" t="s">
        <v>720</v>
      </c>
      <c r="B2067" t="s">
        <v>405</v>
      </c>
      <c r="C2067" t="s">
        <v>442</v>
      </c>
      <c r="D2067" t="str">
        <f>VLOOKUP(C2067,'lookup table'!$A$2:$B$19,2,FALSE)</f>
        <v>Partner Unit</v>
      </c>
      <c r="E2067" t="str">
        <f t="shared" si="32"/>
        <v>AL010_00|Partner Unit</v>
      </c>
    </row>
    <row r="2068" spans="1:5" x14ac:dyDescent="0.2">
      <c r="A2068" t="s">
        <v>721</v>
      </c>
      <c r="B2068" t="s">
        <v>722</v>
      </c>
      <c r="C2068" t="s">
        <v>331</v>
      </c>
      <c r="D2068" t="str">
        <f>VLOOKUP(C2068,'lookup table'!$A$2:$B$19,2,FALSE)</f>
        <v>FS Item</v>
      </c>
      <c r="E2068" t="str">
        <f t="shared" si="32"/>
        <v>AL010_14|FS Item</v>
      </c>
    </row>
    <row r="2069" spans="1:5" x14ac:dyDescent="0.2">
      <c r="A2069" t="s">
        <v>721</v>
      </c>
      <c r="B2069" t="s">
        <v>722</v>
      </c>
      <c r="C2069" t="s">
        <v>423</v>
      </c>
      <c r="D2069" t="str">
        <f>VLOOKUP(C2069,'lookup table'!$A$2:$B$19,2,FALSE)</f>
        <v>ignore</v>
      </c>
      <c r="E2069" t="str">
        <f t="shared" si="32"/>
        <v>AL010_14|ignore</v>
      </c>
    </row>
    <row r="2070" spans="1:5" x14ac:dyDescent="0.2">
      <c r="A2070" t="s">
        <v>721</v>
      </c>
      <c r="B2070" t="s">
        <v>722</v>
      </c>
      <c r="C2070" t="s">
        <v>425</v>
      </c>
      <c r="D2070" t="str">
        <f>VLOOKUP(C2070,'lookup table'!$A$2:$B$19,2,FALSE)</f>
        <v>Investee Segment</v>
      </c>
      <c r="E2070" t="str">
        <f t="shared" si="32"/>
        <v>AL010_14|Investee Segment</v>
      </c>
    </row>
    <row r="2071" spans="1:5" x14ac:dyDescent="0.2">
      <c r="A2071" t="s">
        <v>721</v>
      </c>
      <c r="B2071" t="s">
        <v>722</v>
      </c>
      <c r="C2071" t="s">
        <v>426</v>
      </c>
      <c r="D2071" t="str">
        <f>VLOOKUP(C2071,'lookup table'!$A$2:$B$19,2,FALSE)</f>
        <v>Investee Unit</v>
      </c>
      <c r="E2071" t="str">
        <f t="shared" si="32"/>
        <v>AL010_14|Investee Unit</v>
      </c>
    </row>
    <row r="2072" spans="1:5" x14ac:dyDescent="0.2">
      <c r="A2072" t="s">
        <v>721</v>
      </c>
      <c r="B2072" t="s">
        <v>722</v>
      </c>
      <c r="C2072" t="s">
        <v>438</v>
      </c>
      <c r="D2072" t="str">
        <f>VLOOKUP(C2072,'lookup table'!$A$2:$B$19,2,FALSE)</f>
        <v>ToM</v>
      </c>
      <c r="E2072" t="str">
        <f t="shared" si="32"/>
        <v>AL010_14|ToM</v>
      </c>
    </row>
    <row r="2073" spans="1:5" x14ac:dyDescent="0.2">
      <c r="A2073" t="s">
        <v>721</v>
      </c>
      <c r="B2073" t="s">
        <v>722</v>
      </c>
      <c r="C2073" t="s">
        <v>441</v>
      </c>
      <c r="D2073" t="str">
        <f>VLOOKUP(C2073,'lookup table'!$A$2:$B$19,2,FALSE)</f>
        <v>Partner Segment</v>
      </c>
      <c r="E2073" t="str">
        <f t="shared" si="32"/>
        <v>AL010_14|Partner Segment</v>
      </c>
    </row>
    <row r="2074" spans="1:5" x14ac:dyDescent="0.2">
      <c r="A2074" t="s">
        <v>721</v>
      </c>
      <c r="B2074" t="s">
        <v>722</v>
      </c>
      <c r="C2074" t="s">
        <v>442</v>
      </c>
      <c r="D2074" t="str">
        <f>VLOOKUP(C2074,'lookup table'!$A$2:$B$19,2,FALSE)</f>
        <v>Partner Unit</v>
      </c>
      <c r="E2074" t="str">
        <f t="shared" si="32"/>
        <v>AL010_14|Partner Unit</v>
      </c>
    </row>
    <row r="2075" spans="1:5" x14ac:dyDescent="0.2">
      <c r="A2075" t="s">
        <v>723</v>
      </c>
      <c r="B2075" t="s">
        <v>724</v>
      </c>
      <c r="C2075" t="s">
        <v>331</v>
      </c>
      <c r="D2075" t="str">
        <f>VLOOKUP(C2075,'lookup table'!$A$2:$B$19,2,FALSE)</f>
        <v>FS Item</v>
      </c>
      <c r="E2075" t="str">
        <f t="shared" si="32"/>
        <v>AL010_17|FS Item</v>
      </c>
    </row>
    <row r="2076" spans="1:5" x14ac:dyDescent="0.2">
      <c r="A2076" t="s">
        <v>723</v>
      </c>
      <c r="B2076" t="s">
        <v>724</v>
      </c>
      <c r="C2076" t="s">
        <v>423</v>
      </c>
      <c r="D2076" t="str">
        <f>VLOOKUP(C2076,'lookup table'!$A$2:$B$19,2,FALSE)</f>
        <v>ignore</v>
      </c>
      <c r="E2076" t="str">
        <f t="shared" si="32"/>
        <v>AL010_17|ignore</v>
      </c>
    </row>
    <row r="2077" spans="1:5" x14ac:dyDescent="0.2">
      <c r="A2077" t="s">
        <v>723</v>
      </c>
      <c r="B2077" t="s">
        <v>724</v>
      </c>
      <c r="C2077" t="s">
        <v>425</v>
      </c>
      <c r="D2077" t="str">
        <f>VLOOKUP(C2077,'lookup table'!$A$2:$B$19,2,FALSE)</f>
        <v>Investee Segment</v>
      </c>
      <c r="E2077" t="str">
        <f t="shared" si="32"/>
        <v>AL010_17|Investee Segment</v>
      </c>
    </row>
    <row r="2078" spans="1:5" x14ac:dyDescent="0.2">
      <c r="A2078" t="s">
        <v>723</v>
      </c>
      <c r="B2078" t="s">
        <v>724</v>
      </c>
      <c r="C2078" t="s">
        <v>426</v>
      </c>
      <c r="D2078" t="str">
        <f>VLOOKUP(C2078,'lookup table'!$A$2:$B$19,2,FALSE)</f>
        <v>Investee Unit</v>
      </c>
      <c r="E2078" t="str">
        <f t="shared" si="32"/>
        <v>AL010_17|Investee Unit</v>
      </c>
    </row>
    <row r="2079" spans="1:5" x14ac:dyDescent="0.2">
      <c r="A2079" t="s">
        <v>723</v>
      </c>
      <c r="B2079" t="s">
        <v>724</v>
      </c>
      <c r="C2079" t="s">
        <v>438</v>
      </c>
      <c r="D2079" t="str">
        <f>VLOOKUP(C2079,'lookup table'!$A$2:$B$19,2,FALSE)</f>
        <v>ToM</v>
      </c>
      <c r="E2079" t="str">
        <f t="shared" si="32"/>
        <v>AL010_17|ToM</v>
      </c>
    </row>
    <row r="2080" spans="1:5" x14ac:dyDescent="0.2">
      <c r="A2080" t="s">
        <v>723</v>
      </c>
      <c r="B2080" t="s">
        <v>724</v>
      </c>
      <c r="C2080" t="s">
        <v>441</v>
      </c>
      <c r="D2080" t="str">
        <f>VLOOKUP(C2080,'lookup table'!$A$2:$B$19,2,FALSE)</f>
        <v>Partner Segment</v>
      </c>
      <c r="E2080" t="str">
        <f t="shared" si="32"/>
        <v>AL010_17|Partner Segment</v>
      </c>
    </row>
    <row r="2081" spans="1:5" x14ac:dyDescent="0.2">
      <c r="A2081" t="s">
        <v>723</v>
      </c>
      <c r="B2081" t="s">
        <v>724</v>
      </c>
      <c r="C2081" t="s">
        <v>442</v>
      </c>
      <c r="D2081" t="str">
        <f>VLOOKUP(C2081,'lookup table'!$A$2:$B$19,2,FALSE)</f>
        <v>Partner Unit</v>
      </c>
      <c r="E2081" t="str">
        <f t="shared" si="32"/>
        <v>AL010_17|Partner Unit</v>
      </c>
    </row>
    <row r="2082" spans="1:5" x14ac:dyDescent="0.2">
      <c r="A2082" t="s">
        <v>725</v>
      </c>
      <c r="B2082" t="s">
        <v>726</v>
      </c>
      <c r="C2082" t="s">
        <v>20</v>
      </c>
      <c r="D2082" t="str">
        <f>VLOOKUP(C2082,'lookup table'!$A$2:$B$19,2,FALSE)</f>
        <v>AY</v>
      </c>
      <c r="E2082" t="str">
        <f t="shared" si="32"/>
        <v>AL011_00|AY</v>
      </c>
    </row>
    <row r="2083" spans="1:5" x14ac:dyDescent="0.2">
      <c r="A2083" t="s">
        <v>725</v>
      </c>
      <c r="B2083" t="s">
        <v>726</v>
      </c>
      <c r="C2083" t="s">
        <v>136</v>
      </c>
      <c r="D2083" t="str">
        <f>VLOOKUP(C2083,'lookup table'!$A$2:$B$19,2,FALSE)</f>
        <v>BBA Set</v>
      </c>
      <c r="E2083" t="str">
        <f t="shared" si="32"/>
        <v>AL011_00|BBA Set</v>
      </c>
    </row>
    <row r="2084" spans="1:5" x14ac:dyDescent="0.2">
      <c r="A2084" t="s">
        <v>725</v>
      </c>
      <c r="B2084" t="s">
        <v>726</v>
      </c>
      <c r="C2084" t="s">
        <v>331</v>
      </c>
      <c r="D2084" t="str">
        <f>VLOOKUP(C2084,'lookup table'!$A$2:$B$19,2,FALSE)</f>
        <v>FS Item</v>
      </c>
      <c r="E2084" t="str">
        <f t="shared" si="32"/>
        <v>AL011_00|FS Item</v>
      </c>
    </row>
    <row r="2085" spans="1:5" x14ac:dyDescent="0.2">
      <c r="A2085" t="s">
        <v>725</v>
      </c>
      <c r="B2085" t="s">
        <v>726</v>
      </c>
      <c r="C2085" t="s">
        <v>423</v>
      </c>
      <c r="D2085" t="str">
        <f>VLOOKUP(C2085,'lookup table'!$A$2:$B$19,2,FALSE)</f>
        <v>ignore</v>
      </c>
      <c r="E2085" t="str">
        <f t="shared" si="32"/>
        <v>AL011_00|ignore</v>
      </c>
    </row>
    <row r="2086" spans="1:5" x14ac:dyDescent="0.2">
      <c r="A2086" t="s">
        <v>725</v>
      </c>
      <c r="B2086" t="s">
        <v>726</v>
      </c>
      <c r="C2086" t="s">
        <v>428</v>
      </c>
      <c r="D2086" t="str">
        <f>VLOOKUP(C2086,'lookup table'!$A$2:$B$19,2,FALSE)</f>
        <v>LoB</v>
      </c>
      <c r="E2086" t="str">
        <f t="shared" si="32"/>
        <v>AL011_00|LoB</v>
      </c>
    </row>
    <row r="2087" spans="1:5" x14ac:dyDescent="0.2">
      <c r="A2087" t="s">
        <v>725</v>
      </c>
      <c r="B2087" t="s">
        <v>726</v>
      </c>
      <c r="C2087" t="s">
        <v>442</v>
      </c>
      <c r="D2087" t="str">
        <f>VLOOKUP(C2087,'lookup table'!$A$2:$B$19,2,FALSE)</f>
        <v>Partner Unit</v>
      </c>
      <c r="E2087" t="str">
        <f t="shared" si="32"/>
        <v>AL011_00|Partner Unit</v>
      </c>
    </row>
    <row r="2088" spans="1:5" x14ac:dyDescent="0.2">
      <c r="A2088" t="s">
        <v>727</v>
      </c>
      <c r="B2088" t="s">
        <v>728</v>
      </c>
      <c r="C2088" t="s">
        <v>20</v>
      </c>
      <c r="D2088" t="str">
        <f>VLOOKUP(C2088,'lookup table'!$A$2:$B$19,2,FALSE)</f>
        <v>AY</v>
      </c>
      <c r="E2088" t="str">
        <f t="shared" si="32"/>
        <v>AL011_10|AY</v>
      </c>
    </row>
    <row r="2089" spans="1:5" x14ac:dyDescent="0.2">
      <c r="A2089" t="s">
        <v>727</v>
      </c>
      <c r="B2089" t="s">
        <v>728</v>
      </c>
      <c r="C2089" t="s">
        <v>331</v>
      </c>
      <c r="D2089" t="str">
        <f>VLOOKUP(C2089,'lookup table'!$A$2:$B$19,2,FALSE)</f>
        <v>FS Item</v>
      </c>
      <c r="E2089" t="str">
        <f t="shared" si="32"/>
        <v>AL011_10|FS Item</v>
      </c>
    </row>
    <row r="2090" spans="1:5" x14ac:dyDescent="0.2">
      <c r="A2090" t="s">
        <v>727</v>
      </c>
      <c r="B2090" t="s">
        <v>728</v>
      </c>
      <c r="C2090" t="s">
        <v>423</v>
      </c>
      <c r="D2090" t="str">
        <f>VLOOKUP(C2090,'lookup table'!$A$2:$B$19,2,FALSE)</f>
        <v>ignore</v>
      </c>
      <c r="E2090" t="str">
        <f t="shared" si="32"/>
        <v>AL011_10|ignore</v>
      </c>
    </row>
    <row r="2091" spans="1:5" x14ac:dyDescent="0.2">
      <c r="A2091" t="s">
        <v>727</v>
      </c>
      <c r="B2091" t="s">
        <v>728</v>
      </c>
      <c r="C2091" t="s">
        <v>428</v>
      </c>
      <c r="D2091" t="str">
        <f>VLOOKUP(C2091,'lookup table'!$A$2:$B$19,2,FALSE)</f>
        <v>LoB</v>
      </c>
      <c r="E2091" t="str">
        <f t="shared" si="32"/>
        <v>AL011_10|LoB</v>
      </c>
    </row>
    <row r="2092" spans="1:5" x14ac:dyDescent="0.2">
      <c r="A2092" t="s">
        <v>727</v>
      </c>
      <c r="B2092" t="s">
        <v>728</v>
      </c>
      <c r="C2092" t="s">
        <v>442</v>
      </c>
      <c r="D2092" t="str">
        <f>VLOOKUP(C2092,'lookup table'!$A$2:$B$19,2,FALSE)</f>
        <v>Partner Unit</v>
      </c>
      <c r="E2092" t="str">
        <f t="shared" si="32"/>
        <v>AL011_10|Partner Unit</v>
      </c>
    </row>
    <row r="2093" spans="1:5" x14ac:dyDescent="0.2">
      <c r="A2093" t="s">
        <v>729</v>
      </c>
      <c r="B2093" t="s">
        <v>730</v>
      </c>
      <c r="C2093" t="s">
        <v>20</v>
      </c>
      <c r="D2093" t="str">
        <f>VLOOKUP(C2093,'lookup table'!$A$2:$B$19,2,FALSE)</f>
        <v>AY</v>
      </c>
      <c r="E2093" t="str">
        <f t="shared" si="32"/>
        <v>AL011_14|AY</v>
      </c>
    </row>
    <row r="2094" spans="1:5" x14ac:dyDescent="0.2">
      <c r="A2094" t="s">
        <v>729</v>
      </c>
      <c r="B2094" t="s">
        <v>730</v>
      </c>
      <c r="C2094" t="s">
        <v>136</v>
      </c>
      <c r="D2094" t="str">
        <f>VLOOKUP(C2094,'lookup table'!$A$2:$B$19,2,FALSE)</f>
        <v>BBA Set</v>
      </c>
      <c r="E2094" t="str">
        <f t="shared" si="32"/>
        <v>AL011_14|BBA Set</v>
      </c>
    </row>
    <row r="2095" spans="1:5" x14ac:dyDescent="0.2">
      <c r="A2095" t="s">
        <v>729</v>
      </c>
      <c r="B2095" t="s">
        <v>730</v>
      </c>
      <c r="C2095" t="s">
        <v>331</v>
      </c>
      <c r="D2095" t="str">
        <f>VLOOKUP(C2095,'lookup table'!$A$2:$B$19,2,FALSE)</f>
        <v>FS Item</v>
      </c>
      <c r="E2095" t="str">
        <f t="shared" si="32"/>
        <v>AL011_14|FS Item</v>
      </c>
    </row>
    <row r="2096" spans="1:5" x14ac:dyDescent="0.2">
      <c r="A2096" t="s">
        <v>729</v>
      </c>
      <c r="B2096" t="s">
        <v>730</v>
      </c>
      <c r="C2096" t="s">
        <v>423</v>
      </c>
      <c r="D2096" t="str">
        <f>VLOOKUP(C2096,'lookup table'!$A$2:$B$19,2,FALSE)</f>
        <v>ignore</v>
      </c>
      <c r="E2096" t="str">
        <f t="shared" si="32"/>
        <v>AL011_14|ignore</v>
      </c>
    </row>
    <row r="2097" spans="1:5" x14ac:dyDescent="0.2">
      <c r="A2097" t="s">
        <v>729</v>
      </c>
      <c r="B2097" t="s">
        <v>730</v>
      </c>
      <c r="C2097" t="s">
        <v>428</v>
      </c>
      <c r="D2097" t="str">
        <f>VLOOKUP(C2097,'lookup table'!$A$2:$B$19,2,FALSE)</f>
        <v>LoB</v>
      </c>
      <c r="E2097" t="str">
        <f t="shared" si="32"/>
        <v>AL011_14|LoB</v>
      </c>
    </row>
    <row r="2098" spans="1:5" x14ac:dyDescent="0.2">
      <c r="A2098" t="s">
        <v>729</v>
      </c>
      <c r="B2098" t="s">
        <v>730</v>
      </c>
      <c r="C2098" t="s">
        <v>442</v>
      </c>
      <c r="D2098" t="str">
        <f>VLOOKUP(C2098,'lookup table'!$A$2:$B$19,2,FALSE)</f>
        <v>Partner Unit</v>
      </c>
      <c r="E2098" t="str">
        <f t="shared" si="32"/>
        <v>AL011_14|Partner Unit</v>
      </c>
    </row>
    <row r="2099" spans="1:5" x14ac:dyDescent="0.2">
      <c r="A2099" t="s">
        <v>731</v>
      </c>
      <c r="B2099" t="s">
        <v>732</v>
      </c>
      <c r="C2099" t="s">
        <v>331</v>
      </c>
      <c r="D2099" t="str">
        <f>VLOOKUP(C2099,'lookup table'!$A$2:$B$19,2,FALSE)</f>
        <v>FS Item</v>
      </c>
      <c r="E2099" t="str">
        <f t="shared" si="32"/>
        <v>AL013_00|FS Item</v>
      </c>
    </row>
    <row r="2100" spans="1:5" x14ac:dyDescent="0.2">
      <c r="A2100" t="s">
        <v>731</v>
      </c>
      <c r="B2100" t="s">
        <v>732</v>
      </c>
      <c r="C2100" t="s">
        <v>423</v>
      </c>
      <c r="D2100" t="str">
        <f>VLOOKUP(C2100,'lookup table'!$A$2:$B$19,2,FALSE)</f>
        <v>ignore</v>
      </c>
      <c r="E2100" t="str">
        <f t="shared" si="32"/>
        <v>AL013_00|ignore</v>
      </c>
    </row>
    <row r="2101" spans="1:5" x14ac:dyDescent="0.2">
      <c r="A2101" t="s">
        <v>731</v>
      </c>
      <c r="B2101" t="s">
        <v>732</v>
      </c>
      <c r="C2101" t="s">
        <v>438</v>
      </c>
      <c r="D2101" t="str">
        <f>VLOOKUP(C2101,'lookup table'!$A$2:$B$19,2,FALSE)</f>
        <v>ToM</v>
      </c>
      <c r="E2101" t="str">
        <f t="shared" si="32"/>
        <v>AL013_00|ToM</v>
      </c>
    </row>
    <row r="2102" spans="1:5" x14ac:dyDescent="0.2">
      <c r="A2102" t="s">
        <v>733</v>
      </c>
      <c r="B2102" t="s">
        <v>734</v>
      </c>
      <c r="C2102" t="s">
        <v>331</v>
      </c>
      <c r="D2102" t="str">
        <f>VLOOKUP(C2102,'lookup table'!$A$2:$B$19,2,FALSE)</f>
        <v>FS Item</v>
      </c>
      <c r="E2102" t="str">
        <f t="shared" si="32"/>
        <v>AL014_00|FS Item</v>
      </c>
    </row>
    <row r="2103" spans="1:5" x14ac:dyDescent="0.2">
      <c r="A2103" t="s">
        <v>733</v>
      </c>
      <c r="B2103" t="s">
        <v>734</v>
      </c>
      <c r="C2103" t="s">
        <v>423</v>
      </c>
      <c r="D2103" t="str">
        <f>VLOOKUP(C2103,'lookup table'!$A$2:$B$19,2,FALSE)</f>
        <v>ignore</v>
      </c>
      <c r="E2103" t="str">
        <f t="shared" si="32"/>
        <v>AL014_00|ignore</v>
      </c>
    </row>
    <row r="2104" spans="1:5" x14ac:dyDescent="0.2">
      <c r="A2104" t="s">
        <v>733</v>
      </c>
      <c r="B2104" t="s">
        <v>734</v>
      </c>
      <c r="C2104" t="s">
        <v>438</v>
      </c>
      <c r="D2104" t="str">
        <f>VLOOKUP(C2104,'lookup table'!$A$2:$B$19,2,FALSE)</f>
        <v>ToM</v>
      </c>
      <c r="E2104" t="str">
        <f t="shared" si="32"/>
        <v>AL014_00|ToM</v>
      </c>
    </row>
    <row r="2105" spans="1:5" x14ac:dyDescent="0.2">
      <c r="A2105" t="s">
        <v>735</v>
      </c>
      <c r="B2105" t="s">
        <v>736</v>
      </c>
      <c r="C2105" t="s">
        <v>136</v>
      </c>
      <c r="D2105" t="str">
        <f>VLOOKUP(C2105,'lookup table'!$A$2:$B$19,2,FALSE)</f>
        <v>BBA Set</v>
      </c>
      <c r="E2105" t="str">
        <f t="shared" si="32"/>
        <v>AL015_17|BBA Set</v>
      </c>
    </row>
    <row r="2106" spans="1:5" x14ac:dyDescent="0.2">
      <c r="A2106" t="s">
        <v>735</v>
      </c>
      <c r="B2106" t="s">
        <v>736</v>
      </c>
      <c r="C2106" t="s">
        <v>331</v>
      </c>
      <c r="D2106" t="str">
        <f>VLOOKUP(C2106,'lookup table'!$A$2:$B$19,2,FALSE)</f>
        <v>FS Item</v>
      </c>
      <c r="E2106" t="str">
        <f t="shared" si="32"/>
        <v>AL015_17|FS Item</v>
      </c>
    </row>
    <row r="2107" spans="1:5" x14ac:dyDescent="0.2">
      <c r="A2107" t="s">
        <v>735</v>
      </c>
      <c r="B2107" t="s">
        <v>736</v>
      </c>
      <c r="C2107" t="s">
        <v>423</v>
      </c>
      <c r="D2107" t="str">
        <f>VLOOKUP(C2107,'lookup table'!$A$2:$B$19,2,FALSE)</f>
        <v>ignore</v>
      </c>
      <c r="E2107" t="str">
        <f t="shared" si="32"/>
        <v>AL015_17|ignore</v>
      </c>
    </row>
    <row r="2108" spans="1:5" x14ac:dyDescent="0.2">
      <c r="A2108" t="s">
        <v>737</v>
      </c>
      <c r="B2108" t="s">
        <v>738</v>
      </c>
      <c r="C2108" t="s">
        <v>136</v>
      </c>
      <c r="D2108" t="str">
        <f>VLOOKUP(C2108,'lookup table'!$A$2:$B$19,2,FALSE)</f>
        <v>BBA Set</v>
      </c>
      <c r="E2108" t="str">
        <f t="shared" si="32"/>
        <v>AL031_00|BBA Set</v>
      </c>
    </row>
    <row r="2109" spans="1:5" x14ac:dyDescent="0.2">
      <c r="A2109" t="s">
        <v>737</v>
      </c>
      <c r="B2109" t="s">
        <v>738</v>
      </c>
      <c r="C2109" t="s">
        <v>331</v>
      </c>
      <c r="D2109" t="str">
        <f>VLOOKUP(C2109,'lookup table'!$A$2:$B$19,2,FALSE)</f>
        <v>FS Item</v>
      </c>
      <c r="E2109" t="str">
        <f t="shared" si="32"/>
        <v>AL031_00|FS Item</v>
      </c>
    </row>
    <row r="2110" spans="1:5" x14ac:dyDescent="0.2">
      <c r="A2110" t="s">
        <v>737</v>
      </c>
      <c r="B2110" t="s">
        <v>738</v>
      </c>
      <c r="C2110" t="s">
        <v>423</v>
      </c>
      <c r="D2110" t="str">
        <f>VLOOKUP(C2110,'lookup table'!$A$2:$B$19,2,FALSE)</f>
        <v>ignore</v>
      </c>
      <c r="E2110" t="str">
        <f t="shared" si="32"/>
        <v>AL031_00|ignore</v>
      </c>
    </row>
    <row r="2111" spans="1:5" x14ac:dyDescent="0.2">
      <c r="A2111" t="s">
        <v>737</v>
      </c>
      <c r="B2111" t="s">
        <v>738</v>
      </c>
      <c r="C2111" t="s">
        <v>451</v>
      </c>
      <c r="D2111" t="str">
        <f>VLOOKUP(C2111,'lookup table'!$A$2:$B$19,2,FALSE)</f>
        <v>Segment</v>
      </c>
      <c r="E2111" t="str">
        <f t="shared" si="32"/>
        <v>AL031_00|Segment</v>
      </c>
    </row>
    <row r="2112" spans="1:5" x14ac:dyDescent="0.2">
      <c r="A2112" t="s">
        <v>739</v>
      </c>
      <c r="B2112" t="s">
        <v>740</v>
      </c>
      <c r="C2112" t="s">
        <v>136</v>
      </c>
      <c r="D2112" t="str">
        <f>VLOOKUP(C2112,'lookup table'!$A$2:$B$19,2,FALSE)</f>
        <v>BBA Set</v>
      </c>
      <c r="E2112" t="str">
        <f t="shared" si="32"/>
        <v>AL031_10|BBA Set</v>
      </c>
    </row>
    <row r="2113" spans="1:5" x14ac:dyDescent="0.2">
      <c r="A2113" t="s">
        <v>739</v>
      </c>
      <c r="B2113" t="s">
        <v>740</v>
      </c>
      <c r="C2113" t="s">
        <v>331</v>
      </c>
      <c r="D2113" t="str">
        <f>VLOOKUP(C2113,'lookup table'!$A$2:$B$19,2,FALSE)</f>
        <v>FS Item</v>
      </c>
      <c r="E2113" t="str">
        <f t="shared" si="32"/>
        <v>AL031_10|FS Item</v>
      </c>
    </row>
    <row r="2114" spans="1:5" x14ac:dyDescent="0.2">
      <c r="A2114" t="s">
        <v>739</v>
      </c>
      <c r="B2114" t="s">
        <v>740</v>
      </c>
      <c r="C2114" t="s">
        <v>423</v>
      </c>
      <c r="D2114" t="str">
        <f>VLOOKUP(C2114,'lookup table'!$A$2:$B$19,2,FALSE)</f>
        <v>ignore</v>
      </c>
      <c r="E2114" t="str">
        <f t="shared" si="32"/>
        <v>AL031_10|ignore</v>
      </c>
    </row>
    <row r="2115" spans="1:5" x14ac:dyDescent="0.2">
      <c r="A2115" t="s">
        <v>739</v>
      </c>
      <c r="B2115" t="s">
        <v>740</v>
      </c>
      <c r="C2115" t="s">
        <v>451</v>
      </c>
      <c r="D2115" t="str">
        <f>VLOOKUP(C2115,'lookup table'!$A$2:$B$19,2,FALSE)</f>
        <v>Segment</v>
      </c>
      <c r="E2115" t="str">
        <f t="shared" ref="E2115:E2178" si="33">IF(ISNA(D2115),"",IF(A2115="","",A2115) &amp; "|" &amp; D2115)</f>
        <v>AL031_10|Segment</v>
      </c>
    </row>
    <row r="2116" spans="1:5" x14ac:dyDescent="0.2">
      <c r="A2116" t="s">
        <v>741</v>
      </c>
      <c r="B2116" t="s">
        <v>742</v>
      </c>
      <c r="C2116" t="s">
        <v>331</v>
      </c>
      <c r="D2116" t="str">
        <f>VLOOKUP(C2116,'lookup table'!$A$2:$B$19,2,FALSE)</f>
        <v>FS Item</v>
      </c>
      <c r="E2116" t="str">
        <f t="shared" si="33"/>
        <v>AL031_11|FS Item</v>
      </c>
    </row>
    <row r="2117" spans="1:5" x14ac:dyDescent="0.2">
      <c r="A2117" t="s">
        <v>741</v>
      </c>
      <c r="B2117" t="s">
        <v>742</v>
      </c>
      <c r="C2117" t="s">
        <v>423</v>
      </c>
      <c r="D2117" t="str">
        <f>VLOOKUP(C2117,'lookup table'!$A$2:$B$19,2,FALSE)</f>
        <v>ignore</v>
      </c>
      <c r="E2117" t="str">
        <f t="shared" si="33"/>
        <v>AL031_11|ignore</v>
      </c>
    </row>
    <row r="2118" spans="1:5" x14ac:dyDescent="0.2">
      <c r="A2118" t="s">
        <v>741</v>
      </c>
      <c r="B2118" t="s">
        <v>742</v>
      </c>
      <c r="C2118" t="s">
        <v>451</v>
      </c>
      <c r="D2118" t="str">
        <f>VLOOKUP(C2118,'lookup table'!$A$2:$B$19,2,FALSE)</f>
        <v>Segment</v>
      </c>
      <c r="E2118" t="str">
        <f t="shared" si="33"/>
        <v>AL031_11|Segment</v>
      </c>
    </row>
    <row r="2119" spans="1:5" x14ac:dyDescent="0.2">
      <c r="A2119" t="s">
        <v>743</v>
      </c>
      <c r="B2119" t="s">
        <v>744</v>
      </c>
      <c r="C2119" t="s">
        <v>331</v>
      </c>
      <c r="D2119" t="str">
        <f>VLOOKUP(C2119,'lookup table'!$A$2:$B$19,2,FALSE)</f>
        <v>FS Item</v>
      </c>
      <c r="E2119" t="str">
        <f t="shared" si="33"/>
        <v>AL031_13|FS Item</v>
      </c>
    </row>
    <row r="2120" spans="1:5" x14ac:dyDescent="0.2">
      <c r="A2120" t="s">
        <v>743</v>
      </c>
      <c r="B2120" t="s">
        <v>744</v>
      </c>
      <c r="C2120" t="s">
        <v>423</v>
      </c>
      <c r="D2120" t="str">
        <f>VLOOKUP(C2120,'lookup table'!$A$2:$B$19,2,FALSE)</f>
        <v>ignore</v>
      </c>
      <c r="E2120" t="str">
        <f t="shared" si="33"/>
        <v>AL031_13|ignore</v>
      </c>
    </row>
    <row r="2121" spans="1:5" x14ac:dyDescent="0.2">
      <c r="A2121" t="s">
        <v>743</v>
      </c>
      <c r="B2121" t="s">
        <v>744</v>
      </c>
      <c r="C2121" t="s">
        <v>451</v>
      </c>
      <c r="D2121" t="str">
        <f>VLOOKUP(C2121,'lookup table'!$A$2:$B$19,2,FALSE)</f>
        <v>Segment</v>
      </c>
      <c r="E2121" t="str">
        <f t="shared" si="33"/>
        <v>AL031_13|Segment</v>
      </c>
    </row>
    <row r="2122" spans="1:5" x14ac:dyDescent="0.2">
      <c r="A2122" t="s">
        <v>745</v>
      </c>
      <c r="B2122" t="s">
        <v>746</v>
      </c>
      <c r="C2122" t="s">
        <v>136</v>
      </c>
      <c r="D2122" t="str">
        <f>VLOOKUP(C2122,'lookup table'!$A$2:$B$19,2,FALSE)</f>
        <v>BBA Set</v>
      </c>
      <c r="E2122" t="str">
        <f t="shared" si="33"/>
        <v>AL031_14|BBA Set</v>
      </c>
    </row>
    <row r="2123" spans="1:5" x14ac:dyDescent="0.2">
      <c r="A2123" t="s">
        <v>745</v>
      </c>
      <c r="B2123" t="s">
        <v>746</v>
      </c>
      <c r="C2123" t="s">
        <v>331</v>
      </c>
      <c r="D2123" t="str">
        <f>VLOOKUP(C2123,'lookup table'!$A$2:$B$19,2,FALSE)</f>
        <v>FS Item</v>
      </c>
      <c r="E2123" t="str">
        <f t="shared" si="33"/>
        <v>AL031_14|FS Item</v>
      </c>
    </row>
    <row r="2124" spans="1:5" x14ac:dyDescent="0.2">
      <c r="A2124" t="s">
        <v>745</v>
      </c>
      <c r="B2124" t="s">
        <v>746</v>
      </c>
      <c r="C2124" t="s">
        <v>423</v>
      </c>
      <c r="D2124" t="str">
        <f>VLOOKUP(C2124,'lookup table'!$A$2:$B$19,2,FALSE)</f>
        <v>ignore</v>
      </c>
      <c r="E2124" t="str">
        <f t="shared" si="33"/>
        <v>AL031_14|ignore</v>
      </c>
    </row>
    <row r="2125" spans="1:5" x14ac:dyDescent="0.2">
      <c r="A2125" t="s">
        <v>745</v>
      </c>
      <c r="B2125" t="s">
        <v>746</v>
      </c>
      <c r="C2125" t="s">
        <v>451</v>
      </c>
      <c r="D2125" t="str">
        <f>VLOOKUP(C2125,'lookup table'!$A$2:$B$19,2,FALSE)</f>
        <v>Segment</v>
      </c>
      <c r="E2125" t="str">
        <f t="shared" si="33"/>
        <v>AL031_14|Segment</v>
      </c>
    </row>
    <row r="2126" spans="1:5" x14ac:dyDescent="0.2">
      <c r="A2126" t="s">
        <v>747</v>
      </c>
      <c r="B2126" t="s">
        <v>748</v>
      </c>
      <c r="C2126" t="s">
        <v>331</v>
      </c>
      <c r="D2126" t="str">
        <f>VLOOKUP(C2126,'lookup table'!$A$2:$B$19,2,FALSE)</f>
        <v>FS Item</v>
      </c>
      <c r="E2126" t="str">
        <f t="shared" si="33"/>
        <v>AL034_00|FS Item</v>
      </c>
    </row>
    <row r="2127" spans="1:5" x14ac:dyDescent="0.2">
      <c r="A2127" t="s">
        <v>747</v>
      </c>
      <c r="B2127" t="s">
        <v>748</v>
      </c>
      <c r="C2127" t="s">
        <v>423</v>
      </c>
      <c r="D2127" t="str">
        <f>VLOOKUP(C2127,'lookup table'!$A$2:$B$19,2,FALSE)</f>
        <v>ignore</v>
      </c>
      <c r="E2127" t="str">
        <f t="shared" si="33"/>
        <v>AL034_00|ignore</v>
      </c>
    </row>
    <row r="2128" spans="1:5" x14ac:dyDescent="0.2">
      <c r="A2128" t="s">
        <v>747</v>
      </c>
      <c r="B2128" t="s">
        <v>748</v>
      </c>
      <c r="C2128" t="s">
        <v>425</v>
      </c>
      <c r="D2128" t="str">
        <f>VLOOKUP(C2128,'lookup table'!$A$2:$B$19,2,FALSE)</f>
        <v>Investee Segment</v>
      </c>
      <c r="E2128" t="str">
        <f t="shared" si="33"/>
        <v>AL034_00|Investee Segment</v>
      </c>
    </row>
    <row r="2129" spans="1:5" x14ac:dyDescent="0.2">
      <c r="A2129" t="s">
        <v>747</v>
      </c>
      <c r="B2129" t="s">
        <v>748</v>
      </c>
      <c r="C2129" t="s">
        <v>426</v>
      </c>
      <c r="D2129" t="str">
        <f>VLOOKUP(C2129,'lookup table'!$A$2:$B$19,2,FALSE)</f>
        <v>Investee Unit</v>
      </c>
      <c r="E2129" t="str">
        <f t="shared" si="33"/>
        <v>AL034_00|Investee Unit</v>
      </c>
    </row>
    <row r="2130" spans="1:5" x14ac:dyDescent="0.2">
      <c r="A2130" t="s">
        <v>747</v>
      </c>
      <c r="B2130" t="s">
        <v>748</v>
      </c>
      <c r="C2130" t="s">
        <v>438</v>
      </c>
      <c r="D2130" t="str">
        <f>VLOOKUP(C2130,'lookup table'!$A$2:$B$19,2,FALSE)</f>
        <v>ToM</v>
      </c>
      <c r="E2130" t="str">
        <f t="shared" si="33"/>
        <v>AL034_00|ToM</v>
      </c>
    </row>
    <row r="2131" spans="1:5" x14ac:dyDescent="0.2">
      <c r="A2131" t="s">
        <v>747</v>
      </c>
      <c r="B2131" t="s">
        <v>748</v>
      </c>
      <c r="C2131" t="s">
        <v>441</v>
      </c>
      <c r="D2131" t="str">
        <f>VLOOKUP(C2131,'lookup table'!$A$2:$B$19,2,FALSE)</f>
        <v>Partner Segment</v>
      </c>
      <c r="E2131" t="str">
        <f t="shared" si="33"/>
        <v>AL034_00|Partner Segment</v>
      </c>
    </row>
    <row r="2132" spans="1:5" x14ac:dyDescent="0.2">
      <c r="A2132" t="s">
        <v>747</v>
      </c>
      <c r="B2132" t="s">
        <v>748</v>
      </c>
      <c r="C2132" t="s">
        <v>442</v>
      </c>
      <c r="D2132" t="str">
        <f>VLOOKUP(C2132,'lookup table'!$A$2:$B$19,2,FALSE)</f>
        <v>Partner Unit</v>
      </c>
      <c r="E2132" t="str">
        <f t="shared" si="33"/>
        <v>AL034_00|Partner Unit</v>
      </c>
    </row>
    <row r="2133" spans="1:5" x14ac:dyDescent="0.2">
      <c r="A2133" t="s">
        <v>749</v>
      </c>
      <c r="B2133" t="s">
        <v>750</v>
      </c>
      <c r="C2133" t="s">
        <v>331</v>
      </c>
      <c r="D2133" t="str">
        <f>VLOOKUP(C2133,'lookup table'!$A$2:$B$19,2,FALSE)</f>
        <v>FS Item</v>
      </c>
      <c r="E2133" t="str">
        <f t="shared" si="33"/>
        <v>AL035_00|FS Item</v>
      </c>
    </row>
    <row r="2134" spans="1:5" x14ac:dyDescent="0.2">
      <c r="A2134" t="s">
        <v>749</v>
      </c>
      <c r="B2134" t="s">
        <v>750</v>
      </c>
      <c r="C2134" t="s">
        <v>423</v>
      </c>
      <c r="D2134" t="str">
        <f>VLOOKUP(C2134,'lookup table'!$A$2:$B$19,2,FALSE)</f>
        <v>ignore</v>
      </c>
      <c r="E2134" t="str">
        <f t="shared" si="33"/>
        <v>AL035_00|ignore</v>
      </c>
    </row>
    <row r="2135" spans="1:5" x14ac:dyDescent="0.2">
      <c r="A2135" t="s">
        <v>749</v>
      </c>
      <c r="B2135" t="s">
        <v>750</v>
      </c>
      <c r="C2135" t="s">
        <v>438</v>
      </c>
      <c r="D2135" t="str">
        <f>VLOOKUP(C2135,'lookup table'!$A$2:$B$19,2,FALSE)</f>
        <v>ToM</v>
      </c>
      <c r="E2135" t="str">
        <f t="shared" si="33"/>
        <v>AL035_00|ToM</v>
      </c>
    </row>
    <row r="2136" spans="1:5" x14ac:dyDescent="0.2">
      <c r="A2136" t="s">
        <v>751</v>
      </c>
      <c r="B2136" t="s">
        <v>752</v>
      </c>
      <c r="C2136" t="s">
        <v>20</v>
      </c>
      <c r="D2136" t="str">
        <f>VLOOKUP(C2136,'lookup table'!$A$2:$B$19,2,FALSE)</f>
        <v>AY</v>
      </c>
      <c r="E2136" t="str">
        <f t="shared" si="33"/>
        <v>AL036_00|AY</v>
      </c>
    </row>
    <row r="2137" spans="1:5" x14ac:dyDescent="0.2">
      <c r="A2137" t="s">
        <v>751</v>
      </c>
      <c r="B2137" t="s">
        <v>752</v>
      </c>
      <c r="C2137" t="s">
        <v>136</v>
      </c>
      <c r="D2137" t="str">
        <f>VLOOKUP(C2137,'lookup table'!$A$2:$B$19,2,FALSE)</f>
        <v>BBA Set</v>
      </c>
      <c r="E2137" t="str">
        <f t="shared" si="33"/>
        <v>AL036_00|BBA Set</v>
      </c>
    </row>
    <row r="2138" spans="1:5" x14ac:dyDescent="0.2">
      <c r="A2138" t="s">
        <v>751</v>
      </c>
      <c r="B2138" t="s">
        <v>752</v>
      </c>
      <c r="C2138" t="s">
        <v>331</v>
      </c>
      <c r="D2138" t="str">
        <f>VLOOKUP(C2138,'lookup table'!$A$2:$B$19,2,FALSE)</f>
        <v>FS Item</v>
      </c>
      <c r="E2138" t="str">
        <f t="shared" si="33"/>
        <v>AL036_00|FS Item</v>
      </c>
    </row>
    <row r="2139" spans="1:5" x14ac:dyDescent="0.2">
      <c r="A2139" t="s">
        <v>751</v>
      </c>
      <c r="B2139" t="s">
        <v>752</v>
      </c>
      <c r="C2139" t="s">
        <v>423</v>
      </c>
      <c r="D2139" t="str">
        <f>VLOOKUP(C2139,'lookup table'!$A$2:$B$19,2,FALSE)</f>
        <v>ignore</v>
      </c>
      <c r="E2139" t="str">
        <f t="shared" si="33"/>
        <v>AL036_00|ignore</v>
      </c>
    </row>
    <row r="2140" spans="1:5" x14ac:dyDescent="0.2">
      <c r="A2140" t="s">
        <v>751</v>
      </c>
      <c r="B2140" t="s">
        <v>752</v>
      </c>
      <c r="C2140" t="s">
        <v>428</v>
      </c>
      <c r="D2140" t="str">
        <f>VLOOKUP(C2140,'lookup table'!$A$2:$B$19,2,FALSE)</f>
        <v>LoB</v>
      </c>
      <c r="E2140" t="str">
        <f t="shared" si="33"/>
        <v>AL036_00|LoB</v>
      </c>
    </row>
    <row r="2141" spans="1:5" x14ac:dyDescent="0.2">
      <c r="A2141" t="s">
        <v>751</v>
      </c>
      <c r="B2141" t="s">
        <v>752</v>
      </c>
      <c r="C2141" t="s">
        <v>441</v>
      </c>
      <c r="D2141" t="str">
        <f>VLOOKUP(C2141,'lookup table'!$A$2:$B$19,2,FALSE)</f>
        <v>Partner Segment</v>
      </c>
      <c r="E2141" t="str">
        <f t="shared" si="33"/>
        <v>AL036_00|Partner Segment</v>
      </c>
    </row>
    <row r="2142" spans="1:5" x14ac:dyDescent="0.2">
      <c r="A2142" t="s">
        <v>751</v>
      </c>
      <c r="B2142" t="s">
        <v>752</v>
      </c>
      <c r="C2142" t="s">
        <v>442</v>
      </c>
      <c r="D2142" t="str">
        <f>VLOOKUP(C2142,'lookup table'!$A$2:$B$19,2,FALSE)</f>
        <v>Partner Unit</v>
      </c>
      <c r="E2142" t="str">
        <f t="shared" si="33"/>
        <v>AL036_00|Partner Unit</v>
      </c>
    </row>
    <row r="2143" spans="1:5" x14ac:dyDescent="0.2">
      <c r="A2143" t="s">
        <v>751</v>
      </c>
      <c r="B2143" t="s">
        <v>752</v>
      </c>
      <c r="C2143" t="s">
        <v>461</v>
      </c>
      <c r="D2143" t="str">
        <f>VLOOKUP(C2143,'lookup table'!$A$2:$B$19,2,FALSE)</f>
        <v>Posting Level</v>
      </c>
      <c r="E2143" t="str">
        <f t="shared" si="33"/>
        <v>AL036_00|Posting Level</v>
      </c>
    </row>
    <row r="2144" spans="1:5" x14ac:dyDescent="0.2">
      <c r="A2144" t="s">
        <v>753</v>
      </c>
      <c r="B2144" t="s">
        <v>754</v>
      </c>
      <c r="C2144" t="s">
        <v>20</v>
      </c>
      <c r="D2144" t="str">
        <f>VLOOKUP(C2144,'lookup table'!$A$2:$B$19,2,FALSE)</f>
        <v>AY</v>
      </c>
      <c r="E2144" t="str">
        <f t="shared" si="33"/>
        <v>AL036_01|AY</v>
      </c>
    </row>
    <row r="2145" spans="1:5" x14ac:dyDescent="0.2">
      <c r="A2145" t="s">
        <v>753</v>
      </c>
      <c r="B2145" t="s">
        <v>754</v>
      </c>
      <c r="C2145" t="s">
        <v>136</v>
      </c>
      <c r="D2145" t="str">
        <f>VLOOKUP(C2145,'lookup table'!$A$2:$B$19,2,FALSE)</f>
        <v>BBA Set</v>
      </c>
      <c r="E2145" t="str">
        <f t="shared" si="33"/>
        <v>AL036_01|BBA Set</v>
      </c>
    </row>
    <row r="2146" spans="1:5" x14ac:dyDescent="0.2">
      <c r="A2146" t="s">
        <v>753</v>
      </c>
      <c r="B2146" t="s">
        <v>754</v>
      </c>
      <c r="C2146" t="s">
        <v>331</v>
      </c>
      <c r="D2146" t="str">
        <f>VLOOKUP(C2146,'lookup table'!$A$2:$B$19,2,FALSE)</f>
        <v>FS Item</v>
      </c>
      <c r="E2146" t="str">
        <f t="shared" si="33"/>
        <v>AL036_01|FS Item</v>
      </c>
    </row>
    <row r="2147" spans="1:5" x14ac:dyDescent="0.2">
      <c r="A2147" t="s">
        <v>753</v>
      </c>
      <c r="B2147" t="s">
        <v>754</v>
      </c>
      <c r="C2147" t="s">
        <v>423</v>
      </c>
      <c r="D2147" t="str">
        <f>VLOOKUP(C2147,'lookup table'!$A$2:$B$19,2,FALSE)</f>
        <v>ignore</v>
      </c>
      <c r="E2147" t="str">
        <f t="shared" si="33"/>
        <v>AL036_01|ignore</v>
      </c>
    </row>
    <row r="2148" spans="1:5" x14ac:dyDescent="0.2">
      <c r="A2148" t="s">
        <v>753</v>
      </c>
      <c r="B2148" t="s">
        <v>754</v>
      </c>
      <c r="C2148" t="s">
        <v>428</v>
      </c>
      <c r="D2148" t="str">
        <f>VLOOKUP(C2148,'lookup table'!$A$2:$B$19,2,FALSE)</f>
        <v>LoB</v>
      </c>
      <c r="E2148" t="str">
        <f t="shared" si="33"/>
        <v>AL036_01|LoB</v>
      </c>
    </row>
    <row r="2149" spans="1:5" x14ac:dyDescent="0.2">
      <c r="A2149" t="s">
        <v>753</v>
      </c>
      <c r="B2149" t="s">
        <v>754</v>
      </c>
      <c r="C2149" t="s">
        <v>441</v>
      </c>
      <c r="D2149" t="str">
        <f>VLOOKUP(C2149,'lookup table'!$A$2:$B$19,2,FALSE)</f>
        <v>Partner Segment</v>
      </c>
      <c r="E2149" t="str">
        <f t="shared" si="33"/>
        <v>AL036_01|Partner Segment</v>
      </c>
    </row>
    <row r="2150" spans="1:5" x14ac:dyDescent="0.2">
      <c r="A2150" t="s">
        <v>753</v>
      </c>
      <c r="B2150" t="s">
        <v>754</v>
      </c>
      <c r="C2150" t="s">
        <v>442</v>
      </c>
      <c r="D2150" t="str">
        <f>VLOOKUP(C2150,'lookup table'!$A$2:$B$19,2,FALSE)</f>
        <v>Partner Unit</v>
      </c>
      <c r="E2150" t="str">
        <f t="shared" si="33"/>
        <v>AL036_01|Partner Unit</v>
      </c>
    </row>
    <row r="2151" spans="1:5" x14ac:dyDescent="0.2">
      <c r="A2151" t="s">
        <v>753</v>
      </c>
      <c r="B2151" t="s">
        <v>754</v>
      </c>
      <c r="C2151" t="s">
        <v>461</v>
      </c>
      <c r="D2151" t="str">
        <f>VLOOKUP(C2151,'lookup table'!$A$2:$B$19,2,FALSE)</f>
        <v>Posting Level</v>
      </c>
      <c r="E2151" t="str">
        <f t="shared" si="33"/>
        <v>AL036_01|Posting Level</v>
      </c>
    </row>
    <row r="2152" spans="1:5" x14ac:dyDescent="0.2">
      <c r="A2152" t="s">
        <v>755</v>
      </c>
      <c r="B2152" t="s">
        <v>756</v>
      </c>
      <c r="C2152" t="s">
        <v>20</v>
      </c>
      <c r="D2152" t="str">
        <f>VLOOKUP(C2152,'lookup table'!$A$2:$B$19,2,FALSE)</f>
        <v>AY</v>
      </c>
      <c r="E2152" t="str">
        <f t="shared" si="33"/>
        <v>AL036_02|AY</v>
      </c>
    </row>
    <row r="2153" spans="1:5" x14ac:dyDescent="0.2">
      <c r="A2153" t="s">
        <v>755</v>
      </c>
      <c r="B2153" t="s">
        <v>756</v>
      </c>
      <c r="C2153" t="s">
        <v>136</v>
      </c>
      <c r="D2153" t="str">
        <f>VLOOKUP(C2153,'lookup table'!$A$2:$B$19,2,FALSE)</f>
        <v>BBA Set</v>
      </c>
      <c r="E2153" t="str">
        <f t="shared" si="33"/>
        <v>AL036_02|BBA Set</v>
      </c>
    </row>
    <row r="2154" spans="1:5" x14ac:dyDescent="0.2">
      <c r="A2154" t="s">
        <v>755</v>
      </c>
      <c r="B2154" t="s">
        <v>756</v>
      </c>
      <c r="C2154" t="s">
        <v>331</v>
      </c>
      <c r="D2154" t="str">
        <f>VLOOKUP(C2154,'lookup table'!$A$2:$B$19,2,FALSE)</f>
        <v>FS Item</v>
      </c>
      <c r="E2154" t="str">
        <f t="shared" si="33"/>
        <v>AL036_02|FS Item</v>
      </c>
    </row>
    <row r="2155" spans="1:5" x14ac:dyDescent="0.2">
      <c r="A2155" t="s">
        <v>755</v>
      </c>
      <c r="B2155" t="s">
        <v>756</v>
      </c>
      <c r="C2155" t="s">
        <v>423</v>
      </c>
      <c r="D2155" t="str">
        <f>VLOOKUP(C2155,'lookup table'!$A$2:$B$19,2,FALSE)</f>
        <v>ignore</v>
      </c>
      <c r="E2155" t="str">
        <f t="shared" si="33"/>
        <v>AL036_02|ignore</v>
      </c>
    </row>
    <row r="2156" spans="1:5" x14ac:dyDescent="0.2">
      <c r="A2156" t="s">
        <v>755</v>
      </c>
      <c r="B2156" t="s">
        <v>756</v>
      </c>
      <c r="C2156" t="s">
        <v>428</v>
      </c>
      <c r="D2156" t="str">
        <f>VLOOKUP(C2156,'lookup table'!$A$2:$B$19,2,FALSE)</f>
        <v>LoB</v>
      </c>
      <c r="E2156" t="str">
        <f t="shared" si="33"/>
        <v>AL036_02|LoB</v>
      </c>
    </row>
    <row r="2157" spans="1:5" x14ac:dyDescent="0.2">
      <c r="A2157" t="s">
        <v>755</v>
      </c>
      <c r="B2157" t="s">
        <v>756</v>
      </c>
      <c r="C2157" t="s">
        <v>441</v>
      </c>
      <c r="D2157" t="str">
        <f>VLOOKUP(C2157,'lookup table'!$A$2:$B$19,2,FALSE)</f>
        <v>Partner Segment</v>
      </c>
      <c r="E2157" t="str">
        <f t="shared" si="33"/>
        <v>AL036_02|Partner Segment</v>
      </c>
    </row>
    <row r="2158" spans="1:5" x14ac:dyDescent="0.2">
      <c r="A2158" t="s">
        <v>755</v>
      </c>
      <c r="B2158" t="s">
        <v>756</v>
      </c>
      <c r="C2158" t="s">
        <v>442</v>
      </c>
      <c r="D2158" t="str">
        <f>VLOOKUP(C2158,'lookup table'!$A$2:$B$19,2,FALSE)</f>
        <v>Partner Unit</v>
      </c>
      <c r="E2158" t="str">
        <f t="shared" si="33"/>
        <v>AL036_02|Partner Unit</v>
      </c>
    </row>
    <row r="2159" spans="1:5" x14ac:dyDescent="0.2">
      <c r="A2159" t="s">
        <v>755</v>
      </c>
      <c r="B2159" t="s">
        <v>756</v>
      </c>
      <c r="C2159" t="s">
        <v>461</v>
      </c>
      <c r="D2159" t="str">
        <f>VLOOKUP(C2159,'lookup table'!$A$2:$B$19,2,FALSE)</f>
        <v>Posting Level</v>
      </c>
      <c r="E2159" t="str">
        <f t="shared" si="33"/>
        <v>AL036_02|Posting Level</v>
      </c>
    </row>
    <row r="2160" spans="1:5" x14ac:dyDescent="0.2">
      <c r="A2160" t="s">
        <v>757</v>
      </c>
      <c r="B2160" t="s">
        <v>752</v>
      </c>
      <c r="C2160" t="s">
        <v>20</v>
      </c>
      <c r="D2160" t="str">
        <f>VLOOKUP(C2160,'lookup table'!$A$2:$B$19,2,FALSE)</f>
        <v>AY</v>
      </c>
      <c r="E2160" t="str">
        <f t="shared" si="33"/>
        <v>AL036_09|AY</v>
      </c>
    </row>
    <row r="2161" spans="1:5" x14ac:dyDescent="0.2">
      <c r="A2161" t="s">
        <v>757</v>
      </c>
      <c r="B2161" t="s">
        <v>752</v>
      </c>
      <c r="C2161" t="s">
        <v>136</v>
      </c>
      <c r="D2161" t="str">
        <f>VLOOKUP(C2161,'lookup table'!$A$2:$B$19,2,FALSE)</f>
        <v>BBA Set</v>
      </c>
      <c r="E2161" t="str">
        <f t="shared" si="33"/>
        <v>AL036_09|BBA Set</v>
      </c>
    </row>
    <row r="2162" spans="1:5" x14ac:dyDescent="0.2">
      <c r="A2162" t="s">
        <v>757</v>
      </c>
      <c r="B2162" t="s">
        <v>752</v>
      </c>
      <c r="C2162" t="s">
        <v>331</v>
      </c>
      <c r="D2162" t="str">
        <f>VLOOKUP(C2162,'lookup table'!$A$2:$B$19,2,FALSE)</f>
        <v>FS Item</v>
      </c>
      <c r="E2162" t="str">
        <f t="shared" si="33"/>
        <v>AL036_09|FS Item</v>
      </c>
    </row>
    <row r="2163" spans="1:5" x14ac:dyDescent="0.2">
      <c r="A2163" t="s">
        <v>757</v>
      </c>
      <c r="B2163" t="s">
        <v>752</v>
      </c>
      <c r="C2163" t="s">
        <v>423</v>
      </c>
      <c r="D2163" t="str">
        <f>VLOOKUP(C2163,'lookup table'!$A$2:$B$19,2,FALSE)</f>
        <v>ignore</v>
      </c>
      <c r="E2163" t="str">
        <f t="shared" si="33"/>
        <v>AL036_09|ignore</v>
      </c>
    </row>
    <row r="2164" spans="1:5" x14ac:dyDescent="0.2">
      <c r="A2164" t="s">
        <v>757</v>
      </c>
      <c r="B2164" t="s">
        <v>752</v>
      </c>
      <c r="C2164" t="s">
        <v>428</v>
      </c>
      <c r="D2164" t="str">
        <f>VLOOKUP(C2164,'lookup table'!$A$2:$B$19,2,FALSE)</f>
        <v>LoB</v>
      </c>
      <c r="E2164" t="str">
        <f t="shared" si="33"/>
        <v>AL036_09|LoB</v>
      </c>
    </row>
    <row r="2165" spans="1:5" x14ac:dyDescent="0.2">
      <c r="A2165" t="s">
        <v>757</v>
      </c>
      <c r="B2165" t="s">
        <v>752</v>
      </c>
      <c r="C2165" t="s">
        <v>441</v>
      </c>
      <c r="D2165" t="str">
        <f>VLOOKUP(C2165,'lookup table'!$A$2:$B$19,2,FALSE)</f>
        <v>Partner Segment</v>
      </c>
      <c r="E2165" t="str">
        <f t="shared" si="33"/>
        <v>AL036_09|Partner Segment</v>
      </c>
    </row>
    <row r="2166" spans="1:5" x14ac:dyDescent="0.2">
      <c r="A2166" t="s">
        <v>757</v>
      </c>
      <c r="B2166" t="s">
        <v>752</v>
      </c>
      <c r="C2166" t="s">
        <v>442</v>
      </c>
      <c r="D2166" t="str">
        <f>VLOOKUP(C2166,'lookup table'!$A$2:$B$19,2,FALSE)</f>
        <v>Partner Unit</v>
      </c>
      <c r="E2166" t="str">
        <f t="shared" si="33"/>
        <v>AL036_09|Partner Unit</v>
      </c>
    </row>
    <row r="2167" spans="1:5" x14ac:dyDescent="0.2">
      <c r="A2167" t="s">
        <v>757</v>
      </c>
      <c r="B2167" t="s">
        <v>752</v>
      </c>
      <c r="C2167" t="s">
        <v>461</v>
      </c>
      <c r="D2167" t="str">
        <f>VLOOKUP(C2167,'lookup table'!$A$2:$B$19,2,FALSE)</f>
        <v>Posting Level</v>
      </c>
      <c r="E2167" t="str">
        <f t="shared" si="33"/>
        <v>AL036_09|Posting Level</v>
      </c>
    </row>
    <row r="2168" spans="1:5" x14ac:dyDescent="0.2">
      <c r="A2168" t="s">
        <v>758</v>
      </c>
      <c r="B2168" t="s">
        <v>759</v>
      </c>
      <c r="C2168" t="s">
        <v>20</v>
      </c>
      <c r="D2168" t="str">
        <f>VLOOKUP(C2168,'lookup table'!$A$2:$B$19,2,FALSE)</f>
        <v>AY</v>
      </c>
      <c r="E2168" t="str">
        <f t="shared" si="33"/>
        <v>AL036_10|AY</v>
      </c>
    </row>
    <row r="2169" spans="1:5" x14ac:dyDescent="0.2">
      <c r="A2169" t="s">
        <v>758</v>
      </c>
      <c r="B2169" t="s">
        <v>759</v>
      </c>
      <c r="C2169" t="s">
        <v>136</v>
      </c>
      <c r="D2169" t="str">
        <f>VLOOKUP(C2169,'lookup table'!$A$2:$B$19,2,FALSE)</f>
        <v>BBA Set</v>
      </c>
      <c r="E2169" t="str">
        <f t="shared" si="33"/>
        <v>AL036_10|BBA Set</v>
      </c>
    </row>
    <row r="2170" spans="1:5" x14ac:dyDescent="0.2">
      <c r="A2170" t="s">
        <v>758</v>
      </c>
      <c r="B2170" t="s">
        <v>759</v>
      </c>
      <c r="C2170" t="s">
        <v>331</v>
      </c>
      <c r="D2170" t="str">
        <f>VLOOKUP(C2170,'lookup table'!$A$2:$B$19,2,FALSE)</f>
        <v>FS Item</v>
      </c>
      <c r="E2170" t="str">
        <f t="shared" si="33"/>
        <v>AL036_10|FS Item</v>
      </c>
    </row>
    <row r="2171" spans="1:5" x14ac:dyDescent="0.2">
      <c r="A2171" t="s">
        <v>758</v>
      </c>
      <c r="B2171" t="s">
        <v>759</v>
      </c>
      <c r="C2171" t="s">
        <v>423</v>
      </c>
      <c r="D2171" t="str">
        <f>VLOOKUP(C2171,'lookup table'!$A$2:$B$19,2,FALSE)</f>
        <v>ignore</v>
      </c>
      <c r="E2171" t="str">
        <f t="shared" si="33"/>
        <v>AL036_10|ignore</v>
      </c>
    </row>
    <row r="2172" spans="1:5" x14ac:dyDescent="0.2">
      <c r="A2172" t="s">
        <v>758</v>
      </c>
      <c r="B2172" t="s">
        <v>759</v>
      </c>
      <c r="C2172" t="s">
        <v>428</v>
      </c>
      <c r="D2172" t="str">
        <f>VLOOKUP(C2172,'lookup table'!$A$2:$B$19,2,FALSE)</f>
        <v>LoB</v>
      </c>
      <c r="E2172" t="str">
        <f t="shared" si="33"/>
        <v>AL036_10|LoB</v>
      </c>
    </row>
    <row r="2173" spans="1:5" x14ac:dyDescent="0.2">
      <c r="A2173" t="s">
        <v>758</v>
      </c>
      <c r="B2173" t="s">
        <v>759</v>
      </c>
      <c r="C2173" t="s">
        <v>441</v>
      </c>
      <c r="D2173" t="str">
        <f>VLOOKUP(C2173,'lookup table'!$A$2:$B$19,2,FALSE)</f>
        <v>Partner Segment</v>
      </c>
      <c r="E2173" t="str">
        <f t="shared" si="33"/>
        <v>AL036_10|Partner Segment</v>
      </c>
    </row>
    <row r="2174" spans="1:5" x14ac:dyDescent="0.2">
      <c r="A2174" t="s">
        <v>758</v>
      </c>
      <c r="B2174" t="s">
        <v>759</v>
      </c>
      <c r="C2174" t="s">
        <v>442</v>
      </c>
      <c r="D2174" t="str">
        <f>VLOOKUP(C2174,'lookup table'!$A$2:$B$19,2,FALSE)</f>
        <v>Partner Unit</v>
      </c>
      <c r="E2174" t="str">
        <f t="shared" si="33"/>
        <v>AL036_10|Partner Unit</v>
      </c>
    </row>
    <row r="2175" spans="1:5" x14ac:dyDescent="0.2">
      <c r="A2175" t="s">
        <v>758</v>
      </c>
      <c r="B2175" t="s">
        <v>759</v>
      </c>
      <c r="C2175" t="s">
        <v>461</v>
      </c>
      <c r="D2175" t="str">
        <f>VLOOKUP(C2175,'lookup table'!$A$2:$B$19,2,FALSE)</f>
        <v>Posting Level</v>
      </c>
      <c r="E2175" t="str">
        <f t="shared" si="33"/>
        <v>AL036_10|Posting Level</v>
      </c>
    </row>
    <row r="2176" spans="1:5" x14ac:dyDescent="0.2">
      <c r="A2176" t="s">
        <v>760</v>
      </c>
      <c r="B2176" t="s">
        <v>761</v>
      </c>
      <c r="C2176" t="s">
        <v>20</v>
      </c>
      <c r="D2176" t="str">
        <f>VLOOKUP(C2176,'lookup table'!$A$2:$B$19,2,FALSE)</f>
        <v>AY</v>
      </c>
      <c r="E2176" t="str">
        <f t="shared" si="33"/>
        <v>AL036_13|AY</v>
      </c>
    </row>
    <row r="2177" spans="1:5" x14ac:dyDescent="0.2">
      <c r="A2177" t="s">
        <v>760</v>
      </c>
      <c r="B2177" t="s">
        <v>761</v>
      </c>
      <c r="C2177" t="s">
        <v>331</v>
      </c>
      <c r="D2177" t="str">
        <f>VLOOKUP(C2177,'lookup table'!$A$2:$B$19,2,FALSE)</f>
        <v>FS Item</v>
      </c>
      <c r="E2177" t="str">
        <f t="shared" si="33"/>
        <v>AL036_13|FS Item</v>
      </c>
    </row>
    <row r="2178" spans="1:5" x14ac:dyDescent="0.2">
      <c r="A2178" t="s">
        <v>760</v>
      </c>
      <c r="B2178" t="s">
        <v>761</v>
      </c>
      <c r="C2178" t="s">
        <v>423</v>
      </c>
      <c r="D2178" t="str">
        <f>VLOOKUP(C2178,'lookup table'!$A$2:$B$19,2,FALSE)</f>
        <v>ignore</v>
      </c>
      <c r="E2178" t="str">
        <f t="shared" si="33"/>
        <v>AL036_13|ignore</v>
      </c>
    </row>
    <row r="2179" spans="1:5" x14ac:dyDescent="0.2">
      <c r="A2179" t="s">
        <v>760</v>
      </c>
      <c r="B2179" t="s">
        <v>761</v>
      </c>
      <c r="C2179" t="s">
        <v>428</v>
      </c>
      <c r="D2179" t="str">
        <f>VLOOKUP(C2179,'lookup table'!$A$2:$B$19,2,FALSE)</f>
        <v>LoB</v>
      </c>
      <c r="E2179" t="str">
        <f t="shared" ref="E2179:E2242" si="34">IF(ISNA(D2179),"",IF(A2179="","",A2179) &amp; "|" &amp; D2179)</f>
        <v>AL036_13|LoB</v>
      </c>
    </row>
    <row r="2180" spans="1:5" x14ac:dyDescent="0.2">
      <c r="A2180" t="s">
        <v>760</v>
      </c>
      <c r="B2180" t="s">
        <v>761</v>
      </c>
      <c r="C2180" t="s">
        <v>441</v>
      </c>
      <c r="D2180" t="str">
        <f>VLOOKUP(C2180,'lookup table'!$A$2:$B$19,2,FALSE)</f>
        <v>Partner Segment</v>
      </c>
      <c r="E2180" t="str">
        <f t="shared" si="34"/>
        <v>AL036_13|Partner Segment</v>
      </c>
    </row>
    <row r="2181" spans="1:5" x14ac:dyDescent="0.2">
      <c r="A2181" t="s">
        <v>760</v>
      </c>
      <c r="B2181" t="s">
        <v>761</v>
      </c>
      <c r="C2181" t="s">
        <v>442</v>
      </c>
      <c r="D2181" t="str">
        <f>VLOOKUP(C2181,'lookup table'!$A$2:$B$19,2,FALSE)</f>
        <v>Partner Unit</v>
      </c>
      <c r="E2181" t="str">
        <f t="shared" si="34"/>
        <v>AL036_13|Partner Unit</v>
      </c>
    </row>
    <row r="2182" spans="1:5" x14ac:dyDescent="0.2">
      <c r="A2182" t="s">
        <v>760</v>
      </c>
      <c r="B2182" t="s">
        <v>761</v>
      </c>
      <c r="C2182" t="s">
        <v>461</v>
      </c>
      <c r="D2182" t="str">
        <f>VLOOKUP(C2182,'lookup table'!$A$2:$B$19,2,FALSE)</f>
        <v>Posting Level</v>
      </c>
      <c r="E2182" t="str">
        <f t="shared" si="34"/>
        <v>AL036_13|Posting Level</v>
      </c>
    </row>
    <row r="2183" spans="1:5" x14ac:dyDescent="0.2">
      <c r="A2183" t="s">
        <v>762</v>
      </c>
      <c r="B2183" t="s">
        <v>763</v>
      </c>
      <c r="C2183" t="s">
        <v>20</v>
      </c>
      <c r="D2183" t="str">
        <f>VLOOKUP(C2183,'lookup table'!$A$2:$B$19,2,FALSE)</f>
        <v>AY</v>
      </c>
      <c r="E2183" t="str">
        <f t="shared" si="34"/>
        <v>AL036_14|AY</v>
      </c>
    </row>
    <row r="2184" spans="1:5" x14ac:dyDescent="0.2">
      <c r="A2184" t="s">
        <v>762</v>
      </c>
      <c r="B2184" t="s">
        <v>763</v>
      </c>
      <c r="C2184" t="s">
        <v>136</v>
      </c>
      <c r="D2184" t="str">
        <f>VLOOKUP(C2184,'lookup table'!$A$2:$B$19,2,FALSE)</f>
        <v>BBA Set</v>
      </c>
      <c r="E2184" t="str">
        <f t="shared" si="34"/>
        <v>AL036_14|BBA Set</v>
      </c>
    </row>
    <row r="2185" spans="1:5" x14ac:dyDescent="0.2">
      <c r="A2185" t="s">
        <v>762</v>
      </c>
      <c r="B2185" t="s">
        <v>763</v>
      </c>
      <c r="C2185" t="s">
        <v>331</v>
      </c>
      <c r="D2185" t="str">
        <f>VLOOKUP(C2185,'lookup table'!$A$2:$B$19,2,FALSE)</f>
        <v>FS Item</v>
      </c>
      <c r="E2185" t="str">
        <f t="shared" si="34"/>
        <v>AL036_14|FS Item</v>
      </c>
    </row>
    <row r="2186" spans="1:5" x14ac:dyDescent="0.2">
      <c r="A2186" t="s">
        <v>762</v>
      </c>
      <c r="B2186" t="s">
        <v>763</v>
      </c>
      <c r="C2186" t="s">
        <v>423</v>
      </c>
      <c r="D2186" t="str">
        <f>VLOOKUP(C2186,'lookup table'!$A$2:$B$19,2,FALSE)</f>
        <v>ignore</v>
      </c>
      <c r="E2186" t="str">
        <f t="shared" si="34"/>
        <v>AL036_14|ignore</v>
      </c>
    </row>
    <row r="2187" spans="1:5" x14ac:dyDescent="0.2">
      <c r="A2187" t="s">
        <v>762</v>
      </c>
      <c r="B2187" t="s">
        <v>763</v>
      </c>
      <c r="C2187" t="s">
        <v>428</v>
      </c>
      <c r="D2187" t="str">
        <f>VLOOKUP(C2187,'lookup table'!$A$2:$B$19,2,FALSE)</f>
        <v>LoB</v>
      </c>
      <c r="E2187" t="str">
        <f t="shared" si="34"/>
        <v>AL036_14|LoB</v>
      </c>
    </row>
    <row r="2188" spans="1:5" x14ac:dyDescent="0.2">
      <c r="A2188" t="s">
        <v>762</v>
      </c>
      <c r="B2188" t="s">
        <v>763</v>
      </c>
      <c r="C2188" t="s">
        <v>441</v>
      </c>
      <c r="D2188" t="str">
        <f>VLOOKUP(C2188,'lookup table'!$A$2:$B$19,2,FALSE)</f>
        <v>Partner Segment</v>
      </c>
      <c r="E2188" t="str">
        <f t="shared" si="34"/>
        <v>AL036_14|Partner Segment</v>
      </c>
    </row>
    <row r="2189" spans="1:5" x14ac:dyDescent="0.2">
      <c r="A2189" t="s">
        <v>762</v>
      </c>
      <c r="B2189" t="s">
        <v>763</v>
      </c>
      <c r="C2189" t="s">
        <v>442</v>
      </c>
      <c r="D2189" t="str">
        <f>VLOOKUP(C2189,'lookup table'!$A$2:$B$19,2,FALSE)</f>
        <v>Partner Unit</v>
      </c>
      <c r="E2189" t="str">
        <f t="shared" si="34"/>
        <v>AL036_14|Partner Unit</v>
      </c>
    </row>
    <row r="2190" spans="1:5" x14ac:dyDescent="0.2">
      <c r="A2190" t="s">
        <v>762</v>
      </c>
      <c r="B2190" t="s">
        <v>763</v>
      </c>
      <c r="C2190" t="s">
        <v>461</v>
      </c>
      <c r="D2190" t="str">
        <f>VLOOKUP(C2190,'lookup table'!$A$2:$B$19,2,FALSE)</f>
        <v>Posting Level</v>
      </c>
      <c r="E2190" t="str">
        <f t="shared" si="34"/>
        <v>AL036_14|Posting Level</v>
      </c>
    </row>
    <row r="2191" spans="1:5" x14ac:dyDescent="0.2">
      <c r="A2191" t="s">
        <v>764</v>
      </c>
      <c r="B2191" t="s">
        <v>765</v>
      </c>
      <c r="C2191" t="s">
        <v>20</v>
      </c>
      <c r="D2191" t="str">
        <f>VLOOKUP(C2191,'lookup table'!$A$2:$B$19,2,FALSE)</f>
        <v>AY</v>
      </c>
      <c r="E2191" t="str">
        <f t="shared" si="34"/>
        <v>AL036_17|AY</v>
      </c>
    </row>
    <row r="2192" spans="1:5" x14ac:dyDescent="0.2">
      <c r="A2192" t="s">
        <v>764</v>
      </c>
      <c r="B2192" t="s">
        <v>765</v>
      </c>
      <c r="C2192" t="s">
        <v>136</v>
      </c>
      <c r="D2192" t="str">
        <f>VLOOKUP(C2192,'lookup table'!$A$2:$B$19,2,FALSE)</f>
        <v>BBA Set</v>
      </c>
      <c r="E2192" t="str">
        <f t="shared" si="34"/>
        <v>AL036_17|BBA Set</v>
      </c>
    </row>
    <row r="2193" spans="1:5" x14ac:dyDescent="0.2">
      <c r="A2193" t="s">
        <v>764</v>
      </c>
      <c r="B2193" t="s">
        <v>765</v>
      </c>
      <c r="C2193" t="s">
        <v>331</v>
      </c>
      <c r="D2193" t="str">
        <f>VLOOKUP(C2193,'lookup table'!$A$2:$B$19,2,FALSE)</f>
        <v>FS Item</v>
      </c>
      <c r="E2193" t="str">
        <f t="shared" si="34"/>
        <v>AL036_17|FS Item</v>
      </c>
    </row>
    <row r="2194" spans="1:5" x14ac:dyDescent="0.2">
      <c r="A2194" t="s">
        <v>764</v>
      </c>
      <c r="B2194" t="s">
        <v>765</v>
      </c>
      <c r="C2194" t="s">
        <v>423</v>
      </c>
      <c r="D2194" t="str">
        <f>VLOOKUP(C2194,'lookup table'!$A$2:$B$19,2,FALSE)</f>
        <v>ignore</v>
      </c>
      <c r="E2194" t="str">
        <f t="shared" si="34"/>
        <v>AL036_17|ignore</v>
      </c>
    </row>
    <row r="2195" spans="1:5" x14ac:dyDescent="0.2">
      <c r="A2195" t="s">
        <v>764</v>
      </c>
      <c r="B2195" t="s">
        <v>765</v>
      </c>
      <c r="C2195" t="s">
        <v>428</v>
      </c>
      <c r="D2195" t="str">
        <f>VLOOKUP(C2195,'lookup table'!$A$2:$B$19,2,FALSE)</f>
        <v>LoB</v>
      </c>
      <c r="E2195" t="str">
        <f t="shared" si="34"/>
        <v>AL036_17|LoB</v>
      </c>
    </row>
    <row r="2196" spans="1:5" x14ac:dyDescent="0.2">
      <c r="A2196" t="s">
        <v>764</v>
      </c>
      <c r="B2196" t="s">
        <v>765</v>
      </c>
      <c r="C2196" t="s">
        <v>441</v>
      </c>
      <c r="D2196" t="str">
        <f>VLOOKUP(C2196,'lookup table'!$A$2:$B$19,2,FALSE)</f>
        <v>Partner Segment</v>
      </c>
      <c r="E2196" t="str">
        <f t="shared" si="34"/>
        <v>AL036_17|Partner Segment</v>
      </c>
    </row>
    <row r="2197" spans="1:5" x14ac:dyDescent="0.2">
      <c r="A2197" t="s">
        <v>764</v>
      </c>
      <c r="B2197" t="s">
        <v>765</v>
      </c>
      <c r="C2197" t="s">
        <v>442</v>
      </c>
      <c r="D2197" t="str">
        <f>VLOOKUP(C2197,'lookup table'!$A$2:$B$19,2,FALSE)</f>
        <v>Partner Unit</v>
      </c>
      <c r="E2197" t="str">
        <f t="shared" si="34"/>
        <v>AL036_17|Partner Unit</v>
      </c>
    </row>
    <row r="2198" spans="1:5" x14ac:dyDescent="0.2">
      <c r="A2198" t="s">
        <v>764</v>
      </c>
      <c r="B2198" t="s">
        <v>765</v>
      </c>
      <c r="C2198" t="s">
        <v>461</v>
      </c>
      <c r="D2198" t="str">
        <f>VLOOKUP(C2198,'lookup table'!$A$2:$B$19,2,FALSE)</f>
        <v>Posting Level</v>
      </c>
      <c r="E2198" t="str">
        <f t="shared" si="34"/>
        <v>AL036_17|Posting Level</v>
      </c>
    </row>
    <row r="2199" spans="1:5" x14ac:dyDescent="0.2">
      <c r="A2199" t="s">
        <v>766</v>
      </c>
      <c r="B2199" t="s">
        <v>767</v>
      </c>
      <c r="C2199" t="s">
        <v>20</v>
      </c>
      <c r="D2199" t="str">
        <f>VLOOKUP(C2199,'lookup table'!$A$2:$B$19,2,FALSE)</f>
        <v>AY</v>
      </c>
      <c r="E2199" t="str">
        <f t="shared" si="34"/>
        <v>AL036_18|AY</v>
      </c>
    </row>
    <row r="2200" spans="1:5" x14ac:dyDescent="0.2">
      <c r="A2200" t="s">
        <v>766</v>
      </c>
      <c r="B2200" t="s">
        <v>767</v>
      </c>
      <c r="C2200" t="s">
        <v>136</v>
      </c>
      <c r="D2200" t="str">
        <f>VLOOKUP(C2200,'lookup table'!$A$2:$B$19,2,FALSE)</f>
        <v>BBA Set</v>
      </c>
      <c r="E2200" t="str">
        <f t="shared" si="34"/>
        <v>AL036_18|BBA Set</v>
      </c>
    </row>
    <row r="2201" spans="1:5" x14ac:dyDescent="0.2">
      <c r="A2201" t="s">
        <v>766</v>
      </c>
      <c r="B2201" t="s">
        <v>767</v>
      </c>
      <c r="C2201" t="s">
        <v>331</v>
      </c>
      <c r="D2201" t="str">
        <f>VLOOKUP(C2201,'lookup table'!$A$2:$B$19,2,FALSE)</f>
        <v>FS Item</v>
      </c>
      <c r="E2201" t="str">
        <f t="shared" si="34"/>
        <v>AL036_18|FS Item</v>
      </c>
    </row>
    <row r="2202" spans="1:5" x14ac:dyDescent="0.2">
      <c r="A2202" t="s">
        <v>766</v>
      </c>
      <c r="B2202" t="s">
        <v>767</v>
      </c>
      <c r="C2202" t="s">
        <v>423</v>
      </c>
      <c r="D2202" t="str">
        <f>VLOOKUP(C2202,'lookup table'!$A$2:$B$19,2,FALSE)</f>
        <v>ignore</v>
      </c>
      <c r="E2202" t="str">
        <f t="shared" si="34"/>
        <v>AL036_18|ignore</v>
      </c>
    </row>
    <row r="2203" spans="1:5" x14ac:dyDescent="0.2">
      <c r="A2203" t="s">
        <v>766</v>
      </c>
      <c r="B2203" t="s">
        <v>767</v>
      </c>
      <c r="C2203" t="s">
        <v>428</v>
      </c>
      <c r="D2203" t="str">
        <f>VLOOKUP(C2203,'lookup table'!$A$2:$B$19,2,FALSE)</f>
        <v>LoB</v>
      </c>
      <c r="E2203" t="str">
        <f t="shared" si="34"/>
        <v>AL036_18|LoB</v>
      </c>
    </row>
    <row r="2204" spans="1:5" x14ac:dyDescent="0.2">
      <c r="A2204" t="s">
        <v>766</v>
      </c>
      <c r="B2204" t="s">
        <v>767</v>
      </c>
      <c r="C2204" t="s">
        <v>441</v>
      </c>
      <c r="D2204" t="str">
        <f>VLOOKUP(C2204,'lookup table'!$A$2:$B$19,2,FALSE)</f>
        <v>Partner Segment</v>
      </c>
      <c r="E2204" t="str">
        <f t="shared" si="34"/>
        <v>AL036_18|Partner Segment</v>
      </c>
    </row>
    <row r="2205" spans="1:5" x14ac:dyDescent="0.2">
      <c r="A2205" t="s">
        <v>766</v>
      </c>
      <c r="B2205" t="s">
        <v>767</v>
      </c>
      <c r="C2205" t="s">
        <v>442</v>
      </c>
      <c r="D2205" t="str">
        <f>VLOOKUP(C2205,'lookup table'!$A$2:$B$19,2,FALSE)</f>
        <v>Partner Unit</v>
      </c>
      <c r="E2205" t="str">
        <f t="shared" si="34"/>
        <v>AL036_18|Partner Unit</v>
      </c>
    </row>
    <row r="2206" spans="1:5" x14ac:dyDescent="0.2">
      <c r="A2206" t="s">
        <v>766</v>
      </c>
      <c r="B2206" t="s">
        <v>767</v>
      </c>
      <c r="C2206" t="s">
        <v>461</v>
      </c>
      <c r="D2206" t="str">
        <f>VLOOKUP(C2206,'lookup table'!$A$2:$B$19,2,FALSE)</f>
        <v>Posting Level</v>
      </c>
      <c r="E2206" t="str">
        <f t="shared" si="34"/>
        <v>AL036_18|Posting Level</v>
      </c>
    </row>
    <row r="2207" spans="1:5" x14ac:dyDescent="0.2">
      <c r="A2207" t="s">
        <v>768</v>
      </c>
      <c r="B2207" t="s">
        <v>769</v>
      </c>
      <c r="C2207" t="s">
        <v>20</v>
      </c>
      <c r="D2207" t="str">
        <f>VLOOKUP(C2207,'lookup table'!$A$2:$B$19,2,FALSE)</f>
        <v>AY</v>
      </c>
      <c r="E2207" t="str">
        <f t="shared" si="34"/>
        <v>AL036_19|AY</v>
      </c>
    </row>
    <row r="2208" spans="1:5" x14ac:dyDescent="0.2">
      <c r="A2208" t="s">
        <v>768</v>
      </c>
      <c r="B2208" t="s">
        <v>769</v>
      </c>
      <c r="C2208" t="s">
        <v>331</v>
      </c>
      <c r="D2208" t="str">
        <f>VLOOKUP(C2208,'lookup table'!$A$2:$B$19,2,FALSE)</f>
        <v>FS Item</v>
      </c>
      <c r="E2208" t="str">
        <f t="shared" si="34"/>
        <v>AL036_19|FS Item</v>
      </c>
    </row>
    <row r="2209" spans="1:5" x14ac:dyDescent="0.2">
      <c r="A2209" t="s">
        <v>768</v>
      </c>
      <c r="B2209" t="s">
        <v>769</v>
      </c>
      <c r="C2209" t="s">
        <v>423</v>
      </c>
      <c r="D2209" t="str">
        <f>VLOOKUP(C2209,'lookup table'!$A$2:$B$19,2,FALSE)</f>
        <v>ignore</v>
      </c>
      <c r="E2209" t="str">
        <f t="shared" si="34"/>
        <v>AL036_19|ignore</v>
      </c>
    </row>
    <row r="2210" spans="1:5" x14ac:dyDescent="0.2">
      <c r="A2210" t="s">
        <v>768</v>
      </c>
      <c r="B2210" t="s">
        <v>769</v>
      </c>
      <c r="C2210" t="s">
        <v>428</v>
      </c>
      <c r="D2210" t="str">
        <f>VLOOKUP(C2210,'lookup table'!$A$2:$B$19,2,FALSE)</f>
        <v>LoB</v>
      </c>
      <c r="E2210" t="str">
        <f t="shared" si="34"/>
        <v>AL036_19|LoB</v>
      </c>
    </row>
    <row r="2211" spans="1:5" x14ac:dyDescent="0.2">
      <c r="A2211" t="s">
        <v>768</v>
      </c>
      <c r="B2211" t="s">
        <v>769</v>
      </c>
      <c r="C2211" t="s">
        <v>441</v>
      </c>
      <c r="D2211" t="str">
        <f>VLOOKUP(C2211,'lookup table'!$A$2:$B$19,2,FALSE)</f>
        <v>Partner Segment</v>
      </c>
      <c r="E2211" t="str">
        <f t="shared" si="34"/>
        <v>AL036_19|Partner Segment</v>
      </c>
    </row>
    <row r="2212" spans="1:5" x14ac:dyDescent="0.2">
      <c r="A2212" t="s">
        <v>768</v>
      </c>
      <c r="B2212" t="s">
        <v>769</v>
      </c>
      <c r="C2212" t="s">
        <v>442</v>
      </c>
      <c r="D2212" t="str">
        <f>VLOOKUP(C2212,'lookup table'!$A$2:$B$19,2,FALSE)</f>
        <v>Partner Unit</v>
      </c>
      <c r="E2212" t="str">
        <f t="shared" si="34"/>
        <v>AL036_19|Partner Unit</v>
      </c>
    </row>
    <row r="2213" spans="1:5" x14ac:dyDescent="0.2">
      <c r="A2213" t="s">
        <v>768</v>
      </c>
      <c r="B2213" t="s">
        <v>769</v>
      </c>
      <c r="C2213" t="s">
        <v>461</v>
      </c>
      <c r="D2213" t="str">
        <f>VLOOKUP(C2213,'lookup table'!$A$2:$B$19,2,FALSE)</f>
        <v>Posting Level</v>
      </c>
      <c r="E2213" t="str">
        <f t="shared" si="34"/>
        <v>AL036_19|Posting Level</v>
      </c>
    </row>
    <row r="2214" spans="1:5" x14ac:dyDescent="0.2">
      <c r="A2214" t="s">
        <v>770</v>
      </c>
      <c r="B2214" t="s">
        <v>771</v>
      </c>
      <c r="C2214" t="s">
        <v>20</v>
      </c>
      <c r="D2214" t="str">
        <f>VLOOKUP(C2214,'lookup table'!$A$2:$B$19,2,FALSE)</f>
        <v>AY</v>
      </c>
      <c r="E2214" t="str">
        <f t="shared" si="34"/>
        <v>AL036_70|AY</v>
      </c>
    </row>
    <row r="2215" spans="1:5" x14ac:dyDescent="0.2">
      <c r="A2215" t="s">
        <v>770</v>
      </c>
      <c r="B2215" t="s">
        <v>771</v>
      </c>
      <c r="C2215" t="s">
        <v>136</v>
      </c>
      <c r="D2215" t="str">
        <f>VLOOKUP(C2215,'lookup table'!$A$2:$B$19,2,FALSE)</f>
        <v>BBA Set</v>
      </c>
      <c r="E2215" t="str">
        <f t="shared" si="34"/>
        <v>AL036_70|BBA Set</v>
      </c>
    </row>
    <row r="2216" spans="1:5" x14ac:dyDescent="0.2">
      <c r="A2216" t="s">
        <v>770</v>
      </c>
      <c r="B2216" t="s">
        <v>771</v>
      </c>
      <c r="C2216" t="s">
        <v>331</v>
      </c>
      <c r="D2216" t="str">
        <f>VLOOKUP(C2216,'lookup table'!$A$2:$B$19,2,FALSE)</f>
        <v>FS Item</v>
      </c>
      <c r="E2216" t="str">
        <f t="shared" si="34"/>
        <v>AL036_70|FS Item</v>
      </c>
    </row>
    <row r="2217" spans="1:5" x14ac:dyDescent="0.2">
      <c r="A2217" t="s">
        <v>770</v>
      </c>
      <c r="B2217" t="s">
        <v>771</v>
      </c>
      <c r="C2217" t="s">
        <v>423</v>
      </c>
      <c r="D2217" t="str">
        <f>VLOOKUP(C2217,'lookup table'!$A$2:$B$19,2,FALSE)</f>
        <v>ignore</v>
      </c>
      <c r="E2217" t="str">
        <f t="shared" si="34"/>
        <v>AL036_70|ignore</v>
      </c>
    </row>
    <row r="2218" spans="1:5" x14ac:dyDescent="0.2">
      <c r="A2218" t="s">
        <v>770</v>
      </c>
      <c r="B2218" t="s">
        <v>771</v>
      </c>
      <c r="C2218" t="s">
        <v>428</v>
      </c>
      <c r="D2218" t="str">
        <f>VLOOKUP(C2218,'lookup table'!$A$2:$B$19,2,FALSE)</f>
        <v>LoB</v>
      </c>
      <c r="E2218" t="str">
        <f t="shared" si="34"/>
        <v>AL036_70|LoB</v>
      </c>
    </row>
    <row r="2219" spans="1:5" x14ac:dyDescent="0.2">
      <c r="A2219" t="s">
        <v>770</v>
      </c>
      <c r="B2219" t="s">
        <v>771</v>
      </c>
      <c r="C2219" t="s">
        <v>441</v>
      </c>
      <c r="D2219" t="str">
        <f>VLOOKUP(C2219,'lookup table'!$A$2:$B$19,2,FALSE)</f>
        <v>Partner Segment</v>
      </c>
      <c r="E2219" t="str">
        <f t="shared" si="34"/>
        <v>AL036_70|Partner Segment</v>
      </c>
    </row>
    <row r="2220" spans="1:5" x14ac:dyDescent="0.2">
      <c r="A2220" t="s">
        <v>770</v>
      </c>
      <c r="B2220" t="s">
        <v>771</v>
      </c>
      <c r="C2220" t="s">
        <v>442</v>
      </c>
      <c r="D2220" t="str">
        <f>VLOOKUP(C2220,'lookup table'!$A$2:$B$19,2,FALSE)</f>
        <v>Partner Unit</v>
      </c>
      <c r="E2220" t="str">
        <f t="shared" si="34"/>
        <v>AL036_70|Partner Unit</v>
      </c>
    </row>
    <row r="2221" spans="1:5" x14ac:dyDescent="0.2">
      <c r="A2221" t="s">
        <v>770</v>
      </c>
      <c r="B2221" t="s">
        <v>771</v>
      </c>
      <c r="C2221" t="s">
        <v>461</v>
      </c>
      <c r="D2221" t="str">
        <f>VLOOKUP(C2221,'lookup table'!$A$2:$B$19,2,FALSE)</f>
        <v>Posting Level</v>
      </c>
      <c r="E2221" t="str">
        <f t="shared" si="34"/>
        <v>AL036_70|Posting Level</v>
      </c>
    </row>
    <row r="2222" spans="1:5" x14ac:dyDescent="0.2">
      <c r="A2222" t="s">
        <v>772</v>
      </c>
      <c r="B2222" t="s">
        <v>773</v>
      </c>
      <c r="C2222" t="s">
        <v>20</v>
      </c>
      <c r="D2222" t="str">
        <f>VLOOKUP(C2222,'lookup table'!$A$2:$B$19,2,FALSE)</f>
        <v>AY</v>
      </c>
      <c r="E2222" t="str">
        <f t="shared" si="34"/>
        <v>AL036_80|AY</v>
      </c>
    </row>
    <row r="2223" spans="1:5" x14ac:dyDescent="0.2">
      <c r="A2223" t="s">
        <v>772</v>
      </c>
      <c r="B2223" t="s">
        <v>773</v>
      </c>
      <c r="C2223" t="s">
        <v>331</v>
      </c>
      <c r="D2223" t="str">
        <f>VLOOKUP(C2223,'lookup table'!$A$2:$B$19,2,FALSE)</f>
        <v>FS Item</v>
      </c>
      <c r="E2223" t="str">
        <f t="shared" si="34"/>
        <v>AL036_80|FS Item</v>
      </c>
    </row>
    <row r="2224" spans="1:5" x14ac:dyDescent="0.2">
      <c r="A2224" t="s">
        <v>772</v>
      </c>
      <c r="B2224" t="s">
        <v>773</v>
      </c>
      <c r="C2224" t="s">
        <v>423</v>
      </c>
      <c r="D2224" t="str">
        <f>VLOOKUP(C2224,'lookup table'!$A$2:$B$19,2,FALSE)</f>
        <v>ignore</v>
      </c>
      <c r="E2224" t="str">
        <f t="shared" si="34"/>
        <v>AL036_80|ignore</v>
      </c>
    </row>
    <row r="2225" spans="1:5" x14ac:dyDescent="0.2">
      <c r="A2225" t="s">
        <v>772</v>
      </c>
      <c r="B2225" t="s">
        <v>773</v>
      </c>
      <c r="C2225" t="s">
        <v>428</v>
      </c>
      <c r="D2225" t="str">
        <f>VLOOKUP(C2225,'lookup table'!$A$2:$B$19,2,FALSE)</f>
        <v>LoB</v>
      </c>
      <c r="E2225" t="str">
        <f t="shared" si="34"/>
        <v>AL036_80|LoB</v>
      </c>
    </row>
    <row r="2226" spans="1:5" x14ac:dyDescent="0.2">
      <c r="A2226" t="s">
        <v>772</v>
      </c>
      <c r="B2226" t="s">
        <v>773</v>
      </c>
      <c r="C2226" t="s">
        <v>442</v>
      </c>
      <c r="D2226" t="str">
        <f>VLOOKUP(C2226,'lookup table'!$A$2:$B$19,2,FALSE)</f>
        <v>Partner Unit</v>
      </c>
      <c r="E2226" t="str">
        <f t="shared" si="34"/>
        <v>AL036_80|Partner Unit</v>
      </c>
    </row>
    <row r="2227" spans="1:5" x14ac:dyDescent="0.2">
      <c r="A2227" t="s">
        <v>772</v>
      </c>
      <c r="B2227" t="s">
        <v>773</v>
      </c>
      <c r="C2227" t="s">
        <v>461</v>
      </c>
      <c r="D2227" t="str">
        <f>VLOOKUP(C2227,'lookup table'!$A$2:$B$19,2,FALSE)</f>
        <v>Posting Level</v>
      </c>
      <c r="E2227" t="str">
        <f t="shared" si="34"/>
        <v>AL036_80|Posting Level</v>
      </c>
    </row>
    <row r="2228" spans="1:5" x14ac:dyDescent="0.2">
      <c r="A2228" t="s">
        <v>774</v>
      </c>
      <c r="B2228" t="s">
        <v>775</v>
      </c>
      <c r="C2228" t="s">
        <v>20</v>
      </c>
      <c r="D2228" t="str">
        <f>VLOOKUP(C2228,'lookup table'!$A$2:$B$19,2,FALSE)</f>
        <v>AY</v>
      </c>
      <c r="E2228" t="str">
        <f t="shared" si="34"/>
        <v>AL037_00|AY</v>
      </c>
    </row>
    <row r="2229" spans="1:5" x14ac:dyDescent="0.2">
      <c r="A2229" t="s">
        <v>774</v>
      </c>
      <c r="B2229" t="s">
        <v>775</v>
      </c>
      <c r="C2229" t="s">
        <v>331</v>
      </c>
      <c r="D2229" t="str">
        <f>VLOOKUP(C2229,'lookup table'!$A$2:$B$19,2,FALSE)</f>
        <v>FS Item</v>
      </c>
      <c r="E2229" t="str">
        <f t="shared" si="34"/>
        <v>AL037_00|FS Item</v>
      </c>
    </row>
    <row r="2230" spans="1:5" x14ac:dyDescent="0.2">
      <c r="A2230" t="s">
        <v>774</v>
      </c>
      <c r="B2230" t="s">
        <v>775</v>
      </c>
      <c r="C2230" t="s">
        <v>423</v>
      </c>
      <c r="D2230" t="str">
        <f>VLOOKUP(C2230,'lookup table'!$A$2:$B$19,2,FALSE)</f>
        <v>ignore</v>
      </c>
      <c r="E2230" t="str">
        <f t="shared" si="34"/>
        <v>AL037_00|ignore</v>
      </c>
    </row>
    <row r="2231" spans="1:5" x14ac:dyDescent="0.2">
      <c r="A2231" t="s">
        <v>774</v>
      </c>
      <c r="B2231" t="s">
        <v>775</v>
      </c>
      <c r="C2231" t="s">
        <v>428</v>
      </c>
      <c r="D2231" t="str">
        <f>VLOOKUP(C2231,'lookup table'!$A$2:$B$19,2,FALSE)</f>
        <v>LoB</v>
      </c>
      <c r="E2231" t="str">
        <f t="shared" si="34"/>
        <v>AL037_00|LoB</v>
      </c>
    </row>
    <row r="2232" spans="1:5" x14ac:dyDescent="0.2">
      <c r="A2232" t="s">
        <v>774</v>
      </c>
      <c r="B2232" t="s">
        <v>775</v>
      </c>
      <c r="C2232" t="s">
        <v>442</v>
      </c>
      <c r="D2232" t="str">
        <f>VLOOKUP(C2232,'lookup table'!$A$2:$B$19,2,FALSE)</f>
        <v>Partner Unit</v>
      </c>
      <c r="E2232" t="str">
        <f t="shared" si="34"/>
        <v>AL037_00|Partner Unit</v>
      </c>
    </row>
    <row r="2233" spans="1:5" x14ac:dyDescent="0.2">
      <c r="A2233" t="s">
        <v>774</v>
      </c>
      <c r="B2233" t="s">
        <v>775</v>
      </c>
      <c r="C2233" t="s">
        <v>461</v>
      </c>
      <c r="D2233" t="str">
        <f>VLOOKUP(C2233,'lookup table'!$A$2:$B$19,2,FALSE)</f>
        <v>Posting Level</v>
      </c>
      <c r="E2233" t="str">
        <f t="shared" si="34"/>
        <v>AL037_00|Posting Level</v>
      </c>
    </row>
    <row r="2234" spans="1:5" x14ac:dyDescent="0.2">
      <c r="A2234" t="s">
        <v>776</v>
      </c>
      <c r="B2234" t="s">
        <v>777</v>
      </c>
      <c r="C2234" t="s">
        <v>20</v>
      </c>
      <c r="D2234" t="str">
        <f>VLOOKUP(C2234,'lookup table'!$A$2:$B$19,2,FALSE)</f>
        <v>AY</v>
      </c>
      <c r="E2234" t="str">
        <f t="shared" si="34"/>
        <v>AL037_10|AY</v>
      </c>
    </row>
    <row r="2235" spans="1:5" x14ac:dyDescent="0.2">
      <c r="A2235" t="s">
        <v>776</v>
      </c>
      <c r="B2235" t="s">
        <v>777</v>
      </c>
      <c r="C2235" t="s">
        <v>331</v>
      </c>
      <c r="D2235" t="str">
        <f>VLOOKUP(C2235,'lookup table'!$A$2:$B$19,2,FALSE)</f>
        <v>FS Item</v>
      </c>
      <c r="E2235" t="str">
        <f t="shared" si="34"/>
        <v>AL037_10|FS Item</v>
      </c>
    </row>
    <row r="2236" spans="1:5" x14ac:dyDescent="0.2">
      <c r="A2236" t="s">
        <v>776</v>
      </c>
      <c r="B2236" t="s">
        <v>777</v>
      </c>
      <c r="C2236" t="s">
        <v>423</v>
      </c>
      <c r="D2236" t="str">
        <f>VLOOKUP(C2236,'lookup table'!$A$2:$B$19,2,FALSE)</f>
        <v>ignore</v>
      </c>
      <c r="E2236" t="str">
        <f t="shared" si="34"/>
        <v>AL037_10|ignore</v>
      </c>
    </row>
    <row r="2237" spans="1:5" x14ac:dyDescent="0.2">
      <c r="A2237" t="s">
        <v>776</v>
      </c>
      <c r="B2237" t="s">
        <v>777</v>
      </c>
      <c r="C2237" t="s">
        <v>428</v>
      </c>
      <c r="D2237" t="str">
        <f>VLOOKUP(C2237,'lookup table'!$A$2:$B$19,2,FALSE)</f>
        <v>LoB</v>
      </c>
      <c r="E2237" t="str">
        <f t="shared" si="34"/>
        <v>AL037_10|LoB</v>
      </c>
    </row>
    <row r="2238" spans="1:5" x14ac:dyDescent="0.2">
      <c r="A2238" t="s">
        <v>776</v>
      </c>
      <c r="B2238" t="s">
        <v>777</v>
      </c>
      <c r="C2238" t="s">
        <v>442</v>
      </c>
      <c r="D2238" t="str">
        <f>VLOOKUP(C2238,'lookup table'!$A$2:$B$19,2,FALSE)</f>
        <v>Partner Unit</v>
      </c>
      <c r="E2238" t="str">
        <f t="shared" si="34"/>
        <v>AL037_10|Partner Unit</v>
      </c>
    </row>
    <row r="2239" spans="1:5" x14ac:dyDescent="0.2">
      <c r="A2239" t="s">
        <v>776</v>
      </c>
      <c r="B2239" t="s">
        <v>777</v>
      </c>
      <c r="C2239" t="s">
        <v>461</v>
      </c>
      <c r="D2239" t="str">
        <f>VLOOKUP(C2239,'lookup table'!$A$2:$B$19,2,FALSE)</f>
        <v>Posting Level</v>
      </c>
      <c r="E2239" t="str">
        <f t="shared" si="34"/>
        <v>AL037_10|Posting Level</v>
      </c>
    </row>
    <row r="2240" spans="1:5" x14ac:dyDescent="0.2">
      <c r="A2240" t="s">
        <v>778</v>
      </c>
      <c r="B2240" t="s">
        <v>779</v>
      </c>
      <c r="C2240" t="s">
        <v>20</v>
      </c>
      <c r="D2240" t="str">
        <f>VLOOKUP(C2240,'lookup table'!$A$2:$B$19,2,FALSE)</f>
        <v>AY</v>
      </c>
      <c r="E2240" t="str">
        <f t="shared" si="34"/>
        <v>AL037_17|AY</v>
      </c>
    </row>
    <row r="2241" spans="1:5" x14ac:dyDescent="0.2">
      <c r="A2241" t="s">
        <v>778</v>
      </c>
      <c r="B2241" t="s">
        <v>779</v>
      </c>
      <c r="C2241" t="s">
        <v>136</v>
      </c>
      <c r="D2241" t="str">
        <f>VLOOKUP(C2241,'lookup table'!$A$2:$B$19,2,FALSE)</f>
        <v>BBA Set</v>
      </c>
      <c r="E2241" t="str">
        <f t="shared" si="34"/>
        <v>AL037_17|BBA Set</v>
      </c>
    </row>
    <row r="2242" spans="1:5" x14ac:dyDescent="0.2">
      <c r="A2242" t="s">
        <v>778</v>
      </c>
      <c r="B2242" t="s">
        <v>779</v>
      </c>
      <c r="C2242" t="s">
        <v>331</v>
      </c>
      <c r="D2242" t="str">
        <f>VLOOKUP(C2242,'lookup table'!$A$2:$B$19,2,FALSE)</f>
        <v>FS Item</v>
      </c>
      <c r="E2242" t="str">
        <f t="shared" si="34"/>
        <v>AL037_17|FS Item</v>
      </c>
    </row>
    <row r="2243" spans="1:5" x14ac:dyDescent="0.2">
      <c r="A2243" t="s">
        <v>778</v>
      </c>
      <c r="B2243" t="s">
        <v>779</v>
      </c>
      <c r="C2243" t="s">
        <v>423</v>
      </c>
      <c r="D2243" t="str">
        <f>VLOOKUP(C2243,'lookup table'!$A$2:$B$19,2,FALSE)</f>
        <v>ignore</v>
      </c>
      <c r="E2243" t="str">
        <f t="shared" ref="E2243:E2306" si="35">IF(ISNA(D2243),"",IF(A2243="","",A2243) &amp; "|" &amp; D2243)</f>
        <v>AL037_17|ignore</v>
      </c>
    </row>
    <row r="2244" spans="1:5" x14ac:dyDescent="0.2">
      <c r="A2244" t="s">
        <v>778</v>
      </c>
      <c r="B2244" t="s">
        <v>779</v>
      </c>
      <c r="C2244" t="s">
        <v>428</v>
      </c>
      <c r="D2244" t="str">
        <f>VLOOKUP(C2244,'lookup table'!$A$2:$B$19,2,FALSE)</f>
        <v>LoB</v>
      </c>
      <c r="E2244" t="str">
        <f t="shared" si="35"/>
        <v>AL037_17|LoB</v>
      </c>
    </row>
    <row r="2245" spans="1:5" x14ac:dyDescent="0.2">
      <c r="A2245" t="s">
        <v>778</v>
      </c>
      <c r="B2245" t="s">
        <v>779</v>
      </c>
      <c r="C2245" t="s">
        <v>442</v>
      </c>
      <c r="D2245" t="str">
        <f>VLOOKUP(C2245,'lookup table'!$A$2:$B$19,2,FALSE)</f>
        <v>Partner Unit</v>
      </c>
      <c r="E2245" t="str">
        <f t="shared" si="35"/>
        <v>AL037_17|Partner Unit</v>
      </c>
    </row>
    <row r="2246" spans="1:5" x14ac:dyDescent="0.2">
      <c r="A2246" t="s">
        <v>778</v>
      </c>
      <c r="B2246" t="s">
        <v>779</v>
      </c>
      <c r="C2246" t="s">
        <v>461</v>
      </c>
      <c r="D2246" t="str">
        <f>VLOOKUP(C2246,'lookup table'!$A$2:$B$19,2,FALSE)</f>
        <v>Posting Level</v>
      </c>
      <c r="E2246" t="str">
        <f t="shared" si="35"/>
        <v>AL037_17|Posting Level</v>
      </c>
    </row>
    <row r="2247" spans="1:5" x14ac:dyDescent="0.2">
      <c r="A2247" t="s">
        <v>780</v>
      </c>
      <c r="B2247" t="s">
        <v>781</v>
      </c>
      <c r="C2247" t="s">
        <v>20</v>
      </c>
      <c r="D2247" t="str">
        <f>VLOOKUP(C2247,'lookup table'!$A$2:$B$19,2,FALSE)</f>
        <v>AY</v>
      </c>
      <c r="E2247" t="str">
        <f t="shared" si="35"/>
        <v>AL037_18|AY</v>
      </c>
    </row>
    <row r="2248" spans="1:5" x14ac:dyDescent="0.2">
      <c r="A2248" t="s">
        <v>780</v>
      </c>
      <c r="B2248" t="s">
        <v>781</v>
      </c>
      <c r="C2248" t="s">
        <v>136</v>
      </c>
      <c r="D2248" t="str">
        <f>VLOOKUP(C2248,'lookup table'!$A$2:$B$19,2,FALSE)</f>
        <v>BBA Set</v>
      </c>
      <c r="E2248" t="str">
        <f t="shared" si="35"/>
        <v>AL037_18|BBA Set</v>
      </c>
    </row>
    <row r="2249" spans="1:5" x14ac:dyDescent="0.2">
      <c r="A2249" t="s">
        <v>780</v>
      </c>
      <c r="B2249" t="s">
        <v>781</v>
      </c>
      <c r="C2249" t="s">
        <v>331</v>
      </c>
      <c r="D2249" t="str">
        <f>VLOOKUP(C2249,'lookup table'!$A$2:$B$19,2,FALSE)</f>
        <v>FS Item</v>
      </c>
      <c r="E2249" t="str">
        <f t="shared" si="35"/>
        <v>AL037_18|FS Item</v>
      </c>
    </row>
    <row r="2250" spans="1:5" x14ac:dyDescent="0.2">
      <c r="A2250" t="s">
        <v>780</v>
      </c>
      <c r="B2250" t="s">
        <v>781</v>
      </c>
      <c r="C2250" t="s">
        <v>423</v>
      </c>
      <c r="D2250" t="str">
        <f>VLOOKUP(C2250,'lookup table'!$A$2:$B$19,2,FALSE)</f>
        <v>ignore</v>
      </c>
      <c r="E2250" t="str">
        <f t="shared" si="35"/>
        <v>AL037_18|ignore</v>
      </c>
    </row>
    <row r="2251" spans="1:5" x14ac:dyDescent="0.2">
      <c r="A2251" t="s">
        <v>780</v>
      </c>
      <c r="B2251" t="s">
        <v>781</v>
      </c>
      <c r="C2251" t="s">
        <v>428</v>
      </c>
      <c r="D2251" t="str">
        <f>VLOOKUP(C2251,'lookup table'!$A$2:$B$19,2,FALSE)</f>
        <v>LoB</v>
      </c>
      <c r="E2251" t="str">
        <f t="shared" si="35"/>
        <v>AL037_18|LoB</v>
      </c>
    </row>
    <row r="2252" spans="1:5" x14ac:dyDescent="0.2">
      <c r="A2252" t="s">
        <v>780</v>
      </c>
      <c r="B2252" t="s">
        <v>781</v>
      </c>
      <c r="C2252" t="s">
        <v>442</v>
      </c>
      <c r="D2252" t="str">
        <f>VLOOKUP(C2252,'lookup table'!$A$2:$B$19,2,FALSE)</f>
        <v>Partner Unit</v>
      </c>
      <c r="E2252" t="str">
        <f t="shared" si="35"/>
        <v>AL037_18|Partner Unit</v>
      </c>
    </row>
    <row r="2253" spans="1:5" x14ac:dyDescent="0.2">
      <c r="A2253" t="s">
        <v>780</v>
      </c>
      <c r="B2253" t="s">
        <v>781</v>
      </c>
      <c r="C2253" t="s">
        <v>461</v>
      </c>
      <c r="D2253" t="str">
        <f>VLOOKUP(C2253,'lookup table'!$A$2:$B$19,2,FALSE)</f>
        <v>Posting Level</v>
      </c>
      <c r="E2253" t="str">
        <f t="shared" si="35"/>
        <v>AL037_18|Posting Level</v>
      </c>
    </row>
    <row r="2254" spans="1:5" x14ac:dyDescent="0.2">
      <c r="A2254" t="s">
        <v>782</v>
      </c>
      <c r="B2254" t="s">
        <v>783</v>
      </c>
      <c r="C2254" t="s">
        <v>20</v>
      </c>
      <c r="D2254" t="str">
        <f>VLOOKUP(C2254,'lookup table'!$A$2:$B$19,2,FALSE)</f>
        <v>AY</v>
      </c>
      <c r="E2254" t="str">
        <f t="shared" si="35"/>
        <v>AL037_19|AY</v>
      </c>
    </row>
    <row r="2255" spans="1:5" x14ac:dyDescent="0.2">
      <c r="A2255" t="s">
        <v>782</v>
      </c>
      <c r="B2255" t="s">
        <v>783</v>
      </c>
      <c r="C2255" t="s">
        <v>136</v>
      </c>
      <c r="D2255" t="str">
        <f>VLOOKUP(C2255,'lookup table'!$A$2:$B$19,2,FALSE)</f>
        <v>BBA Set</v>
      </c>
      <c r="E2255" t="str">
        <f t="shared" si="35"/>
        <v>AL037_19|BBA Set</v>
      </c>
    </row>
    <row r="2256" spans="1:5" x14ac:dyDescent="0.2">
      <c r="A2256" t="s">
        <v>782</v>
      </c>
      <c r="B2256" t="s">
        <v>783</v>
      </c>
      <c r="C2256" t="s">
        <v>331</v>
      </c>
      <c r="D2256" t="str">
        <f>VLOOKUP(C2256,'lookup table'!$A$2:$B$19,2,FALSE)</f>
        <v>FS Item</v>
      </c>
      <c r="E2256" t="str">
        <f t="shared" si="35"/>
        <v>AL037_19|FS Item</v>
      </c>
    </row>
    <row r="2257" spans="1:5" x14ac:dyDescent="0.2">
      <c r="A2257" t="s">
        <v>782</v>
      </c>
      <c r="B2257" t="s">
        <v>783</v>
      </c>
      <c r="C2257" t="s">
        <v>423</v>
      </c>
      <c r="D2257" t="str">
        <f>VLOOKUP(C2257,'lookup table'!$A$2:$B$19,2,FALSE)</f>
        <v>ignore</v>
      </c>
      <c r="E2257" t="str">
        <f t="shared" si="35"/>
        <v>AL037_19|ignore</v>
      </c>
    </row>
    <row r="2258" spans="1:5" x14ac:dyDescent="0.2">
      <c r="A2258" t="s">
        <v>782</v>
      </c>
      <c r="B2258" t="s">
        <v>783</v>
      </c>
      <c r="C2258" t="s">
        <v>428</v>
      </c>
      <c r="D2258" t="str">
        <f>VLOOKUP(C2258,'lookup table'!$A$2:$B$19,2,FALSE)</f>
        <v>LoB</v>
      </c>
      <c r="E2258" t="str">
        <f t="shared" si="35"/>
        <v>AL037_19|LoB</v>
      </c>
    </row>
    <row r="2259" spans="1:5" x14ac:dyDescent="0.2">
      <c r="A2259" t="s">
        <v>782</v>
      </c>
      <c r="B2259" t="s">
        <v>783</v>
      </c>
      <c r="C2259" t="s">
        <v>442</v>
      </c>
      <c r="D2259" t="str">
        <f>VLOOKUP(C2259,'lookup table'!$A$2:$B$19,2,FALSE)</f>
        <v>Partner Unit</v>
      </c>
      <c r="E2259" t="str">
        <f t="shared" si="35"/>
        <v>AL037_19|Partner Unit</v>
      </c>
    </row>
    <row r="2260" spans="1:5" x14ac:dyDescent="0.2">
      <c r="A2260" t="s">
        <v>782</v>
      </c>
      <c r="B2260" t="s">
        <v>783</v>
      </c>
      <c r="C2260" t="s">
        <v>461</v>
      </c>
      <c r="D2260" t="str">
        <f>VLOOKUP(C2260,'lookup table'!$A$2:$B$19,2,FALSE)</f>
        <v>Posting Level</v>
      </c>
      <c r="E2260" t="str">
        <f t="shared" si="35"/>
        <v>AL037_19|Posting Level</v>
      </c>
    </row>
    <row r="2261" spans="1:5" x14ac:dyDescent="0.2">
      <c r="A2261" t="s">
        <v>784</v>
      </c>
      <c r="B2261" t="s">
        <v>785</v>
      </c>
      <c r="C2261" t="s">
        <v>20</v>
      </c>
      <c r="D2261" t="str">
        <f>VLOOKUP(C2261,'lookup table'!$A$2:$B$19,2,FALSE)</f>
        <v>AY</v>
      </c>
      <c r="E2261" t="str">
        <f t="shared" si="35"/>
        <v>AL037_60|AY</v>
      </c>
    </row>
    <row r="2262" spans="1:5" x14ac:dyDescent="0.2">
      <c r="A2262" t="s">
        <v>784</v>
      </c>
      <c r="B2262" t="s">
        <v>785</v>
      </c>
      <c r="C2262" t="s">
        <v>331</v>
      </c>
      <c r="D2262" t="str">
        <f>VLOOKUP(C2262,'lookup table'!$A$2:$B$19,2,FALSE)</f>
        <v>FS Item</v>
      </c>
      <c r="E2262" t="str">
        <f t="shared" si="35"/>
        <v>AL037_60|FS Item</v>
      </c>
    </row>
    <row r="2263" spans="1:5" x14ac:dyDescent="0.2">
      <c r="A2263" t="s">
        <v>784</v>
      </c>
      <c r="B2263" t="s">
        <v>785</v>
      </c>
      <c r="C2263" t="s">
        <v>423</v>
      </c>
      <c r="D2263" t="str">
        <f>VLOOKUP(C2263,'lookup table'!$A$2:$B$19,2,FALSE)</f>
        <v>ignore</v>
      </c>
      <c r="E2263" t="str">
        <f t="shared" si="35"/>
        <v>AL037_60|ignore</v>
      </c>
    </row>
    <row r="2264" spans="1:5" x14ac:dyDescent="0.2">
      <c r="A2264" t="s">
        <v>784</v>
      </c>
      <c r="B2264" t="s">
        <v>785</v>
      </c>
      <c r="C2264" t="s">
        <v>428</v>
      </c>
      <c r="D2264" t="str">
        <f>VLOOKUP(C2264,'lookup table'!$A$2:$B$19,2,FALSE)</f>
        <v>LoB</v>
      </c>
      <c r="E2264" t="str">
        <f t="shared" si="35"/>
        <v>AL037_60|LoB</v>
      </c>
    </row>
    <row r="2265" spans="1:5" x14ac:dyDescent="0.2">
      <c r="A2265" t="s">
        <v>784</v>
      </c>
      <c r="B2265" t="s">
        <v>785</v>
      </c>
      <c r="C2265" t="s">
        <v>442</v>
      </c>
      <c r="D2265" t="str">
        <f>VLOOKUP(C2265,'lookup table'!$A$2:$B$19,2,FALSE)</f>
        <v>Partner Unit</v>
      </c>
      <c r="E2265" t="str">
        <f t="shared" si="35"/>
        <v>AL037_60|Partner Unit</v>
      </c>
    </row>
    <row r="2266" spans="1:5" x14ac:dyDescent="0.2">
      <c r="A2266" t="s">
        <v>784</v>
      </c>
      <c r="B2266" t="s">
        <v>785</v>
      </c>
      <c r="C2266" t="s">
        <v>461</v>
      </c>
      <c r="D2266" t="str">
        <f>VLOOKUP(C2266,'lookup table'!$A$2:$B$19,2,FALSE)</f>
        <v>Posting Level</v>
      </c>
      <c r="E2266" t="str">
        <f t="shared" si="35"/>
        <v>AL037_60|Posting Level</v>
      </c>
    </row>
    <row r="2267" spans="1:5" x14ac:dyDescent="0.2">
      <c r="A2267" t="s">
        <v>786</v>
      </c>
      <c r="B2267" t="s">
        <v>787</v>
      </c>
      <c r="C2267" t="s">
        <v>20</v>
      </c>
      <c r="D2267" t="str">
        <f>VLOOKUP(C2267,'lookup table'!$A$2:$B$19,2,FALSE)</f>
        <v>AY</v>
      </c>
      <c r="E2267" t="str">
        <f t="shared" si="35"/>
        <v>AL037_70|AY</v>
      </c>
    </row>
    <row r="2268" spans="1:5" x14ac:dyDescent="0.2">
      <c r="A2268" t="s">
        <v>786</v>
      </c>
      <c r="B2268" t="s">
        <v>787</v>
      </c>
      <c r="C2268" t="s">
        <v>136</v>
      </c>
      <c r="D2268" t="str">
        <f>VLOOKUP(C2268,'lookup table'!$A$2:$B$19,2,FALSE)</f>
        <v>BBA Set</v>
      </c>
      <c r="E2268" t="str">
        <f t="shared" si="35"/>
        <v>AL037_70|BBA Set</v>
      </c>
    </row>
    <row r="2269" spans="1:5" x14ac:dyDescent="0.2">
      <c r="A2269" t="s">
        <v>786</v>
      </c>
      <c r="B2269" t="s">
        <v>787</v>
      </c>
      <c r="C2269" t="s">
        <v>331</v>
      </c>
      <c r="D2269" t="str">
        <f>VLOOKUP(C2269,'lookup table'!$A$2:$B$19,2,FALSE)</f>
        <v>FS Item</v>
      </c>
      <c r="E2269" t="str">
        <f t="shared" si="35"/>
        <v>AL037_70|FS Item</v>
      </c>
    </row>
    <row r="2270" spans="1:5" x14ac:dyDescent="0.2">
      <c r="A2270" t="s">
        <v>786</v>
      </c>
      <c r="B2270" t="s">
        <v>787</v>
      </c>
      <c r="C2270" t="s">
        <v>423</v>
      </c>
      <c r="D2270" t="str">
        <f>VLOOKUP(C2270,'lookup table'!$A$2:$B$19,2,FALSE)</f>
        <v>ignore</v>
      </c>
      <c r="E2270" t="str">
        <f t="shared" si="35"/>
        <v>AL037_70|ignore</v>
      </c>
    </row>
    <row r="2271" spans="1:5" x14ac:dyDescent="0.2">
      <c r="A2271" t="s">
        <v>786</v>
      </c>
      <c r="B2271" t="s">
        <v>787</v>
      </c>
      <c r="C2271" t="s">
        <v>428</v>
      </c>
      <c r="D2271" t="str">
        <f>VLOOKUP(C2271,'lookup table'!$A$2:$B$19,2,FALSE)</f>
        <v>LoB</v>
      </c>
      <c r="E2271" t="str">
        <f t="shared" si="35"/>
        <v>AL037_70|LoB</v>
      </c>
    </row>
    <row r="2272" spans="1:5" x14ac:dyDescent="0.2">
      <c r="A2272" t="s">
        <v>786</v>
      </c>
      <c r="B2272" t="s">
        <v>787</v>
      </c>
      <c r="C2272" t="s">
        <v>442</v>
      </c>
      <c r="D2272" t="str">
        <f>VLOOKUP(C2272,'lookup table'!$A$2:$B$19,2,FALSE)</f>
        <v>Partner Unit</v>
      </c>
      <c r="E2272" t="str">
        <f t="shared" si="35"/>
        <v>AL037_70|Partner Unit</v>
      </c>
    </row>
    <row r="2273" spans="1:5" x14ac:dyDescent="0.2">
      <c r="A2273" t="s">
        <v>786</v>
      </c>
      <c r="B2273" t="s">
        <v>787</v>
      </c>
      <c r="C2273" t="s">
        <v>461</v>
      </c>
      <c r="D2273" t="str">
        <f>VLOOKUP(C2273,'lookup table'!$A$2:$B$19,2,FALSE)</f>
        <v>Posting Level</v>
      </c>
      <c r="E2273" t="str">
        <f t="shared" si="35"/>
        <v>AL037_70|Posting Level</v>
      </c>
    </row>
    <row r="2274" spans="1:5" x14ac:dyDescent="0.2">
      <c r="A2274" t="s">
        <v>788</v>
      </c>
      <c r="B2274" t="s">
        <v>789</v>
      </c>
      <c r="C2274" t="s">
        <v>20</v>
      </c>
      <c r="D2274" t="str">
        <f>VLOOKUP(C2274,'lookup table'!$A$2:$B$19,2,FALSE)</f>
        <v>AY</v>
      </c>
      <c r="E2274" t="str">
        <f t="shared" si="35"/>
        <v>AL037_71|AY</v>
      </c>
    </row>
    <row r="2275" spans="1:5" x14ac:dyDescent="0.2">
      <c r="A2275" t="s">
        <v>788</v>
      </c>
      <c r="B2275" t="s">
        <v>789</v>
      </c>
      <c r="C2275" t="s">
        <v>136</v>
      </c>
      <c r="D2275" t="str">
        <f>VLOOKUP(C2275,'lookup table'!$A$2:$B$19,2,FALSE)</f>
        <v>BBA Set</v>
      </c>
      <c r="E2275" t="str">
        <f t="shared" si="35"/>
        <v>AL037_71|BBA Set</v>
      </c>
    </row>
    <row r="2276" spans="1:5" x14ac:dyDescent="0.2">
      <c r="A2276" t="s">
        <v>788</v>
      </c>
      <c r="B2276" t="s">
        <v>789</v>
      </c>
      <c r="C2276" t="s">
        <v>331</v>
      </c>
      <c r="D2276" t="str">
        <f>VLOOKUP(C2276,'lookup table'!$A$2:$B$19,2,FALSE)</f>
        <v>FS Item</v>
      </c>
      <c r="E2276" t="str">
        <f t="shared" si="35"/>
        <v>AL037_71|FS Item</v>
      </c>
    </row>
    <row r="2277" spans="1:5" x14ac:dyDescent="0.2">
      <c r="A2277" t="s">
        <v>788</v>
      </c>
      <c r="B2277" t="s">
        <v>789</v>
      </c>
      <c r="C2277" t="s">
        <v>423</v>
      </c>
      <c r="D2277" t="str">
        <f>VLOOKUP(C2277,'lookup table'!$A$2:$B$19,2,FALSE)</f>
        <v>ignore</v>
      </c>
      <c r="E2277" t="str">
        <f t="shared" si="35"/>
        <v>AL037_71|ignore</v>
      </c>
    </row>
    <row r="2278" spans="1:5" x14ac:dyDescent="0.2">
      <c r="A2278" t="s">
        <v>788</v>
      </c>
      <c r="B2278" t="s">
        <v>789</v>
      </c>
      <c r="C2278" t="s">
        <v>428</v>
      </c>
      <c r="D2278" t="str">
        <f>VLOOKUP(C2278,'lookup table'!$A$2:$B$19,2,FALSE)</f>
        <v>LoB</v>
      </c>
      <c r="E2278" t="str">
        <f t="shared" si="35"/>
        <v>AL037_71|LoB</v>
      </c>
    </row>
    <row r="2279" spans="1:5" x14ac:dyDescent="0.2">
      <c r="A2279" t="s">
        <v>788</v>
      </c>
      <c r="B2279" t="s">
        <v>789</v>
      </c>
      <c r="C2279" t="s">
        <v>442</v>
      </c>
      <c r="D2279" t="str">
        <f>VLOOKUP(C2279,'lookup table'!$A$2:$B$19,2,FALSE)</f>
        <v>Partner Unit</v>
      </c>
      <c r="E2279" t="str">
        <f t="shared" si="35"/>
        <v>AL037_71|Partner Unit</v>
      </c>
    </row>
    <row r="2280" spans="1:5" x14ac:dyDescent="0.2">
      <c r="A2280" t="s">
        <v>788</v>
      </c>
      <c r="B2280" t="s">
        <v>789</v>
      </c>
      <c r="C2280" t="s">
        <v>461</v>
      </c>
      <c r="D2280" t="str">
        <f>VLOOKUP(C2280,'lookup table'!$A$2:$B$19,2,FALSE)</f>
        <v>Posting Level</v>
      </c>
      <c r="E2280" t="str">
        <f t="shared" si="35"/>
        <v>AL037_71|Posting Level</v>
      </c>
    </row>
    <row r="2281" spans="1:5" x14ac:dyDescent="0.2">
      <c r="A2281" t="s">
        <v>790</v>
      </c>
      <c r="B2281" t="s">
        <v>791</v>
      </c>
      <c r="C2281" t="s">
        <v>20</v>
      </c>
      <c r="D2281" t="str">
        <f>VLOOKUP(C2281,'lookup table'!$A$2:$B$19,2,FALSE)</f>
        <v>AY</v>
      </c>
      <c r="E2281" t="str">
        <f t="shared" si="35"/>
        <v>AL037_80|AY</v>
      </c>
    </row>
    <row r="2282" spans="1:5" x14ac:dyDescent="0.2">
      <c r="A2282" t="s">
        <v>790</v>
      </c>
      <c r="B2282" t="s">
        <v>791</v>
      </c>
      <c r="C2282" t="s">
        <v>136</v>
      </c>
      <c r="D2282" t="str">
        <f>VLOOKUP(C2282,'lookup table'!$A$2:$B$19,2,FALSE)</f>
        <v>BBA Set</v>
      </c>
      <c r="E2282" t="str">
        <f t="shared" si="35"/>
        <v>AL037_80|BBA Set</v>
      </c>
    </row>
    <row r="2283" spans="1:5" x14ac:dyDescent="0.2">
      <c r="A2283" t="s">
        <v>790</v>
      </c>
      <c r="B2283" t="s">
        <v>791</v>
      </c>
      <c r="C2283" t="s">
        <v>331</v>
      </c>
      <c r="D2283" t="str">
        <f>VLOOKUP(C2283,'lookup table'!$A$2:$B$19,2,FALSE)</f>
        <v>FS Item</v>
      </c>
      <c r="E2283" t="str">
        <f t="shared" si="35"/>
        <v>AL037_80|FS Item</v>
      </c>
    </row>
    <row r="2284" spans="1:5" x14ac:dyDescent="0.2">
      <c r="A2284" t="s">
        <v>790</v>
      </c>
      <c r="B2284" t="s">
        <v>791</v>
      </c>
      <c r="C2284" t="s">
        <v>423</v>
      </c>
      <c r="D2284" t="str">
        <f>VLOOKUP(C2284,'lookup table'!$A$2:$B$19,2,FALSE)</f>
        <v>ignore</v>
      </c>
      <c r="E2284" t="str">
        <f t="shared" si="35"/>
        <v>AL037_80|ignore</v>
      </c>
    </row>
    <row r="2285" spans="1:5" x14ac:dyDescent="0.2">
      <c r="A2285" t="s">
        <v>790</v>
      </c>
      <c r="B2285" t="s">
        <v>791</v>
      </c>
      <c r="C2285" t="s">
        <v>428</v>
      </c>
      <c r="D2285" t="str">
        <f>VLOOKUP(C2285,'lookup table'!$A$2:$B$19,2,FALSE)</f>
        <v>LoB</v>
      </c>
      <c r="E2285" t="str">
        <f t="shared" si="35"/>
        <v>AL037_80|LoB</v>
      </c>
    </row>
    <row r="2286" spans="1:5" x14ac:dyDescent="0.2">
      <c r="A2286" t="s">
        <v>790</v>
      </c>
      <c r="B2286" t="s">
        <v>791</v>
      </c>
      <c r="C2286" t="s">
        <v>442</v>
      </c>
      <c r="D2286" t="str">
        <f>VLOOKUP(C2286,'lookup table'!$A$2:$B$19,2,FALSE)</f>
        <v>Partner Unit</v>
      </c>
      <c r="E2286" t="str">
        <f t="shared" si="35"/>
        <v>AL037_80|Partner Unit</v>
      </c>
    </row>
    <row r="2287" spans="1:5" x14ac:dyDescent="0.2">
      <c r="A2287" t="s">
        <v>790</v>
      </c>
      <c r="B2287" t="s">
        <v>791</v>
      </c>
      <c r="C2287" t="s">
        <v>461</v>
      </c>
      <c r="D2287" t="str">
        <f>VLOOKUP(C2287,'lookup table'!$A$2:$B$19,2,FALSE)</f>
        <v>Posting Level</v>
      </c>
      <c r="E2287" t="str">
        <f t="shared" si="35"/>
        <v>AL037_80|Posting Level</v>
      </c>
    </row>
    <row r="2288" spans="1:5" x14ac:dyDescent="0.2">
      <c r="A2288" t="s">
        <v>792</v>
      </c>
      <c r="B2288" t="s">
        <v>793</v>
      </c>
      <c r="C2288" t="s">
        <v>20</v>
      </c>
      <c r="D2288" t="str">
        <f>VLOOKUP(C2288,'lookup table'!$A$2:$B$19,2,FALSE)</f>
        <v>AY</v>
      </c>
      <c r="E2288" t="str">
        <f t="shared" si="35"/>
        <v>AL037_85|AY</v>
      </c>
    </row>
    <row r="2289" spans="1:5" x14ac:dyDescent="0.2">
      <c r="A2289" t="s">
        <v>792</v>
      </c>
      <c r="B2289" t="s">
        <v>793</v>
      </c>
      <c r="C2289" t="s">
        <v>136</v>
      </c>
      <c r="D2289" t="str">
        <f>VLOOKUP(C2289,'lookup table'!$A$2:$B$19,2,FALSE)</f>
        <v>BBA Set</v>
      </c>
      <c r="E2289" t="str">
        <f t="shared" si="35"/>
        <v>AL037_85|BBA Set</v>
      </c>
    </row>
    <row r="2290" spans="1:5" x14ac:dyDescent="0.2">
      <c r="A2290" t="s">
        <v>792</v>
      </c>
      <c r="B2290" t="s">
        <v>793</v>
      </c>
      <c r="C2290" t="s">
        <v>331</v>
      </c>
      <c r="D2290" t="str">
        <f>VLOOKUP(C2290,'lookup table'!$A$2:$B$19,2,FALSE)</f>
        <v>FS Item</v>
      </c>
      <c r="E2290" t="str">
        <f t="shared" si="35"/>
        <v>AL037_85|FS Item</v>
      </c>
    </row>
    <row r="2291" spans="1:5" x14ac:dyDescent="0.2">
      <c r="A2291" t="s">
        <v>792</v>
      </c>
      <c r="B2291" t="s">
        <v>793</v>
      </c>
      <c r="C2291" t="s">
        <v>423</v>
      </c>
      <c r="D2291" t="str">
        <f>VLOOKUP(C2291,'lookup table'!$A$2:$B$19,2,FALSE)</f>
        <v>ignore</v>
      </c>
      <c r="E2291" t="str">
        <f t="shared" si="35"/>
        <v>AL037_85|ignore</v>
      </c>
    </row>
    <row r="2292" spans="1:5" x14ac:dyDescent="0.2">
      <c r="A2292" t="s">
        <v>792</v>
      </c>
      <c r="B2292" t="s">
        <v>793</v>
      </c>
      <c r="C2292" t="s">
        <v>428</v>
      </c>
      <c r="D2292" t="str">
        <f>VLOOKUP(C2292,'lookup table'!$A$2:$B$19,2,FALSE)</f>
        <v>LoB</v>
      </c>
      <c r="E2292" t="str">
        <f t="shared" si="35"/>
        <v>AL037_85|LoB</v>
      </c>
    </row>
    <row r="2293" spans="1:5" x14ac:dyDescent="0.2">
      <c r="A2293" t="s">
        <v>792</v>
      </c>
      <c r="B2293" t="s">
        <v>793</v>
      </c>
      <c r="C2293" t="s">
        <v>442</v>
      </c>
      <c r="D2293" t="str">
        <f>VLOOKUP(C2293,'lookup table'!$A$2:$B$19,2,FALSE)</f>
        <v>Partner Unit</v>
      </c>
      <c r="E2293" t="str">
        <f t="shared" si="35"/>
        <v>AL037_85|Partner Unit</v>
      </c>
    </row>
    <row r="2294" spans="1:5" x14ac:dyDescent="0.2">
      <c r="A2294" t="s">
        <v>792</v>
      </c>
      <c r="B2294" t="s">
        <v>793</v>
      </c>
      <c r="C2294" t="s">
        <v>461</v>
      </c>
      <c r="D2294" t="str">
        <f>VLOOKUP(C2294,'lookup table'!$A$2:$B$19,2,FALSE)</f>
        <v>Posting Level</v>
      </c>
      <c r="E2294" t="str">
        <f t="shared" si="35"/>
        <v>AL037_85|Posting Level</v>
      </c>
    </row>
    <row r="2295" spans="1:5" x14ac:dyDescent="0.2">
      <c r="A2295" t="s">
        <v>794</v>
      </c>
      <c r="B2295" t="s">
        <v>795</v>
      </c>
      <c r="C2295" t="s">
        <v>331</v>
      </c>
      <c r="D2295" t="str">
        <f>VLOOKUP(C2295,'lookup table'!$A$2:$B$19,2,FALSE)</f>
        <v>FS Item</v>
      </c>
      <c r="E2295" t="str">
        <f t="shared" si="35"/>
        <v>AL038_00|FS Item</v>
      </c>
    </row>
    <row r="2296" spans="1:5" x14ac:dyDescent="0.2">
      <c r="A2296" t="s">
        <v>794</v>
      </c>
      <c r="B2296" t="s">
        <v>795</v>
      </c>
      <c r="C2296" t="s">
        <v>423</v>
      </c>
      <c r="D2296" t="str">
        <f>VLOOKUP(C2296,'lookup table'!$A$2:$B$19,2,FALSE)</f>
        <v>ignore</v>
      </c>
      <c r="E2296" t="str">
        <f t="shared" si="35"/>
        <v>AL038_00|ignore</v>
      </c>
    </row>
    <row r="2297" spans="1:5" x14ac:dyDescent="0.2">
      <c r="A2297" t="s">
        <v>794</v>
      </c>
      <c r="B2297" t="s">
        <v>795</v>
      </c>
      <c r="C2297" t="s">
        <v>426</v>
      </c>
      <c r="D2297" t="str">
        <f>VLOOKUP(C2297,'lookup table'!$A$2:$B$19,2,FALSE)</f>
        <v>Investee Unit</v>
      </c>
      <c r="E2297" t="str">
        <f t="shared" si="35"/>
        <v>AL038_00|Investee Unit</v>
      </c>
    </row>
    <row r="2298" spans="1:5" x14ac:dyDescent="0.2">
      <c r="A2298" t="s">
        <v>794</v>
      </c>
      <c r="B2298" t="s">
        <v>795</v>
      </c>
      <c r="C2298" t="s">
        <v>451</v>
      </c>
      <c r="D2298" t="str">
        <f>VLOOKUP(C2298,'lookup table'!$A$2:$B$19,2,FALSE)</f>
        <v>Segment</v>
      </c>
      <c r="E2298" t="str">
        <f t="shared" si="35"/>
        <v>AL038_00|Segment</v>
      </c>
    </row>
    <row r="2299" spans="1:5" x14ac:dyDescent="0.2">
      <c r="A2299" t="s">
        <v>796</v>
      </c>
      <c r="B2299" t="s">
        <v>797</v>
      </c>
      <c r="C2299" t="s">
        <v>331</v>
      </c>
      <c r="D2299" t="str">
        <f>VLOOKUP(C2299,'lookup table'!$A$2:$B$19,2,FALSE)</f>
        <v>FS Item</v>
      </c>
      <c r="E2299" t="str">
        <f t="shared" si="35"/>
        <v>AL038_01|FS Item</v>
      </c>
    </row>
    <row r="2300" spans="1:5" x14ac:dyDescent="0.2">
      <c r="A2300" t="s">
        <v>796</v>
      </c>
      <c r="B2300" t="s">
        <v>797</v>
      </c>
      <c r="C2300" t="s">
        <v>423</v>
      </c>
      <c r="D2300" t="str">
        <f>VLOOKUP(C2300,'lookup table'!$A$2:$B$19,2,FALSE)</f>
        <v>ignore</v>
      </c>
      <c r="E2300" t="str">
        <f t="shared" si="35"/>
        <v>AL038_01|ignore</v>
      </c>
    </row>
    <row r="2301" spans="1:5" x14ac:dyDescent="0.2">
      <c r="A2301" t="s">
        <v>796</v>
      </c>
      <c r="B2301" t="s">
        <v>797</v>
      </c>
      <c r="C2301" t="s">
        <v>426</v>
      </c>
      <c r="D2301" t="str">
        <f>VLOOKUP(C2301,'lookup table'!$A$2:$B$19,2,FALSE)</f>
        <v>Investee Unit</v>
      </c>
      <c r="E2301" t="str">
        <f t="shared" si="35"/>
        <v>AL038_01|Investee Unit</v>
      </c>
    </row>
    <row r="2302" spans="1:5" x14ac:dyDescent="0.2">
      <c r="A2302" t="s">
        <v>796</v>
      </c>
      <c r="B2302" t="s">
        <v>797</v>
      </c>
      <c r="C2302" t="s">
        <v>461</v>
      </c>
      <c r="D2302" t="str">
        <f>VLOOKUP(C2302,'lookup table'!$A$2:$B$19,2,FALSE)</f>
        <v>Posting Level</v>
      </c>
      <c r="E2302" t="str">
        <f t="shared" si="35"/>
        <v>AL038_01|Posting Level</v>
      </c>
    </row>
    <row r="2303" spans="1:5" x14ac:dyDescent="0.2">
      <c r="A2303" t="s">
        <v>798</v>
      </c>
      <c r="B2303" t="s">
        <v>799</v>
      </c>
      <c r="C2303" t="s">
        <v>331</v>
      </c>
      <c r="D2303" t="str">
        <f>VLOOKUP(C2303,'lookup table'!$A$2:$B$19,2,FALSE)</f>
        <v>FS Item</v>
      </c>
      <c r="E2303" t="str">
        <f t="shared" si="35"/>
        <v>AL038_02|FS Item</v>
      </c>
    </row>
    <row r="2304" spans="1:5" x14ac:dyDescent="0.2">
      <c r="A2304" t="s">
        <v>798</v>
      </c>
      <c r="B2304" t="s">
        <v>799</v>
      </c>
      <c r="C2304" t="s">
        <v>423</v>
      </c>
      <c r="D2304" t="str">
        <f>VLOOKUP(C2304,'lookup table'!$A$2:$B$19,2,FALSE)</f>
        <v>ignore</v>
      </c>
      <c r="E2304" t="str">
        <f t="shared" si="35"/>
        <v>AL038_02|ignore</v>
      </c>
    </row>
    <row r="2305" spans="1:5" x14ac:dyDescent="0.2">
      <c r="A2305" t="s">
        <v>798</v>
      </c>
      <c r="B2305" t="s">
        <v>799</v>
      </c>
      <c r="C2305" t="s">
        <v>426</v>
      </c>
      <c r="D2305" t="str">
        <f>VLOOKUP(C2305,'lookup table'!$A$2:$B$19,2,FALSE)</f>
        <v>Investee Unit</v>
      </c>
      <c r="E2305" t="str">
        <f t="shared" si="35"/>
        <v>AL038_02|Investee Unit</v>
      </c>
    </row>
    <row r="2306" spans="1:5" x14ac:dyDescent="0.2">
      <c r="A2306" t="s">
        <v>798</v>
      </c>
      <c r="B2306" t="s">
        <v>799</v>
      </c>
      <c r="C2306" t="s">
        <v>461</v>
      </c>
      <c r="D2306" t="str">
        <f>VLOOKUP(C2306,'lookup table'!$A$2:$B$19,2,FALSE)</f>
        <v>Posting Level</v>
      </c>
      <c r="E2306" t="str">
        <f t="shared" si="35"/>
        <v>AL038_02|Posting Level</v>
      </c>
    </row>
    <row r="2307" spans="1:5" x14ac:dyDescent="0.2">
      <c r="A2307" t="s">
        <v>800</v>
      </c>
      <c r="B2307" t="s">
        <v>801</v>
      </c>
      <c r="C2307" t="s">
        <v>20</v>
      </c>
      <c r="D2307" t="str">
        <f>VLOOKUP(C2307,'lookup table'!$A$2:$B$19,2,FALSE)</f>
        <v>AY</v>
      </c>
      <c r="E2307" t="str">
        <f t="shared" ref="E2307:E2370" si="36">IF(ISNA(D2307),"",IF(A2307="","",A2307) &amp; "|" &amp; D2307)</f>
        <v>AL039_00|AY</v>
      </c>
    </row>
    <row r="2308" spans="1:5" x14ac:dyDescent="0.2">
      <c r="A2308" t="s">
        <v>800</v>
      </c>
      <c r="B2308" t="s">
        <v>801</v>
      </c>
      <c r="C2308" t="s">
        <v>331</v>
      </c>
      <c r="D2308" t="str">
        <f>VLOOKUP(C2308,'lookup table'!$A$2:$B$19,2,FALSE)</f>
        <v>FS Item</v>
      </c>
      <c r="E2308" t="str">
        <f t="shared" si="36"/>
        <v>AL039_00|FS Item</v>
      </c>
    </row>
    <row r="2309" spans="1:5" x14ac:dyDescent="0.2">
      <c r="A2309" t="s">
        <v>800</v>
      </c>
      <c r="B2309" t="s">
        <v>801</v>
      </c>
      <c r="C2309" t="s">
        <v>423</v>
      </c>
      <c r="D2309" t="str">
        <f>VLOOKUP(C2309,'lookup table'!$A$2:$B$19,2,FALSE)</f>
        <v>ignore</v>
      </c>
      <c r="E2309" t="str">
        <f t="shared" si="36"/>
        <v>AL039_00|ignore</v>
      </c>
    </row>
    <row r="2310" spans="1:5" x14ac:dyDescent="0.2">
      <c r="A2310" t="s">
        <v>800</v>
      </c>
      <c r="B2310" t="s">
        <v>801</v>
      </c>
      <c r="C2310" t="s">
        <v>428</v>
      </c>
      <c r="D2310" t="str">
        <f>VLOOKUP(C2310,'lookup table'!$A$2:$B$19,2,FALSE)</f>
        <v>LoB</v>
      </c>
      <c r="E2310" t="str">
        <f t="shared" si="36"/>
        <v>AL039_00|LoB</v>
      </c>
    </row>
    <row r="2311" spans="1:5" x14ac:dyDescent="0.2">
      <c r="A2311" t="s">
        <v>800</v>
      </c>
      <c r="B2311" t="s">
        <v>801</v>
      </c>
      <c r="C2311" t="s">
        <v>441</v>
      </c>
      <c r="D2311" t="str">
        <f>VLOOKUP(C2311,'lookup table'!$A$2:$B$19,2,FALSE)</f>
        <v>Partner Segment</v>
      </c>
      <c r="E2311" t="str">
        <f t="shared" si="36"/>
        <v>AL039_00|Partner Segment</v>
      </c>
    </row>
    <row r="2312" spans="1:5" x14ac:dyDescent="0.2">
      <c r="A2312" t="s">
        <v>800</v>
      </c>
      <c r="B2312" t="s">
        <v>801</v>
      </c>
      <c r="C2312" t="s">
        <v>442</v>
      </c>
      <c r="D2312" t="str">
        <f>VLOOKUP(C2312,'lookup table'!$A$2:$B$19,2,FALSE)</f>
        <v>Partner Unit</v>
      </c>
      <c r="E2312" t="str">
        <f t="shared" si="36"/>
        <v>AL039_00|Partner Unit</v>
      </c>
    </row>
    <row r="2313" spans="1:5" x14ac:dyDescent="0.2">
      <c r="A2313" t="s">
        <v>802</v>
      </c>
      <c r="B2313" t="s">
        <v>803</v>
      </c>
      <c r="C2313" t="s">
        <v>20</v>
      </c>
      <c r="D2313" t="str">
        <f>VLOOKUP(C2313,'lookup table'!$A$2:$B$19,2,FALSE)</f>
        <v>AY</v>
      </c>
      <c r="E2313" t="str">
        <f t="shared" si="36"/>
        <v>AL039_01|AY</v>
      </c>
    </row>
    <row r="2314" spans="1:5" x14ac:dyDescent="0.2">
      <c r="A2314" t="s">
        <v>802</v>
      </c>
      <c r="B2314" t="s">
        <v>803</v>
      </c>
      <c r="C2314" t="s">
        <v>331</v>
      </c>
      <c r="D2314" t="str">
        <f>VLOOKUP(C2314,'lookup table'!$A$2:$B$19,2,FALSE)</f>
        <v>FS Item</v>
      </c>
      <c r="E2314" t="str">
        <f t="shared" si="36"/>
        <v>AL039_01|FS Item</v>
      </c>
    </row>
    <row r="2315" spans="1:5" x14ac:dyDescent="0.2">
      <c r="A2315" t="s">
        <v>802</v>
      </c>
      <c r="B2315" t="s">
        <v>803</v>
      </c>
      <c r="C2315" t="s">
        <v>423</v>
      </c>
      <c r="D2315" t="str">
        <f>VLOOKUP(C2315,'lookup table'!$A$2:$B$19,2,FALSE)</f>
        <v>ignore</v>
      </c>
      <c r="E2315" t="str">
        <f t="shared" si="36"/>
        <v>AL039_01|ignore</v>
      </c>
    </row>
    <row r="2316" spans="1:5" x14ac:dyDescent="0.2">
      <c r="A2316" t="s">
        <v>802</v>
      </c>
      <c r="B2316" t="s">
        <v>803</v>
      </c>
      <c r="C2316" t="s">
        <v>428</v>
      </c>
      <c r="D2316" t="str">
        <f>VLOOKUP(C2316,'lookup table'!$A$2:$B$19,2,FALSE)</f>
        <v>LoB</v>
      </c>
      <c r="E2316" t="str">
        <f t="shared" si="36"/>
        <v>AL039_01|LoB</v>
      </c>
    </row>
    <row r="2317" spans="1:5" x14ac:dyDescent="0.2">
      <c r="A2317" t="s">
        <v>802</v>
      </c>
      <c r="B2317" t="s">
        <v>803</v>
      </c>
      <c r="C2317" t="s">
        <v>441</v>
      </c>
      <c r="D2317" t="str">
        <f>VLOOKUP(C2317,'lookup table'!$A$2:$B$19,2,FALSE)</f>
        <v>Partner Segment</v>
      </c>
      <c r="E2317" t="str">
        <f t="shared" si="36"/>
        <v>AL039_01|Partner Segment</v>
      </c>
    </row>
    <row r="2318" spans="1:5" x14ac:dyDescent="0.2">
      <c r="A2318" t="s">
        <v>802</v>
      </c>
      <c r="B2318" t="s">
        <v>803</v>
      </c>
      <c r="C2318" t="s">
        <v>442</v>
      </c>
      <c r="D2318" t="str">
        <f>VLOOKUP(C2318,'lookup table'!$A$2:$B$19,2,FALSE)</f>
        <v>Partner Unit</v>
      </c>
      <c r="E2318" t="str">
        <f t="shared" si="36"/>
        <v>AL039_01|Partner Unit</v>
      </c>
    </row>
    <row r="2319" spans="1:5" x14ac:dyDescent="0.2">
      <c r="A2319" t="s">
        <v>804</v>
      </c>
      <c r="B2319" t="s">
        <v>805</v>
      </c>
      <c r="C2319" t="s">
        <v>20</v>
      </c>
      <c r="D2319" t="str">
        <f>VLOOKUP(C2319,'lookup table'!$A$2:$B$19,2,FALSE)</f>
        <v>AY</v>
      </c>
      <c r="E2319" t="str">
        <f t="shared" si="36"/>
        <v>AL039_02|AY</v>
      </c>
    </row>
    <row r="2320" spans="1:5" x14ac:dyDescent="0.2">
      <c r="A2320" t="s">
        <v>804</v>
      </c>
      <c r="B2320" t="s">
        <v>805</v>
      </c>
      <c r="C2320" t="s">
        <v>331</v>
      </c>
      <c r="D2320" t="str">
        <f>VLOOKUP(C2320,'lookup table'!$A$2:$B$19,2,FALSE)</f>
        <v>FS Item</v>
      </c>
      <c r="E2320" t="str">
        <f t="shared" si="36"/>
        <v>AL039_02|FS Item</v>
      </c>
    </row>
    <row r="2321" spans="1:5" x14ac:dyDescent="0.2">
      <c r="A2321" t="s">
        <v>804</v>
      </c>
      <c r="B2321" t="s">
        <v>805</v>
      </c>
      <c r="C2321" t="s">
        <v>423</v>
      </c>
      <c r="D2321" t="str">
        <f>VLOOKUP(C2321,'lookup table'!$A$2:$B$19,2,FALSE)</f>
        <v>ignore</v>
      </c>
      <c r="E2321" t="str">
        <f t="shared" si="36"/>
        <v>AL039_02|ignore</v>
      </c>
    </row>
    <row r="2322" spans="1:5" x14ac:dyDescent="0.2">
      <c r="A2322" t="s">
        <v>804</v>
      </c>
      <c r="B2322" t="s">
        <v>805</v>
      </c>
      <c r="C2322" t="s">
        <v>428</v>
      </c>
      <c r="D2322" t="str">
        <f>VLOOKUP(C2322,'lookup table'!$A$2:$B$19,2,FALSE)</f>
        <v>LoB</v>
      </c>
      <c r="E2322" t="str">
        <f t="shared" si="36"/>
        <v>AL039_02|LoB</v>
      </c>
    </row>
    <row r="2323" spans="1:5" x14ac:dyDescent="0.2">
      <c r="A2323" t="s">
        <v>804</v>
      </c>
      <c r="B2323" t="s">
        <v>805</v>
      </c>
      <c r="C2323" t="s">
        <v>441</v>
      </c>
      <c r="D2323" t="str">
        <f>VLOOKUP(C2323,'lookup table'!$A$2:$B$19,2,FALSE)</f>
        <v>Partner Segment</v>
      </c>
      <c r="E2323" t="str">
        <f t="shared" si="36"/>
        <v>AL039_02|Partner Segment</v>
      </c>
    </row>
    <row r="2324" spans="1:5" x14ac:dyDescent="0.2">
      <c r="A2324" t="s">
        <v>804</v>
      </c>
      <c r="B2324" t="s">
        <v>805</v>
      </c>
      <c r="C2324" t="s">
        <v>442</v>
      </c>
      <c r="D2324" t="str">
        <f>VLOOKUP(C2324,'lookup table'!$A$2:$B$19,2,FALSE)</f>
        <v>Partner Unit</v>
      </c>
      <c r="E2324" t="str">
        <f t="shared" si="36"/>
        <v>AL039_02|Partner Unit</v>
      </c>
    </row>
    <row r="2325" spans="1:5" x14ac:dyDescent="0.2">
      <c r="A2325" t="s">
        <v>806</v>
      </c>
      <c r="B2325" t="s">
        <v>807</v>
      </c>
      <c r="C2325" t="s">
        <v>20</v>
      </c>
      <c r="D2325" t="str">
        <f>VLOOKUP(C2325,'lookup table'!$A$2:$B$19,2,FALSE)</f>
        <v>AY</v>
      </c>
      <c r="E2325" t="str">
        <f t="shared" si="36"/>
        <v>AL039_02I|AY</v>
      </c>
    </row>
    <row r="2326" spans="1:5" x14ac:dyDescent="0.2">
      <c r="A2326" t="s">
        <v>806</v>
      </c>
      <c r="B2326" t="s">
        <v>807</v>
      </c>
      <c r="C2326" t="s">
        <v>331</v>
      </c>
      <c r="D2326" t="str">
        <f>VLOOKUP(C2326,'lookup table'!$A$2:$B$19,2,FALSE)</f>
        <v>FS Item</v>
      </c>
      <c r="E2326" t="str">
        <f t="shared" si="36"/>
        <v>AL039_02I|FS Item</v>
      </c>
    </row>
    <row r="2327" spans="1:5" x14ac:dyDescent="0.2">
      <c r="A2327" t="s">
        <v>806</v>
      </c>
      <c r="B2327" t="s">
        <v>807</v>
      </c>
      <c r="C2327" t="s">
        <v>423</v>
      </c>
      <c r="D2327" t="str">
        <f>VLOOKUP(C2327,'lookup table'!$A$2:$B$19,2,FALSE)</f>
        <v>ignore</v>
      </c>
      <c r="E2327" t="str">
        <f t="shared" si="36"/>
        <v>AL039_02I|ignore</v>
      </c>
    </row>
    <row r="2328" spans="1:5" x14ac:dyDescent="0.2">
      <c r="A2328" t="s">
        <v>806</v>
      </c>
      <c r="B2328" t="s">
        <v>807</v>
      </c>
      <c r="C2328" t="s">
        <v>428</v>
      </c>
      <c r="D2328" t="str">
        <f>VLOOKUP(C2328,'lookup table'!$A$2:$B$19,2,FALSE)</f>
        <v>LoB</v>
      </c>
      <c r="E2328" t="str">
        <f t="shared" si="36"/>
        <v>AL039_02I|LoB</v>
      </c>
    </row>
    <row r="2329" spans="1:5" x14ac:dyDescent="0.2">
      <c r="A2329" t="s">
        <v>806</v>
      </c>
      <c r="B2329" t="s">
        <v>807</v>
      </c>
      <c r="C2329" t="s">
        <v>441</v>
      </c>
      <c r="D2329" t="str">
        <f>VLOOKUP(C2329,'lookup table'!$A$2:$B$19,2,FALSE)</f>
        <v>Partner Segment</v>
      </c>
      <c r="E2329" t="str">
        <f t="shared" si="36"/>
        <v>AL039_02I|Partner Segment</v>
      </c>
    </row>
    <row r="2330" spans="1:5" x14ac:dyDescent="0.2">
      <c r="A2330" t="s">
        <v>806</v>
      </c>
      <c r="B2330" t="s">
        <v>807</v>
      </c>
      <c r="C2330" t="s">
        <v>442</v>
      </c>
      <c r="D2330" t="str">
        <f>VLOOKUP(C2330,'lookup table'!$A$2:$B$19,2,FALSE)</f>
        <v>Partner Unit</v>
      </c>
      <c r="E2330" t="str">
        <f t="shared" si="36"/>
        <v>AL039_02I|Partner Unit</v>
      </c>
    </row>
    <row r="2331" spans="1:5" x14ac:dyDescent="0.2">
      <c r="A2331" t="s">
        <v>808</v>
      </c>
      <c r="B2331" t="s">
        <v>809</v>
      </c>
      <c r="C2331" t="s">
        <v>20</v>
      </c>
      <c r="D2331" t="str">
        <f>VLOOKUP(C2331,'lookup table'!$A$2:$B$19,2,FALSE)</f>
        <v>AY</v>
      </c>
      <c r="E2331" t="str">
        <f t="shared" si="36"/>
        <v>AL039_02T|AY</v>
      </c>
    </row>
    <row r="2332" spans="1:5" x14ac:dyDescent="0.2">
      <c r="A2332" t="s">
        <v>808</v>
      </c>
      <c r="B2332" t="s">
        <v>809</v>
      </c>
      <c r="C2332" t="s">
        <v>136</v>
      </c>
      <c r="D2332" t="str">
        <f>VLOOKUP(C2332,'lookup table'!$A$2:$B$19,2,FALSE)</f>
        <v>BBA Set</v>
      </c>
      <c r="E2332" t="str">
        <f t="shared" si="36"/>
        <v>AL039_02T|BBA Set</v>
      </c>
    </row>
    <row r="2333" spans="1:5" x14ac:dyDescent="0.2">
      <c r="A2333" t="s">
        <v>808</v>
      </c>
      <c r="B2333" t="s">
        <v>809</v>
      </c>
      <c r="C2333" t="s">
        <v>331</v>
      </c>
      <c r="D2333" t="str">
        <f>VLOOKUP(C2333,'lookup table'!$A$2:$B$19,2,FALSE)</f>
        <v>FS Item</v>
      </c>
      <c r="E2333" t="str">
        <f t="shared" si="36"/>
        <v>AL039_02T|FS Item</v>
      </c>
    </row>
    <row r="2334" spans="1:5" x14ac:dyDescent="0.2">
      <c r="A2334" t="s">
        <v>808</v>
      </c>
      <c r="B2334" t="s">
        <v>809</v>
      </c>
      <c r="C2334" t="s">
        <v>423</v>
      </c>
      <c r="D2334" t="str">
        <f>VLOOKUP(C2334,'lookup table'!$A$2:$B$19,2,FALSE)</f>
        <v>ignore</v>
      </c>
      <c r="E2334" t="str">
        <f t="shared" si="36"/>
        <v>AL039_02T|ignore</v>
      </c>
    </row>
    <row r="2335" spans="1:5" x14ac:dyDescent="0.2">
      <c r="A2335" t="s">
        <v>808</v>
      </c>
      <c r="B2335" t="s">
        <v>809</v>
      </c>
      <c r="C2335" t="s">
        <v>428</v>
      </c>
      <c r="D2335" t="str">
        <f>VLOOKUP(C2335,'lookup table'!$A$2:$B$19,2,FALSE)</f>
        <v>LoB</v>
      </c>
      <c r="E2335" t="str">
        <f t="shared" si="36"/>
        <v>AL039_02T|LoB</v>
      </c>
    </row>
    <row r="2336" spans="1:5" x14ac:dyDescent="0.2">
      <c r="A2336" t="s">
        <v>808</v>
      </c>
      <c r="B2336" t="s">
        <v>809</v>
      </c>
      <c r="C2336" t="s">
        <v>441</v>
      </c>
      <c r="D2336" t="str">
        <f>VLOOKUP(C2336,'lookup table'!$A$2:$B$19,2,FALSE)</f>
        <v>Partner Segment</v>
      </c>
      <c r="E2336" t="str">
        <f t="shared" si="36"/>
        <v>AL039_02T|Partner Segment</v>
      </c>
    </row>
    <row r="2337" spans="1:5" x14ac:dyDescent="0.2">
      <c r="A2337" t="s">
        <v>808</v>
      </c>
      <c r="B2337" t="s">
        <v>809</v>
      </c>
      <c r="C2337" t="s">
        <v>442</v>
      </c>
      <c r="D2337" t="str">
        <f>VLOOKUP(C2337,'lookup table'!$A$2:$B$19,2,FALSE)</f>
        <v>Partner Unit</v>
      </c>
      <c r="E2337" t="str">
        <f t="shared" si="36"/>
        <v>AL039_02T|Partner Unit</v>
      </c>
    </row>
    <row r="2338" spans="1:5" x14ac:dyDescent="0.2">
      <c r="A2338" t="s">
        <v>810</v>
      </c>
      <c r="B2338" t="s">
        <v>811</v>
      </c>
      <c r="C2338" t="s">
        <v>20</v>
      </c>
      <c r="D2338" t="str">
        <f>VLOOKUP(C2338,'lookup table'!$A$2:$B$19,2,FALSE)</f>
        <v>AY</v>
      </c>
      <c r="E2338" t="str">
        <f t="shared" si="36"/>
        <v>AL039_03|AY</v>
      </c>
    </row>
    <row r="2339" spans="1:5" x14ac:dyDescent="0.2">
      <c r="A2339" t="s">
        <v>810</v>
      </c>
      <c r="B2339" t="s">
        <v>811</v>
      </c>
      <c r="C2339" t="s">
        <v>331</v>
      </c>
      <c r="D2339" t="str">
        <f>VLOOKUP(C2339,'lookup table'!$A$2:$B$19,2,FALSE)</f>
        <v>FS Item</v>
      </c>
      <c r="E2339" t="str">
        <f t="shared" si="36"/>
        <v>AL039_03|FS Item</v>
      </c>
    </row>
    <row r="2340" spans="1:5" x14ac:dyDescent="0.2">
      <c r="A2340" t="s">
        <v>810</v>
      </c>
      <c r="B2340" t="s">
        <v>811</v>
      </c>
      <c r="C2340" t="s">
        <v>423</v>
      </c>
      <c r="D2340" t="str">
        <f>VLOOKUP(C2340,'lookup table'!$A$2:$B$19,2,FALSE)</f>
        <v>ignore</v>
      </c>
      <c r="E2340" t="str">
        <f t="shared" si="36"/>
        <v>AL039_03|ignore</v>
      </c>
    </row>
    <row r="2341" spans="1:5" x14ac:dyDescent="0.2">
      <c r="A2341" t="s">
        <v>810</v>
      </c>
      <c r="B2341" t="s">
        <v>811</v>
      </c>
      <c r="C2341" t="s">
        <v>428</v>
      </c>
      <c r="D2341" t="str">
        <f>VLOOKUP(C2341,'lookup table'!$A$2:$B$19,2,FALSE)</f>
        <v>LoB</v>
      </c>
      <c r="E2341" t="str">
        <f t="shared" si="36"/>
        <v>AL039_03|LoB</v>
      </c>
    </row>
    <row r="2342" spans="1:5" x14ac:dyDescent="0.2">
      <c r="A2342" t="s">
        <v>810</v>
      </c>
      <c r="B2342" t="s">
        <v>811</v>
      </c>
      <c r="C2342" t="s">
        <v>441</v>
      </c>
      <c r="D2342" t="str">
        <f>VLOOKUP(C2342,'lookup table'!$A$2:$B$19,2,FALSE)</f>
        <v>Partner Segment</v>
      </c>
      <c r="E2342" t="str">
        <f t="shared" si="36"/>
        <v>AL039_03|Partner Segment</v>
      </c>
    </row>
    <row r="2343" spans="1:5" x14ac:dyDescent="0.2">
      <c r="A2343" t="s">
        <v>810</v>
      </c>
      <c r="B2343" t="s">
        <v>811</v>
      </c>
      <c r="C2343" t="s">
        <v>442</v>
      </c>
      <c r="D2343" t="str">
        <f>VLOOKUP(C2343,'lookup table'!$A$2:$B$19,2,FALSE)</f>
        <v>Partner Unit</v>
      </c>
      <c r="E2343" t="str">
        <f t="shared" si="36"/>
        <v>AL039_03|Partner Unit</v>
      </c>
    </row>
    <row r="2344" spans="1:5" x14ac:dyDescent="0.2">
      <c r="A2344" t="s">
        <v>812</v>
      </c>
      <c r="B2344" t="s">
        <v>813</v>
      </c>
      <c r="C2344" t="s">
        <v>20</v>
      </c>
      <c r="D2344" t="str">
        <f>VLOOKUP(C2344,'lookup table'!$A$2:$B$19,2,FALSE)</f>
        <v>AY</v>
      </c>
      <c r="E2344" t="str">
        <f t="shared" si="36"/>
        <v>AL039_03I|AY</v>
      </c>
    </row>
    <row r="2345" spans="1:5" x14ac:dyDescent="0.2">
      <c r="A2345" t="s">
        <v>812</v>
      </c>
      <c r="B2345" t="s">
        <v>813</v>
      </c>
      <c r="C2345" t="s">
        <v>331</v>
      </c>
      <c r="D2345" t="str">
        <f>VLOOKUP(C2345,'lookup table'!$A$2:$B$19,2,FALSE)</f>
        <v>FS Item</v>
      </c>
      <c r="E2345" t="str">
        <f t="shared" si="36"/>
        <v>AL039_03I|FS Item</v>
      </c>
    </row>
    <row r="2346" spans="1:5" x14ac:dyDescent="0.2">
      <c r="A2346" t="s">
        <v>812</v>
      </c>
      <c r="B2346" t="s">
        <v>813</v>
      </c>
      <c r="C2346" t="s">
        <v>423</v>
      </c>
      <c r="D2346" t="str">
        <f>VLOOKUP(C2346,'lookup table'!$A$2:$B$19,2,FALSE)</f>
        <v>ignore</v>
      </c>
      <c r="E2346" t="str">
        <f t="shared" si="36"/>
        <v>AL039_03I|ignore</v>
      </c>
    </row>
    <row r="2347" spans="1:5" x14ac:dyDescent="0.2">
      <c r="A2347" t="s">
        <v>812</v>
      </c>
      <c r="B2347" t="s">
        <v>813</v>
      </c>
      <c r="C2347" t="s">
        <v>428</v>
      </c>
      <c r="D2347" t="str">
        <f>VLOOKUP(C2347,'lookup table'!$A$2:$B$19,2,FALSE)</f>
        <v>LoB</v>
      </c>
      <c r="E2347" t="str">
        <f t="shared" si="36"/>
        <v>AL039_03I|LoB</v>
      </c>
    </row>
    <row r="2348" spans="1:5" x14ac:dyDescent="0.2">
      <c r="A2348" t="s">
        <v>812</v>
      </c>
      <c r="B2348" t="s">
        <v>813</v>
      </c>
      <c r="C2348" t="s">
        <v>441</v>
      </c>
      <c r="D2348" t="str">
        <f>VLOOKUP(C2348,'lookup table'!$A$2:$B$19,2,FALSE)</f>
        <v>Partner Segment</v>
      </c>
      <c r="E2348" t="str">
        <f t="shared" si="36"/>
        <v>AL039_03I|Partner Segment</v>
      </c>
    </row>
    <row r="2349" spans="1:5" x14ac:dyDescent="0.2">
      <c r="A2349" t="s">
        <v>812</v>
      </c>
      <c r="B2349" t="s">
        <v>813</v>
      </c>
      <c r="C2349" t="s">
        <v>442</v>
      </c>
      <c r="D2349" t="str">
        <f>VLOOKUP(C2349,'lookup table'!$A$2:$B$19,2,FALSE)</f>
        <v>Partner Unit</v>
      </c>
      <c r="E2349" t="str">
        <f t="shared" si="36"/>
        <v>AL039_03I|Partner Unit</v>
      </c>
    </row>
    <row r="2350" spans="1:5" x14ac:dyDescent="0.2">
      <c r="A2350" t="s">
        <v>814</v>
      </c>
      <c r="B2350" t="s">
        <v>815</v>
      </c>
      <c r="C2350" t="s">
        <v>20</v>
      </c>
      <c r="D2350" t="str">
        <f>VLOOKUP(C2350,'lookup table'!$A$2:$B$19,2,FALSE)</f>
        <v>AY</v>
      </c>
      <c r="E2350" t="str">
        <f t="shared" si="36"/>
        <v>AL039_03T|AY</v>
      </c>
    </row>
    <row r="2351" spans="1:5" x14ac:dyDescent="0.2">
      <c r="A2351" t="s">
        <v>814</v>
      </c>
      <c r="B2351" t="s">
        <v>815</v>
      </c>
      <c r="C2351" t="s">
        <v>136</v>
      </c>
      <c r="D2351" t="str">
        <f>VLOOKUP(C2351,'lookup table'!$A$2:$B$19,2,FALSE)</f>
        <v>BBA Set</v>
      </c>
      <c r="E2351" t="str">
        <f t="shared" si="36"/>
        <v>AL039_03T|BBA Set</v>
      </c>
    </row>
    <row r="2352" spans="1:5" x14ac:dyDescent="0.2">
      <c r="A2352" t="s">
        <v>814</v>
      </c>
      <c r="B2352" t="s">
        <v>815</v>
      </c>
      <c r="C2352" t="s">
        <v>331</v>
      </c>
      <c r="D2352" t="str">
        <f>VLOOKUP(C2352,'lookup table'!$A$2:$B$19,2,FALSE)</f>
        <v>FS Item</v>
      </c>
      <c r="E2352" t="str">
        <f t="shared" si="36"/>
        <v>AL039_03T|FS Item</v>
      </c>
    </row>
    <row r="2353" spans="1:5" x14ac:dyDescent="0.2">
      <c r="A2353" t="s">
        <v>814</v>
      </c>
      <c r="B2353" t="s">
        <v>815</v>
      </c>
      <c r="C2353" t="s">
        <v>423</v>
      </c>
      <c r="D2353" t="str">
        <f>VLOOKUP(C2353,'lookup table'!$A$2:$B$19,2,FALSE)</f>
        <v>ignore</v>
      </c>
      <c r="E2353" t="str">
        <f t="shared" si="36"/>
        <v>AL039_03T|ignore</v>
      </c>
    </row>
    <row r="2354" spans="1:5" x14ac:dyDescent="0.2">
      <c r="A2354" t="s">
        <v>814</v>
      </c>
      <c r="B2354" t="s">
        <v>815</v>
      </c>
      <c r="C2354" t="s">
        <v>428</v>
      </c>
      <c r="D2354" t="str">
        <f>VLOOKUP(C2354,'lookup table'!$A$2:$B$19,2,FALSE)</f>
        <v>LoB</v>
      </c>
      <c r="E2354" t="str">
        <f t="shared" si="36"/>
        <v>AL039_03T|LoB</v>
      </c>
    </row>
    <row r="2355" spans="1:5" x14ac:dyDescent="0.2">
      <c r="A2355" t="s">
        <v>814</v>
      </c>
      <c r="B2355" t="s">
        <v>815</v>
      </c>
      <c r="C2355" t="s">
        <v>441</v>
      </c>
      <c r="D2355" t="str">
        <f>VLOOKUP(C2355,'lookup table'!$A$2:$B$19,2,FALSE)</f>
        <v>Partner Segment</v>
      </c>
      <c r="E2355" t="str">
        <f t="shared" si="36"/>
        <v>AL039_03T|Partner Segment</v>
      </c>
    </row>
    <row r="2356" spans="1:5" x14ac:dyDescent="0.2">
      <c r="A2356" t="s">
        <v>814</v>
      </c>
      <c r="B2356" t="s">
        <v>815</v>
      </c>
      <c r="C2356" t="s">
        <v>442</v>
      </c>
      <c r="D2356" t="str">
        <f>VLOOKUP(C2356,'lookup table'!$A$2:$B$19,2,FALSE)</f>
        <v>Partner Unit</v>
      </c>
      <c r="E2356" t="str">
        <f t="shared" si="36"/>
        <v>AL039_03T|Partner Unit</v>
      </c>
    </row>
    <row r="2357" spans="1:5" x14ac:dyDescent="0.2">
      <c r="A2357" t="s">
        <v>816</v>
      </c>
      <c r="B2357" t="s">
        <v>817</v>
      </c>
      <c r="C2357" t="s">
        <v>20</v>
      </c>
      <c r="D2357" t="str">
        <f>VLOOKUP(C2357,'lookup table'!$A$2:$B$19,2,FALSE)</f>
        <v>AY</v>
      </c>
      <c r="E2357" t="str">
        <f t="shared" si="36"/>
        <v>AL039_04|AY</v>
      </c>
    </row>
    <row r="2358" spans="1:5" x14ac:dyDescent="0.2">
      <c r="A2358" t="s">
        <v>816</v>
      </c>
      <c r="B2358" t="s">
        <v>817</v>
      </c>
      <c r="C2358" t="s">
        <v>331</v>
      </c>
      <c r="D2358" t="str">
        <f>VLOOKUP(C2358,'lookup table'!$A$2:$B$19,2,FALSE)</f>
        <v>FS Item</v>
      </c>
      <c r="E2358" t="str">
        <f t="shared" si="36"/>
        <v>AL039_04|FS Item</v>
      </c>
    </row>
    <row r="2359" spans="1:5" x14ac:dyDescent="0.2">
      <c r="A2359" t="s">
        <v>816</v>
      </c>
      <c r="B2359" t="s">
        <v>817</v>
      </c>
      <c r="C2359" t="s">
        <v>423</v>
      </c>
      <c r="D2359" t="str">
        <f>VLOOKUP(C2359,'lookup table'!$A$2:$B$19,2,FALSE)</f>
        <v>ignore</v>
      </c>
      <c r="E2359" t="str">
        <f t="shared" si="36"/>
        <v>AL039_04|ignore</v>
      </c>
    </row>
    <row r="2360" spans="1:5" x14ac:dyDescent="0.2">
      <c r="A2360" t="s">
        <v>816</v>
      </c>
      <c r="B2360" t="s">
        <v>817</v>
      </c>
      <c r="C2360" t="s">
        <v>428</v>
      </c>
      <c r="D2360" t="str">
        <f>VLOOKUP(C2360,'lookup table'!$A$2:$B$19,2,FALSE)</f>
        <v>LoB</v>
      </c>
      <c r="E2360" t="str">
        <f t="shared" si="36"/>
        <v>AL039_04|LoB</v>
      </c>
    </row>
    <row r="2361" spans="1:5" x14ac:dyDescent="0.2">
      <c r="A2361" t="s">
        <v>816</v>
      </c>
      <c r="B2361" t="s">
        <v>817</v>
      </c>
      <c r="C2361" t="s">
        <v>441</v>
      </c>
      <c r="D2361" t="str">
        <f>VLOOKUP(C2361,'lookup table'!$A$2:$B$19,2,FALSE)</f>
        <v>Partner Segment</v>
      </c>
      <c r="E2361" t="str">
        <f t="shared" si="36"/>
        <v>AL039_04|Partner Segment</v>
      </c>
    </row>
    <row r="2362" spans="1:5" x14ac:dyDescent="0.2">
      <c r="A2362" t="s">
        <v>816</v>
      </c>
      <c r="B2362" t="s">
        <v>817</v>
      </c>
      <c r="C2362" t="s">
        <v>442</v>
      </c>
      <c r="D2362" t="str">
        <f>VLOOKUP(C2362,'lookup table'!$A$2:$B$19,2,FALSE)</f>
        <v>Partner Unit</v>
      </c>
      <c r="E2362" t="str">
        <f t="shared" si="36"/>
        <v>AL039_04|Partner Unit</v>
      </c>
    </row>
    <row r="2363" spans="1:5" x14ac:dyDescent="0.2">
      <c r="A2363" t="s">
        <v>818</v>
      </c>
      <c r="B2363" t="s">
        <v>819</v>
      </c>
      <c r="C2363" t="s">
        <v>20</v>
      </c>
      <c r="D2363" t="str">
        <f>VLOOKUP(C2363,'lookup table'!$A$2:$B$19,2,FALSE)</f>
        <v>AY</v>
      </c>
      <c r="E2363" t="str">
        <f t="shared" si="36"/>
        <v>AL039_04I|AY</v>
      </c>
    </row>
    <row r="2364" spans="1:5" x14ac:dyDescent="0.2">
      <c r="A2364" t="s">
        <v>818</v>
      </c>
      <c r="B2364" t="s">
        <v>819</v>
      </c>
      <c r="C2364" t="s">
        <v>331</v>
      </c>
      <c r="D2364" t="str">
        <f>VLOOKUP(C2364,'lookup table'!$A$2:$B$19,2,FALSE)</f>
        <v>FS Item</v>
      </c>
      <c r="E2364" t="str">
        <f t="shared" si="36"/>
        <v>AL039_04I|FS Item</v>
      </c>
    </row>
    <row r="2365" spans="1:5" x14ac:dyDescent="0.2">
      <c r="A2365" t="s">
        <v>818</v>
      </c>
      <c r="B2365" t="s">
        <v>819</v>
      </c>
      <c r="C2365" t="s">
        <v>423</v>
      </c>
      <c r="D2365" t="str">
        <f>VLOOKUP(C2365,'lookup table'!$A$2:$B$19,2,FALSE)</f>
        <v>ignore</v>
      </c>
      <c r="E2365" t="str">
        <f t="shared" si="36"/>
        <v>AL039_04I|ignore</v>
      </c>
    </row>
    <row r="2366" spans="1:5" x14ac:dyDescent="0.2">
      <c r="A2366" t="s">
        <v>818</v>
      </c>
      <c r="B2366" t="s">
        <v>819</v>
      </c>
      <c r="C2366" t="s">
        <v>428</v>
      </c>
      <c r="D2366" t="str">
        <f>VLOOKUP(C2366,'lookup table'!$A$2:$B$19,2,FALSE)</f>
        <v>LoB</v>
      </c>
      <c r="E2366" t="str">
        <f t="shared" si="36"/>
        <v>AL039_04I|LoB</v>
      </c>
    </row>
    <row r="2367" spans="1:5" x14ac:dyDescent="0.2">
      <c r="A2367" t="s">
        <v>818</v>
      </c>
      <c r="B2367" t="s">
        <v>819</v>
      </c>
      <c r="C2367" t="s">
        <v>441</v>
      </c>
      <c r="D2367" t="str">
        <f>VLOOKUP(C2367,'lookup table'!$A$2:$B$19,2,FALSE)</f>
        <v>Partner Segment</v>
      </c>
      <c r="E2367" t="str">
        <f t="shared" si="36"/>
        <v>AL039_04I|Partner Segment</v>
      </c>
    </row>
    <row r="2368" spans="1:5" x14ac:dyDescent="0.2">
      <c r="A2368" t="s">
        <v>818</v>
      </c>
      <c r="B2368" t="s">
        <v>819</v>
      </c>
      <c r="C2368" t="s">
        <v>442</v>
      </c>
      <c r="D2368" t="str">
        <f>VLOOKUP(C2368,'lookup table'!$A$2:$B$19,2,FALSE)</f>
        <v>Partner Unit</v>
      </c>
      <c r="E2368" t="str">
        <f t="shared" si="36"/>
        <v>AL039_04I|Partner Unit</v>
      </c>
    </row>
    <row r="2369" spans="1:5" x14ac:dyDescent="0.2">
      <c r="A2369" t="s">
        <v>820</v>
      </c>
      <c r="B2369" t="s">
        <v>821</v>
      </c>
      <c r="C2369" t="s">
        <v>20</v>
      </c>
      <c r="D2369" t="str">
        <f>VLOOKUP(C2369,'lookup table'!$A$2:$B$19,2,FALSE)</f>
        <v>AY</v>
      </c>
      <c r="E2369" t="str">
        <f t="shared" si="36"/>
        <v>AL039_04T|AY</v>
      </c>
    </row>
    <row r="2370" spans="1:5" x14ac:dyDescent="0.2">
      <c r="A2370" t="s">
        <v>820</v>
      </c>
      <c r="B2370" t="s">
        <v>821</v>
      </c>
      <c r="C2370" t="s">
        <v>136</v>
      </c>
      <c r="D2370" t="str">
        <f>VLOOKUP(C2370,'lookup table'!$A$2:$B$19,2,FALSE)</f>
        <v>BBA Set</v>
      </c>
      <c r="E2370" t="str">
        <f t="shared" si="36"/>
        <v>AL039_04T|BBA Set</v>
      </c>
    </row>
    <row r="2371" spans="1:5" x14ac:dyDescent="0.2">
      <c r="A2371" t="s">
        <v>820</v>
      </c>
      <c r="B2371" t="s">
        <v>821</v>
      </c>
      <c r="C2371" t="s">
        <v>331</v>
      </c>
      <c r="D2371" t="str">
        <f>VLOOKUP(C2371,'lookup table'!$A$2:$B$19,2,FALSE)</f>
        <v>FS Item</v>
      </c>
      <c r="E2371" t="str">
        <f t="shared" ref="E2371:E2434" si="37">IF(ISNA(D2371),"",IF(A2371="","",A2371) &amp; "|" &amp; D2371)</f>
        <v>AL039_04T|FS Item</v>
      </c>
    </row>
    <row r="2372" spans="1:5" x14ac:dyDescent="0.2">
      <c r="A2372" t="s">
        <v>820</v>
      </c>
      <c r="B2372" t="s">
        <v>821</v>
      </c>
      <c r="C2372" t="s">
        <v>423</v>
      </c>
      <c r="D2372" t="str">
        <f>VLOOKUP(C2372,'lookup table'!$A$2:$B$19,2,FALSE)</f>
        <v>ignore</v>
      </c>
      <c r="E2372" t="str">
        <f t="shared" si="37"/>
        <v>AL039_04T|ignore</v>
      </c>
    </row>
    <row r="2373" spans="1:5" x14ac:dyDescent="0.2">
      <c r="A2373" t="s">
        <v>820</v>
      </c>
      <c r="B2373" t="s">
        <v>821</v>
      </c>
      <c r="C2373" t="s">
        <v>428</v>
      </c>
      <c r="D2373" t="str">
        <f>VLOOKUP(C2373,'lookup table'!$A$2:$B$19,2,FALSE)</f>
        <v>LoB</v>
      </c>
      <c r="E2373" t="str">
        <f t="shared" si="37"/>
        <v>AL039_04T|LoB</v>
      </c>
    </row>
    <row r="2374" spans="1:5" x14ac:dyDescent="0.2">
      <c r="A2374" t="s">
        <v>820</v>
      </c>
      <c r="B2374" t="s">
        <v>821</v>
      </c>
      <c r="C2374" t="s">
        <v>441</v>
      </c>
      <c r="D2374" t="str">
        <f>VLOOKUP(C2374,'lookup table'!$A$2:$B$19,2,FALSE)</f>
        <v>Partner Segment</v>
      </c>
      <c r="E2374" t="str">
        <f t="shared" si="37"/>
        <v>AL039_04T|Partner Segment</v>
      </c>
    </row>
    <row r="2375" spans="1:5" x14ac:dyDescent="0.2">
      <c r="A2375" t="s">
        <v>820</v>
      </c>
      <c r="B2375" t="s">
        <v>821</v>
      </c>
      <c r="C2375" t="s">
        <v>442</v>
      </c>
      <c r="D2375" t="str">
        <f>VLOOKUP(C2375,'lookup table'!$A$2:$B$19,2,FALSE)</f>
        <v>Partner Unit</v>
      </c>
      <c r="E2375" t="str">
        <f t="shared" si="37"/>
        <v>AL039_04T|Partner Unit</v>
      </c>
    </row>
    <row r="2376" spans="1:5" x14ac:dyDescent="0.2">
      <c r="A2376" t="s">
        <v>822</v>
      </c>
      <c r="B2376" t="s">
        <v>823</v>
      </c>
      <c r="C2376" t="s">
        <v>20</v>
      </c>
      <c r="D2376" t="str">
        <f>VLOOKUP(C2376,'lookup table'!$A$2:$B$19,2,FALSE)</f>
        <v>AY</v>
      </c>
      <c r="E2376" t="str">
        <f t="shared" si="37"/>
        <v>AL039_05|AY</v>
      </c>
    </row>
    <row r="2377" spans="1:5" x14ac:dyDescent="0.2">
      <c r="A2377" t="s">
        <v>822</v>
      </c>
      <c r="B2377" t="s">
        <v>823</v>
      </c>
      <c r="C2377" t="s">
        <v>136</v>
      </c>
      <c r="D2377" t="str">
        <f>VLOOKUP(C2377,'lookup table'!$A$2:$B$19,2,FALSE)</f>
        <v>BBA Set</v>
      </c>
      <c r="E2377" t="str">
        <f t="shared" si="37"/>
        <v>AL039_05|BBA Set</v>
      </c>
    </row>
    <row r="2378" spans="1:5" x14ac:dyDescent="0.2">
      <c r="A2378" t="s">
        <v>822</v>
      </c>
      <c r="B2378" t="s">
        <v>823</v>
      </c>
      <c r="C2378" t="s">
        <v>331</v>
      </c>
      <c r="D2378" t="str">
        <f>VLOOKUP(C2378,'lookup table'!$A$2:$B$19,2,FALSE)</f>
        <v>FS Item</v>
      </c>
      <c r="E2378" t="str">
        <f t="shared" si="37"/>
        <v>AL039_05|FS Item</v>
      </c>
    </row>
    <row r="2379" spans="1:5" x14ac:dyDescent="0.2">
      <c r="A2379" t="s">
        <v>822</v>
      </c>
      <c r="B2379" t="s">
        <v>823</v>
      </c>
      <c r="C2379" t="s">
        <v>423</v>
      </c>
      <c r="D2379" t="str">
        <f>VLOOKUP(C2379,'lookup table'!$A$2:$B$19,2,FALSE)</f>
        <v>ignore</v>
      </c>
      <c r="E2379" t="str">
        <f t="shared" si="37"/>
        <v>AL039_05|ignore</v>
      </c>
    </row>
    <row r="2380" spans="1:5" x14ac:dyDescent="0.2">
      <c r="A2380" t="s">
        <v>822</v>
      </c>
      <c r="B2380" t="s">
        <v>823</v>
      </c>
      <c r="C2380" t="s">
        <v>428</v>
      </c>
      <c r="D2380" t="str">
        <f>VLOOKUP(C2380,'lookup table'!$A$2:$B$19,2,FALSE)</f>
        <v>LoB</v>
      </c>
      <c r="E2380" t="str">
        <f t="shared" si="37"/>
        <v>AL039_05|LoB</v>
      </c>
    </row>
    <row r="2381" spans="1:5" x14ac:dyDescent="0.2">
      <c r="A2381" t="s">
        <v>822</v>
      </c>
      <c r="B2381" t="s">
        <v>823</v>
      </c>
      <c r="C2381" t="s">
        <v>441</v>
      </c>
      <c r="D2381" t="str">
        <f>VLOOKUP(C2381,'lookup table'!$A$2:$B$19,2,FALSE)</f>
        <v>Partner Segment</v>
      </c>
      <c r="E2381" t="str">
        <f t="shared" si="37"/>
        <v>AL039_05|Partner Segment</v>
      </c>
    </row>
    <row r="2382" spans="1:5" x14ac:dyDescent="0.2">
      <c r="A2382" t="s">
        <v>822</v>
      </c>
      <c r="B2382" t="s">
        <v>823</v>
      </c>
      <c r="C2382" t="s">
        <v>442</v>
      </c>
      <c r="D2382" t="str">
        <f>VLOOKUP(C2382,'lookup table'!$A$2:$B$19,2,FALSE)</f>
        <v>Partner Unit</v>
      </c>
      <c r="E2382" t="str">
        <f t="shared" si="37"/>
        <v>AL039_05|Partner Unit</v>
      </c>
    </row>
    <row r="2383" spans="1:5" x14ac:dyDescent="0.2">
      <c r="A2383" t="s">
        <v>824</v>
      </c>
      <c r="B2383" t="s">
        <v>825</v>
      </c>
      <c r="C2383" t="s">
        <v>20</v>
      </c>
      <c r="D2383" t="str">
        <f>VLOOKUP(C2383,'lookup table'!$A$2:$B$19,2,FALSE)</f>
        <v>AY</v>
      </c>
      <c r="E2383" t="str">
        <f t="shared" si="37"/>
        <v>AL039_05I|AY</v>
      </c>
    </row>
    <row r="2384" spans="1:5" x14ac:dyDescent="0.2">
      <c r="A2384" t="s">
        <v>824</v>
      </c>
      <c r="B2384" t="s">
        <v>825</v>
      </c>
      <c r="C2384" t="s">
        <v>136</v>
      </c>
      <c r="D2384" t="str">
        <f>VLOOKUP(C2384,'lookup table'!$A$2:$B$19,2,FALSE)</f>
        <v>BBA Set</v>
      </c>
      <c r="E2384" t="str">
        <f t="shared" si="37"/>
        <v>AL039_05I|BBA Set</v>
      </c>
    </row>
    <row r="2385" spans="1:5" x14ac:dyDescent="0.2">
      <c r="A2385" t="s">
        <v>824</v>
      </c>
      <c r="B2385" t="s">
        <v>825</v>
      </c>
      <c r="C2385" t="s">
        <v>331</v>
      </c>
      <c r="D2385" t="str">
        <f>VLOOKUP(C2385,'lookup table'!$A$2:$B$19,2,FALSE)</f>
        <v>FS Item</v>
      </c>
      <c r="E2385" t="str">
        <f t="shared" si="37"/>
        <v>AL039_05I|FS Item</v>
      </c>
    </row>
    <row r="2386" spans="1:5" x14ac:dyDescent="0.2">
      <c r="A2386" t="s">
        <v>824</v>
      </c>
      <c r="B2386" t="s">
        <v>825</v>
      </c>
      <c r="C2386" t="s">
        <v>423</v>
      </c>
      <c r="D2386" t="str">
        <f>VLOOKUP(C2386,'lookup table'!$A$2:$B$19,2,FALSE)</f>
        <v>ignore</v>
      </c>
      <c r="E2386" t="str">
        <f t="shared" si="37"/>
        <v>AL039_05I|ignore</v>
      </c>
    </row>
    <row r="2387" spans="1:5" x14ac:dyDescent="0.2">
      <c r="A2387" t="s">
        <v>824</v>
      </c>
      <c r="B2387" t="s">
        <v>825</v>
      </c>
      <c r="C2387" t="s">
        <v>428</v>
      </c>
      <c r="D2387" t="str">
        <f>VLOOKUP(C2387,'lookup table'!$A$2:$B$19,2,FALSE)</f>
        <v>LoB</v>
      </c>
      <c r="E2387" t="str">
        <f t="shared" si="37"/>
        <v>AL039_05I|LoB</v>
      </c>
    </row>
    <row r="2388" spans="1:5" x14ac:dyDescent="0.2">
      <c r="A2388" t="s">
        <v>824</v>
      </c>
      <c r="B2388" t="s">
        <v>825</v>
      </c>
      <c r="C2388" t="s">
        <v>441</v>
      </c>
      <c r="D2388" t="str">
        <f>VLOOKUP(C2388,'lookup table'!$A$2:$B$19,2,FALSE)</f>
        <v>Partner Segment</v>
      </c>
      <c r="E2388" t="str">
        <f t="shared" si="37"/>
        <v>AL039_05I|Partner Segment</v>
      </c>
    </row>
    <row r="2389" spans="1:5" x14ac:dyDescent="0.2">
      <c r="A2389" t="s">
        <v>824</v>
      </c>
      <c r="B2389" t="s">
        <v>825</v>
      </c>
      <c r="C2389" t="s">
        <v>442</v>
      </c>
      <c r="D2389" t="str">
        <f>VLOOKUP(C2389,'lookup table'!$A$2:$B$19,2,FALSE)</f>
        <v>Partner Unit</v>
      </c>
      <c r="E2389" t="str">
        <f t="shared" si="37"/>
        <v>AL039_05I|Partner Unit</v>
      </c>
    </row>
    <row r="2390" spans="1:5" x14ac:dyDescent="0.2">
      <c r="A2390" t="s">
        <v>826</v>
      </c>
      <c r="B2390" t="s">
        <v>827</v>
      </c>
      <c r="C2390" t="s">
        <v>20</v>
      </c>
      <c r="D2390" t="str">
        <f>VLOOKUP(C2390,'lookup table'!$A$2:$B$19,2,FALSE)</f>
        <v>AY</v>
      </c>
      <c r="E2390" t="str">
        <f t="shared" si="37"/>
        <v>AL039_05T|AY</v>
      </c>
    </row>
    <row r="2391" spans="1:5" x14ac:dyDescent="0.2">
      <c r="A2391" t="s">
        <v>826</v>
      </c>
      <c r="B2391" t="s">
        <v>827</v>
      </c>
      <c r="C2391" t="s">
        <v>136</v>
      </c>
      <c r="D2391" t="str">
        <f>VLOOKUP(C2391,'lookup table'!$A$2:$B$19,2,FALSE)</f>
        <v>BBA Set</v>
      </c>
      <c r="E2391" t="str">
        <f t="shared" si="37"/>
        <v>AL039_05T|BBA Set</v>
      </c>
    </row>
    <row r="2392" spans="1:5" x14ac:dyDescent="0.2">
      <c r="A2392" t="s">
        <v>826</v>
      </c>
      <c r="B2392" t="s">
        <v>827</v>
      </c>
      <c r="C2392" t="s">
        <v>331</v>
      </c>
      <c r="D2392" t="str">
        <f>VLOOKUP(C2392,'lookup table'!$A$2:$B$19,2,FALSE)</f>
        <v>FS Item</v>
      </c>
      <c r="E2392" t="str">
        <f t="shared" si="37"/>
        <v>AL039_05T|FS Item</v>
      </c>
    </row>
    <row r="2393" spans="1:5" x14ac:dyDescent="0.2">
      <c r="A2393" t="s">
        <v>826</v>
      </c>
      <c r="B2393" t="s">
        <v>827</v>
      </c>
      <c r="C2393" t="s">
        <v>423</v>
      </c>
      <c r="D2393" t="str">
        <f>VLOOKUP(C2393,'lookup table'!$A$2:$B$19,2,FALSE)</f>
        <v>ignore</v>
      </c>
      <c r="E2393" t="str">
        <f t="shared" si="37"/>
        <v>AL039_05T|ignore</v>
      </c>
    </row>
    <row r="2394" spans="1:5" x14ac:dyDescent="0.2">
      <c r="A2394" t="s">
        <v>826</v>
      </c>
      <c r="B2394" t="s">
        <v>827</v>
      </c>
      <c r="C2394" t="s">
        <v>428</v>
      </c>
      <c r="D2394" t="str">
        <f>VLOOKUP(C2394,'lookup table'!$A$2:$B$19,2,FALSE)</f>
        <v>LoB</v>
      </c>
      <c r="E2394" t="str">
        <f t="shared" si="37"/>
        <v>AL039_05T|LoB</v>
      </c>
    </row>
    <row r="2395" spans="1:5" x14ac:dyDescent="0.2">
      <c r="A2395" t="s">
        <v>826</v>
      </c>
      <c r="B2395" t="s">
        <v>827</v>
      </c>
      <c r="C2395" t="s">
        <v>441</v>
      </c>
      <c r="D2395" t="str">
        <f>VLOOKUP(C2395,'lookup table'!$A$2:$B$19,2,FALSE)</f>
        <v>Partner Segment</v>
      </c>
      <c r="E2395" t="str">
        <f t="shared" si="37"/>
        <v>AL039_05T|Partner Segment</v>
      </c>
    </row>
    <row r="2396" spans="1:5" x14ac:dyDescent="0.2">
      <c r="A2396" t="s">
        <v>826</v>
      </c>
      <c r="B2396" t="s">
        <v>827</v>
      </c>
      <c r="C2396" t="s">
        <v>442</v>
      </c>
      <c r="D2396" t="str">
        <f>VLOOKUP(C2396,'lookup table'!$A$2:$B$19,2,FALSE)</f>
        <v>Partner Unit</v>
      </c>
      <c r="E2396" t="str">
        <f t="shared" si="37"/>
        <v>AL039_05T|Partner Unit</v>
      </c>
    </row>
    <row r="2397" spans="1:5" x14ac:dyDescent="0.2">
      <c r="A2397" t="s">
        <v>828</v>
      </c>
      <c r="B2397" t="s">
        <v>829</v>
      </c>
      <c r="C2397" t="s">
        <v>20</v>
      </c>
      <c r="D2397" t="str">
        <f>VLOOKUP(C2397,'lookup table'!$A$2:$B$19,2,FALSE)</f>
        <v>AY</v>
      </c>
      <c r="E2397" t="str">
        <f t="shared" si="37"/>
        <v>AL039_09|AY</v>
      </c>
    </row>
    <row r="2398" spans="1:5" x14ac:dyDescent="0.2">
      <c r="A2398" t="s">
        <v>828</v>
      </c>
      <c r="B2398" t="s">
        <v>829</v>
      </c>
      <c r="C2398" t="s">
        <v>136</v>
      </c>
      <c r="D2398" t="str">
        <f>VLOOKUP(C2398,'lookup table'!$A$2:$B$19,2,FALSE)</f>
        <v>BBA Set</v>
      </c>
      <c r="E2398" t="str">
        <f t="shared" si="37"/>
        <v>AL039_09|BBA Set</v>
      </c>
    </row>
    <row r="2399" spans="1:5" x14ac:dyDescent="0.2">
      <c r="A2399" t="s">
        <v>828</v>
      </c>
      <c r="B2399" t="s">
        <v>829</v>
      </c>
      <c r="C2399" t="s">
        <v>331</v>
      </c>
      <c r="D2399" t="str">
        <f>VLOOKUP(C2399,'lookup table'!$A$2:$B$19,2,FALSE)</f>
        <v>FS Item</v>
      </c>
      <c r="E2399" t="str">
        <f t="shared" si="37"/>
        <v>AL039_09|FS Item</v>
      </c>
    </row>
    <row r="2400" spans="1:5" x14ac:dyDescent="0.2">
      <c r="A2400" t="s">
        <v>828</v>
      </c>
      <c r="B2400" t="s">
        <v>829</v>
      </c>
      <c r="C2400" t="s">
        <v>423</v>
      </c>
      <c r="D2400" t="str">
        <f>VLOOKUP(C2400,'lookup table'!$A$2:$B$19,2,FALSE)</f>
        <v>ignore</v>
      </c>
      <c r="E2400" t="str">
        <f t="shared" si="37"/>
        <v>AL039_09|ignore</v>
      </c>
    </row>
    <row r="2401" spans="1:5" x14ac:dyDescent="0.2">
      <c r="A2401" t="s">
        <v>828</v>
      </c>
      <c r="B2401" t="s">
        <v>829</v>
      </c>
      <c r="C2401" t="s">
        <v>428</v>
      </c>
      <c r="D2401" t="str">
        <f>VLOOKUP(C2401,'lookup table'!$A$2:$B$19,2,FALSE)</f>
        <v>LoB</v>
      </c>
      <c r="E2401" t="str">
        <f t="shared" si="37"/>
        <v>AL039_09|LoB</v>
      </c>
    </row>
    <row r="2402" spans="1:5" x14ac:dyDescent="0.2">
      <c r="A2402" t="s">
        <v>830</v>
      </c>
      <c r="B2402" t="s">
        <v>831</v>
      </c>
      <c r="C2402" t="s">
        <v>20</v>
      </c>
      <c r="D2402" t="str">
        <f>VLOOKUP(C2402,'lookup table'!$A$2:$B$19,2,FALSE)</f>
        <v>AY</v>
      </c>
      <c r="E2402" t="str">
        <f t="shared" si="37"/>
        <v>AL039_091|AY</v>
      </c>
    </row>
    <row r="2403" spans="1:5" x14ac:dyDescent="0.2">
      <c r="A2403" t="s">
        <v>830</v>
      </c>
      <c r="B2403" t="s">
        <v>831</v>
      </c>
      <c r="C2403" t="s">
        <v>136</v>
      </c>
      <c r="D2403" t="str">
        <f>VLOOKUP(C2403,'lookup table'!$A$2:$B$19,2,FALSE)</f>
        <v>BBA Set</v>
      </c>
      <c r="E2403" t="str">
        <f t="shared" si="37"/>
        <v>AL039_091|BBA Set</v>
      </c>
    </row>
    <row r="2404" spans="1:5" x14ac:dyDescent="0.2">
      <c r="A2404" t="s">
        <v>830</v>
      </c>
      <c r="B2404" t="s">
        <v>831</v>
      </c>
      <c r="C2404" t="s">
        <v>331</v>
      </c>
      <c r="D2404" t="str">
        <f>VLOOKUP(C2404,'lookup table'!$A$2:$B$19,2,FALSE)</f>
        <v>FS Item</v>
      </c>
      <c r="E2404" t="str">
        <f t="shared" si="37"/>
        <v>AL039_091|FS Item</v>
      </c>
    </row>
    <row r="2405" spans="1:5" x14ac:dyDescent="0.2">
      <c r="A2405" t="s">
        <v>830</v>
      </c>
      <c r="B2405" t="s">
        <v>831</v>
      </c>
      <c r="C2405" t="s">
        <v>423</v>
      </c>
      <c r="D2405" t="str">
        <f>VLOOKUP(C2405,'lookup table'!$A$2:$B$19,2,FALSE)</f>
        <v>ignore</v>
      </c>
      <c r="E2405" t="str">
        <f t="shared" si="37"/>
        <v>AL039_091|ignore</v>
      </c>
    </row>
    <row r="2406" spans="1:5" x14ac:dyDescent="0.2">
      <c r="A2406" t="s">
        <v>830</v>
      </c>
      <c r="B2406" t="s">
        <v>831</v>
      </c>
      <c r="C2406" t="s">
        <v>428</v>
      </c>
      <c r="D2406" t="str">
        <f>VLOOKUP(C2406,'lookup table'!$A$2:$B$19,2,FALSE)</f>
        <v>LoB</v>
      </c>
      <c r="E2406" t="str">
        <f t="shared" si="37"/>
        <v>AL039_091|LoB</v>
      </c>
    </row>
    <row r="2407" spans="1:5" x14ac:dyDescent="0.2">
      <c r="A2407" t="s">
        <v>832</v>
      </c>
      <c r="B2407" t="s">
        <v>833</v>
      </c>
      <c r="C2407" t="s">
        <v>20</v>
      </c>
      <c r="D2407" t="str">
        <f>VLOOKUP(C2407,'lookup table'!$A$2:$B$19,2,FALSE)</f>
        <v>AY</v>
      </c>
      <c r="E2407" t="str">
        <f t="shared" si="37"/>
        <v>AL039_092|AY</v>
      </c>
    </row>
    <row r="2408" spans="1:5" x14ac:dyDescent="0.2">
      <c r="A2408" t="s">
        <v>832</v>
      </c>
      <c r="B2408" t="s">
        <v>833</v>
      </c>
      <c r="C2408" t="s">
        <v>136</v>
      </c>
      <c r="D2408" t="str">
        <f>VLOOKUP(C2408,'lookup table'!$A$2:$B$19,2,FALSE)</f>
        <v>BBA Set</v>
      </c>
      <c r="E2408" t="str">
        <f t="shared" si="37"/>
        <v>AL039_092|BBA Set</v>
      </c>
    </row>
    <row r="2409" spans="1:5" x14ac:dyDescent="0.2">
      <c r="A2409" t="s">
        <v>832</v>
      </c>
      <c r="B2409" t="s">
        <v>833</v>
      </c>
      <c r="C2409" t="s">
        <v>331</v>
      </c>
      <c r="D2409" t="str">
        <f>VLOOKUP(C2409,'lookup table'!$A$2:$B$19,2,FALSE)</f>
        <v>FS Item</v>
      </c>
      <c r="E2409" t="str">
        <f t="shared" si="37"/>
        <v>AL039_092|FS Item</v>
      </c>
    </row>
    <row r="2410" spans="1:5" x14ac:dyDescent="0.2">
      <c r="A2410" t="s">
        <v>832</v>
      </c>
      <c r="B2410" t="s">
        <v>833</v>
      </c>
      <c r="C2410" t="s">
        <v>423</v>
      </c>
      <c r="D2410" t="str">
        <f>VLOOKUP(C2410,'lookup table'!$A$2:$B$19,2,FALSE)</f>
        <v>ignore</v>
      </c>
      <c r="E2410" t="str">
        <f t="shared" si="37"/>
        <v>AL039_092|ignore</v>
      </c>
    </row>
    <row r="2411" spans="1:5" x14ac:dyDescent="0.2">
      <c r="A2411" t="s">
        <v>832</v>
      </c>
      <c r="B2411" t="s">
        <v>833</v>
      </c>
      <c r="C2411" t="s">
        <v>428</v>
      </c>
      <c r="D2411" t="str">
        <f>VLOOKUP(C2411,'lookup table'!$A$2:$B$19,2,FALSE)</f>
        <v>LoB</v>
      </c>
      <c r="E2411" t="str">
        <f t="shared" si="37"/>
        <v>AL039_092|LoB</v>
      </c>
    </row>
    <row r="2412" spans="1:5" x14ac:dyDescent="0.2">
      <c r="A2412" t="s">
        <v>834</v>
      </c>
      <c r="B2412" t="s">
        <v>835</v>
      </c>
      <c r="C2412" t="s">
        <v>20</v>
      </c>
      <c r="D2412" t="str">
        <f>VLOOKUP(C2412,'lookup table'!$A$2:$B$19,2,FALSE)</f>
        <v>AY</v>
      </c>
      <c r="E2412" t="str">
        <f t="shared" si="37"/>
        <v>AL039_093|AY</v>
      </c>
    </row>
    <row r="2413" spans="1:5" x14ac:dyDescent="0.2">
      <c r="A2413" t="s">
        <v>834</v>
      </c>
      <c r="B2413" t="s">
        <v>835</v>
      </c>
      <c r="C2413" t="s">
        <v>136</v>
      </c>
      <c r="D2413" t="str">
        <f>VLOOKUP(C2413,'lookup table'!$A$2:$B$19,2,FALSE)</f>
        <v>BBA Set</v>
      </c>
      <c r="E2413" t="str">
        <f t="shared" si="37"/>
        <v>AL039_093|BBA Set</v>
      </c>
    </row>
    <row r="2414" spans="1:5" x14ac:dyDescent="0.2">
      <c r="A2414" t="s">
        <v>834</v>
      </c>
      <c r="B2414" t="s">
        <v>835</v>
      </c>
      <c r="C2414" t="s">
        <v>331</v>
      </c>
      <c r="D2414" t="str">
        <f>VLOOKUP(C2414,'lookup table'!$A$2:$B$19,2,FALSE)</f>
        <v>FS Item</v>
      </c>
      <c r="E2414" t="str">
        <f t="shared" si="37"/>
        <v>AL039_093|FS Item</v>
      </c>
    </row>
    <row r="2415" spans="1:5" x14ac:dyDescent="0.2">
      <c r="A2415" t="s">
        <v>834</v>
      </c>
      <c r="B2415" t="s">
        <v>835</v>
      </c>
      <c r="C2415" t="s">
        <v>423</v>
      </c>
      <c r="D2415" t="str">
        <f>VLOOKUP(C2415,'lookup table'!$A$2:$B$19,2,FALSE)</f>
        <v>ignore</v>
      </c>
      <c r="E2415" t="str">
        <f t="shared" si="37"/>
        <v>AL039_093|ignore</v>
      </c>
    </row>
    <row r="2416" spans="1:5" x14ac:dyDescent="0.2">
      <c r="A2416" t="s">
        <v>834</v>
      </c>
      <c r="B2416" t="s">
        <v>835</v>
      </c>
      <c r="C2416" t="s">
        <v>428</v>
      </c>
      <c r="D2416" t="str">
        <f>VLOOKUP(C2416,'lookup table'!$A$2:$B$19,2,FALSE)</f>
        <v>LoB</v>
      </c>
      <c r="E2416" t="str">
        <f t="shared" si="37"/>
        <v>AL039_093|LoB</v>
      </c>
    </row>
    <row r="2417" spans="1:5" x14ac:dyDescent="0.2">
      <c r="A2417" t="s">
        <v>836</v>
      </c>
      <c r="B2417" t="s">
        <v>837</v>
      </c>
      <c r="C2417" t="s">
        <v>20</v>
      </c>
      <c r="D2417" t="str">
        <f>VLOOKUP(C2417,'lookup table'!$A$2:$B$19,2,FALSE)</f>
        <v>AY</v>
      </c>
      <c r="E2417" t="str">
        <f t="shared" si="37"/>
        <v>AL039_094|AY</v>
      </c>
    </row>
    <row r="2418" spans="1:5" x14ac:dyDescent="0.2">
      <c r="A2418" t="s">
        <v>836</v>
      </c>
      <c r="B2418" t="s">
        <v>837</v>
      </c>
      <c r="C2418" t="s">
        <v>136</v>
      </c>
      <c r="D2418" t="str">
        <f>VLOOKUP(C2418,'lookup table'!$A$2:$B$19,2,FALSE)</f>
        <v>BBA Set</v>
      </c>
      <c r="E2418" t="str">
        <f t="shared" si="37"/>
        <v>AL039_094|BBA Set</v>
      </c>
    </row>
    <row r="2419" spans="1:5" x14ac:dyDescent="0.2">
      <c r="A2419" t="s">
        <v>836</v>
      </c>
      <c r="B2419" t="s">
        <v>837</v>
      </c>
      <c r="C2419" t="s">
        <v>331</v>
      </c>
      <c r="D2419" t="str">
        <f>VLOOKUP(C2419,'lookup table'!$A$2:$B$19,2,FALSE)</f>
        <v>FS Item</v>
      </c>
      <c r="E2419" t="str">
        <f t="shared" si="37"/>
        <v>AL039_094|FS Item</v>
      </c>
    </row>
    <row r="2420" spans="1:5" x14ac:dyDescent="0.2">
      <c r="A2420" t="s">
        <v>836</v>
      </c>
      <c r="B2420" t="s">
        <v>837</v>
      </c>
      <c r="C2420" t="s">
        <v>423</v>
      </c>
      <c r="D2420" t="str">
        <f>VLOOKUP(C2420,'lookup table'!$A$2:$B$19,2,FALSE)</f>
        <v>ignore</v>
      </c>
      <c r="E2420" t="str">
        <f t="shared" si="37"/>
        <v>AL039_094|ignore</v>
      </c>
    </row>
    <row r="2421" spans="1:5" x14ac:dyDescent="0.2">
      <c r="A2421" t="s">
        <v>836</v>
      </c>
      <c r="B2421" t="s">
        <v>837</v>
      </c>
      <c r="C2421" t="s">
        <v>428</v>
      </c>
      <c r="D2421" t="str">
        <f>VLOOKUP(C2421,'lookup table'!$A$2:$B$19,2,FALSE)</f>
        <v>LoB</v>
      </c>
      <c r="E2421" t="str">
        <f t="shared" si="37"/>
        <v>AL039_094|LoB</v>
      </c>
    </row>
    <row r="2422" spans="1:5" x14ac:dyDescent="0.2">
      <c r="A2422" t="s">
        <v>838</v>
      </c>
      <c r="B2422" t="s">
        <v>839</v>
      </c>
      <c r="C2422" t="s">
        <v>20</v>
      </c>
      <c r="D2422" t="str">
        <f>VLOOKUP(C2422,'lookup table'!$A$2:$B$19,2,FALSE)</f>
        <v>AY</v>
      </c>
      <c r="E2422" t="str">
        <f t="shared" si="37"/>
        <v>AL039_10|AY</v>
      </c>
    </row>
    <row r="2423" spans="1:5" x14ac:dyDescent="0.2">
      <c r="A2423" t="s">
        <v>838</v>
      </c>
      <c r="B2423" t="s">
        <v>839</v>
      </c>
      <c r="C2423" t="s">
        <v>331</v>
      </c>
      <c r="D2423" t="str">
        <f>VLOOKUP(C2423,'lookup table'!$A$2:$B$19,2,FALSE)</f>
        <v>FS Item</v>
      </c>
      <c r="E2423" t="str">
        <f t="shared" si="37"/>
        <v>AL039_10|FS Item</v>
      </c>
    </row>
    <row r="2424" spans="1:5" x14ac:dyDescent="0.2">
      <c r="A2424" t="s">
        <v>838</v>
      </c>
      <c r="B2424" t="s">
        <v>839</v>
      </c>
      <c r="C2424" t="s">
        <v>423</v>
      </c>
      <c r="D2424" t="str">
        <f>VLOOKUP(C2424,'lookup table'!$A$2:$B$19,2,FALSE)</f>
        <v>ignore</v>
      </c>
      <c r="E2424" t="str">
        <f t="shared" si="37"/>
        <v>AL039_10|ignore</v>
      </c>
    </row>
    <row r="2425" spans="1:5" x14ac:dyDescent="0.2">
      <c r="A2425" t="s">
        <v>838</v>
      </c>
      <c r="B2425" t="s">
        <v>839</v>
      </c>
      <c r="C2425" t="s">
        <v>428</v>
      </c>
      <c r="D2425" t="str">
        <f>VLOOKUP(C2425,'lookup table'!$A$2:$B$19,2,FALSE)</f>
        <v>LoB</v>
      </c>
      <c r="E2425" t="str">
        <f t="shared" si="37"/>
        <v>AL039_10|LoB</v>
      </c>
    </row>
    <row r="2426" spans="1:5" x14ac:dyDescent="0.2">
      <c r="A2426" t="s">
        <v>838</v>
      </c>
      <c r="B2426" t="s">
        <v>839</v>
      </c>
      <c r="C2426" t="s">
        <v>441</v>
      </c>
      <c r="D2426" t="str">
        <f>VLOOKUP(C2426,'lookup table'!$A$2:$B$19,2,FALSE)</f>
        <v>Partner Segment</v>
      </c>
      <c r="E2426" t="str">
        <f t="shared" si="37"/>
        <v>AL039_10|Partner Segment</v>
      </c>
    </row>
    <row r="2427" spans="1:5" x14ac:dyDescent="0.2">
      <c r="A2427" t="s">
        <v>838</v>
      </c>
      <c r="B2427" t="s">
        <v>839</v>
      </c>
      <c r="C2427" t="s">
        <v>442</v>
      </c>
      <c r="D2427" t="str">
        <f>VLOOKUP(C2427,'lookup table'!$A$2:$B$19,2,FALSE)</f>
        <v>Partner Unit</v>
      </c>
      <c r="E2427" t="str">
        <f t="shared" si="37"/>
        <v>AL039_10|Partner Unit</v>
      </c>
    </row>
    <row r="2428" spans="1:5" x14ac:dyDescent="0.2">
      <c r="A2428" t="s">
        <v>840</v>
      </c>
      <c r="B2428" t="s">
        <v>805</v>
      </c>
      <c r="C2428" t="s">
        <v>20</v>
      </c>
      <c r="D2428" t="str">
        <f>VLOOKUP(C2428,'lookup table'!$A$2:$B$19,2,FALSE)</f>
        <v>AY</v>
      </c>
      <c r="E2428" t="str">
        <f t="shared" si="37"/>
        <v>AL039_12|AY</v>
      </c>
    </row>
    <row r="2429" spans="1:5" x14ac:dyDescent="0.2">
      <c r="A2429" t="s">
        <v>840</v>
      </c>
      <c r="B2429" t="s">
        <v>805</v>
      </c>
      <c r="C2429" t="s">
        <v>331</v>
      </c>
      <c r="D2429" t="str">
        <f>VLOOKUP(C2429,'lookup table'!$A$2:$B$19,2,FALSE)</f>
        <v>FS Item</v>
      </c>
      <c r="E2429" t="str">
        <f t="shared" si="37"/>
        <v>AL039_12|FS Item</v>
      </c>
    </row>
    <row r="2430" spans="1:5" x14ac:dyDescent="0.2">
      <c r="A2430" t="s">
        <v>840</v>
      </c>
      <c r="B2430" t="s">
        <v>805</v>
      </c>
      <c r="C2430" t="s">
        <v>423</v>
      </c>
      <c r="D2430" t="str">
        <f>VLOOKUP(C2430,'lookup table'!$A$2:$B$19,2,FALSE)</f>
        <v>ignore</v>
      </c>
      <c r="E2430" t="str">
        <f t="shared" si="37"/>
        <v>AL039_12|ignore</v>
      </c>
    </row>
    <row r="2431" spans="1:5" x14ac:dyDescent="0.2">
      <c r="A2431" t="s">
        <v>840</v>
      </c>
      <c r="B2431" t="s">
        <v>805</v>
      </c>
      <c r="C2431" t="s">
        <v>428</v>
      </c>
      <c r="D2431" t="str">
        <f>VLOOKUP(C2431,'lookup table'!$A$2:$B$19,2,FALSE)</f>
        <v>LoB</v>
      </c>
      <c r="E2431" t="str">
        <f t="shared" si="37"/>
        <v>AL039_12|LoB</v>
      </c>
    </row>
    <row r="2432" spans="1:5" x14ac:dyDescent="0.2">
      <c r="A2432" t="s">
        <v>840</v>
      </c>
      <c r="B2432" t="s">
        <v>805</v>
      </c>
      <c r="C2432" t="s">
        <v>441</v>
      </c>
      <c r="D2432" t="str">
        <f>VLOOKUP(C2432,'lookup table'!$A$2:$B$19,2,FALSE)</f>
        <v>Partner Segment</v>
      </c>
      <c r="E2432" t="str">
        <f t="shared" si="37"/>
        <v>AL039_12|Partner Segment</v>
      </c>
    </row>
    <row r="2433" spans="1:5" x14ac:dyDescent="0.2">
      <c r="A2433" t="s">
        <v>840</v>
      </c>
      <c r="B2433" t="s">
        <v>805</v>
      </c>
      <c r="C2433" t="s">
        <v>442</v>
      </c>
      <c r="D2433" t="str">
        <f>VLOOKUP(C2433,'lookup table'!$A$2:$B$19,2,FALSE)</f>
        <v>Partner Unit</v>
      </c>
      <c r="E2433" t="str">
        <f t="shared" si="37"/>
        <v>AL039_12|Partner Unit</v>
      </c>
    </row>
    <row r="2434" spans="1:5" x14ac:dyDescent="0.2">
      <c r="A2434" t="s">
        <v>841</v>
      </c>
      <c r="B2434" t="s">
        <v>842</v>
      </c>
      <c r="C2434" t="s">
        <v>20</v>
      </c>
      <c r="D2434" t="str">
        <f>VLOOKUP(C2434,'lookup table'!$A$2:$B$19,2,FALSE)</f>
        <v>AY</v>
      </c>
      <c r="E2434" t="str">
        <f t="shared" si="37"/>
        <v>AL039_12T|AY</v>
      </c>
    </row>
    <row r="2435" spans="1:5" x14ac:dyDescent="0.2">
      <c r="A2435" t="s">
        <v>841</v>
      </c>
      <c r="B2435" t="s">
        <v>842</v>
      </c>
      <c r="C2435" t="s">
        <v>331</v>
      </c>
      <c r="D2435" t="str">
        <f>VLOOKUP(C2435,'lookup table'!$A$2:$B$19,2,FALSE)</f>
        <v>FS Item</v>
      </c>
      <c r="E2435" t="str">
        <f t="shared" ref="E2435:E2498" si="38">IF(ISNA(D2435),"",IF(A2435="","",A2435) &amp; "|" &amp; D2435)</f>
        <v>AL039_12T|FS Item</v>
      </c>
    </row>
    <row r="2436" spans="1:5" x14ac:dyDescent="0.2">
      <c r="A2436" t="s">
        <v>841</v>
      </c>
      <c r="B2436" t="s">
        <v>842</v>
      </c>
      <c r="C2436" t="s">
        <v>423</v>
      </c>
      <c r="D2436" t="str">
        <f>VLOOKUP(C2436,'lookup table'!$A$2:$B$19,2,FALSE)</f>
        <v>ignore</v>
      </c>
      <c r="E2436" t="str">
        <f t="shared" si="38"/>
        <v>AL039_12T|ignore</v>
      </c>
    </row>
    <row r="2437" spans="1:5" x14ac:dyDescent="0.2">
      <c r="A2437" t="s">
        <v>841</v>
      </c>
      <c r="B2437" t="s">
        <v>842</v>
      </c>
      <c r="C2437" t="s">
        <v>428</v>
      </c>
      <c r="D2437" t="str">
        <f>VLOOKUP(C2437,'lookup table'!$A$2:$B$19,2,FALSE)</f>
        <v>LoB</v>
      </c>
      <c r="E2437" t="str">
        <f t="shared" si="38"/>
        <v>AL039_12T|LoB</v>
      </c>
    </row>
    <row r="2438" spans="1:5" x14ac:dyDescent="0.2">
      <c r="A2438" t="s">
        <v>841</v>
      </c>
      <c r="B2438" t="s">
        <v>842</v>
      </c>
      <c r="C2438" t="s">
        <v>441</v>
      </c>
      <c r="D2438" t="str">
        <f>VLOOKUP(C2438,'lookup table'!$A$2:$B$19,2,FALSE)</f>
        <v>Partner Segment</v>
      </c>
      <c r="E2438" t="str">
        <f t="shared" si="38"/>
        <v>AL039_12T|Partner Segment</v>
      </c>
    </row>
    <row r="2439" spans="1:5" x14ac:dyDescent="0.2">
      <c r="A2439" t="s">
        <v>841</v>
      </c>
      <c r="B2439" t="s">
        <v>842</v>
      </c>
      <c r="C2439" t="s">
        <v>442</v>
      </c>
      <c r="D2439" t="str">
        <f>VLOOKUP(C2439,'lookup table'!$A$2:$B$19,2,FALSE)</f>
        <v>Partner Unit</v>
      </c>
      <c r="E2439" t="str">
        <f t="shared" si="38"/>
        <v>AL039_12T|Partner Unit</v>
      </c>
    </row>
    <row r="2440" spans="1:5" x14ac:dyDescent="0.2">
      <c r="A2440" t="s">
        <v>843</v>
      </c>
      <c r="B2440" t="s">
        <v>844</v>
      </c>
      <c r="C2440" t="s">
        <v>20</v>
      </c>
      <c r="D2440" t="str">
        <f>VLOOKUP(C2440,'lookup table'!$A$2:$B$19,2,FALSE)</f>
        <v>AY</v>
      </c>
      <c r="E2440" t="str">
        <f t="shared" si="38"/>
        <v>AL039_13|AY</v>
      </c>
    </row>
    <row r="2441" spans="1:5" x14ac:dyDescent="0.2">
      <c r="A2441" t="s">
        <v>843</v>
      </c>
      <c r="B2441" t="s">
        <v>844</v>
      </c>
      <c r="C2441" t="s">
        <v>331</v>
      </c>
      <c r="D2441" t="str">
        <f>VLOOKUP(C2441,'lookup table'!$A$2:$B$19,2,FALSE)</f>
        <v>FS Item</v>
      </c>
      <c r="E2441" t="str">
        <f t="shared" si="38"/>
        <v>AL039_13|FS Item</v>
      </c>
    </row>
    <row r="2442" spans="1:5" x14ac:dyDescent="0.2">
      <c r="A2442" t="s">
        <v>843</v>
      </c>
      <c r="B2442" t="s">
        <v>844</v>
      </c>
      <c r="C2442" t="s">
        <v>423</v>
      </c>
      <c r="D2442" t="str">
        <f>VLOOKUP(C2442,'lookup table'!$A$2:$B$19,2,FALSE)</f>
        <v>ignore</v>
      </c>
      <c r="E2442" t="str">
        <f t="shared" si="38"/>
        <v>AL039_13|ignore</v>
      </c>
    </row>
    <row r="2443" spans="1:5" x14ac:dyDescent="0.2">
      <c r="A2443" t="s">
        <v>843</v>
      </c>
      <c r="B2443" t="s">
        <v>844</v>
      </c>
      <c r="C2443" t="s">
        <v>428</v>
      </c>
      <c r="D2443" t="str">
        <f>VLOOKUP(C2443,'lookup table'!$A$2:$B$19,2,FALSE)</f>
        <v>LoB</v>
      </c>
      <c r="E2443" t="str">
        <f t="shared" si="38"/>
        <v>AL039_13|LoB</v>
      </c>
    </row>
    <row r="2444" spans="1:5" x14ac:dyDescent="0.2">
      <c r="A2444" t="s">
        <v>843</v>
      </c>
      <c r="B2444" t="s">
        <v>844</v>
      </c>
      <c r="C2444" t="s">
        <v>441</v>
      </c>
      <c r="D2444" t="str">
        <f>VLOOKUP(C2444,'lookup table'!$A$2:$B$19,2,FALSE)</f>
        <v>Partner Segment</v>
      </c>
      <c r="E2444" t="str">
        <f t="shared" si="38"/>
        <v>AL039_13|Partner Segment</v>
      </c>
    </row>
    <row r="2445" spans="1:5" x14ac:dyDescent="0.2">
      <c r="A2445" t="s">
        <v>843</v>
      </c>
      <c r="B2445" t="s">
        <v>844</v>
      </c>
      <c r="C2445" t="s">
        <v>442</v>
      </c>
      <c r="D2445" t="str">
        <f>VLOOKUP(C2445,'lookup table'!$A$2:$B$19,2,FALSE)</f>
        <v>Partner Unit</v>
      </c>
      <c r="E2445" t="str">
        <f t="shared" si="38"/>
        <v>AL039_13|Partner Unit</v>
      </c>
    </row>
    <row r="2446" spans="1:5" x14ac:dyDescent="0.2">
      <c r="A2446" t="s">
        <v>845</v>
      </c>
      <c r="B2446" t="s">
        <v>846</v>
      </c>
      <c r="C2446" t="s">
        <v>20</v>
      </c>
      <c r="D2446" t="str">
        <f>VLOOKUP(C2446,'lookup table'!$A$2:$B$19,2,FALSE)</f>
        <v>AY</v>
      </c>
      <c r="E2446" t="str">
        <f t="shared" si="38"/>
        <v>AL039_13T|AY</v>
      </c>
    </row>
    <row r="2447" spans="1:5" x14ac:dyDescent="0.2">
      <c r="A2447" t="s">
        <v>845</v>
      </c>
      <c r="B2447" t="s">
        <v>846</v>
      </c>
      <c r="C2447" t="s">
        <v>331</v>
      </c>
      <c r="D2447" t="str">
        <f>VLOOKUP(C2447,'lookup table'!$A$2:$B$19,2,FALSE)</f>
        <v>FS Item</v>
      </c>
      <c r="E2447" t="str">
        <f t="shared" si="38"/>
        <v>AL039_13T|FS Item</v>
      </c>
    </row>
    <row r="2448" spans="1:5" x14ac:dyDescent="0.2">
      <c r="A2448" t="s">
        <v>845</v>
      </c>
      <c r="B2448" t="s">
        <v>846</v>
      </c>
      <c r="C2448" t="s">
        <v>423</v>
      </c>
      <c r="D2448" t="str">
        <f>VLOOKUP(C2448,'lookup table'!$A$2:$B$19,2,FALSE)</f>
        <v>ignore</v>
      </c>
      <c r="E2448" t="str">
        <f t="shared" si="38"/>
        <v>AL039_13T|ignore</v>
      </c>
    </row>
    <row r="2449" spans="1:5" x14ac:dyDescent="0.2">
      <c r="A2449" t="s">
        <v>845</v>
      </c>
      <c r="B2449" t="s">
        <v>846</v>
      </c>
      <c r="C2449" t="s">
        <v>428</v>
      </c>
      <c r="D2449" t="str">
        <f>VLOOKUP(C2449,'lookup table'!$A$2:$B$19,2,FALSE)</f>
        <v>LoB</v>
      </c>
      <c r="E2449" t="str">
        <f t="shared" si="38"/>
        <v>AL039_13T|LoB</v>
      </c>
    </row>
    <row r="2450" spans="1:5" x14ac:dyDescent="0.2">
      <c r="A2450" t="s">
        <v>845</v>
      </c>
      <c r="B2450" t="s">
        <v>846</v>
      </c>
      <c r="C2450" t="s">
        <v>441</v>
      </c>
      <c r="D2450" t="str">
        <f>VLOOKUP(C2450,'lookup table'!$A$2:$B$19,2,FALSE)</f>
        <v>Partner Segment</v>
      </c>
      <c r="E2450" t="str">
        <f t="shared" si="38"/>
        <v>AL039_13T|Partner Segment</v>
      </c>
    </row>
    <row r="2451" spans="1:5" x14ac:dyDescent="0.2">
      <c r="A2451" t="s">
        <v>845</v>
      </c>
      <c r="B2451" t="s">
        <v>846</v>
      </c>
      <c r="C2451" t="s">
        <v>442</v>
      </c>
      <c r="D2451" t="str">
        <f>VLOOKUP(C2451,'lookup table'!$A$2:$B$19,2,FALSE)</f>
        <v>Partner Unit</v>
      </c>
      <c r="E2451" t="str">
        <f t="shared" si="38"/>
        <v>AL039_13T|Partner Unit</v>
      </c>
    </row>
    <row r="2452" spans="1:5" x14ac:dyDescent="0.2">
      <c r="A2452" t="s">
        <v>847</v>
      </c>
      <c r="B2452" t="s">
        <v>848</v>
      </c>
      <c r="C2452" t="s">
        <v>20</v>
      </c>
      <c r="D2452" t="str">
        <f>VLOOKUP(C2452,'lookup table'!$A$2:$B$19,2,FALSE)</f>
        <v>AY</v>
      </c>
      <c r="E2452" t="str">
        <f t="shared" si="38"/>
        <v>AL039_14|AY</v>
      </c>
    </row>
    <row r="2453" spans="1:5" x14ac:dyDescent="0.2">
      <c r="A2453" t="s">
        <v>847</v>
      </c>
      <c r="B2453" t="s">
        <v>848</v>
      </c>
      <c r="C2453" t="s">
        <v>331</v>
      </c>
      <c r="D2453" t="str">
        <f>VLOOKUP(C2453,'lookup table'!$A$2:$B$19,2,FALSE)</f>
        <v>FS Item</v>
      </c>
      <c r="E2453" t="str">
        <f t="shared" si="38"/>
        <v>AL039_14|FS Item</v>
      </c>
    </row>
    <row r="2454" spans="1:5" x14ac:dyDescent="0.2">
      <c r="A2454" t="s">
        <v>847</v>
      </c>
      <c r="B2454" t="s">
        <v>848</v>
      </c>
      <c r="C2454" t="s">
        <v>423</v>
      </c>
      <c r="D2454" t="str">
        <f>VLOOKUP(C2454,'lookup table'!$A$2:$B$19,2,FALSE)</f>
        <v>ignore</v>
      </c>
      <c r="E2454" t="str">
        <f t="shared" si="38"/>
        <v>AL039_14|ignore</v>
      </c>
    </row>
    <row r="2455" spans="1:5" x14ac:dyDescent="0.2">
      <c r="A2455" t="s">
        <v>847</v>
      </c>
      <c r="B2455" t="s">
        <v>848</v>
      </c>
      <c r="C2455" t="s">
        <v>428</v>
      </c>
      <c r="D2455" t="str">
        <f>VLOOKUP(C2455,'lookup table'!$A$2:$B$19,2,FALSE)</f>
        <v>LoB</v>
      </c>
      <c r="E2455" t="str">
        <f t="shared" si="38"/>
        <v>AL039_14|LoB</v>
      </c>
    </row>
    <row r="2456" spans="1:5" x14ac:dyDescent="0.2">
      <c r="A2456" t="s">
        <v>847</v>
      </c>
      <c r="B2456" t="s">
        <v>848</v>
      </c>
      <c r="C2456" t="s">
        <v>441</v>
      </c>
      <c r="D2456" t="str">
        <f>VLOOKUP(C2456,'lookup table'!$A$2:$B$19,2,FALSE)</f>
        <v>Partner Segment</v>
      </c>
      <c r="E2456" t="str">
        <f t="shared" si="38"/>
        <v>AL039_14|Partner Segment</v>
      </c>
    </row>
    <row r="2457" spans="1:5" x14ac:dyDescent="0.2">
      <c r="A2457" t="s">
        <v>847</v>
      </c>
      <c r="B2457" t="s">
        <v>848</v>
      </c>
      <c r="C2457" t="s">
        <v>442</v>
      </c>
      <c r="D2457" t="str">
        <f>VLOOKUP(C2457,'lookup table'!$A$2:$B$19,2,FALSE)</f>
        <v>Partner Unit</v>
      </c>
      <c r="E2457" t="str">
        <f t="shared" si="38"/>
        <v>AL039_14|Partner Unit</v>
      </c>
    </row>
    <row r="2458" spans="1:5" x14ac:dyDescent="0.2">
      <c r="A2458" t="s">
        <v>849</v>
      </c>
      <c r="B2458" t="s">
        <v>850</v>
      </c>
      <c r="C2458" t="s">
        <v>20</v>
      </c>
      <c r="D2458" t="str">
        <f>VLOOKUP(C2458,'lookup table'!$A$2:$B$19,2,FALSE)</f>
        <v>AY</v>
      </c>
      <c r="E2458" t="str">
        <f t="shared" si="38"/>
        <v>AL039_14T|AY</v>
      </c>
    </row>
    <row r="2459" spans="1:5" x14ac:dyDescent="0.2">
      <c r="A2459" t="s">
        <v>849</v>
      </c>
      <c r="B2459" t="s">
        <v>850</v>
      </c>
      <c r="C2459" t="s">
        <v>331</v>
      </c>
      <c r="D2459" t="str">
        <f>VLOOKUP(C2459,'lookup table'!$A$2:$B$19,2,FALSE)</f>
        <v>FS Item</v>
      </c>
      <c r="E2459" t="str">
        <f t="shared" si="38"/>
        <v>AL039_14T|FS Item</v>
      </c>
    </row>
    <row r="2460" spans="1:5" x14ac:dyDescent="0.2">
      <c r="A2460" t="s">
        <v>849</v>
      </c>
      <c r="B2460" t="s">
        <v>850</v>
      </c>
      <c r="C2460" t="s">
        <v>423</v>
      </c>
      <c r="D2460" t="str">
        <f>VLOOKUP(C2460,'lookup table'!$A$2:$B$19,2,FALSE)</f>
        <v>ignore</v>
      </c>
      <c r="E2460" t="str">
        <f t="shared" si="38"/>
        <v>AL039_14T|ignore</v>
      </c>
    </row>
    <row r="2461" spans="1:5" x14ac:dyDescent="0.2">
      <c r="A2461" t="s">
        <v>849</v>
      </c>
      <c r="B2461" t="s">
        <v>850</v>
      </c>
      <c r="C2461" t="s">
        <v>428</v>
      </c>
      <c r="D2461" t="str">
        <f>VLOOKUP(C2461,'lookup table'!$A$2:$B$19,2,FALSE)</f>
        <v>LoB</v>
      </c>
      <c r="E2461" t="str">
        <f t="shared" si="38"/>
        <v>AL039_14T|LoB</v>
      </c>
    </row>
    <row r="2462" spans="1:5" x14ac:dyDescent="0.2">
      <c r="A2462" t="s">
        <v>849</v>
      </c>
      <c r="B2462" t="s">
        <v>850</v>
      </c>
      <c r="C2462" t="s">
        <v>441</v>
      </c>
      <c r="D2462" t="str">
        <f>VLOOKUP(C2462,'lookup table'!$A$2:$B$19,2,FALSE)</f>
        <v>Partner Segment</v>
      </c>
      <c r="E2462" t="str">
        <f t="shared" si="38"/>
        <v>AL039_14T|Partner Segment</v>
      </c>
    </row>
    <row r="2463" spans="1:5" x14ac:dyDescent="0.2">
      <c r="A2463" t="s">
        <v>849</v>
      </c>
      <c r="B2463" t="s">
        <v>850</v>
      </c>
      <c r="C2463" t="s">
        <v>442</v>
      </c>
      <c r="D2463" t="str">
        <f>VLOOKUP(C2463,'lookup table'!$A$2:$B$19,2,FALSE)</f>
        <v>Partner Unit</v>
      </c>
      <c r="E2463" t="str">
        <f t="shared" si="38"/>
        <v>AL039_14T|Partner Unit</v>
      </c>
    </row>
    <row r="2464" spans="1:5" x14ac:dyDescent="0.2">
      <c r="A2464" t="s">
        <v>851</v>
      </c>
      <c r="B2464" t="s">
        <v>852</v>
      </c>
      <c r="C2464" t="s">
        <v>20</v>
      </c>
      <c r="D2464" t="str">
        <f>VLOOKUP(C2464,'lookup table'!$A$2:$B$19,2,FALSE)</f>
        <v>AY</v>
      </c>
      <c r="E2464" t="str">
        <f t="shared" si="38"/>
        <v>AL039_15|AY</v>
      </c>
    </row>
    <row r="2465" spans="1:5" x14ac:dyDescent="0.2">
      <c r="A2465" t="s">
        <v>851</v>
      </c>
      <c r="B2465" t="s">
        <v>852</v>
      </c>
      <c r="C2465" t="s">
        <v>136</v>
      </c>
      <c r="D2465" t="str">
        <f>VLOOKUP(C2465,'lookup table'!$A$2:$B$19,2,FALSE)</f>
        <v>BBA Set</v>
      </c>
      <c r="E2465" t="str">
        <f t="shared" si="38"/>
        <v>AL039_15|BBA Set</v>
      </c>
    </row>
    <row r="2466" spans="1:5" x14ac:dyDescent="0.2">
      <c r="A2466" t="s">
        <v>851</v>
      </c>
      <c r="B2466" t="s">
        <v>852</v>
      </c>
      <c r="C2466" t="s">
        <v>331</v>
      </c>
      <c r="D2466" t="str">
        <f>VLOOKUP(C2466,'lookup table'!$A$2:$B$19,2,FALSE)</f>
        <v>FS Item</v>
      </c>
      <c r="E2466" t="str">
        <f t="shared" si="38"/>
        <v>AL039_15|FS Item</v>
      </c>
    </row>
    <row r="2467" spans="1:5" x14ac:dyDescent="0.2">
      <c r="A2467" t="s">
        <v>851</v>
      </c>
      <c r="B2467" t="s">
        <v>852</v>
      </c>
      <c r="C2467" t="s">
        <v>423</v>
      </c>
      <c r="D2467" t="str">
        <f>VLOOKUP(C2467,'lookup table'!$A$2:$B$19,2,FALSE)</f>
        <v>ignore</v>
      </c>
      <c r="E2467" t="str">
        <f t="shared" si="38"/>
        <v>AL039_15|ignore</v>
      </c>
    </row>
    <row r="2468" spans="1:5" x14ac:dyDescent="0.2">
      <c r="A2468" t="s">
        <v>851</v>
      </c>
      <c r="B2468" t="s">
        <v>852</v>
      </c>
      <c r="C2468" t="s">
        <v>428</v>
      </c>
      <c r="D2468" t="str">
        <f>VLOOKUP(C2468,'lookup table'!$A$2:$B$19,2,FALSE)</f>
        <v>LoB</v>
      </c>
      <c r="E2468" t="str">
        <f t="shared" si="38"/>
        <v>AL039_15|LoB</v>
      </c>
    </row>
    <row r="2469" spans="1:5" x14ac:dyDescent="0.2">
      <c r="A2469" t="s">
        <v>851</v>
      </c>
      <c r="B2469" t="s">
        <v>852</v>
      </c>
      <c r="C2469" t="s">
        <v>441</v>
      </c>
      <c r="D2469" t="str">
        <f>VLOOKUP(C2469,'lookup table'!$A$2:$B$19,2,FALSE)</f>
        <v>Partner Segment</v>
      </c>
      <c r="E2469" t="str">
        <f t="shared" si="38"/>
        <v>AL039_15|Partner Segment</v>
      </c>
    </row>
    <row r="2470" spans="1:5" x14ac:dyDescent="0.2">
      <c r="A2470" t="s">
        <v>851</v>
      </c>
      <c r="B2470" t="s">
        <v>852</v>
      </c>
      <c r="C2470" t="s">
        <v>442</v>
      </c>
      <c r="D2470" t="str">
        <f>VLOOKUP(C2470,'lookup table'!$A$2:$B$19,2,FALSE)</f>
        <v>Partner Unit</v>
      </c>
      <c r="E2470" t="str">
        <f t="shared" si="38"/>
        <v>AL039_15|Partner Unit</v>
      </c>
    </row>
    <row r="2471" spans="1:5" x14ac:dyDescent="0.2">
      <c r="A2471" t="s">
        <v>853</v>
      </c>
      <c r="B2471" t="s">
        <v>854</v>
      </c>
      <c r="C2471" t="s">
        <v>20</v>
      </c>
      <c r="D2471" t="str">
        <f>VLOOKUP(C2471,'lookup table'!$A$2:$B$19,2,FALSE)</f>
        <v>AY</v>
      </c>
      <c r="E2471" t="str">
        <f t="shared" si="38"/>
        <v>AL039_15T|AY</v>
      </c>
    </row>
    <row r="2472" spans="1:5" x14ac:dyDescent="0.2">
      <c r="A2472" t="s">
        <v>853</v>
      </c>
      <c r="B2472" t="s">
        <v>854</v>
      </c>
      <c r="C2472" t="s">
        <v>136</v>
      </c>
      <c r="D2472" t="str">
        <f>VLOOKUP(C2472,'lookup table'!$A$2:$B$19,2,FALSE)</f>
        <v>BBA Set</v>
      </c>
      <c r="E2472" t="str">
        <f t="shared" si="38"/>
        <v>AL039_15T|BBA Set</v>
      </c>
    </row>
    <row r="2473" spans="1:5" x14ac:dyDescent="0.2">
      <c r="A2473" t="s">
        <v>853</v>
      </c>
      <c r="B2473" t="s">
        <v>854</v>
      </c>
      <c r="C2473" t="s">
        <v>331</v>
      </c>
      <c r="D2473" t="str">
        <f>VLOOKUP(C2473,'lookup table'!$A$2:$B$19,2,FALSE)</f>
        <v>FS Item</v>
      </c>
      <c r="E2473" t="str">
        <f t="shared" si="38"/>
        <v>AL039_15T|FS Item</v>
      </c>
    </row>
    <row r="2474" spans="1:5" x14ac:dyDescent="0.2">
      <c r="A2474" t="s">
        <v>853</v>
      </c>
      <c r="B2474" t="s">
        <v>854</v>
      </c>
      <c r="C2474" t="s">
        <v>423</v>
      </c>
      <c r="D2474" t="str">
        <f>VLOOKUP(C2474,'lookup table'!$A$2:$B$19,2,FALSE)</f>
        <v>ignore</v>
      </c>
      <c r="E2474" t="str">
        <f t="shared" si="38"/>
        <v>AL039_15T|ignore</v>
      </c>
    </row>
    <row r="2475" spans="1:5" x14ac:dyDescent="0.2">
      <c r="A2475" t="s">
        <v>853</v>
      </c>
      <c r="B2475" t="s">
        <v>854</v>
      </c>
      <c r="C2475" t="s">
        <v>428</v>
      </c>
      <c r="D2475" t="str">
        <f>VLOOKUP(C2475,'lookup table'!$A$2:$B$19,2,FALSE)</f>
        <v>LoB</v>
      </c>
      <c r="E2475" t="str">
        <f t="shared" si="38"/>
        <v>AL039_15T|LoB</v>
      </c>
    </row>
    <row r="2476" spans="1:5" x14ac:dyDescent="0.2">
      <c r="A2476" t="s">
        <v>853</v>
      </c>
      <c r="B2476" t="s">
        <v>854</v>
      </c>
      <c r="C2476" t="s">
        <v>441</v>
      </c>
      <c r="D2476" t="str">
        <f>VLOOKUP(C2476,'lookup table'!$A$2:$B$19,2,FALSE)</f>
        <v>Partner Segment</v>
      </c>
      <c r="E2476" t="str">
        <f t="shared" si="38"/>
        <v>AL039_15T|Partner Segment</v>
      </c>
    </row>
    <row r="2477" spans="1:5" x14ac:dyDescent="0.2">
      <c r="A2477" t="s">
        <v>853</v>
      </c>
      <c r="B2477" t="s">
        <v>854</v>
      </c>
      <c r="C2477" t="s">
        <v>442</v>
      </c>
      <c r="D2477" t="str">
        <f>VLOOKUP(C2477,'lookup table'!$A$2:$B$19,2,FALSE)</f>
        <v>Partner Unit</v>
      </c>
      <c r="E2477" t="str">
        <f t="shared" si="38"/>
        <v>AL039_15T|Partner Unit</v>
      </c>
    </row>
    <row r="2478" spans="1:5" x14ac:dyDescent="0.2">
      <c r="A2478" t="s">
        <v>855</v>
      </c>
      <c r="B2478" t="s">
        <v>856</v>
      </c>
      <c r="C2478" t="s">
        <v>20</v>
      </c>
      <c r="D2478" t="str">
        <f>VLOOKUP(C2478,'lookup table'!$A$2:$B$19,2,FALSE)</f>
        <v>AY</v>
      </c>
      <c r="E2478" t="str">
        <f t="shared" si="38"/>
        <v>AL039_17|AY</v>
      </c>
    </row>
    <row r="2479" spans="1:5" x14ac:dyDescent="0.2">
      <c r="A2479" t="s">
        <v>855</v>
      </c>
      <c r="B2479" t="s">
        <v>856</v>
      </c>
      <c r="C2479" t="s">
        <v>331</v>
      </c>
      <c r="D2479" t="str">
        <f>VLOOKUP(C2479,'lookup table'!$A$2:$B$19,2,FALSE)</f>
        <v>FS Item</v>
      </c>
      <c r="E2479" t="str">
        <f t="shared" si="38"/>
        <v>AL039_17|FS Item</v>
      </c>
    </row>
    <row r="2480" spans="1:5" x14ac:dyDescent="0.2">
      <c r="A2480" t="s">
        <v>855</v>
      </c>
      <c r="B2480" t="s">
        <v>856</v>
      </c>
      <c r="C2480" t="s">
        <v>423</v>
      </c>
      <c r="D2480" t="str">
        <f>VLOOKUP(C2480,'lookup table'!$A$2:$B$19,2,FALSE)</f>
        <v>ignore</v>
      </c>
      <c r="E2480" t="str">
        <f t="shared" si="38"/>
        <v>AL039_17|ignore</v>
      </c>
    </row>
    <row r="2481" spans="1:5" x14ac:dyDescent="0.2">
      <c r="A2481" t="s">
        <v>855</v>
      </c>
      <c r="B2481" t="s">
        <v>856</v>
      </c>
      <c r="C2481" t="s">
        <v>428</v>
      </c>
      <c r="D2481" t="str">
        <f>VLOOKUP(C2481,'lookup table'!$A$2:$B$19,2,FALSE)</f>
        <v>LoB</v>
      </c>
      <c r="E2481" t="str">
        <f t="shared" si="38"/>
        <v>AL039_17|LoB</v>
      </c>
    </row>
    <row r="2482" spans="1:5" x14ac:dyDescent="0.2">
      <c r="A2482" t="s">
        <v>855</v>
      </c>
      <c r="B2482" t="s">
        <v>856</v>
      </c>
      <c r="C2482" t="s">
        <v>441</v>
      </c>
      <c r="D2482" t="str">
        <f>VLOOKUP(C2482,'lookup table'!$A$2:$B$19,2,FALSE)</f>
        <v>Partner Segment</v>
      </c>
      <c r="E2482" t="str">
        <f t="shared" si="38"/>
        <v>AL039_17|Partner Segment</v>
      </c>
    </row>
    <row r="2483" spans="1:5" x14ac:dyDescent="0.2">
      <c r="A2483" t="s">
        <v>855</v>
      </c>
      <c r="B2483" t="s">
        <v>856</v>
      </c>
      <c r="C2483" t="s">
        <v>442</v>
      </c>
      <c r="D2483" t="str">
        <f>VLOOKUP(C2483,'lookup table'!$A$2:$B$19,2,FALSE)</f>
        <v>Partner Unit</v>
      </c>
      <c r="E2483" t="str">
        <f t="shared" si="38"/>
        <v>AL039_17|Partner Unit</v>
      </c>
    </row>
    <row r="2484" spans="1:5" x14ac:dyDescent="0.2">
      <c r="A2484" t="s">
        <v>857</v>
      </c>
      <c r="B2484" t="s">
        <v>858</v>
      </c>
      <c r="C2484" t="s">
        <v>20</v>
      </c>
      <c r="D2484" t="str">
        <f>VLOOKUP(C2484,'lookup table'!$A$2:$B$19,2,FALSE)</f>
        <v>AY</v>
      </c>
      <c r="E2484" t="str">
        <f t="shared" si="38"/>
        <v>AL039_22|AY</v>
      </c>
    </row>
    <row r="2485" spans="1:5" x14ac:dyDescent="0.2">
      <c r="A2485" t="s">
        <v>857</v>
      </c>
      <c r="B2485" t="s">
        <v>858</v>
      </c>
      <c r="C2485" t="s">
        <v>331</v>
      </c>
      <c r="D2485" t="str">
        <f>VLOOKUP(C2485,'lookup table'!$A$2:$B$19,2,FALSE)</f>
        <v>FS Item</v>
      </c>
      <c r="E2485" t="str">
        <f t="shared" si="38"/>
        <v>AL039_22|FS Item</v>
      </c>
    </row>
    <row r="2486" spans="1:5" x14ac:dyDescent="0.2">
      <c r="A2486" t="s">
        <v>857</v>
      </c>
      <c r="B2486" t="s">
        <v>858</v>
      </c>
      <c r="C2486" t="s">
        <v>423</v>
      </c>
      <c r="D2486" t="str">
        <f>VLOOKUP(C2486,'lookup table'!$A$2:$B$19,2,FALSE)</f>
        <v>ignore</v>
      </c>
      <c r="E2486" t="str">
        <f t="shared" si="38"/>
        <v>AL039_22|ignore</v>
      </c>
    </row>
    <row r="2487" spans="1:5" x14ac:dyDescent="0.2">
      <c r="A2487" t="s">
        <v>857</v>
      </c>
      <c r="B2487" t="s">
        <v>858</v>
      </c>
      <c r="C2487" t="s">
        <v>428</v>
      </c>
      <c r="D2487" t="str">
        <f>VLOOKUP(C2487,'lookup table'!$A$2:$B$19,2,FALSE)</f>
        <v>LoB</v>
      </c>
      <c r="E2487" t="str">
        <f t="shared" si="38"/>
        <v>AL039_22|LoB</v>
      </c>
    </row>
    <row r="2488" spans="1:5" x14ac:dyDescent="0.2">
      <c r="A2488" t="s">
        <v>857</v>
      </c>
      <c r="B2488" t="s">
        <v>858</v>
      </c>
      <c r="C2488" t="s">
        <v>441</v>
      </c>
      <c r="D2488" t="str">
        <f>VLOOKUP(C2488,'lookup table'!$A$2:$B$19,2,FALSE)</f>
        <v>Partner Segment</v>
      </c>
      <c r="E2488" t="str">
        <f t="shared" si="38"/>
        <v>AL039_22|Partner Segment</v>
      </c>
    </row>
    <row r="2489" spans="1:5" x14ac:dyDescent="0.2">
      <c r="A2489" t="s">
        <v>857</v>
      </c>
      <c r="B2489" t="s">
        <v>858</v>
      </c>
      <c r="C2489" t="s">
        <v>442</v>
      </c>
      <c r="D2489" t="str">
        <f>VLOOKUP(C2489,'lookup table'!$A$2:$B$19,2,FALSE)</f>
        <v>Partner Unit</v>
      </c>
      <c r="E2489" t="str">
        <f t="shared" si="38"/>
        <v>AL039_22|Partner Unit</v>
      </c>
    </row>
    <row r="2490" spans="1:5" x14ac:dyDescent="0.2">
      <c r="A2490" t="s">
        <v>859</v>
      </c>
      <c r="B2490" t="s">
        <v>860</v>
      </c>
      <c r="C2490" t="s">
        <v>20</v>
      </c>
      <c r="D2490" t="str">
        <f>VLOOKUP(C2490,'lookup table'!$A$2:$B$19,2,FALSE)</f>
        <v>AY</v>
      </c>
      <c r="E2490" t="str">
        <f t="shared" si="38"/>
        <v>AL041_00|AY</v>
      </c>
    </row>
    <row r="2491" spans="1:5" x14ac:dyDescent="0.2">
      <c r="A2491" t="s">
        <v>859</v>
      </c>
      <c r="B2491" t="s">
        <v>860</v>
      </c>
      <c r="C2491" t="s">
        <v>136</v>
      </c>
      <c r="D2491" t="str">
        <f>VLOOKUP(C2491,'lookup table'!$A$2:$B$19,2,FALSE)</f>
        <v>BBA Set</v>
      </c>
      <c r="E2491" t="str">
        <f t="shared" si="38"/>
        <v>AL041_00|BBA Set</v>
      </c>
    </row>
    <row r="2492" spans="1:5" x14ac:dyDescent="0.2">
      <c r="A2492" t="s">
        <v>859</v>
      </c>
      <c r="B2492" t="s">
        <v>860</v>
      </c>
      <c r="C2492" t="s">
        <v>331</v>
      </c>
      <c r="D2492" t="str">
        <f>VLOOKUP(C2492,'lookup table'!$A$2:$B$19,2,FALSE)</f>
        <v>FS Item</v>
      </c>
      <c r="E2492" t="str">
        <f t="shared" si="38"/>
        <v>AL041_00|FS Item</v>
      </c>
    </row>
    <row r="2493" spans="1:5" x14ac:dyDescent="0.2">
      <c r="A2493" t="s">
        <v>859</v>
      </c>
      <c r="B2493" t="s">
        <v>860</v>
      </c>
      <c r="C2493" t="s">
        <v>423</v>
      </c>
      <c r="D2493" t="str">
        <f>VLOOKUP(C2493,'lookup table'!$A$2:$B$19,2,FALSE)</f>
        <v>ignore</v>
      </c>
      <c r="E2493" t="str">
        <f t="shared" si="38"/>
        <v>AL041_00|ignore</v>
      </c>
    </row>
    <row r="2494" spans="1:5" x14ac:dyDescent="0.2">
      <c r="A2494" t="s">
        <v>859</v>
      </c>
      <c r="B2494" t="s">
        <v>860</v>
      </c>
      <c r="C2494" t="s">
        <v>428</v>
      </c>
      <c r="D2494" t="str">
        <f>VLOOKUP(C2494,'lookup table'!$A$2:$B$19,2,FALSE)</f>
        <v>LoB</v>
      </c>
      <c r="E2494" t="str">
        <f t="shared" si="38"/>
        <v>AL041_00|LoB</v>
      </c>
    </row>
    <row r="2495" spans="1:5" x14ac:dyDescent="0.2">
      <c r="A2495" t="s">
        <v>859</v>
      </c>
      <c r="B2495" t="s">
        <v>860</v>
      </c>
      <c r="C2495" t="s">
        <v>441</v>
      </c>
      <c r="D2495" t="str">
        <f>VLOOKUP(C2495,'lookup table'!$A$2:$B$19,2,FALSE)</f>
        <v>Partner Segment</v>
      </c>
      <c r="E2495" t="str">
        <f t="shared" si="38"/>
        <v>AL041_00|Partner Segment</v>
      </c>
    </row>
    <row r="2496" spans="1:5" x14ac:dyDescent="0.2">
      <c r="A2496" t="s">
        <v>859</v>
      </c>
      <c r="B2496" t="s">
        <v>860</v>
      </c>
      <c r="C2496" t="s">
        <v>442</v>
      </c>
      <c r="D2496" t="str">
        <f>VLOOKUP(C2496,'lookup table'!$A$2:$B$19,2,FALSE)</f>
        <v>Partner Unit</v>
      </c>
      <c r="E2496" t="str">
        <f t="shared" si="38"/>
        <v>AL041_00|Partner Unit</v>
      </c>
    </row>
    <row r="2497" spans="1:5" x14ac:dyDescent="0.2">
      <c r="A2497" t="s">
        <v>861</v>
      </c>
      <c r="B2497" t="s">
        <v>862</v>
      </c>
      <c r="C2497" t="s">
        <v>20</v>
      </c>
      <c r="D2497" t="str">
        <f>VLOOKUP(C2497,'lookup table'!$A$2:$B$19,2,FALSE)</f>
        <v>AY</v>
      </c>
      <c r="E2497" t="str">
        <f t="shared" si="38"/>
        <v>AL041_10|AY</v>
      </c>
    </row>
    <row r="2498" spans="1:5" x14ac:dyDescent="0.2">
      <c r="A2498" t="s">
        <v>861</v>
      </c>
      <c r="B2498" t="s">
        <v>862</v>
      </c>
      <c r="C2498" t="s">
        <v>331</v>
      </c>
      <c r="D2498" t="str">
        <f>VLOOKUP(C2498,'lookup table'!$A$2:$B$19,2,FALSE)</f>
        <v>FS Item</v>
      </c>
      <c r="E2498" t="str">
        <f t="shared" si="38"/>
        <v>AL041_10|FS Item</v>
      </c>
    </row>
    <row r="2499" spans="1:5" x14ac:dyDescent="0.2">
      <c r="A2499" t="s">
        <v>861</v>
      </c>
      <c r="B2499" t="s">
        <v>862</v>
      </c>
      <c r="C2499" t="s">
        <v>423</v>
      </c>
      <c r="D2499" t="str">
        <f>VLOOKUP(C2499,'lookup table'!$A$2:$B$19,2,FALSE)</f>
        <v>ignore</v>
      </c>
      <c r="E2499" t="str">
        <f t="shared" ref="E2499:E2562" si="39">IF(ISNA(D2499),"",IF(A2499="","",A2499) &amp; "|" &amp; D2499)</f>
        <v>AL041_10|ignore</v>
      </c>
    </row>
    <row r="2500" spans="1:5" x14ac:dyDescent="0.2">
      <c r="A2500" t="s">
        <v>861</v>
      </c>
      <c r="B2500" t="s">
        <v>862</v>
      </c>
      <c r="C2500" t="s">
        <v>428</v>
      </c>
      <c r="D2500" t="str">
        <f>VLOOKUP(C2500,'lookup table'!$A$2:$B$19,2,FALSE)</f>
        <v>LoB</v>
      </c>
      <c r="E2500" t="str">
        <f t="shared" si="39"/>
        <v>AL041_10|LoB</v>
      </c>
    </row>
    <row r="2501" spans="1:5" x14ac:dyDescent="0.2">
      <c r="A2501" t="s">
        <v>861</v>
      </c>
      <c r="B2501" t="s">
        <v>862</v>
      </c>
      <c r="C2501" t="s">
        <v>441</v>
      </c>
      <c r="D2501" t="str">
        <f>VLOOKUP(C2501,'lookup table'!$A$2:$B$19,2,FALSE)</f>
        <v>Partner Segment</v>
      </c>
      <c r="E2501" t="str">
        <f t="shared" si="39"/>
        <v>AL041_10|Partner Segment</v>
      </c>
    </row>
    <row r="2502" spans="1:5" x14ac:dyDescent="0.2">
      <c r="A2502" t="s">
        <v>861</v>
      </c>
      <c r="B2502" t="s">
        <v>862</v>
      </c>
      <c r="C2502" t="s">
        <v>442</v>
      </c>
      <c r="D2502" t="str">
        <f>VLOOKUP(C2502,'lookup table'!$A$2:$B$19,2,FALSE)</f>
        <v>Partner Unit</v>
      </c>
      <c r="E2502" t="str">
        <f t="shared" si="39"/>
        <v>AL041_10|Partner Unit</v>
      </c>
    </row>
    <row r="2503" spans="1:5" x14ac:dyDescent="0.2">
      <c r="A2503" t="s">
        <v>863</v>
      </c>
      <c r="B2503" t="s">
        <v>864</v>
      </c>
      <c r="C2503" t="s">
        <v>20</v>
      </c>
      <c r="D2503" t="str">
        <f>VLOOKUP(C2503,'lookup table'!$A$2:$B$19,2,FALSE)</f>
        <v>AY</v>
      </c>
      <c r="E2503" t="str">
        <f t="shared" si="39"/>
        <v>AL041_13|AY</v>
      </c>
    </row>
    <row r="2504" spans="1:5" x14ac:dyDescent="0.2">
      <c r="A2504" t="s">
        <v>863</v>
      </c>
      <c r="B2504" t="s">
        <v>864</v>
      </c>
      <c r="C2504" t="s">
        <v>331</v>
      </c>
      <c r="D2504" t="str">
        <f>VLOOKUP(C2504,'lookup table'!$A$2:$B$19,2,FALSE)</f>
        <v>FS Item</v>
      </c>
      <c r="E2504" t="str">
        <f t="shared" si="39"/>
        <v>AL041_13|FS Item</v>
      </c>
    </row>
    <row r="2505" spans="1:5" x14ac:dyDescent="0.2">
      <c r="A2505" t="s">
        <v>863</v>
      </c>
      <c r="B2505" t="s">
        <v>864</v>
      </c>
      <c r="C2505" t="s">
        <v>423</v>
      </c>
      <c r="D2505" t="str">
        <f>VLOOKUP(C2505,'lookup table'!$A$2:$B$19,2,FALSE)</f>
        <v>ignore</v>
      </c>
      <c r="E2505" t="str">
        <f t="shared" si="39"/>
        <v>AL041_13|ignore</v>
      </c>
    </row>
    <row r="2506" spans="1:5" x14ac:dyDescent="0.2">
      <c r="A2506" t="s">
        <v>863</v>
      </c>
      <c r="B2506" t="s">
        <v>864</v>
      </c>
      <c r="C2506" t="s">
        <v>428</v>
      </c>
      <c r="D2506" t="str">
        <f>VLOOKUP(C2506,'lookup table'!$A$2:$B$19,2,FALSE)</f>
        <v>LoB</v>
      </c>
      <c r="E2506" t="str">
        <f t="shared" si="39"/>
        <v>AL041_13|LoB</v>
      </c>
    </row>
    <row r="2507" spans="1:5" x14ac:dyDescent="0.2">
      <c r="A2507" t="s">
        <v>863</v>
      </c>
      <c r="B2507" t="s">
        <v>864</v>
      </c>
      <c r="C2507" t="s">
        <v>441</v>
      </c>
      <c r="D2507" t="str">
        <f>VLOOKUP(C2507,'lookup table'!$A$2:$B$19,2,FALSE)</f>
        <v>Partner Segment</v>
      </c>
      <c r="E2507" t="str">
        <f t="shared" si="39"/>
        <v>AL041_13|Partner Segment</v>
      </c>
    </row>
    <row r="2508" spans="1:5" x14ac:dyDescent="0.2">
      <c r="A2508" t="s">
        <v>863</v>
      </c>
      <c r="B2508" t="s">
        <v>864</v>
      </c>
      <c r="C2508" t="s">
        <v>442</v>
      </c>
      <c r="D2508" t="str">
        <f>VLOOKUP(C2508,'lookup table'!$A$2:$B$19,2,FALSE)</f>
        <v>Partner Unit</v>
      </c>
      <c r="E2508" t="str">
        <f t="shared" si="39"/>
        <v>AL041_13|Partner Unit</v>
      </c>
    </row>
    <row r="2509" spans="1:5" x14ac:dyDescent="0.2">
      <c r="A2509" t="s">
        <v>865</v>
      </c>
      <c r="B2509" t="s">
        <v>866</v>
      </c>
      <c r="C2509" t="s">
        <v>20</v>
      </c>
      <c r="D2509" t="str">
        <f>VLOOKUP(C2509,'lookup table'!$A$2:$B$19,2,FALSE)</f>
        <v>AY</v>
      </c>
      <c r="E2509" t="str">
        <f t="shared" si="39"/>
        <v>AL041_14|AY</v>
      </c>
    </row>
    <row r="2510" spans="1:5" x14ac:dyDescent="0.2">
      <c r="A2510" t="s">
        <v>865</v>
      </c>
      <c r="B2510" t="s">
        <v>866</v>
      </c>
      <c r="C2510" t="s">
        <v>136</v>
      </c>
      <c r="D2510" t="str">
        <f>VLOOKUP(C2510,'lookup table'!$A$2:$B$19,2,FALSE)</f>
        <v>BBA Set</v>
      </c>
      <c r="E2510" t="str">
        <f t="shared" si="39"/>
        <v>AL041_14|BBA Set</v>
      </c>
    </row>
    <row r="2511" spans="1:5" x14ac:dyDescent="0.2">
      <c r="A2511" t="s">
        <v>865</v>
      </c>
      <c r="B2511" t="s">
        <v>866</v>
      </c>
      <c r="C2511" t="s">
        <v>331</v>
      </c>
      <c r="D2511" t="str">
        <f>VLOOKUP(C2511,'lookup table'!$A$2:$B$19,2,FALSE)</f>
        <v>FS Item</v>
      </c>
      <c r="E2511" t="str">
        <f t="shared" si="39"/>
        <v>AL041_14|FS Item</v>
      </c>
    </row>
    <row r="2512" spans="1:5" x14ac:dyDescent="0.2">
      <c r="A2512" t="s">
        <v>865</v>
      </c>
      <c r="B2512" t="s">
        <v>866</v>
      </c>
      <c r="C2512" t="s">
        <v>423</v>
      </c>
      <c r="D2512" t="str">
        <f>VLOOKUP(C2512,'lookup table'!$A$2:$B$19,2,FALSE)</f>
        <v>ignore</v>
      </c>
      <c r="E2512" t="str">
        <f t="shared" si="39"/>
        <v>AL041_14|ignore</v>
      </c>
    </row>
    <row r="2513" spans="1:5" x14ac:dyDescent="0.2">
      <c r="A2513" t="s">
        <v>865</v>
      </c>
      <c r="B2513" t="s">
        <v>866</v>
      </c>
      <c r="C2513" t="s">
        <v>428</v>
      </c>
      <c r="D2513" t="str">
        <f>VLOOKUP(C2513,'lookup table'!$A$2:$B$19,2,FALSE)</f>
        <v>LoB</v>
      </c>
      <c r="E2513" t="str">
        <f t="shared" si="39"/>
        <v>AL041_14|LoB</v>
      </c>
    </row>
    <row r="2514" spans="1:5" x14ac:dyDescent="0.2">
      <c r="A2514" t="s">
        <v>865</v>
      </c>
      <c r="B2514" t="s">
        <v>866</v>
      </c>
      <c r="C2514" t="s">
        <v>441</v>
      </c>
      <c r="D2514" t="str">
        <f>VLOOKUP(C2514,'lookup table'!$A$2:$B$19,2,FALSE)</f>
        <v>Partner Segment</v>
      </c>
      <c r="E2514" t="str">
        <f t="shared" si="39"/>
        <v>AL041_14|Partner Segment</v>
      </c>
    </row>
    <row r="2515" spans="1:5" x14ac:dyDescent="0.2">
      <c r="A2515" t="s">
        <v>865</v>
      </c>
      <c r="B2515" t="s">
        <v>866</v>
      </c>
      <c r="C2515" t="s">
        <v>442</v>
      </c>
      <c r="D2515" t="str">
        <f>VLOOKUP(C2515,'lookup table'!$A$2:$B$19,2,FALSE)</f>
        <v>Partner Unit</v>
      </c>
      <c r="E2515" t="str">
        <f t="shared" si="39"/>
        <v>AL041_14|Partner Unit</v>
      </c>
    </row>
    <row r="2516" spans="1:5" x14ac:dyDescent="0.2">
      <c r="A2516" t="s">
        <v>867</v>
      </c>
      <c r="B2516" t="s">
        <v>868</v>
      </c>
      <c r="C2516" t="s">
        <v>20</v>
      </c>
      <c r="D2516" t="str">
        <f>VLOOKUP(C2516,'lookup table'!$A$2:$B$19,2,FALSE)</f>
        <v>AY</v>
      </c>
      <c r="E2516" t="str">
        <f t="shared" si="39"/>
        <v>AL042_00|AY</v>
      </c>
    </row>
    <row r="2517" spans="1:5" x14ac:dyDescent="0.2">
      <c r="A2517" t="s">
        <v>867</v>
      </c>
      <c r="B2517" t="s">
        <v>868</v>
      </c>
      <c r="C2517" t="s">
        <v>136</v>
      </c>
      <c r="D2517" t="str">
        <f>VLOOKUP(C2517,'lookup table'!$A$2:$B$19,2,FALSE)</f>
        <v>BBA Set</v>
      </c>
      <c r="E2517" t="str">
        <f t="shared" si="39"/>
        <v>AL042_00|BBA Set</v>
      </c>
    </row>
    <row r="2518" spans="1:5" x14ac:dyDescent="0.2">
      <c r="A2518" t="s">
        <v>867</v>
      </c>
      <c r="B2518" t="s">
        <v>868</v>
      </c>
      <c r="C2518" t="s">
        <v>331</v>
      </c>
      <c r="D2518" t="str">
        <f>VLOOKUP(C2518,'lookup table'!$A$2:$B$19,2,FALSE)</f>
        <v>FS Item</v>
      </c>
      <c r="E2518" t="str">
        <f t="shared" si="39"/>
        <v>AL042_00|FS Item</v>
      </c>
    </row>
    <row r="2519" spans="1:5" x14ac:dyDescent="0.2">
      <c r="A2519" t="s">
        <v>867</v>
      </c>
      <c r="B2519" t="s">
        <v>868</v>
      </c>
      <c r="C2519" t="s">
        <v>423</v>
      </c>
      <c r="D2519" t="str">
        <f>VLOOKUP(C2519,'lookup table'!$A$2:$B$19,2,FALSE)</f>
        <v>ignore</v>
      </c>
      <c r="E2519" t="str">
        <f t="shared" si="39"/>
        <v>AL042_00|ignore</v>
      </c>
    </row>
    <row r="2520" spans="1:5" x14ac:dyDescent="0.2">
      <c r="A2520" t="s">
        <v>867</v>
      </c>
      <c r="B2520" t="s">
        <v>868</v>
      </c>
      <c r="C2520" t="s">
        <v>428</v>
      </c>
      <c r="D2520" t="str">
        <f>VLOOKUP(C2520,'lookup table'!$A$2:$B$19,2,FALSE)</f>
        <v>LoB</v>
      </c>
      <c r="E2520" t="str">
        <f t="shared" si="39"/>
        <v>AL042_00|LoB</v>
      </c>
    </row>
    <row r="2521" spans="1:5" x14ac:dyDescent="0.2">
      <c r="A2521" t="s">
        <v>867</v>
      </c>
      <c r="B2521" t="s">
        <v>868</v>
      </c>
      <c r="C2521" t="s">
        <v>438</v>
      </c>
      <c r="D2521" t="str">
        <f>VLOOKUP(C2521,'lookup table'!$A$2:$B$19,2,FALSE)</f>
        <v>ToM</v>
      </c>
      <c r="E2521" t="str">
        <f t="shared" si="39"/>
        <v>AL042_00|ToM</v>
      </c>
    </row>
    <row r="2522" spans="1:5" x14ac:dyDescent="0.2">
      <c r="A2522" t="s">
        <v>867</v>
      </c>
      <c r="B2522" t="s">
        <v>868</v>
      </c>
      <c r="C2522" t="s">
        <v>441</v>
      </c>
      <c r="D2522" t="str">
        <f>VLOOKUP(C2522,'lookup table'!$A$2:$B$19,2,FALSE)</f>
        <v>Partner Segment</v>
      </c>
      <c r="E2522" t="str">
        <f t="shared" si="39"/>
        <v>AL042_00|Partner Segment</v>
      </c>
    </row>
    <row r="2523" spans="1:5" x14ac:dyDescent="0.2">
      <c r="A2523" t="s">
        <v>867</v>
      </c>
      <c r="B2523" t="s">
        <v>868</v>
      </c>
      <c r="C2523" t="s">
        <v>442</v>
      </c>
      <c r="D2523" t="str">
        <f>VLOOKUP(C2523,'lookup table'!$A$2:$B$19,2,FALSE)</f>
        <v>Partner Unit</v>
      </c>
      <c r="E2523" t="str">
        <f t="shared" si="39"/>
        <v>AL042_00|Partner Unit</v>
      </c>
    </row>
    <row r="2524" spans="1:5" x14ac:dyDescent="0.2">
      <c r="A2524" t="s">
        <v>867</v>
      </c>
      <c r="B2524" t="s">
        <v>868</v>
      </c>
      <c r="C2524" t="s">
        <v>451</v>
      </c>
      <c r="D2524" t="str">
        <f>VLOOKUP(C2524,'lookup table'!$A$2:$B$19,2,FALSE)</f>
        <v>Segment</v>
      </c>
      <c r="E2524" t="str">
        <f t="shared" si="39"/>
        <v>AL042_00|Segment</v>
      </c>
    </row>
    <row r="2525" spans="1:5" x14ac:dyDescent="0.2">
      <c r="A2525" t="s">
        <v>869</v>
      </c>
      <c r="B2525" t="s">
        <v>870</v>
      </c>
      <c r="C2525" t="s">
        <v>20</v>
      </c>
      <c r="D2525" t="str">
        <f>VLOOKUP(C2525,'lookup table'!$A$2:$B$19,2,FALSE)</f>
        <v>AY</v>
      </c>
      <c r="E2525" t="str">
        <f t="shared" si="39"/>
        <v>AL042_14|AY</v>
      </c>
    </row>
    <row r="2526" spans="1:5" x14ac:dyDescent="0.2">
      <c r="A2526" t="s">
        <v>869</v>
      </c>
      <c r="B2526" t="s">
        <v>870</v>
      </c>
      <c r="C2526" t="s">
        <v>136</v>
      </c>
      <c r="D2526" t="str">
        <f>VLOOKUP(C2526,'lookup table'!$A$2:$B$19,2,FALSE)</f>
        <v>BBA Set</v>
      </c>
      <c r="E2526" t="str">
        <f t="shared" si="39"/>
        <v>AL042_14|BBA Set</v>
      </c>
    </row>
    <row r="2527" spans="1:5" x14ac:dyDescent="0.2">
      <c r="A2527" t="s">
        <v>869</v>
      </c>
      <c r="B2527" t="s">
        <v>870</v>
      </c>
      <c r="C2527" t="s">
        <v>331</v>
      </c>
      <c r="D2527" t="str">
        <f>VLOOKUP(C2527,'lookup table'!$A$2:$B$19,2,FALSE)</f>
        <v>FS Item</v>
      </c>
      <c r="E2527" t="str">
        <f t="shared" si="39"/>
        <v>AL042_14|FS Item</v>
      </c>
    </row>
    <row r="2528" spans="1:5" x14ac:dyDescent="0.2">
      <c r="A2528" t="s">
        <v>869</v>
      </c>
      <c r="B2528" t="s">
        <v>870</v>
      </c>
      <c r="C2528" t="s">
        <v>423</v>
      </c>
      <c r="D2528" t="str">
        <f>VLOOKUP(C2528,'lookup table'!$A$2:$B$19,2,FALSE)</f>
        <v>ignore</v>
      </c>
      <c r="E2528" t="str">
        <f t="shared" si="39"/>
        <v>AL042_14|ignore</v>
      </c>
    </row>
    <row r="2529" spans="1:5" x14ac:dyDescent="0.2">
      <c r="A2529" t="s">
        <v>869</v>
      </c>
      <c r="B2529" t="s">
        <v>870</v>
      </c>
      <c r="C2529" t="s">
        <v>428</v>
      </c>
      <c r="D2529" t="str">
        <f>VLOOKUP(C2529,'lookup table'!$A$2:$B$19,2,FALSE)</f>
        <v>LoB</v>
      </c>
      <c r="E2529" t="str">
        <f t="shared" si="39"/>
        <v>AL042_14|LoB</v>
      </c>
    </row>
    <row r="2530" spans="1:5" x14ac:dyDescent="0.2">
      <c r="A2530" t="s">
        <v>869</v>
      </c>
      <c r="B2530" t="s">
        <v>870</v>
      </c>
      <c r="C2530" t="s">
        <v>438</v>
      </c>
      <c r="D2530" t="str">
        <f>VLOOKUP(C2530,'lookup table'!$A$2:$B$19,2,FALSE)</f>
        <v>ToM</v>
      </c>
      <c r="E2530" t="str">
        <f t="shared" si="39"/>
        <v>AL042_14|ToM</v>
      </c>
    </row>
    <row r="2531" spans="1:5" x14ac:dyDescent="0.2">
      <c r="A2531" t="s">
        <v>869</v>
      </c>
      <c r="B2531" t="s">
        <v>870</v>
      </c>
      <c r="C2531" t="s">
        <v>441</v>
      </c>
      <c r="D2531" t="str">
        <f>VLOOKUP(C2531,'lookup table'!$A$2:$B$19,2,FALSE)</f>
        <v>Partner Segment</v>
      </c>
      <c r="E2531" t="str">
        <f t="shared" si="39"/>
        <v>AL042_14|Partner Segment</v>
      </c>
    </row>
    <row r="2532" spans="1:5" x14ac:dyDescent="0.2">
      <c r="A2532" t="s">
        <v>869</v>
      </c>
      <c r="B2532" t="s">
        <v>870</v>
      </c>
      <c r="C2532" t="s">
        <v>442</v>
      </c>
      <c r="D2532" t="str">
        <f>VLOOKUP(C2532,'lookup table'!$A$2:$B$19,2,FALSE)</f>
        <v>Partner Unit</v>
      </c>
      <c r="E2532" t="str">
        <f t="shared" si="39"/>
        <v>AL042_14|Partner Unit</v>
      </c>
    </row>
    <row r="2533" spans="1:5" x14ac:dyDescent="0.2">
      <c r="A2533" t="s">
        <v>869</v>
      </c>
      <c r="B2533" t="s">
        <v>870</v>
      </c>
      <c r="C2533" t="s">
        <v>451</v>
      </c>
      <c r="D2533" t="str">
        <f>VLOOKUP(C2533,'lookup table'!$A$2:$B$19,2,FALSE)</f>
        <v>Segment</v>
      </c>
      <c r="E2533" t="str">
        <f t="shared" si="39"/>
        <v>AL042_14|Segment</v>
      </c>
    </row>
    <row r="2534" spans="1:5" x14ac:dyDescent="0.2">
      <c r="A2534" t="s">
        <v>871</v>
      </c>
      <c r="B2534" t="s">
        <v>872</v>
      </c>
      <c r="C2534" t="s">
        <v>20</v>
      </c>
      <c r="D2534" t="str">
        <f>VLOOKUP(C2534,'lookup table'!$A$2:$B$19,2,FALSE)</f>
        <v>AY</v>
      </c>
      <c r="E2534" t="str">
        <f t="shared" si="39"/>
        <v>AL042_15|AY</v>
      </c>
    </row>
    <row r="2535" spans="1:5" x14ac:dyDescent="0.2">
      <c r="A2535" t="s">
        <v>871</v>
      </c>
      <c r="B2535" t="s">
        <v>872</v>
      </c>
      <c r="C2535" t="s">
        <v>136</v>
      </c>
      <c r="D2535" t="str">
        <f>VLOOKUP(C2535,'lookup table'!$A$2:$B$19,2,FALSE)</f>
        <v>BBA Set</v>
      </c>
      <c r="E2535" t="str">
        <f t="shared" si="39"/>
        <v>AL042_15|BBA Set</v>
      </c>
    </row>
    <row r="2536" spans="1:5" x14ac:dyDescent="0.2">
      <c r="A2536" t="s">
        <v>871</v>
      </c>
      <c r="B2536" t="s">
        <v>872</v>
      </c>
      <c r="C2536" t="s">
        <v>331</v>
      </c>
      <c r="D2536" t="str">
        <f>VLOOKUP(C2536,'lookup table'!$A$2:$B$19,2,FALSE)</f>
        <v>FS Item</v>
      </c>
      <c r="E2536" t="str">
        <f t="shared" si="39"/>
        <v>AL042_15|FS Item</v>
      </c>
    </row>
    <row r="2537" spans="1:5" x14ac:dyDescent="0.2">
      <c r="A2537" t="s">
        <v>871</v>
      </c>
      <c r="B2537" t="s">
        <v>872</v>
      </c>
      <c r="C2537" t="s">
        <v>423</v>
      </c>
      <c r="D2537" t="str">
        <f>VLOOKUP(C2537,'lookup table'!$A$2:$B$19,2,FALSE)</f>
        <v>ignore</v>
      </c>
      <c r="E2537" t="str">
        <f t="shared" si="39"/>
        <v>AL042_15|ignore</v>
      </c>
    </row>
    <row r="2538" spans="1:5" x14ac:dyDescent="0.2">
      <c r="A2538" t="s">
        <v>871</v>
      </c>
      <c r="B2538" t="s">
        <v>872</v>
      </c>
      <c r="C2538" t="s">
        <v>428</v>
      </c>
      <c r="D2538" t="str">
        <f>VLOOKUP(C2538,'lookup table'!$A$2:$B$19,2,FALSE)</f>
        <v>LoB</v>
      </c>
      <c r="E2538" t="str">
        <f t="shared" si="39"/>
        <v>AL042_15|LoB</v>
      </c>
    </row>
    <row r="2539" spans="1:5" x14ac:dyDescent="0.2">
      <c r="A2539" t="s">
        <v>871</v>
      </c>
      <c r="B2539" t="s">
        <v>872</v>
      </c>
      <c r="C2539" t="s">
        <v>438</v>
      </c>
      <c r="D2539" t="str">
        <f>VLOOKUP(C2539,'lookup table'!$A$2:$B$19,2,FALSE)</f>
        <v>ToM</v>
      </c>
      <c r="E2539" t="str">
        <f t="shared" si="39"/>
        <v>AL042_15|ToM</v>
      </c>
    </row>
    <row r="2540" spans="1:5" x14ac:dyDescent="0.2">
      <c r="A2540" t="s">
        <v>871</v>
      </c>
      <c r="B2540" t="s">
        <v>872</v>
      </c>
      <c r="C2540" t="s">
        <v>441</v>
      </c>
      <c r="D2540" t="str">
        <f>VLOOKUP(C2540,'lookup table'!$A$2:$B$19,2,FALSE)</f>
        <v>Partner Segment</v>
      </c>
      <c r="E2540" t="str">
        <f t="shared" si="39"/>
        <v>AL042_15|Partner Segment</v>
      </c>
    </row>
    <row r="2541" spans="1:5" x14ac:dyDescent="0.2">
      <c r="A2541" t="s">
        <v>871</v>
      </c>
      <c r="B2541" t="s">
        <v>872</v>
      </c>
      <c r="C2541" t="s">
        <v>442</v>
      </c>
      <c r="D2541" t="str">
        <f>VLOOKUP(C2541,'lookup table'!$A$2:$B$19,2,FALSE)</f>
        <v>Partner Unit</v>
      </c>
      <c r="E2541" t="str">
        <f t="shared" si="39"/>
        <v>AL042_15|Partner Unit</v>
      </c>
    </row>
    <row r="2542" spans="1:5" x14ac:dyDescent="0.2">
      <c r="A2542" t="s">
        <v>871</v>
      </c>
      <c r="B2542" t="s">
        <v>872</v>
      </c>
      <c r="C2542" t="s">
        <v>451</v>
      </c>
      <c r="D2542" t="str">
        <f>VLOOKUP(C2542,'lookup table'!$A$2:$B$19,2,FALSE)</f>
        <v>Segment</v>
      </c>
      <c r="E2542" t="str">
        <f t="shared" si="39"/>
        <v>AL042_15|Segment</v>
      </c>
    </row>
    <row r="2543" spans="1:5" x14ac:dyDescent="0.2">
      <c r="A2543" t="s">
        <v>873</v>
      </c>
      <c r="B2543" t="s">
        <v>874</v>
      </c>
      <c r="C2543" t="s">
        <v>20</v>
      </c>
      <c r="D2543" t="str">
        <f>VLOOKUP(C2543,'lookup table'!$A$2:$B$19,2,FALSE)</f>
        <v>AY</v>
      </c>
      <c r="E2543" t="str">
        <f t="shared" si="39"/>
        <v>AL042_17|AY</v>
      </c>
    </row>
    <row r="2544" spans="1:5" x14ac:dyDescent="0.2">
      <c r="A2544" t="s">
        <v>873</v>
      </c>
      <c r="B2544" t="s">
        <v>874</v>
      </c>
      <c r="C2544" t="s">
        <v>136</v>
      </c>
      <c r="D2544" t="str">
        <f>VLOOKUP(C2544,'lookup table'!$A$2:$B$19,2,FALSE)</f>
        <v>BBA Set</v>
      </c>
      <c r="E2544" t="str">
        <f t="shared" si="39"/>
        <v>AL042_17|BBA Set</v>
      </c>
    </row>
    <row r="2545" spans="1:5" x14ac:dyDescent="0.2">
      <c r="A2545" t="s">
        <v>873</v>
      </c>
      <c r="B2545" t="s">
        <v>874</v>
      </c>
      <c r="C2545" t="s">
        <v>331</v>
      </c>
      <c r="D2545" t="str">
        <f>VLOOKUP(C2545,'lookup table'!$A$2:$B$19,2,FALSE)</f>
        <v>FS Item</v>
      </c>
      <c r="E2545" t="str">
        <f t="shared" si="39"/>
        <v>AL042_17|FS Item</v>
      </c>
    </row>
    <row r="2546" spans="1:5" x14ac:dyDescent="0.2">
      <c r="A2546" t="s">
        <v>873</v>
      </c>
      <c r="B2546" t="s">
        <v>874</v>
      </c>
      <c r="C2546" t="s">
        <v>423</v>
      </c>
      <c r="D2546" t="str">
        <f>VLOOKUP(C2546,'lookup table'!$A$2:$B$19,2,FALSE)</f>
        <v>ignore</v>
      </c>
      <c r="E2546" t="str">
        <f t="shared" si="39"/>
        <v>AL042_17|ignore</v>
      </c>
    </row>
    <row r="2547" spans="1:5" x14ac:dyDescent="0.2">
      <c r="A2547" t="s">
        <v>873</v>
      </c>
      <c r="B2547" t="s">
        <v>874</v>
      </c>
      <c r="C2547" t="s">
        <v>428</v>
      </c>
      <c r="D2547" t="str">
        <f>VLOOKUP(C2547,'lookup table'!$A$2:$B$19,2,FALSE)</f>
        <v>LoB</v>
      </c>
      <c r="E2547" t="str">
        <f t="shared" si="39"/>
        <v>AL042_17|LoB</v>
      </c>
    </row>
    <row r="2548" spans="1:5" x14ac:dyDescent="0.2">
      <c r="A2548" t="s">
        <v>873</v>
      </c>
      <c r="B2548" t="s">
        <v>874</v>
      </c>
      <c r="C2548" t="s">
        <v>438</v>
      </c>
      <c r="D2548" t="str">
        <f>VLOOKUP(C2548,'lookup table'!$A$2:$B$19,2,FALSE)</f>
        <v>ToM</v>
      </c>
      <c r="E2548" t="str">
        <f t="shared" si="39"/>
        <v>AL042_17|ToM</v>
      </c>
    </row>
    <row r="2549" spans="1:5" x14ac:dyDescent="0.2">
      <c r="A2549" t="s">
        <v>873</v>
      </c>
      <c r="B2549" t="s">
        <v>874</v>
      </c>
      <c r="C2549" t="s">
        <v>441</v>
      </c>
      <c r="D2549" t="str">
        <f>VLOOKUP(C2549,'lookup table'!$A$2:$B$19,2,FALSE)</f>
        <v>Partner Segment</v>
      </c>
      <c r="E2549" t="str">
        <f t="shared" si="39"/>
        <v>AL042_17|Partner Segment</v>
      </c>
    </row>
    <row r="2550" spans="1:5" x14ac:dyDescent="0.2">
      <c r="A2550" t="s">
        <v>873</v>
      </c>
      <c r="B2550" t="s">
        <v>874</v>
      </c>
      <c r="C2550" t="s">
        <v>442</v>
      </c>
      <c r="D2550" t="str">
        <f>VLOOKUP(C2550,'lookup table'!$A$2:$B$19,2,FALSE)</f>
        <v>Partner Unit</v>
      </c>
      <c r="E2550" t="str">
        <f t="shared" si="39"/>
        <v>AL042_17|Partner Unit</v>
      </c>
    </row>
    <row r="2551" spans="1:5" x14ac:dyDescent="0.2">
      <c r="A2551" t="s">
        <v>873</v>
      </c>
      <c r="B2551" t="s">
        <v>874</v>
      </c>
      <c r="C2551" t="s">
        <v>451</v>
      </c>
      <c r="D2551" t="str">
        <f>VLOOKUP(C2551,'lookup table'!$A$2:$B$19,2,FALSE)</f>
        <v>Segment</v>
      </c>
      <c r="E2551" t="str">
        <f t="shared" si="39"/>
        <v>AL042_17|Segment</v>
      </c>
    </row>
    <row r="2552" spans="1:5" x14ac:dyDescent="0.2">
      <c r="A2552" t="s">
        <v>875</v>
      </c>
      <c r="B2552" t="s">
        <v>876</v>
      </c>
      <c r="C2552" t="s">
        <v>331</v>
      </c>
      <c r="D2552" t="str">
        <f>VLOOKUP(C2552,'lookup table'!$A$2:$B$19,2,FALSE)</f>
        <v>FS Item</v>
      </c>
      <c r="E2552" t="str">
        <f t="shared" si="39"/>
        <v>AL045_00|FS Item</v>
      </c>
    </row>
    <row r="2553" spans="1:5" x14ac:dyDescent="0.2">
      <c r="A2553" t="s">
        <v>875</v>
      </c>
      <c r="B2553" t="s">
        <v>876</v>
      </c>
      <c r="C2553" t="s">
        <v>423</v>
      </c>
      <c r="D2553" t="str">
        <f>VLOOKUP(C2553,'lookup table'!$A$2:$B$19,2,FALSE)</f>
        <v>ignore</v>
      </c>
      <c r="E2553" t="str">
        <f t="shared" si="39"/>
        <v>AL045_00|ignore</v>
      </c>
    </row>
    <row r="2554" spans="1:5" x14ac:dyDescent="0.2">
      <c r="A2554" t="s">
        <v>877</v>
      </c>
      <c r="B2554" t="s">
        <v>878</v>
      </c>
      <c r="C2554" t="s">
        <v>331</v>
      </c>
      <c r="D2554" t="str">
        <f>VLOOKUP(C2554,'lookup table'!$A$2:$B$19,2,FALSE)</f>
        <v>FS Item</v>
      </c>
      <c r="E2554" t="str">
        <f t="shared" si="39"/>
        <v>AL045_05|FS Item</v>
      </c>
    </row>
    <row r="2555" spans="1:5" x14ac:dyDescent="0.2">
      <c r="A2555" t="s">
        <v>877</v>
      </c>
      <c r="B2555" t="s">
        <v>878</v>
      </c>
      <c r="C2555" t="s">
        <v>423</v>
      </c>
      <c r="D2555" t="str">
        <f>VLOOKUP(C2555,'lookup table'!$A$2:$B$19,2,FALSE)</f>
        <v>ignore</v>
      </c>
      <c r="E2555" t="str">
        <f t="shared" si="39"/>
        <v>AL045_05|ignore</v>
      </c>
    </row>
    <row r="2556" spans="1:5" x14ac:dyDescent="0.2">
      <c r="A2556" t="s">
        <v>879</v>
      </c>
      <c r="B2556" t="s">
        <v>880</v>
      </c>
      <c r="C2556" t="s">
        <v>20</v>
      </c>
      <c r="D2556" t="str">
        <f>VLOOKUP(C2556,'lookup table'!$A$2:$B$19,2,FALSE)</f>
        <v>AY</v>
      </c>
      <c r="E2556" t="str">
        <f t="shared" si="39"/>
        <v>AL047_00|AY</v>
      </c>
    </row>
    <row r="2557" spans="1:5" x14ac:dyDescent="0.2">
      <c r="A2557" t="s">
        <v>879</v>
      </c>
      <c r="B2557" t="s">
        <v>880</v>
      </c>
      <c r="C2557" t="s">
        <v>136</v>
      </c>
      <c r="D2557" t="str">
        <f>VLOOKUP(C2557,'lookup table'!$A$2:$B$19,2,FALSE)</f>
        <v>BBA Set</v>
      </c>
      <c r="E2557" t="str">
        <f t="shared" si="39"/>
        <v>AL047_00|BBA Set</v>
      </c>
    </row>
    <row r="2558" spans="1:5" x14ac:dyDescent="0.2">
      <c r="A2558" t="s">
        <v>879</v>
      </c>
      <c r="B2558" t="s">
        <v>880</v>
      </c>
      <c r="C2558" t="s">
        <v>331</v>
      </c>
      <c r="D2558" t="str">
        <f>VLOOKUP(C2558,'lookup table'!$A$2:$B$19,2,FALSE)</f>
        <v>FS Item</v>
      </c>
      <c r="E2558" t="str">
        <f t="shared" si="39"/>
        <v>AL047_00|FS Item</v>
      </c>
    </row>
    <row r="2559" spans="1:5" x14ac:dyDescent="0.2">
      <c r="A2559" t="s">
        <v>879</v>
      </c>
      <c r="B2559" t="s">
        <v>880</v>
      </c>
      <c r="C2559" t="s">
        <v>423</v>
      </c>
      <c r="D2559" t="str">
        <f>VLOOKUP(C2559,'lookup table'!$A$2:$B$19,2,FALSE)</f>
        <v>ignore</v>
      </c>
      <c r="E2559" t="str">
        <f t="shared" si="39"/>
        <v>AL047_00|ignore</v>
      </c>
    </row>
    <row r="2560" spans="1:5" x14ac:dyDescent="0.2">
      <c r="A2560" t="s">
        <v>879</v>
      </c>
      <c r="B2560" t="s">
        <v>880</v>
      </c>
      <c r="C2560" t="s">
        <v>428</v>
      </c>
      <c r="D2560" t="str">
        <f>VLOOKUP(C2560,'lookup table'!$A$2:$B$19,2,FALSE)</f>
        <v>LoB</v>
      </c>
      <c r="E2560" t="str">
        <f t="shared" si="39"/>
        <v>AL047_00|LoB</v>
      </c>
    </row>
    <row r="2561" spans="1:5" x14ac:dyDescent="0.2">
      <c r="A2561" t="s">
        <v>879</v>
      </c>
      <c r="B2561" t="s">
        <v>880</v>
      </c>
      <c r="C2561" t="s">
        <v>438</v>
      </c>
      <c r="D2561" t="str">
        <f>VLOOKUP(C2561,'lookup table'!$A$2:$B$19,2,FALSE)</f>
        <v>ToM</v>
      </c>
      <c r="E2561" t="str">
        <f t="shared" si="39"/>
        <v>AL047_00|ToM</v>
      </c>
    </row>
    <row r="2562" spans="1:5" x14ac:dyDescent="0.2">
      <c r="A2562" t="s">
        <v>879</v>
      </c>
      <c r="B2562" t="s">
        <v>880</v>
      </c>
      <c r="C2562" t="s">
        <v>441</v>
      </c>
      <c r="D2562" t="str">
        <f>VLOOKUP(C2562,'lookup table'!$A$2:$B$19,2,FALSE)</f>
        <v>Partner Segment</v>
      </c>
      <c r="E2562" t="str">
        <f t="shared" si="39"/>
        <v>AL047_00|Partner Segment</v>
      </c>
    </row>
    <row r="2563" spans="1:5" x14ac:dyDescent="0.2">
      <c r="A2563" t="s">
        <v>879</v>
      </c>
      <c r="B2563" t="s">
        <v>880</v>
      </c>
      <c r="C2563" t="s">
        <v>442</v>
      </c>
      <c r="D2563" t="str">
        <f>VLOOKUP(C2563,'lookup table'!$A$2:$B$19,2,FALSE)</f>
        <v>Partner Unit</v>
      </c>
      <c r="E2563" t="str">
        <f t="shared" ref="E2563:E2626" si="40">IF(ISNA(D2563),"",IF(A2563="","",A2563) &amp; "|" &amp; D2563)</f>
        <v>AL047_00|Partner Unit</v>
      </c>
    </row>
    <row r="2564" spans="1:5" x14ac:dyDescent="0.2">
      <c r="A2564" t="s">
        <v>881</v>
      </c>
      <c r="B2564" t="s">
        <v>880</v>
      </c>
      <c r="C2564" t="s">
        <v>20</v>
      </c>
      <c r="D2564" t="str">
        <f>VLOOKUP(C2564,'lookup table'!$A$2:$B$19,2,FALSE)</f>
        <v>AY</v>
      </c>
      <c r="E2564" t="str">
        <f t="shared" si="40"/>
        <v>AL047_01|AY</v>
      </c>
    </row>
    <row r="2565" spans="1:5" x14ac:dyDescent="0.2">
      <c r="A2565" t="s">
        <v>881</v>
      </c>
      <c r="B2565" t="s">
        <v>880</v>
      </c>
      <c r="C2565" t="s">
        <v>331</v>
      </c>
      <c r="D2565" t="str">
        <f>VLOOKUP(C2565,'lookup table'!$A$2:$B$19,2,FALSE)</f>
        <v>FS Item</v>
      </c>
      <c r="E2565" t="str">
        <f t="shared" si="40"/>
        <v>AL047_01|FS Item</v>
      </c>
    </row>
    <row r="2566" spans="1:5" x14ac:dyDescent="0.2">
      <c r="A2566" t="s">
        <v>881</v>
      </c>
      <c r="B2566" t="s">
        <v>880</v>
      </c>
      <c r="C2566" t="s">
        <v>423</v>
      </c>
      <c r="D2566" t="str">
        <f>VLOOKUP(C2566,'lookup table'!$A$2:$B$19,2,FALSE)</f>
        <v>ignore</v>
      </c>
      <c r="E2566" t="str">
        <f t="shared" si="40"/>
        <v>AL047_01|ignore</v>
      </c>
    </row>
    <row r="2567" spans="1:5" x14ac:dyDescent="0.2">
      <c r="A2567" t="s">
        <v>881</v>
      </c>
      <c r="B2567" t="s">
        <v>880</v>
      </c>
      <c r="C2567" t="s">
        <v>428</v>
      </c>
      <c r="D2567" t="str">
        <f>VLOOKUP(C2567,'lookup table'!$A$2:$B$19,2,FALSE)</f>
        <v>LoB</v>
      </c>
      <c r="E2567" t="str">
        <f t="shared" si="40"/>
        <v>AL047_01|LoB</v>
      </c>
    </row>
    <row r="2568" spans="1:5" x14ac:dyDescent="0.2">
      <c r="A2568" t="s">
        <v>881</v>
      </c>
      <c r="B2568" t="s">
        <v>880</v>
      </c>
      <c r="C2568" t="s">
        <v>441</v>
      </c>
      <c r="D2568" t="str">
        <f>VLOOKUP(C2568,'lookup table'!$A$2:$B$19,2,FALSE)</f>
        <v>Partner Segment</v>
      </c>
      <c r="E2568" t="str">
        <f t="shared" si="40"/>
        <v>AL047_01|Partner Segment</v>
      </c>
    </row>
    <row r="2569" spans="1:5" x14ac:dyDescent="0.2">
      <c r="A2569" t="s">
        <v>881</v>
      </c>
      <c r="B2569" t="s">
        <v>880</v>
      </c>
      <c r="C2569" t="s">
        <v>442</v>
      </c>
      <c r="D2569" t="str">
        <f>VLOOKUP(C2569,'lookup table'!$A$2:$B$19,2,FALSE)</f>
        <v>Partner Unit</v>
      </c>
      <c r="E2569" t="str">
        <f t="shared" si="40"/>
        <v>AL047_01|Partner Unit</v>
      </c>
    </row>
    <row r="2570" spans="1:5" x14ac:dyDescent="0.2">
      <c r="A2570" t="s">
        <v>882</v>
      </c>
      <c r="B2570" t="s">
        <v>880</v>
      </c>
      <c r="C2570" t="s">
        <v>20</v>
      </c>
      <c r="D2570" t="str">
        <f>VLOOKUP(C2570,'lookup table'!$A$2:$B$19,2,FALSE)</f>
        <v>AY</v>
      </c>
      <c r="E2570" t="str">
        <f t="shared" si="40"/>
        <v>AL047_10|AY</v>
      </c>
    </row>
    <row r="2571" spans="1:5" x14ac:dyDescent="0.2">
      <c r="A2571" t="s">
        <v>882</v>
      </c>
      <c r="B2571" t="s">
        <v>880</v>
      </c>
      <c r="C2571" t="s">
        <v>136</v>
      </c>
      <c r="D2571" t="str">
        <f>VLOOKUP(C2571,'lookup table'!$A$2:$B$19,2,FALSE)</f>
        <v>BBA Set</v>
      </c>
      <c r="E2571" t="str">
        <f t="shared" si="40"/>
        <v>AL047_10|BBA Set</v>
      </c>
    </row>
    <row r="2572" spans="1:5" x14ac:dyDescent="0.2">
      <c r="A2572" t="s">
        <v>882</v>
      </c>
      <c r="B2572" t="s">
        <v>880</v>
      </c>
      <c r="C2572" t="s">
        <v>331</v>
      </c>
      <c r="D2572" t="str">
        <f>VLOOKUP(C2572,'lookup table'!$A$2:$B$19,2,FALSE)</f>
        <v>FS Item</v>
      </c>
      <c r="E2572" t="str">
        <f t="shared" si="40"/>
        <v>AL047_10|FS Item</v>
      </c>
    </row>
    <row r="2573" spans="1:5" x14ac:dyDescent="0.2">
      <c r="A2573" t="s">
        <v>882</v>
      </c>
      <c r="B2573" t="s">
        <v>880</v>
      </c>
      <c r="C2573" t="s">
        <v>423</v>
      </c>
      <c r="D2573" t="str">
        <f>VLOOKUP(C2573,'lookup table'!$A$2:$B$19,2,FALSE)</f>
        <v>ignore</v>
      </c>
      <c r="E2573" t="str">
        <f t="shared" si="40"/>
        <v>AL047_10|ignore</v>
      </c>
    </row>
    <row r="2574" spans="1:5" x14ac:dyDescent="0.2">
      <c r="A2574" t="s">
        <v>882</v>
      </c>
      <c r="B2574" t="s">
        <v>880</v>
      </c>
      <c r="C2574" t="s">
        <v>428</v>
      </c>
      <c r="D2574" t="str">
        <f>VLOOKUP(C2574,'lookup table'!$A$2:$B$19,2,FALSE)</f>
        <v>LoB</v>
      </c>
      <c r="E2574" t="str">
        <f t="shared" si="40"/>
        <v>AL047_10|LoB</v>
      </c>
    </row>
    <row r="2575" spans="1:5" x14ac:dyDescent="0.2">
      <c r="A2575" t="s">
        <v>882</v>
      </c>
      <c r="B2575" t="s">
        <v>880</v>
      </c>
      <c r="C2575" t="s">
        <v>438</v>
      </c>
      <c r="D2575" t="str">
        <f>VLOOKUP(C2575,'lookup table'!$A$2:$B$19,2,FALSE)</f>
        <v>ToM</v>
      </c>
      <c r="E2575" t="str">
        <f t="shared" si="40"/>
        <v>AL047_10|ToM</v>
      </c>
    </row>
    <row r="2576" spans="1:5" x14ac:dyDescent="0.2">
      <c r="A2576" t="s">
        <v>882</v>
      </c>
      <c r="B2576" t="s">
        <v>880</v>
      </c>
      <c r="C2576" t="s">
        <v>441</v>
      </c>
      <c r="D2576" t="str">
        <f>VLOOKUP(C2576,'lookup table'!$A$2:$B$19,2,FALSE)</f>
        <v>Partner Segment</v>
      </c>
      <c r="E2576" t="str">
        <f t="shared" si="40"/>
        <v>AL047_10|Partner Segment</v>
      </c>
    </row>
    <row r="2577" spans="1:5" x14ac:dyDescent="0.2">
      <c r="A2577" t="s">
        <v>882</v>
      </c>
      <c r="B2577" t="s">
        <v>880</v>
      </c>
      <c r="C2577" t="s">
        <v>442</v>
      </c>
      <c r="D2577" t="str">
        <f>VLOOKUP(C2577,'lookup table'!$A$2:$B$19,2,FALSE)</f>
        <v>Partner Unit</v>
      </c>
      <c r="E2577" t="str">
        <f t="shared" si="40"/>
        <v>AL047_10|Partner Unit</v>
      </c>
    </row>
    <row r="2578" spans="1:5" x14ac:dyDescent="0.2">
      <c r="A2578" t="s">
        <v>883</v>
      </c>
      <c r="B2578" t="s">
        <v>884</v>
      </c>
      <c r="C2578" t="s">
        <v>20</v>
      </c>
      <c r="D2578" t="str">
        <f>VLOOKUP(C2578,'lookup table'!$A$2:$B$19,2,FALSE)</f>
        <v>AY</v>
      </c>
      <c r="E2578" t="str">
        <f t="shared" si="40"/>
        <v>AL047_14|AY</v>
      </c>
    </row>
    <row r="2579" spans="1:5" x14ac:dyDescent="0.2">
      <c r="A2579" t="s">
        <v>883</v>
      </c>
      <c r="B2579" t="s">
        <v>884</v>
      </c>
      <c r="C2579" t="s">
        <v>331</v>
      </c>
      <c r="D2579" t="str">
        <f>VLOOKUP(C2579,'lookup table'!$A$2:$B$19,2,FALSE)</f>
        <v>FS Item</v>
      </c>
      <c r="E2579" t="str">
        <f t="shared" si="40"/>
        <v>AL047_14|FS Item</v>
      </c>
    </row>
    <row r="2580" spans="1:5" x14ac:dyDescent="0.2">
      <c r="A2580" t="s">
        <v>883</v>
      </c>
      <c r="B2580" t="s">
        <v>884</v>
      </c>
      <c r="C2580" t="s">
        <v>423</v>
      </c>
      <c r="D2580" t="str">
        <f>VLOOKUP(C2580,'lookup table'!$A$2:$B$19,2,FALSE)</f>
        <v>ignore</v>
      </c>
      <c r="E2580" t="str">
        <f t="shared" si="40"/>
        <v>AL047_14|ignore</v>
      </c>
    </row>
    <row r="2581" spans="1:5" x14ac:dyDescent="0.2">
      <c r="A2581" t="s">
        <v>883</v>
      </c>
      <c r="B2581" t="s">
        <v>884</v>
      </c>
      <c r="C2581" t="s">
        <v>428</v>
      </c>
      <c r="D2581" t="str">
        <f>VLOOKUP(C2581,'lookup table'!$A$2:$B$19,2,FALSE)</f>
        <v>LoB</v>
      </c>
      <c r="E2581" t="str">
        <f t="shared" si="40"/>
        <v>AL047_14|LoB</v>
      </c>
    </row>
    <row r="2582" spans="1:5" x14ac:dyDescent="0.2">
      <c r="A2582" t="s">
        <v>883</v>
      </c>
      <c r="B2582" t="s">
        <v>884</v>
      </c>
      <c r="C2582" t="s">
        <v>438</v>
      </c>
      <c r="D2582" t="str">
        <f>VLOOKUP(C2582,'lookup table'!$A$2:$B$19,2,FALSE)</f>
        <v>ToM</v>
      </c>
      <c r="E2582" t="str">
        <f t="shared" si="40"/>
        <v>AL047_14|ToM</v>
      </c>
    </row>
    <row r="2583" spans="1:5" x14ac:dyDescent="0.2">
      <c r="A2583" t="s">
        <v>883</v>
      </c>
      <c r="B2583" t="s">
        <v>884</v>
      </c>
      <c r="C2583" t="s">
        <v>441</v>
      </c>
      <c r="D2583" t="str">
        <f>VLOOKUP(C2583,'lookup table'!$A$2:$B$19,2,FALSE)</f>
        <v>Partner Segment</v>
      </c>
      <c r="E2583" t="str">
        <f t="shared" si="40"/>
        <v>AL047_14|Partner Segment</v>
      </c>
    </row>
    <row r="2584" spans="1:5" x14ac:dyDescent="0.2">
      <c r="A2584" t="s">
        <v>883</v>
      </c>
      <c r="B2584" t="s">
        <v>884</v>
      </c>
      <c r="C2584" t="s">
        <v>442</v>
      </c>
      <c r="D2584" t="str">
        <f>VLOOKUP(C2584,'lookup table'!$A$2:$B$19,2,FALSE)</f>
        <v>Partner Unit</v>
      </c>
      <c r="E2584" t="str">
        <f t="shared" si="40"/>
        <v>AL047_14|Partner Unit</v>
      </c>
    </row>
    <row r="2585" spans="1:5" x14ac:dyDescent="0.2">
      <c r="A2585" t="s">
        <v>885</v>
      </c>
      <c r="B2585" t="s">
        <v>886</v>
      </c>
      <c r="C2585" t="s">
        <v>20</v>
      </c>
      <c r="D2585" t="str">
        <f>VLOOKUP(C2585,'lookup table'!$A$2:$B$19,2,FALSE)</f>
        <v>AY</v>
      </c>
      <c r="E2585" t="str">
        <f t="shared" si="40"/>
        <v>AL048_00|AY</v>
      </c>
    </row>
    <row r="2586" spans="1:5" x14ac:dyDescent="0.2">
      <c r="A2586" t="s">
        <v>885</v>
      </c>
      <c r="B2586" t="s">
        <v>886</v>
      </c>
      <c r="C2586" t="s">
        <v>136</v>
      </c>
      <c r="D2586" t="str">
        <f>VLOOKUP(C2586,'lookup table'!$A$2:$B$19,2,FALSE)</f>
        <v>BBA Set</v>
      </c>
      <c r="E2586" t="str">
        <f t="shared" si="40"/>
        <v>AL048_00|BBA Set</v>
      </c>
    </row>
    <row r="2587" spans="1:5" x14ac:dyDescent="0.2">
      <c r="A2587" t="s">
        <v>885</v>
      </c>
      <c r="B2587" t="s">
        <v>886</v>
      </c>
      <c r="C2587" t="s">
        <v>331</v>
      </c>
      <c r="D2587" t="str">
        <f>VLOOKUP(C2587,'lookup table'!$A$2:$B$19,2,FALSE)</f>
        <v>FS Item</v>
      </c>
      <c r="E2587" t="str">
        <f t="shared" si="40"/>
        <v>AL048_00|FS Item</v>
      </c>
    </row>
    <row r="2588" spans="1:5" x14ac:dyDescent="0.2">
      <c r="A2588" t="s">
        <v>885</v>
      </c>
      <c r="B2588" t="s">
        <v>886</v>
      </c>
      <c r="C2588" t="s">
        <v>423</v>
      </c>
      <c r="D2588" t="str">
        <f>VLOOKUP(C2588,'lookup table'!$A$2:$B$19,2,FALSE)</f>
        <v>ignore</v>
      </c>
      <c r="E2588" t="str">
        <f t="shared" si="40"/>
        <v>AL048_00|ignore</v>
      </c>
    </row>
    <row r="2589" spans="1:5" x14ac:dyDescent="0.2">
      <c r="A2589" t="s">
        <v>885</v>
      </c>
      <c r="B2589" t="s">
        <v>886</v>
      </c>
      <c r="C2589" t="s">
        <v>428</v>
      </c>
      <c r="D2589" t="str">
        <f>VLOOKUP(C2589,'lookup table'!$A$2:$B$19,2,FALSE)</f>
        <v>LoB</v>
      </c>
      <c r="E2589" t="str">
        <f t="shared" si="40"/>
        <v>AL048_00|LoB</v>
      </c>
    </row>
    <row r="2590" spans="1:5" x14ac:dyDescent="0.2">
      <c r="A2590" t="s">
        <v>885</v>
      </c>
      <c r="B2590" t="s">
        <v>886</v>
      </c>
      <c r="C2590" t="s">
        <v>438</v>
      </c>
      <c r="D2590" t="str">
        <f>VLOOKUP(C2590,'lookup table'!$A$2:$B$19,2,FALSE)</f>
        <v>ToM</v>
      </c>
      <c r="E2590" t="str">
        <f t="shared" si="40"/>
        <v>AL048_00|ToM</v>
      </c>
    </row>
    <row r="2591" spans="1:5" x14ac:dyDescent="0.2">
      <c r="A2591" t="s">
        <v>885</v>
      </c>
      <c r="B2591" t="s">
        <v>886</v>
      </c>
      <c r="C2591" t="s">
        <v>442</v>
      </c>
      <c r="D2591" t="str">
        <f>VLOOKUP(C2591,'lookup table'!$A$2:$B$19,2,FALSE)</f>
        <v>Partner Unit</v>
      </c>
      <c r="E2591" t="str">
        <f t="shared" si="40"/>
        <v>AL048_00|Partner Unit</v>
      </c>
    </row>
    <row r="2592" spans="1:5" x14ac:dyDescent="0.2">
      <c r="A2592" t="s">
        <v>887</v>
      </c>
      <c r="B2592" t="s">
        <v>888</v>
      </c>
      <c r="C2592" t="s">
        <v>20</v>
      </c>
      <c r="D2592" t="str">
        <f>VLOOKUP(C2592,'lookup table'!$A$2:$B$19,2,FALSE)</f>
        <v>AY</v>
      </c>
      <c r="E2592" t="str">
        <f t="shared" si="40"/>
        <v>AL052_00|AY</v>
      </c>
    </row>
    <row r="2593" spans="1:5" x14ac:dyDescent="0.2">
      <c r="A2593" t="s">
        <v>887</v>
      </c>
      <c r="B2593" t="s">
        <v>888</v>
      </c>
      <c r="C2593" t="s">
        <v>136</v>
      </c>
      <c r="D2593" t="str">
        <f>VLOOKUP(C2593,'lookup table'!$A$2:$B$19,2,FALSE)</f>
        <v>BBA Set</v>
      </c>
      <c r="E2593" t="str">
        <f t="shared" si="40"/>
        <v>AL052_00|BBA Set</v>
      </c>
    </row>
    <row r="2594" spans="1:5" x14ac:dyDescent="0.2">
      <c r="A2594" t="s">
        <v>887</v>
      </c>
      <c r="B2594" t="s">
        <v>888</v>
      </c>
      <c r="C2594" t="s">
        <v>331</v>
      </c>
      <c r="D2594" t="str">
        <f>VLOOKUP(C2594,'lookup table'!$A$2:$B$19,2,FALSE)</f>
        <v>FS Item</v>
      </c>
      <c r="E2594" t="str">
        <f t="shared" si="40"/>
        <v>AL052_00|FS Item</v>
      </c>
    </row>
    <row r="2595" spans="1:5" x14ac:dyDescent="0.2">
      <c r="A2595" t="s">
        <v>887</v>
      </c>
      <c r="B2595" t="s">
        <v>888</v>
      </c>
      <c r="C2595" t="s">
        <v>423</v>
      </c>
      <c r="D2595" t="str">
        <f>VLOOKUP(C2595,'lookup table'!$A$2:$B$19,2,FALSE)</f>
        <v>ignore</v>
      </c>
      <c r="E2595" t="str">
        <f t="shared" si="40"/>
        <v>AL052_00|ignore</v>
      </c>
    </row>
    <row r="2596" spans="1:5" x14ac:dyDescent="0.2">
      <c r="A2596" t="s">
        <v>887</v>
      </c>
      <c r="B2596" t="s">
        <v>888</v>
      </c>
      <c r="C2596" t="s">
        <v>428</v>
      </c>
      <c r="D2596" t="str">
        <f>VLOOKUP(C2596,'lookup table'!$A$2:$B$19,2,FALSE)</f>
        <v>LoB</v>
      </c>
      <c r="E2596" t="str">
        <f t="shared" si="40"/>
        <v>AL052_00|LoB</v>
      </c>
    </row>
    <row r="2597" spans="1:5" x14ac:dyDescent="0.2">
      <c r="A2597" t="s">
        <v>887</v>
      </c>
      <c r="B2597" t="s">
        <v>888</v>
      </c>
      <c r="C2597" t="s">
        <v>438</v>
      </c>
      <c r="D2597" t="str">
        <f>VLOOKUP(C2597,'lookup table'!$A$2:$B$19,2,FALSE)</f>
        <v>ToM</v>
      </c>
      <c r="E2597" t="str">
        <f t="shared" si="40"/>
        <v>AL052_00|ToM</v>
      </c>
    </row>
    <row r="2598" spans="1:5" x14ac:dyDescent="0.2">
      <c r="A2598" t="s">
        <v>887</v>
      </c>
      <c r="B2598" t="s">
        <v>888</v>
      </c>
      <c r="C2598" t="s">
        <v>441</v>
      </c>
      <c r="D2598" t="str">
        <f>VLOOKUP(C2598,'lookup table'!$A$2:$B$19,2,FALSE)</f>
        <v>Partner Segment</v>
      </c>
      <c r="E2598" t="str">
        <f t="shared" si="40"/>
        <v>AL052_00|Partner Segment</v>
      </c>
    </row>
    <row r="2599" spans="1:5" x14ac:dyDescent="0.2">
      <c r="A2599" t="s">
        <v>887</v>
      </c>
      <c r="B2599" t="s">
        <v>888</v>
      </c>
      <c r="C2599" t="s">
        <v>442</v>
      </c>
      <c r="D2599" t="str">
        <f>VLOOKUP(C2599,'lookup table'!$A$2:$B$19,2,FALSE)</f>
        <v>Partner Unit</v>
      </c>
      <c r="E2599" t="str">
        <f t="shared" si="40"/>
        <v>AL052_00|Partner Unit</v>
      </c>
    </row>
    <row r="2600" spans="1:5" x14ac:dyDescent="0.2">
      <c r="A2600" t="s">
        <v>889</v>
      </c>
      <c r="B2600" t="s">
        <v>890</v>
      </c>
      <c r="C2600" t="s">
        <v>20</v>
      </c>
      <c r="D2600" t="str">
        <f>VLOOKUP(C2600,'lookup table'!$A$2:$B$19,2,FALSE)</f>
        <v>AY</v>
      </c>
      <c r="E2600" t="str">
        <f t="shared" si="40"/>
        <v>AL052_14|AY</v>
      </c>
    </row>
    <row r="2601" spans="1:5" x14ac:dyDescent="0.2">
      <c r="A2601" t="s">
        <v>889</v>
      </c>
      <c r="B2601" t="s">
        <v>890</v>
      </c>
      <c r="C2601" t="s">
        <v>136</v>
      </c>
      <c r="D2601" t="str">
        <f>VLOOKUP(C2601,'lookup table'!$A$2:$B$19,2,FALSE)</f>
        <v>BBA Set</v>
      </c>
      <c r="E2601" t="str">
        <f t="shared" si="40"/>
        <v>AL052_14|BBA Set</v>
      </c>
    </row>
    <row r="2602" spans="1:5" x14ac:dyDescent="0.2">
      <c r="A2602" t="s">
        <v>889</v>
      </c>
      <c r="B2602" t="s">
        <v>890</v>
      </c>
      <c r="C2602" t="s">
        <v>331</v>
      </c>
      <c r="D2602" t="str">
        <f>VLOOKUP(C2602,'lookup table'!$A$2:$B$19,2,FALSE)</f>
        <v>FS Item</v>
      </c>
      <c r="E2602" t="str">
        <f t="shared" si="40"/>
        <v>AL052_14|FS Item</v>
      </c>
    </row>
    <row r="2603" spans="1:5" x14ac:dyDescent="0.2">
      <c r="A2603" t="s">
        <v>889</v>
      </c>
      <c r="B2603" t="s">
        <v>890</v>
      </c>
      <c r="C2603" t="s">
        <v>423</v>
      </c>
      <c r="D2603" t="str">
        <f>VLOOKUP(C2603,'lookup table'!$A$2:$B$19,2,FALSE)</f>
        <v>ignore</v>
      </c>
      <c r="E2603" t="str">
        <f t="shared" si="40"/>
        <v>AL052_14|ignore</v>
      </c>
    </row>
    <row r="2604" spans="1:5" x14ac:dyDescent="0.2">
      <c r="A2604" t="s">
        <v>889</v>
      </c>
      <c r="B2604" t="s">
        <v>890</v>
      </c>
      <c r="C2604" t="s">
        <v>428</v>
      </c>
      <c r="D2604" t="str">
        <f>VLOOKUP(C2604,'lookup table'!$A$2:$B$19,2,FALSE)</f>
        <v>LoB</v>
      </c>
      <c r="E2604" t="str">
        <f t="shared" si="40"/>
        <v>AL052_14|LoB</v>
      </c>
    </row>
    <row r="2605" spans="1:5" x14ac:dyDescent="0.2">
      <c r="A2605" t="s">
        <v>889</v>
      </c>
      <c r="B2605" t="s">
        <v>890</v>
      </c>
      <c r="C2605" t="s">
        <v>438</v>
      </c>
      <c r="D2605" t="str">
        <f>VLOOKUP(C2605,'lookup table'!$A$2:$B$19,2,FALSE)</f>
        <v>ToM</v>
      </c>
      <c r="E2605" t="str">
        <f t="shared" si="40"/>
        <v>AL052_14|ToM</v>
      </c>
    </row>
    <row r="2606" spans="1:5" x14ac:dyDescent="0.2">
      <c r="A2606" t="s">
        <v>889</v>
      </c>
      <c r="B2606" t="s">
        <v>890</v>
      </c>
      <c r="C2606" t="s">
        <v>441</v>
      </c>
      <c r="D2606" t="str">
        <f>VLOOKUP(C2606,'lookup table'!$A$2:$B$19,2,FALSE)</f>
        <v>Partner Segment</v>
      </c>
      <c r="E2606" t="str">
        <f t="shared" si="40"/>
        <v>AL052_14|Partner Segment</v>
      </c>
    </row>
    <row r="2607" spans="1:5" x14ac:dyDescent="0.2">
      <c r="A2607" t="s">
        <v>889</v>
      </c>
      <c r="B2607" t="s">
        <v>890</v>
      </c>
      <c r="C2607" t="s">
        <v>442</v>
      </c>
      <c r="D2607" t="str">
        <f>VLOOKUP(C2607,'lookup table'!$A$2:$B$19,2,FALSE)</f>
        <v>Partner Unit</v>
      </c>
      <c r="E2607" t="str">
        <f t="shared" si="40"/>
        <v>AL052_14|Partner Unit</v>
      </c>
    </row>
    <row r="2608" spans="1:5" x14ac:dyDescent="0.2">
      <c r="A2608" t="s">
        <v>891</v>
      </c>
      <c r="B2608" t="s">
        <v>892</v>
      </c>
      <c r="C2608" t="s">
        <v>20</v>
      </c>
      <c r="D2608" t="str">
        <f>VLOOKUP(C2608,'lookup table'!$A$2:$B$19,2,FALSE)</f>
        <v>AY</v>
      </c>
      <c r="E2608" t="str">
        <f t="shared" si="40"/>
        <v>AL052_70|AY</v>
      </c>
    </row>
    <row r="2609" spans="1:5" x14ac:dyDescent="0.2">
      <c r="A2609" t="s">
        <v>891</v>
      </c>
      <c r="B2609" t="s">
        <v>892</v>
      </c>
      <c r="C2609" t="s">
        <v>136</v>
      </c>
      <c r="D2609" t="str">
        <f>VLOOKUP(C2609,'lookup table'!$A$2:$B$19,2,FALSE)</f>
        <v>BBA Set</v>
      </c>
      <c r="E2609" t="str">
        <f t="shared" si="40"/>
        <v>AL052_70|BBA Set</v>
      </c>
    </row>
    <row r="2610" spans="1:5" x14ac:dyDescent="0.2">
      <c r="A2610" t="s">
        <v>891</v>
      </c>
      <c r="B2610" t="s">
        <v>892</v>
      </c>
      <c r="C2610" t="s">
        <v>331</v>
      </c>
      <c r="D2610" t="str">
        <f>VLOOKUP(C2610,'lookup table'!$A$2:$B$19,2,FALSE)</f>
        <v>FS Item</v>
      </c>
      <c r="E2610" t="str">
        <f t="shared" si="40"/>
        <v>AL052_70|FS Item</v>
      </c>
    </row>
    <row r="2611" spans="1:5" x14ac:dyDescent="0.2">
      <c r="A2611" t="s">
        <v>891</v>
      </c>
      <c r="B2611" t="s">
        <v>892</v>
      </c>
      <c r="C2611" t="s">
        <v>423</v>
      </c>
      <c r="D2611" t="str">
        <f>VLOOKUP(C2611,'lookup table'!$A$2:$B$19,2,FALSE)</f>
        <v>ignore</v>
      </c>
      <c r="E2611" t="str">
        <f t="shared" si="40"/>
        <v>AL052_70|ignore</v>
      </c>
    </row>
    <row r="2612" spans="1:5" x14ac:dyDescent="0.2">
      <c r="A2612" t="s">
        <v>891</v>
      </c>
      <c r="B2612" t="s">
        <v>892</v>
      </c>
      <c r="C2612" t="s">
        <v>428</v>
      </c>
      <c r="D2612" t="str">
        <f>VLOOKUP(C2612,'lookup table'!$A$2:$B$19,2,FALSE)</f>
        <v>LoB</v>
      </c>
      <c r="E2612" t="str">
        <f t="shared" si="40"/>
        <v>AL052_70|LoB</v>
      </c>
    </row>
    <row r="2613" spans="1:5" x14ac:dyDescent="0.2">
      <c r="A2613" t="s">
        <v>891</v>
      </c>
      <c r="B2613" t="s">
        <v>892</v>
      </c>
      <c r="C2613" t="s">
        <v>438</v>
      </c>
      <c r="D2613" t="str">
        <f>VLOOKUP(C2613,'lookup table'!$A$2:$B$19,2,FALSE)</f>
        <v>ToM</v>
      </c>
      <c r="E2613" t="str">
        <f t="shared" si="40"/>
        <v>AL052_70|ToM</v>
      </c>
    </row>
    <row r="2614" spans="1:5" x14ac:dyDescent="0.2">
      <c r="A2614" t="s">
        <v>891</v>
      </c>
      <c r="B2614" t="s">
        <v>892</v>
      </c>
      <c r="C2614" t="s">
        <v>441</v>
      </c>
      <c r="D2614" t="str">
        <f>VLOOKUP(C2614,'lookup table'!$A$2:$B$19,2,FALSE)</f>
        <v>Partner Segment</v>
      </c>
      <c r="E2614" t="str">
        <f t="shared" si="40"/>
        <v>AL052_70|Partner Segment</v>
      </c>
    </row>
    <row r="2615" spans="1:5" x14ac:dyDescent="0.2">
      <c r="A2615" t="s">
        <v>891</v>
      </c>
      <c r="B2615" t="s">
        <v>892</v>
      </c>
      <c r="C2615" t="s">
        <v>442</v>
      </c>
      <c r="D2615" t="str">
        <f>VLOOKUP(C2615,'lookup table'!$A$2:$B$19,2,FALSE)</f>
        <v>Partner Unit</v>
      </c>
      <c r="E2615" t="str">
        <f t="shared" si="40"/>
        <v>AL052_70|Partner Unit</v>
      </c>
    </row>
    <row r="2616" spans="1:5" x14ac:dyDescent="0.2">
      <c r="A2616" t="s">
        <v>893</v>
      </c>
      <c r="B2616" t="s">
        <v>894</v>
      </c>
      <c r="C2616" t="s">
        <v>331</v>
      </c>
      <c r="D2616" t="str">
        <f>VLOOKUP(C2616,'lookup table'!$A$2:$B$19,2,FALSE)</f>
        <v>FS Item</v>
      </c>
      <c r="E2616" t="str">
        <f t="shared" si="40"/>
        <v>AL053_00|FS Item</v>
      </c>
    </row>
    <row r="2617" spans="1:5" x14ac:dyDescent="0.2">
      <c r="A2617" t="s">
        <v>893</v>
      </c>
      <c r="B2617" t="s">
        <v>894</v>
      </c>
      <c r="C2617" t="s">
        <v>423</v>
      </c>
      <c r="D2617" t="str">
        <f>VLOOKUP(C2617,'lookup table'!$A$2:$B$19,2,FALSE)</f>
        <v>ignore</v>
      </c>
      <c r="E2617" t="str">
        <f t="shared" si="40"/>
        <v>AL053_00|ignore</v>
      </c>
    </row>
    <row r="2618" spans="1:5" x14ac:dyDescent="0.2">
      <c r="A2618" t="s">
        <v>893</v>
      </c>
      <c r="B2618" t="s">
        <v>894</v>
      </c>
      <c r="C2618" t="s">
        <v>449</v>
      </c>
      <c r="D2618" t="e">
        <f>VLOOKUP(C2618,'lookup table'!$A$2:$B$19,2,FALSE)</f>
        <v>#N/A</v>
      </c>
      <c r="E2618" t="str">
        <f t="shared" si="40"/>
        <v/>
      </c>
    </row>
    <row r="2619" spans="1:5" x14ac:dyDescent="0.2">
      <c r="A2619" t="s">
        <v>895</v>
      </c>
      <c r="B2619" t="s">
        <v>896</v>
      </c>
      <c r="C2619" t="s">
        <v>331</v>
      </c>
      <c r="D2619" t="str">
        <f>VLOOKUP(C2619,'lookup table'!$A$2:$B$19,2,FALSE)</f>
        <v>FS Item</v>
      </c>
      <c r="E2619" t="str">
        <f t="shared" si="40"/>
        <v>AL053_13|FS Item</v>
      </c>
    </row>
    <row r="2620" spans="1:5" x14ac:dyDescent="0.2">
      <c r="A2620" t="s">
        <v>895</v>
      </c>
      <c r="B2620" t="s">
        <v>896</v>
      </c>
      <c r="C2620" t="s">
        <v>423</v>
      </c>
      <c r="D2620" t="str">
        <f>VLOOKUP(C2620,'lookup table'!$A$2:$B$19,2,FALSE)</f>
        <v>ignore</v>
      </c>
      <c r="E2620" t="str">
        <f t="shared" si="40"/>
        <v>AL053_13|ignore</v>
      </c>
    </row>
    <row r="2621" spans="1:5" x14ac:dyDescent="0.2">
      <c r="A2621" t="s">
        <v>895</v>
      </c>
      <c r="B2621" t="s">
        <v>896</v>
      </c>
      <c r="C2621" t="s">
        <v>449</v>
      </c>
      <c r="D2621" t="e">
        <f>VLOOKUP(C2621,'lookup table'!$A$2:$B$19,2,FALSE)</f>
        <v>#N/A</v>
      </c>
      <c r="E2621" t="str">
        <f t="shared" si="40"/>
        <v/>
      </c>
    </row>
    <row r="2622" spans="1:5" x14ac:dyDescent="0.2">
      <c r="A2622" t="s">
        <v>897</v>
      </c>
      <c r="B2622" t="s">
        <v>898</v>
      </c>
      <c r="C2622" t="s">
        <v>331</v>
      </c>
      <c r="D2622" t="str">
        <f>VLOOKUP(C2622,'lookup table'!$A$2:$B$19,2,FALSE)</f>
        <v>FS Item</v>
      </c>
      <c r="E2622" t="str">
        <f t="shared" si="40"/>
        <v>AL053_14|FS Item</v>
      </c>
    </row>
    <row r="2623" spans="1:5" x14ac:dyDescent="0.2">
      <c r="A2623" t="s">
        <v>897</v>
      </c>
      <c r="B2623" t="s">
        <v>898</v>
      </c>
      <c r="C2623" t="s">
        <v>423</v>
      </c>
      <c r="D2623" t="str">
        <f>VLOOKUP(C2623,'lookup table'!$A$2:$B$19,2,FALSE)</f>
        <v>ignore</v>
      </c>
      <c r="E2623" t="str">
        <f t="shared" si="40"/>
        <v>AL053_14|ignore</v>
      </c>
    </row>
    <row r="2624" spans="1:5" x14ac:dyDescent="0.2">
      <c r="A2624" t="s">
        <v>897</v>
      </c>
      <c r="B2624" t="s">
        <v>898</v>
      </c>
      <c r="C2624" t="s">
        <v>449</v>
      </c>
      <c r="D2624" t="e">
        <f>VLOOKUP(C2624,'lookup table'!$A$2:$B$19,2,FALSE)</f>
        <v>#N/A</v>
      </c>
      <c r="E2624" t="str">
        <f t="shared" si="40"/>
        <v/>
      </c>
    </row>
    <row r="2625" spans="1:5" x14ac:dyDescent="0.2">
      <c r="A2625" t="s">
        <v>899</v>
      </c>
      <c r="B2625" t="s">
        <v>900</v>
      </c>
      <c r="C2625" t="s">
        <v>331</v>
      </c>
      <c r="D2625" t="str">
        <f>VLOOKUP(C2625,'lookup table'!$A$2:$B$19,2,FALSE)</f>
        <v>FS Item</v>
      </c>
      <c r="E2625" t="str">
        <f t="shared" si="40"/>
        <v>AL053_Q1|FS Item</v>
      </c>
    </row>
    <row r="2626" spans="1:5" x14ac:dyDescent="0.2">
      <c r="A2626" t="s">
        <v>899</v>
      </c>
      <c r="B2626" t="s">
        <v>900</v>
      </c>
      <c r="C2626" t="s">
        <v>423</v>
      </c>
      <c r="D2626" t="str">
        <f>VLOOKUP(C2626,'lookup table'!$A$2:$B$19,2,FALSE)</f>
        <v>ignore</v>
      </c>
      <c r="E2626" t="str">
        <f t="shared" si="40"/>
        <v>AL053_Q1|ignore</v>
      </c>
    </row>
    <row r="2627" spans="1:5" x14ac:dyDescent="0.2">
      <c r="A2627" t="s">
        <v>899</v>
      </c>
      <c r="B2627" t="s">
        <v>900</v>
      </c>
      <c r="C2627" t="s">
        <v>449</v>
      </c>
      <c r="D2627" t="e">
        <f>VLOOKUP(C2627,'lookup table'!$A$2:$B$19,2,FALSE)</f>
        <v>#N/A</v>
      </c>
      <c r="E2627" t="str">
        <f t="shared" ref="E2627:E2690" si="41">IF(ISNA(D2627),"",IF(A2627="","",A2627) &amp; "|" &amp; D2627)</f>
        <v/>
      </c>
    </row>
    <row r="2628" spans="1:5" x14ac:dyDescent="0.2">
      <c r="A2628" t="s">
        <v>901</v>
      </c>
      <c r="B2628" t="s">
        <v>902</v>
      </c>
      <c r="C2628" t="s">
        <v>331</v>
      </c>
      <c r="D2628" t="str">
        <f>VLOOKUP(C2628,'lookup table'!$A$2:$B$19,2,FALSE)</f>
        <v>FS Item</v>
      </c>
      <c r="E2628" t="str">
        <f t="shared" si="41"/>
        <v>AL054_00|FS Item</v>
      </c>
    </row>
    <row r="2629" spans="1:5" x14ac:dyDescent="0.2">
      <c r="A2629" t="s">
        <v>901</v>
      </c>
      <c r="B2629" t="s">
        <v>902</v>
      </c>
      <c r="C2629" t="s">
        <v>423</v>
      </c>
      <c r="D2629" t="str">
        <f>VLOOKUP(C2629,'lookup table'!$A$2:$B$19,2,FALSE)</f>
        <v>ignore</v>
      </c>
      <c r="E2629" t="str">
        <f t="shared" si="41"/>
        <v>AL054_00|ignore</v>
      </c>
    </row>
    <row r="2630" spans="1:5" x14ac:dyDescent="0.2">
      <c r="A2630" t="s">
        <v>901</v>
      </c>
      <c r="B2630" t="s">
        <v>902</v>
      </c>
      <c r="C2630" t="s">
        <v>438</v>
      </c>
      <c r="D2630" t="str">
        <f>VLOOKUP(C2630,'lookup table'!$A$2:$B$19,2,FALSE)</f>
        <v>ToM</v>
      </c>
      <c r="E2630" t="str">
        <f t="shared" si="41"/>
        <v>AL054_00|ToM</v>
      </c>
    </row>
    <row r="2631" spans="1:5" x14ac:dyDescent="0.2">
      <c r="A2631" t="s">
        <v>901</v>
      </c>
      <c r="B2631" t="s">
        <v>902</v>
      </c>
      <c r="C2631" t="s">
        <v>442</v>
      </c>
      <c r="D2631" t="str">
        <f>VLOOKUP(C2631,'lookup table'!$A$2:$B$19,2,FALSE)</f>
        <v>Partner Unit</v>
      </c>
      <c r="E2631" t="str">
        <f t="shared" si="41"/>
        <v>AL054_00|Partner Unit</v>
      </c>
    </row>
    <row r="2632" spans="1:5" x14ac:dyDescent="0.2">
      <c r="A2632" t="s">
        <v>903</v>
      </c>
      <c r="B2632" t="s">
        <v>904</v>
      </c>
      <c r="C2632" t="s">
        <v>20</v>
      </c>
      <c r="D2632" t="str">
        <f>VLOOKUP(C2632,'lookup table'!$A$2:$B$19,2,FALSE)</f>
        <v>AY</v>
      </c>
      <c r="E2632" t="str">
        <f t="shared" si="41"/>
        <v>AL059_00|AY</v>
      </c>
    </row>
    <row r="2633" spans="1:5" x14ac:dyDescent="0.2">
      <c r="A2633" t="s">
        <v>903</v>
      </c>
      <c r="B2633" t="s">
        <v>904</v>
      </c>
      <c r="C2633" t="s">
        <v>136</v>
      </c>
      <c r="D2633" t="str">
        <f>VLOOKUP(C2633,'lookup table'!$A$2:$B$19,2,FALSE)</f>
        <v>BBA Set</v>
      </c>
      <c r="E2633" t="str">
        <f t="shared" si="41"/>
        <v>AL059_00|BBA Set</v>
      </c>
    </row>
    <row r="2634" spans="1:5" x14ac:dyDescent="0.2">
      <c r="A2634" t="s">
        <v>903</v>
      </c>
      <c r="B2634" t="s">
        <v>904</v>
      </c>
      <c r="C2634" t="s">
        <v>331</v>
      </c>
      <c r="D2634" t="str">
        <f>VLOOKUP(C2634,'lookup table'!$A$2:$B$19,2,FALSE)</f>
        <v>FS Item</v>
      </c>
      <c r="E2634" t="str">
        <f t="shared" si="41"/>
        <v>AL059_00|FS Item</v>
      </c>
    </row>
    <row r="2635" spans="1:5" x14ac:dyDescent="0.2">
      <c r="A2635" t="s">
        <v>903</v>
      </c>
      <c r="B2635" t="s">
        <v>904</v>
      </c>
      <c r="C2635" t="s">
        <v>423</v>
      </c>
      <c r="D2635" t="str">
        <f>VLOOKUP(C2635,'lookup table'!$A$2:$B$19,2,FALSE)</f>
        <v>ignore</v>
      </c>
      <c r="E2635" t="str">
        <f t="shared" si="41"/>
        <v>AL059_00|ignore</v>
      </c>
    </row>
    <row r="2636" spans="1:5" x14ac:dyDescent="0.2">
      <c r="A2636" t="s">
        <v>903</v>
      </c>
      <c r="B2636" t="s">
        <v>904</v>
      </c>
      <c r="C2636" t="s">
        <v>428</v>
      </c>
      <c r="D2636" t="str">
        <f>VLOOKUP(C2636,'lookup table'!$A$2:$B$19,2,FALSE)</f>
        <v>LoB</v>
      </c>
      <c r="E2636" t="str">
        <f t="shared" si="41"/>
        <v>AL059_00|LoB</v>
      </c>
    </row>
    <row r="2637" spans="1:5" x14ac:dyDescent="0.2">
      <c r="A2637" t="s">
        <v>903</v>
      </c>
      <c r="B2637" t="s">
        <v>904</v>
      </c>
      <c r="C2637" t="s">
        <v>438</v>
      </c>
      <c r="D2637" t="str">
        <f>VLOOKUP(C2637,'lookup table'!$A$2:$B$19,2,FALSE)</f>
        <v>ToM</v>
      </c>
      <c r="E2637" t="str">
        <f t="shared" si="41"/>
        <v>AL059_00|ToM</v>
      </c>
    </row>
    <row r="2638" spans="1:5" x14ac:dyDescent="0.2">
      <c r="A2638" t="s">
        <v>903</v>
      </c>
      <c r="B2638" t="s">
        <v>904</v>
      </c>
      <c r="C2638" t="s">
        <v>441</v>
      </c>
      <c r="D2638" t="str">
        <f>VLOOKUP(C2638,'lookup table'!$A$2:$B$19,2,FALSE)</f>
        <v>Partner Segment</v>
      </c>
      <c r="E2638" t="str">
        <f t="shared" si="41"/>
        <v>AL059_00|Partner Segment</v>
      </c>
    </row>
    <row r="2639" spans="1:5" x14ac:dyDescent="0.2">
      <c r="A2639" t="s">
        <v>903</v>
      </c>
      <c r="B2639" t="s">
        <v>904</v>
      </c>
      <c r="C2639" t="s">
        <v>442</v>
      </c>
      <c r="D2639" t="str">
        <f>VLOOKUP(C2639,'lookup table'!$A$2:$B$19,2,FALSE)</f>
        <v>Partner Unit</v>
      </c>
      <c r="E2639" t="str">
        <f t="shared" si="41"/>
        <v>AL059_00|Partner Unit</v>
      </c>
    </row>
    <row r="2640" spans="1:5" x14ac:dyDescent="0.2">
      <c r="A2640" t="s">
        <v>905</v>
      </c>
      <c r="B2640" t="s">
        <v>906</v>
      </c>
      <c r="C2640" t="s">
        <v>20</v>
      </c>
      <c r="D2640" t="str">
        <f>VLOOKUP(C2640,'lookup table'!$A$2:$B$19,2,FALSE)</f>
        <v>AY</v>
      </c>
      <c r="E2640" t="str">
        <f t="shared" si="41"/>
        <v>AL059_01|AY</v>
      </c>
    </row>
    <row r="2641" spans="1:5" x14ac:dyDescent="0.2">
      <c r="A2641" t="s">
        <v>905</v>
      </c>
      <c r="B2641" t="s">
        <v>906</v>
      </c>
      <c r="C2641" t="s">
        <v>331</v>
      </c>
      <c r="D2641" t="str">
        <f>VLOOKUP(C2641,'lookup table'!$A$2:$B$19,2,FALSE)</f>
        <v>FS Item</v>
      </c>
      <c r="E2641" t="str">
        <f t="shared" si="41"/>
        <v>AL059_01|FS Item</v>
      </c>
    </row>
    <row r="2642" spans="1:5" x14ac:dyDescent="0.2">
      <c r="A2642" t="s">
        <v>905</v>
      </c>
      <c r="B2642" t="s">
        <v>906</v>
      </c>
      <c r="C2642" t="s">
        <v>423</v>
      </c>
      <c r="D2642" t="str">
        <f>VLOOKUP(C2642,'lookup table'!$A$2:$B$19,2,FALSE)</f>
        <v>ignore</v>
      </c>
      <c r="E2642" t="str">
        <f t="shared" si="41"/>
        <v>AL059_01|ignore</v>
      </c>
    </row>
    <row r="2643" spans="1:5" x14ac:dyDescent="0.2">
      <c r="A2643" t="s">
        <v>905</v>
      </c>
      <c r="B2643" t="s">
        <v>906</v>
      </c>
      <c r="C2643" t="s">
        <v>428</v>
      </c>
      <c r="D2643" t="str">
        <f>VLOOKUP(C2643,'lookup table'!$A$2:$B$19,2,FALSE)</f>
        <v>LoB</v>
      </c>
      <c r="E2643" t="str">
        <f t="shared" si="41"/>
        <v>AL059_01|LoB</v>
      </c>
    </row>
    <row r="2644" spans="1:5" x14ac:dyDescent="0.2">
      <c r="A2644" t="s">
        <v>905</v>
      </c>
      <c r="B2644" t="s">
        <v>906</v>
      </c>
      <c r="C2644" t="s">
        <v>438</v>
      </c>
      <c r="D2644" t="str">
        <f>VLOOKUP(C2644,'lookup table'!$A$2:$B$19,2,FALSE)</f>
        <v>ToM</v>
      </c>
      <c r="E2644" t="str">
        <f t="shared" si="41"/>
        <v>AL059_01|ToM</v>
      </c>
    </row>
    <row r="2645" spans="1:5" x14ac:dyDescent="0.2">
      <c r="A2645" t="s">
        <v>905</v>
      </c>
      <c r="B2645" t="s">
        <v>906</v>
      </c>
      <c r="C2645" t="s">
        <v>441</v>
      </c>
      <c r="D2645" t="str">
        <f>VLOOKUP(C2645,'lookup table'!$A$2:$B$19,2,FALSE)</f>
        <v>Partner Segment</v>
      </c>
      <c r="E2645" t="str">
        <f t="shared" si="41"/>
        <v>AL059_01|Partner Segment</v>
      </c>
    </row>
    <row r="2646" spans="1:5" x14ac:dyDescent="0.2">
      <c r="A2646" t="s">
        <v>905</v>
      </c>
      <c r="B2646" t="s">
        <v>906</v>
      </c>
      <c r="C2646" t="s">
        <v>442</v>
      </c>
      <c r="D2646" t="str">
        <f>VLOOKUP(C2646,'lookup table'!$A$2:$B$19,2,FALSE)</f>
        <v>Partner Unit</v>
      </c>
      <c r="E2646" t="str">
        <f t="shared" si="41"/>
        <v>AL059_01|Partner Unit</v>
      </c>
    </row>
    <row r="2647" spans="1:5" x14ac:dyDescent="0.2">
      <c r="A2647" t="s">
        <v>907</v>
      </c>
      <c r="B2647" t="s">
        <v>908</v>
      </c>
      <c r="C2647" t="s">
        <v>20</v>
      </c>
      <c r="D2647" t="str">
        <f>VLOOKUP(C2647,'lookup table'!$A$2:$B$19,2,FALSE)</f>
        <v>AY</v>
      </c>
      <c r="E2647" t="str">
        <f t="shared" si="41"/>
        <v>AL059_14|AY</v>
      </c>
    </row>
    <row r="2648" spans="1:5" x14ac:dyDescent="0.2">
      <c r="A2648" t="s">
        <v>907</v>
      </c>
      <c r="B2648" t="s">
        <v>908</v>
      </c>
      <c r="C2648" t="s">
        <v>136</v>
      </c>
      <c r="D2648" t="str">
        <f>VLOOKUP(C2648,'lookup table'!$A$2:$B$19,2,FALSE)</f>
        <v>BBA Set</v>
      </c>
      <c r="E2648" t="str">
        <f t="shared" si="41"/>
        <v>AL059_14|BBA Set</v>
      </c>
    </row>
    <row r="2649" spans="1:5" x14ac:dyDescent="0.2">
      <c r="A2649" t="s">
        <v>907</v>
      </c>
      <c r="B2649" t="s">
        <v>908</v>
      </c>
      <c r="C2649" t="s">
        <v>331</v>
      </c>
      <c r="D2649" t="str">
        <f>VLOOKUP(C2649,'lookup table'!$A$2:$B$19,2,FALSE)</f>
        <v>FS Item</v>
      </c>
      <c r="E2649" t="str">
        <f t="shared" si="41"/>
        <v>AL059_14|FS Item</v>
      </c>
    </row>
    <row r="2650" spans="1:5" x14ac:dyDescent="0.2">
      <c r="A2650" t="s">
        <v>907</v>
      </c>
      <c r="B2650" t="s">
        <v>908</v>
      </c>
      <c r="C2650" t="s">
        <v>423</v>
      </c>
      <c r="D2650" t="str">
        <f>VLOOKUP(C2650,'lookup table'!$A$2:$B$19,2,FALSE)</f>
        <v>ignore</v>
      </c>
      <c r="E2650" t="str">
        <f t="shared" si="41"/>
        <v>AL059_14|ignore</v>
      </c>
    </row>
    <row r="2651" spans="1:5" x14ac:dyDescent="0.2">
      <c r="A2651" t="s">
        <v>907</v>
      </c>
      <c r="B2651" t="s">
        <v>908</v>
      </c>
      <c r="C2651" t="s">
        <v>428</v>
      </c>
      <c r="D2651" t="str">
        <f>VLOOKUP(C2651,'lookup table'!$A$2:$B$19,2,FALSE)</f>
        <v>LoB</v>
      </c>
      <c r="E2651" t="str">
        <f t="shared" si="41"/>
        <v>AL059_14|LoB</v>
      </c>
    </row>
    <row r="2652" spans="1:5" x14ac:dyDescent="0.2">
      <c r="A2652" t="s">
        <v>907</v>
      </c>
      <c r="B2652" t="s">
        <v>908</v>
      </c>
      <c r="C2652" t="s">
        <v>438</v>
      </c>
      <c r="D2652" t="str">
        <f>VLOOKUP(C2652,'lookup table'!$A$2:$B$19,2,FALSE)</f>
        <v>ToM</v>
      </c>
      <c r="E2652" t="str">
        <f t="shared" si="41"/>
        <v>AL059_14|ToM</v>
      </c>
    </row>
    <row r="2653" spans="1:5" x14ac:dyDescent="0.2">
      <c r="A2653" t="s">
        <v>907</v>
      </c>
      <c r="B2653" t="s">
        <v>908</v>
      </c>
      <c r="C2653" t="s">
        <v>441</v>
      </c>
      <c r="D2653" t="str">
        <f>VLOOKUP(C2653,'lookup table'!$A$2:$B$19,2,FALSE)</f>
        <v>Partner Segment</v>
      </c>
      <c r="E2653" t="str">
        <f t="shared" si="41"/>
        <v>AL059_14|Partner Segment</v>
      </c>
    </row>
    <row r="2654" spans="1:5" x14ac:dyDescent="0.2">
      <c r="A2654" t="s">
        <v>907</v>
      </c>
      <c r="B2654" t="s">
        <v>908</v>
      </c>
      <c r="C2654" t="s">
        <v>442</v>
      </c>
      <c r="D2654" t="str">
        <f>VLOOKUP(C2654,'lookup table'!$A$2:$B$19,2,FALSE)</f>
        <v>Partner Unit</v>
      </c>
      <c r="E2654" t="str">
        <f t="shared" si="41"/>
        <v>AL059_14|Partner Unit</v>
      </c>
    </row>
    <row r="2655" spans="1:5" x14ac:dyDescent="0.2">
      <c r="A2655" t="s">
        <v>909</v>
      </c>
      <c r="B2655" t="s">
        <v>910</v>
      </c>
      <c r="C2655" t="s">
        <v>331</v>
      </c>
      <c r="D2655" t="str">
        <f>VLOOKUP(C2655,'lookup table'!$A$2:$B$19,2,FALSE)</f>
        <v>FS Item</v>
      </c>
      <c r="E2655" t="str">
        <f t="shared" si="41"/>
        <v>AL061_00|FS Item</v>
      </c>
    </row>
    <row r="2656" spans="1:5" x14ac:dyDescent="0.2">
      <c r="A2656" t="s">
        <v>909</v>
      </c>
      <c r="B2656" t="s">
        <v>910</v>
      </c>
      <c r="C2656" t="s">
        <v>423</v>
      </c>
      <c r="D2656" t="str">
        <f>VLOOKUP(C2656,'lookup table'!$A$2:$B$19,2,FALSE)</f>
        <v>ignore</v>
      </c>
      <c r="E2656" t="str">
        <f t="shared" si="41"/>
        <v>AL061_00|ignore</v>
      </c>
    </row>
    <row r="2657" spans="1:5" x14ac:dyDescent="0.2">
      <c r="A2657" t="s">
        <v>909</v>
      </c>
      <c r="B2657" t="s">
        <v>910</v>
      </c>
      <c r="C2657" t="s">
        <v>438</v>
      </c>
      <c r="D2657" t="str">
        <f>VLOOKUP(C2657,'lookup table'!$A$2:$B$19,2,FALSE)</f>
        <v>ToM</v>
      </c>
      <c r="E2657" t="str">
        <f t="shared" si="41"/>
        <v>AL061_00|ToM</v>
      </c>
    </row>
    <row r="2658" spans="1:5" x14ac:dyDescent="0.2">
      <c r="A2658" t="s">
        <v>911</v>
      </c>
      <c r="B2658" t="s">
        <v>912</v>
      </c>
      <c r="C2658" t="s">
        <v>136</v>
      </c>
      <c r="D2658" t="str">
        <f>VLOOKUP(C2658,'lookup table'!$A$2:$B$19,2,FALSE)</f>
        <v>BBA Set</v>
      </c>
      <c r="E2658" t="str">
        <f t="shared" si="41"/>
        <v>AL061_17|BBA Set</v>
      </c>
    </row>
    <row r="2659" spans="1:5" x14ac:dyDescent="0.2">
      <c r="A2659" t="s">
        <v>911</v>
      </c>
      <c r="B2659" t="s">
        <v>912</v>
      </c>
      <c r="C2659" t="s">
        <v>331</v>
      </c>
      <c r="D2659" t="str">
        <f>VLOOKUP(C2659,'lookup table'!$A$2:$B$19,2,FALSE)</f>
        <v>FS Item</v>
      </c>
      <c r="E2659" t="str">
        <f t="shared" si="41"/>
        <v>AL061_17|FS Item</v>
      </c>
    </row>
    <row r="2660" spans="1:5" x14ac:dyDescent="0.2">
      <c r="A2660" t="s">
        <v>911</v>
      </c>
      <c r="B2660" t="s">
        <v>912</v>
      </c>
      <c r="C2660" t="s">
        <v>423</v>
      </c>
      <c r="D2660" t="str">
        <f>VLOOKUP(C2660,'lookup table'!$A$2:$B$19,2,FALSE)</f>
        <v>ignore</v>
      </c>
      <c r="E2660" t="str">
        <f t="shared" si="41"/>
        <v>AL061_17|ignore</v>
      </c>
    </row>
    <row r="2661" spans="1:5" x14ac:dyDescent="0.2">
      <c r="A2661" t="s">
        <v>911</v>
      </c>
      <c r="B2661" t="s">
        <v>912</v>
      </c>
      <c r="C2661" t="s">
        <v>438</v>
      </c>
      <c r="D2661" t="str">
        <f>VLOOKUP(C2661,'lookup table'!$A$2:$B$19,2,FALSE)</f>
        <v>ToM</v>
      </c>
      <c r="E2661" t="str">
        <f t="shared" si="41"/>
        <v>AL061_17|ToM</v>
      </c>
    </row>
    <row r="2662" spans="1:5" x14ac:dyDescent="0.2">
      <c r="A2662" t="s">
        <v>913</v>
      </c>
      <c r="B2662" t="s">
        <v>914</v>
      </c>
      <c r="C2662" t="s">
        <v>20</v>
      </c>
      <c r="D2662" t="str">
        <f>VLOOKUP(C2662,'lookup table'!$A$2:$B$19,2,FALSE)</f>
        <v>AY</v>
      </c>
      <c r="E2662" t="str">
        <f t="shared" si="41"/>
        <v>AL062_00|AY</v>
      </c>
    </row>
    <row r="2663" spans="1:5" x14ac:dyDescent="0.2">
      <c r="A2663" t="s">
        <v>913</v>
      </c>
      <c r="B2663" t="s">
        <v>914</v>
      </c>
      <c r="C2663" t="s">
        <v>136</v>
      </c>
      <c r="D2663" t="str">
        <f>VLOOKUP(C2663,'lookup table'!$A$2:$B$19,2,FALSE)</f>
        <v>BBA Set</v>
      </c>
      <c r="E2663" t="str">
        <f t="shared" si="41"/>
        <v>AL062_00|BBA Set</v>
      </c>
    </row>
    <row r="2664" spans="1:5" x14ac:dyDescent="0.2">
      <c r="A2664" t="s">
        <v>913</v>
      </c>
      <c r="B2664" t="s">
        <v>914</v>
      </c>
      <c r="C2664" t="s">
        <v>331</v>
      </c>
      <c r="D2664" t="str">
        <f>VLOOKUP(C2664,'lookup table'!$A$2:$B$19,2,FALSE)</f>
        <v>FS Item</v>
      </c>
      <c r="E2664" t="str">
        <f t="shared" si="41"/>
        <v>AL062_00|FS Item</v>
      </c>
    </row>
    <row r="2665" spans="1:5" x14ac:dyDescent="0.2">
      <c r="A2665" t="s">
        <v>913</v>
      </c>
      <c r="B2665" t="s">
        <v>914</v>
      </c>
      <c r="C2665" t="s">
        <v>423</v>
      </c>
      <c r="D2665" t="str">
        <f>VLOOKUP(C2665,'lookup table'!$A$2:$B$19,2,FALSE)</f>
        <v>ignore</v>
      </c>
      <c r="E2665" t="str">
        <f t="shared" si="41"/>
        <v>AL062_00|ignore</v>
      </c>
    </row>
    <row r="2666" spans="1:5" x14ac:dyDescent="0.2">
      <c r="A2666" t="s">
        <v>913</v>
      </c>
      <c r="B2666" t="s">
        <v>914</v>
      </c>
      <c r="C2666" t="s">
        <v>425</v>
      </c>
      <c r="D2666" t="str">
        <f>VLOOKUP(C2666,'lookup table'!$A$2:$B$19,2,FALSE)</f>
        <v>Investee Segment</v>
      </c>
      <c r="E2666" t="str">
        <f t="shared" si="41"/>
        <v>AL062_00|Investee Segment</v>
      </c>
    </row>
    <row r="2667" spans="1:5" x14ac:dyDescent="0.2">
      <c r="A2667" t="s">
        <v>913</v>
      </c>
      <c r="B2667" t="s">
        <v>914</v>
      </c>
      <c r="C2667" t="s">
        <v>426</v>
      </c>
      <c r="D2667" t="str">
        <f>VLOOKUP(C2667,'lookup table'!$A$2:$B$19,2,FALSE)</f>
        <v>Investee Unit</v>
      </c>
      <c r="E2667" t="str">
        <f t="shared" si="41"/>
        <v>AL062_00|Investee Unit</v>
      </c>
    </row>
    <row r="2668" spans="1:5" x14ac:dyDescent="0.2">
      <c r="A2668" t="s">
        <v>913</v>
      </c>
      <c r="B2668" t="s">
        <v>914</v>
      </c>
      <c r="C2668" t="s">
        <v>428</v>
      </c>
      <c r="D2668" t="str">
        <f>VLOOKUP(C2668,'lookup table'!$A$2:$B$19,2,FALSE)</f>
        <v>LoB</v>
      </c>
      <c r="E2668" t="str">
        <f t="shared" si="41"/>
        <v>AL062_00|LoB</v>
      </c>
    </row>
    <row r="2669" spans="1:5" x14ac:dyDescent="0.2">
      <c r="A2669" t="s">
        <v>913</v>
      </c>
      <c r="B2669" t="s">
        <v>914</v>
      </c>
      <c r="C2669" t="s">
        <v>438</v>
      </c>
      <c r="D2669" t="str">
        <f>VLOOKUP(C2669,'lookup table'!$A$2:$B$19,2,FALSE)</f>
        <v>ToM</v>
      </c>
      <c r="E2669" t="str">
        <f t="shared" si="41"/>
        <v>AL062_00|ToM</v>
      </c>
    </row>
    <row r="2670" spans="1:5" x14ac:dyDescent="0.2">
      <c r="A2670" t="s">
        <v>913</v>
      </c>
      <c r="B2670" t="s">
        <v>914</v>
      </c>
      <c r="C2670" t="s">
        <v>441</v>
      </c>
      <c r="D2670" t="str">
        <f>VLOOKUP(C2670,'lookup table'!$A$2:$B$19,2,FALSE)</f>
        <v>Partner Segment</v>
      </c>
      <c r="E2670" t="str">
        <f t="shared" si="41"/>
        <v>AL062_00|Partner Segment</v>
      </c>
    </row>
    <row r="2671" spans="1:5" x14ac:dyDescent="0.2">
      <c r="A2671" t="s">
        <v>913</v>
      </c>
      <c r="B2671" t="s">
        <v>914</v>
      </c>
      <c r="C2671" t="s">
        <v>442</v>
      </c>
      <c r="D2671" t="str">
        <f>VLOOKUP(C2671,'lookup table'!$A$2:$B$19,2,FALSE)</f>
        <v>Partner Unit</v>
      </c>
      <c r="E2671" t="str">
        <f t="shared" si="41"/>
        <v>AL062_00|Partner Unit</v>
      </c>
    </row>
    <row r="2672" spans="1:5" x14ac:dyDescent="0.2">
      <c r="A2672" t="s">
        <v>915</v>
      </c>
      <c r="B2672" t="s">
        <v>914</v>
      </c>
      <c r="C2672" t="s">
        <v>20</v>
      </c>
      <c r="D2672" t="str">
        <f>VLOOKUP(C2672,'lookup table'!$A$2:$B$19,2,FALSE)</f>
        <v>AY</v>
      </c>
      <c r="E2672" t="str">
        <f t="shared" si="41"/>
        <v>AL062_01|AY</v>
      </c>
    </row>
    <row r="2673" spans="1:5" x14ac:dyDescent="0.2">
      <c r="A2673" t="s">
        <v>915</v>
      </c>
      <c r="B2673" t="s">
        <v>914</v>
      </c>
      <c r="C2673" t="s">
        <v>331</v>
      </c>
      <c r="D2673" t="str">
        <f>VLOOKUP(C2673,'lookup table'!$A$2:$B$19,2,FALSE)</f>
        <v>FS Item</v>
      </c>
      <c r="E2673" t="str">
        <f t="shared" si="41"/>
        <v>AL062_01|FS Item</v>
      </c>
    </row>
    <row r="2674" spans="1:5" x14ac:dyDescent="0.2">
      <c r="A2674" t="s">
        <v>915</v>
      </c>
      <c r="B2674" t="s">
        <v>914</v>
      </c>
      <c r="C2674" t="s">
        <v>423</v>
      </c>
      <c r="D2674" t="str">
        <f>VLOOKUP(C2674,'lookup table'!$A$2:$B$19,2,FALSE)</f>
        <v>ignore</v>
      </c>
      <c r="E2674" t="str">
        <f t="shared" si="41"/>
        <v>AL062_01|ignore</v>
      </c>
    </row>
    <row r="2675" spans="1:5" x14ac:dyDescent="0.2">
      <c r="A2675" t="s">
        <v>915</v>
      </c>
      <c r="B2675" t="s">
        <v>914</v>
      </c>
      <c r="C2675" t="s">
        <v>425</v>
      </c>
      <c r="D2675" t="str">
        <f>VLOOKUP(C2675,'lookup table'!$A$2:$B$19,2,FALSE)</f>
        <v>Investee Segment</v>
      </c>
      <c r="E2675" t="str">
        <f t="shared" si="41"/>
        <v>AL062_01|Investee Segment</v>
      </c>
    </row>
    <row r="2676" spans="1:5" x14ac:dyDescent="0.2">
      <c r="A2676" t="s">
        <v>915</v>
      </c>
      <c r="B2676" t="s">
        <v>914</v>
      </c>
      <c r="C2676" t="s">
        <v>426</v>
      </c>
      <c r="D2676" t="str">
        <f>VLOOKUP(C2676,'lookup table'!$A$2:$B$19,2,FALSE)</f>
        <v>Investee Unit</v>
      </c>
      <c r="E2676" t="str">
        <f t="shared" si="41"/>
        <v>AL062_01|Investee Unit</v>
      </c>
    </row>
    <row r="2677" spans="1:5" x14ac:dyDescent="0.2">
      <c r="A2677" t="s">
        <v>915</v>
      </c>
      <c r="B2677" t="s">
        <v>914</v>
      </c>
      <c r="C2677" t="s">
        <v>428</v>
      </c>
      <c r="D2677" t="str">
        <f>VLOOKUP(C2677,'lookup table'!$A$2:$B$19,2,FALSE)</f>
        <v>LoB</v>
      </c>
      <c r="E2677" t="str">
        <f t="shared" si="41"/>
        <v>AL062_01|LoB</v>
      </c>
    </row>
    <row r="2678" spans="1:5" x14ac:dyDescent="0.2">
      <c r="A2678" t="s">
        <v>915</v>
      </c>
      <c r="B2678" t="s">
        <v>914</v>
      </c>
      <c r="C2678" t="s">
        <v>438</v>
      </c>
      <c r="D2678" t="str">
        <f>VLOOKUP(C2678,'lookup table'!$A$2:$B$19,2,FALSE)</f>
        <v>ToM</v>
      </c>
      <c r="E2678" t="str">
        <f t="shared" si="41"/>
        <v>AL062_01|ToM</v>
      </c>
    </row>
    <row r="2679" spans="1:5" x14ac:dyDescent="0.2">
      <c r="A2679" t="s">
        <v>915</v>
      </c>
      <c r="B2679" t="s">
        <v>914</v>
      </c>
      <c r="C2679" t="s">
        <v>441</v>
      </c>
      <c r="D2679" t="str">
        <f>VLOOKUP(C2679,'lookup table'!$A$2:$B$19,2,FALSE)</f>
        <v>Partner Segment</v>
      </c>
      <c r="E2679" t="str">
        <f t="shared" si="41"/>
        <v>AL062_01|Partner Segment</v>
      </c>
    </row>
    <row r="2680" spans="1:5" x14ac:dyDescent="0.2">
      <c r="A2680" t="s">
        <v>915</v>
      </c>
      <c r="B2680" t="s">
        <v>914</v>
      </c>
      <c r="C2680" t="s">
        <v>442</v>
      </c>
      <c r="D2680" t="str">
        <f>VLOOKUP(C2680,'lookup table'!$A$2:$B$19,2,FALSE)</f>
        <v>Partner Unit</v>
      </c>
      <c r="E2680" t="str">
        <f t="shared" si="41"/>
        <v>AL062_01|Partner Unit</v>
      </c>
    </row>
    <row r="2681" spans="1:5" x14ac:dyDescent="0.2">
      <c r="A2681" t="s">
        <v>916</v>
      </c>
      <c r="B2681" t="s">
        <v>917</v>
      </c>
      <c r="C2681" t="s">
        <v>331</v>
      </c>
      <c r="D2681" t="str">
        <f>VLOOKUP(C2681,'lookup table'!$A$2:$B$19,2,FALSE)</f>
        <v>FS Item</v>
      </c>
      <c r="E2681" t="str">
        <f t="shared" si="41"/>
        <v>AL063_00|FS Item</v>
      </c>
    </row>
    <row r="2682" spans="1:5" x14ac:dyDescent="0.2">
      <c r="A2682" t="s">
        <v>916</v>
      </c>
      <c r="B2682" t="s">
        <v>917</v>
      </c>
      <c r="C2682" t="s">
        <v>423</v>
      </c>
      <c r="D2682" t="str">
        <f>VLOOKUP(C2682,'lookup table'!$A$2:$B$19,2,FALSE)</f>
        <v>ignore</v>
      </c>
      <c r="E2682" t="str">
        <f t="shared" si="41"/>
        <v>AL063_00|ignore</v>
      </c>
    </row>
    <row r="2683" spans="1:5" x14ac:dyDescent="0.2">
      <c r="A2683" t="s">
        <v>916</v>
      </c>
      <c r="B2683" t="s">
        <v>917</v>
      </c>
      <c r="C2683" t="s">
        <v>425</v>
      </c>
      <c r="D2683" t="str">
        <f>VLOOKUP(C2683,'lookup table'!$A$2:$B$19,2,FALSE)</f>
        <v>Investee Segment</v>
      </c>
      <c r="E2683" t="str">
        <f t="shared" si="41"/>
        <v>AL063_00|Investee Segment</v>
      </c>
    </row>
    <row r="2684" spans="1:5" x14ac:dyDescent="0.2">
      <c r="A2684" t="s">
        <v>916</v>
      </c>
      <c r="B2684" t="s">
        <v>917</v>
      </c>
      <c r="C2684" t="s">
        <v>426</v>
      </c>
      <c r="D2684" t="str">
        <f>VLOOKUP(C2684,'lookup table'!$A$2:$B$19,2,FALSE)</f>
        <v>Investee Unit</v>
      </c>
      <c r="E2684" t="str">
        <f t="shared" si="41"/>
        <v>AL063_00|Investee Unit</v>
      </c>
    </row>
    <row r="2685" spans="1:5" x14ac:dyDescent="0.2">
      <c r="A2685" t="s">
        <v>916</v>
      </c>
      <c r="B2685" t="s">
        <v>917</v>
      </c>
      <c r="C2685" t="s">
        <v>438</v>
      </c>
      <c r="D2685" t="str">
        <f>VLOOKUP(C2685,'lookup table'!$A$2:$B$19,2,FALSE)</f>
        <v>ToM</v>
      </c>
      <c r="E2685" t="str">
        <f t="shared" si="41"/>
        <v>AL063_00|ToM</v>
      </c>
    </row>
    <row r="2686" spans="1:5" x14ac:dyDescent="0.2">
      <c r="A2686" t="s">
        <v>916</v>
      </c>
      <c r="B2686" t="s">
        <v>917</v>
      </c>
      <c r="C2686" t="s">
        <v>441</v>
      </c>
      <c r="D2686" t="str">
        <f>VLOOKUP(C2686,'lookup table'!$A$2:$B$19,2,FALSE)</f>
        <v>Partner Segment</v>
      </c>
      <c r="E2686" t="str">
        <f t="shared" si="41"/>
        <v>AL063_00|Partner Segment</v>
      </c>
    </row>
    <row r="2687" spans="1:5" x14ac:dyDescent="0.2">
      <c r="A2687" t="s">
        <v>916</v>
      </c>
      <c r="B2687" t="s">
        <v>917</v>
      </c>
      <c r="C2687" t="s">
        <v>442</v>
      </c>
      <c r="D2687" t="str">
        <f>VLOOKUP(C2687,'lookup table'!$A$2:$B$19,2,FALSE)</f>
        <v>Partner Unit</v>
      </c>
      <c r="E2687" t="str">
        <f t="shared" si="41"/>
        <v>AL063_00|Partner Unit</v>
      </c>
    </row>
    <row r="2688" spans="1:5" x14ac:dyDescent="0.2">
      <c r="A2688" t="s">
        <v>918</v>
      </c>
      <c r="B2688" t="s">
        <v>919</v>
      </c>
      <c r="C2688" t="s">
        <v>20</v>
      </c>
      <c r="D2688" t="str">
        <f>VLOOKUP(C2688,'lookup table'!$A$2:$B$19,2,FALSE)</f>
        <v>AY</v>
      </c>
      <c r="E2688" t="str">
        <f t="shared" si="41"/>
        <v>AL064_00|AY</v>
      </c>
    </row>
    <row r="2689" spans="1:5" x14ac:dyDescent="0.2">
      <c r="A2689" t="s">
        <v>918</v>
      </c>
      <c r="B2689" t="s">
        <v>919</v>
      </c>
      <c r="C2689" t="s">
        <v>136</v>
      </c>
      <c r="D2689" t="str">
        <f>VLOOKUP(C2689,'lookup table'!$A$2:$B$19,2,FALSE)</f>
        <v>BBA Set</v>
      </c>
      <c r="E2689" t="str">
        <f t="shared" si="41"/>
        <v>AL064_00|BBA Set</v>
      </c>
    </row>
    <row r="2690" spans="1:5" x14ac:dyDescent="0.2">
      <c r="A2690" t="s">
        <v>918</v>
      </c>
      <c r="B2690" t="s">
        <v>919</v>
      </c>
      <c r="C2690" t="s">
        <v>331</v>
      </c>
      <c r="D2690" t="str">
        <f>VLOOKUP(C2690,'lookup table'!$A$2:$B$19,2,FALSE)</f>
        <v>FS Item</v>
      </c>
      <c r="E2690" t="str">
        <f t="shared" si="41"/>
        <v>AL064_00|FS Item</v>
      </c>
    </row>
    <row r="2691" spans="1:5" x14ac:dyDescent="0.2">
      <c r="A2691" t="s">
        <v>918</v>
      </c>
      <c r="B2691" t="s">
        <v>919</v>
      </c>
      <c r="C2691" t="s">
        <v>423</v>
      </c>
      <c r="D2691" t="str">
        <f>VLOOKUP(C2691,'lookup table'!$A$2:$B$19,2,FALSE)</f>
        <v>ignore</v>
      </c>
      <c r="E2691" t="str">
        <f t="shared" ref="E2691:E2754" si="42">IF(ISNA(D2691),"",IF(A2691="","",A2691) &amp; "|" &amp; D2691)</f>
        <v>AL064_00|ignore</v>
      </c>
    </row>
    <row r="2692" spans="1:5" x14ac:dyDescent="0.2">
      <c r="A2692" t="s">
        <v>918</v>
      </c>
      <c r="B2692" t="s">
        <v>919</v>
      </c>
      <c r="C2692" t="s">
        <v>428</v>
      </c>
      <c r="D2692" t="str">
        <f>VLOOKUP(C2692,'lookup table'!$A$2:$B$19,2,FALSE)</f>
        <v>LoB</v>
      </c>
      <c r="E2692" t="str">
        <f t="shared" si="42"/>
        <v>AL064_00|LoB</v>
      </c>
    </row>
    <row r="2693" spans="1:5" x14ac:dyDescent="0.2">
      <c r="A2693" t="s">
        <v>918</v>
      </c>
      <c r="B2693" t="s">
        <v>919</v>
      </c>
      <c r="C2693" t="s">
        <v>438</v>
      </c>
      <c r="D2693" t="str">
        <f>VLOOKUP(C2693,'lookup table'!$A$2:$B$19,2,FALSE)</f>
        <v>ToM</v>
      </c>
      <c r="E2693" t="str">
        <f t="shared" si="42"/>
        <v>AL064_00|ToM</v>
      </c>
    </row>
    <row r="2694" spans="1:5" x14ac:dyDescent="0.2">
      <c r="A2694" t="s">
        <v>918</v>
      </c>
      <c r="B2694" t="s">
        <v>919</v>
      </c>
      <c r="C2694" t="s">
        <v>442</v>
      </c>
      <c r="D2694" t="str">
        <f>VLOOKUP(C2694,'lookup table'!$A$2:$B$19,2,FALSE)</f>
        <v>Partner Unit</v>
      </c>
      <c r="E2694" t="str">
        <f t="shared" si="42"/>
        <v>AL064_00|Partner Unit</v>
      </c>
    </row>
    <row r="2695" spans="1:5" x14ac:dyDescent="0.2">
      <c r="A2695" t="s">
        <v>920</v>
      </c>
      <c r="B2695" t="s">
        <v>921</v>
      </c>
      <c r="C2695" t="s">
        <v>20</v>
      </c>
      <c r="D2695" t="str">
        <f>VLOOKUP(C2695,'lookup table'!$A$2:$B$19,2,FALSE)</f>
        <v>AY</v>
      </c>
      <c r="E2695" t="str">
        <f t="shared" si="42"/>
        <v>AL064_01|AY</v>
      </c>
    </row>
    <row r="2696" spans="1:5" x14ac:dyDescent="0.2">
      <c r="A2696" t="s">
        <v>920</v>
      </c>
      <c r="B2696" t="s">
        <v>921</v>
      </c>
      <c r="C2696" t="s">
        <v>331</v>
      </c>
      <c r="D2696" t="str">
        <f>VLOOKUP(C2696,'lookup table'!$A$2:$B$19,2,FALSE)</f>
        <v>FS Item</v>
      </c>
      <c r="E2696" t="str">
        <f t="shared" si="42"/>
        <v>AL064_01|FS Item</v>
      </c>
    </row>
    <row r="2697" spans="1:5" x14ac:dyDescent="0.2">
      <c r="A2697" t="s">
        <v>920</v>
      </c>
      <c r="B2697" t="s">
        <v>921</v>
      </c>
      <c r="C2697" t="s">
        <v>423</v>
      </c>
      <c r="D2697" t="str">
        <f>VLOOKUP(C2697,'lookup table'!$A$2:$B$19,2,FALSE)</f>
        <v>ignore</v>
      </c>
      <c r="E2697" t="str">
        <f t="shared" si="42"/>
        <v>AL064_01|ignore</v>
      </c>
    </row>
    <row r="2698" spans="1:5" x14ac:dyDescent="0.2">
      <c r="A2698" t="s">
        <v>920</v>
      </c>
      <c r="B2698" t="s">
        <v>921</v>
      </c>
      <c r="C2698" t="s">
        <v>428</v>
      </c>
      <c r="D2698" t="str">
        <f>VLOOKUP(C2698,'lookup table'!$A$2:$B$19,2,FALSE)</f>
        <v>LoB</v>
      </c>
      <c r="E2698" t="str">
        <f t="shared" si="42"/>
        <v>AL064_01|LoB</v>
      </c>
    </row>
    <row r="2699" spans="1:5" x14ac:dyDescent="0.2">
      <c r="A2699" t="s">
        <v>920</v>
      </c>
      <c r="B2699" t="s">
        <v>921</v>
      </c>
      <c r="C2699" t="s">
        <v>438</v>
      </c>
      <c r="D2699" t="str">
        <f>VLOOKUP(C2699,'lookup table'!$A$2:$B$19,2,FALSE)</f>
        <v>ToM</v>
      </c>
      <c r="E2699" t="str">
        <f t="shared" si="42"/>
        <v>AL064_01|ToM</v>
      </c>
    </row>
    <row r="2700" spans="1:5" x14ac:dyDescent="0.2">
      <c r="A2700" t="s">
        <v>920</v>
      </c>
      <c r="B2700" t="s">
        <v>921</v>
      </c>
      <c r="C2700" t="s">
        <v>442</v>
      </c>
      <c r="D2700" t="str">
        <f>VLOOKUP(C2700,'lookup table'!$A$2:$B$19,2,FALSE)</f>
        <v>Partner Unit</v>
      </c>
      <c r="E2700" t="str">
        <f t="shared" si="42"/>
        <v>AL064_01|Partner Unit</v>
      </c>
    </row>
    <row r="2701" spans="1:5" x14ac:dyDescent="0.2">
      <c r="A2701" t="s">
        <v>922</v>
      </c>
      <c r="B2701" t="s">
        <v>923</v>
      </c>
      <c r="C2701" t="s">
        <v>20</v>
      </c>
      <c r="D2701" t="str">
        <f>VLOOKUP(C2701,'lookup table'!$A$2:$B$19,2,FALSE)</f>
        <v>AY</v>
      </c>
      <c r="E2701" t="str">
        <f t="shared" si="42"/>
        <v>AL064_14|AY</v>
      </c>
    </row>
    <row r="2702" spans="1:5" x14ac:dyDescent="0.2">
      <c r="A2702" t="s">
        <v>922</v>
      </c>
      <c r="B2702" t="s">
        <v>923</v>
      </c>
      <c r="C2702" t="s">
        <v>136</v>
      </c>
      <c r="D2702" t="str">
        <f>VLOOKUP(C2702,'lookup table'!$A$2:$B$19,2,FALSE)</f>
        <v>BBA Set</v>
      </c>
      <c r="E2702" t="str">
        <f t="shared" si="42"/>
        <v>AL064_14|BBA Set</v>
      </c>
    </row>
    <row r="2703" spans="1:5" x14ac:dyDescent="0.2">
      <c r="A2703" t="s">
        <v>922</v>
      </c>
      <c r="B2703" t="s">
        <v>923</v>
      </c>
      <c r="C2703" t="s">
        <v>331</v>
      </c>
      <c r="D2703" t="str">
        <f>VLOOKUP(C2703,'lookup table'!$A$2:$B$19,2,FALSE)</f>
        <v>FS Item</v>
      </c>
      <c r="E2703" t="str">
        <f t="shared" si="42"/>
        <v>AL064_14|FS Item</v>
      </c>
    </row>
    <row r="2704" spans="1:5" x14ac:dyDescent="0.2">
      <c r="A2704" t="s">
        <v>922</v>
      </c>
      <c r="B2704" t="s">
        <v>923</v>
      </c>
      <c r="C2704" t="s">
        <v>423</v>
      </c>
      <c r="D2704" t="str">
        <f>VLOOKUP(C2704,'lookup table'!$A$2:$B$19,2,FALSE)</f>
        <v>ignore</v>
      </c>
      <c r="E2704" t="str">
        <f t="shared" si="42"/>
        <v>AL064_14|ignore</v>
      </c>
    </row>
    <row r="2705" spans="1:5" x14ac:dyDescent="0.2">
      <c r="A2705" t="s">
        <v>922</v>
      </c>
      <c r="B2705" t="s">
        <v>923</v>
      </c>
      <c r="C2705" t="s">
        <v>428</v>
      </c>
      <c r="D2705" t="str">
        <f>VLOOKUP(C2705,'lookup table'!$A$2:$B$19,2,FALSE)</f>
        <v>LoB</v>
      </c>
      <c r="E2705" t="str">
        <f t="shared" si="42"/>
        <v>AL064_14|LoB</v>
      </c>
    </row>
    <row r="2706" spans="1:5" x14ac:dyDescent="0.2">
      <c r="A2706" t="s">
        <v>922</v>
      </c>
      <c r="B2706" t="s">
        <v>923</v>
      </c>
      <c r="C2706" t="s">
        <v>438</v>
      </c>
      <c r="D2706" t="str">
        <f>VLOOKUP(C2706,'lookup table'!$A$2:$B$19,2,FALSE)</f>
        <v>ToM</v>
      </c>
      <c r="E2706" t="str">
        <f t="shared" si="42"/>
        <v>AL064_14|ToM</v>
      </c>
    </row>
    <row r="2707" spans="1:5" x14ac:dyDescent="0.2">
      <c r="A2707" t="s">
        <v>922</v>
      </c>
      <c r="B2707" t="s">
        <v>923</v>
      </c>
      <c r="C2707" t="s">
        <v>442</v>
      </c>
      <c r="D2707" t="str">
        <f>VLOOKUP(C2707,'lookup table'!$A$2:$B$19,2,FALSE)</f>
        <v>Partner Unit</v>
      </c>
      <c r="E2707" t="str">
        <f t="shared" si="42"/>
        <v>AL064_14|Partner Unit</v>
      </c>
    </row>
    <row r="2708" spans="1:5" x14ac:dyDescent="0.2">
      <c r="A2708" t="s">
        <v>924</v>
      </c>
      <c r="B2708" t="s">
        <v>925</v>
      </c>
      <c r="C2708" t="s">
        <v>20</v>
      </c>
      <c r="D2708" t="str">
        <f>VLOOKUP(C2708,'lookup table'!$A$2:$B$19,2,FALSE)</f>
        <v>AY</v>
      </c>
      <c r="E2708" t="str">
        <f t="shared" si="42"/>
        <v>AL064_Q1|AY</v>
      </c>
    </row>
    <row r="2709" spans="1:5" x14ac:dyDescent="0.2">
      <c r="A2709" t="s">
        <v>924</v>
      </c>
      <c r="B2709" t="s">
        <v>925</v>
      </c>
      <c r="C2709" t="s">
        <v>136</v>
      </c>
      <c r="D2709" t="str">
        <f>VLOOKUP(C2709,'lookup table'!$A$2:$B$19,2,FALSE)</f>
        <v>BBA Set</v>
      </c>
      <c r="E2709" t="str">
        <f t="shared" si="42"/>
        <v>AL064_Q1|BBA Set</v>
      </c>
    </row>
    <row r="2710" spans="1:5" x14ac:dyDescent="0.2">
      <c r="A2710" t="s">
        <v>924</v>
      </c>
      <c r="B2710" t="s">
        <v>925</v>
      </c>
      <c r="C2710" t="s">
        <v>331</v>
      </c>
      <c r="D2710" t="str">
        <f>VLOOKUP(C2710,'lookup table'!$A$2:$B$19,2,FALSE)</f>
        <v>FS Item</v>
      </c>
      <c r="E2710" t="str">
        <f t="shared" si="42"/>
        <v>AL064_Q1|FS Item</v>
      </c>
    </row>
    <row r="2711" spans="1:5" x14ac:dyDescent="0.2">
      <c r="A2711" t="s">
        <v>924</v>
      </c>
      <c r="B2711" t="s">
        <v>925</v>
      </c>
      <c r="C2711" t="s">
        <v>423</v>
      </c>
      <c r="D2711" t="str">
        <f>VLOOKUP(C2711,'lookup table'!$A$2:$B$19,2,FALSE)</f>
        <v>ignore</v>
      </c>
      <c r="E2711" t="str">
        <f t="shared" si="42"/>
        <v>AL064_Q1|ignore</v>
      </c>
    </row>
    <row r="2712" spans="1:5" x14ac:dyDescent="0.2">
      <c r="A2712" t="s">
        <v>924</v>
      </c>
      <c r="B2712" t="s">
        <v>925</v>
      </c>
      <c r="C2712" t="s">
        <v>428</v>
      </c>
      <c r="D2712" t="str">
        <f>VLOOKUP(C2712,'lookup table'!$A$2:$B$19,2,FALSE)</f>
        <v>LoB</v>
      </c>
      <c r="E2712" t="str">
        <f t="shared" si="42"/>
        <v>AL064_Q1|LoB</v>
      </c>
    </row>
    <row r="2713" spans="1:5" x14ac:dyDescent="0.2">
      <c r="A2713" t="s">
        <v>924</v>
      </c>
      <c r="B2713" t="s">
        <v>925</v>
      </c>
      <c r="C2713" t="s">
        <v>438</v>
      </c>
      <c r="D2713" t="str">
        <f>VLOOKUP(C2713,'lookup table'!$A$2:$B$19,2,FALSE)</f>
        <v>ToM</v>
      </c>
      <c r="E2713" t="str">
        <f t="shared" si="42"/>
        <v>AL064_Q1|ToM</v>
      </c>
    </row>
    <row r="2714" spans="1:5" x14ac:dyDescent="0.2">
      <c r="A2714" t="s">
        <v>924</v>
      </c>
      <c r="B2714" t="s">
        <v>925</v>
      </c>
      <c r="C2714" t="s">
        <v>442</v>
      </c>
      <c r="D2714" t="str">
        <f>VLOOKUP(C2714,'lookup table'!$A$2:$B$19,2,FALSE)</f>
        <v>Partner Unit</v>
      </c>
      <c r="E2714" t="str">
        <f t="shared" si="42"/>
        <v>AL064_Q1|Partner Unit</v>
      </c>
    </row>
    <row r="2715" spans="1:5" x14ac:dyDescent="0.2">
      <c r="A2715" t="s">
        <v>926</v>
      </c>
      <c r="B2715" t="s">
        <v>927</v>
      </c>
      <c r="C2715" t="s">
        <v>20</v>
      </c>
      <c r="D2715" t="str">
        <f>VLOOKUP(C2715,'lookup table'!$A$2:$B$19,2,FALSE)</f>
        <v>AY</v>
      </c>
      <c r="E2715" t="str">
        <f t="shared" si="42"/>
        <v>AL065_00|AY</v>
      </c>
    </row>
    <row r="2716" spans="1:5" x14ac:dyDescent="0.2">
      <c r="A2716" t="s">
        <v>926</v>
      </c>
      <c r="B2716" t="s">
        <v>927</v>
      </c>
      <c r="C2716" t="s">
        <v>331</v>
      </c>
      <c r="D2716" t="str">
        <f>VLOOKUP(C2716,'lookup table'!$A$2:$B$19,2,FALSE)</f>
        <v>FS Item</v>
      </c>
      <c r="E2716" t="str">
        <f t="shared" si="42"/>
        <v>AL065_00|FS Item</v>
      </c>
    </row>
    <row r="2717" spans="1:5" x14ac:dyDescent="0.2">
      <c r="A2717" t="s">
        <v>926</v>
      </c>
      <c r="B2717" t="s">
        <v>927</v>
      </c>
      <c r="C2717" t="s">
        <v>423</v>
      </c>
      <c r="D2717" t="str">
        <f>VLOOKUP(C2717,'lookup table'!$A$2:$B$19,2,FALSE)</f>
        <v>ignore</v>
      </c>
      <c r="E2717" t="str">
        <f t="shared" si="42"/>
        <v>AL065_00|ignore</v>
      </c>
    </row>
    <row r="2718" spans="1:5" x14ac:dyDescent="0.2">
      <c r="A2718" t="s">
        <v>926</v>
      </c>
      <c r="B2718" t="s">
        <v>927</v>
      </c>
      <c r="C2718" t="s">
        <v>428</v>
      </c>
      <c r="D2718" t="str">
        <f>VLOOKUP(C2718,'lookup table'!$A$2:$B$19,2,FALSE)</f>
        <v>LoB</v>
      </c>
      <c r="E2718" t="str">
        <f t="shared" si="42"/>
        <v>AL065_00|LoB</v>
      </c>
    </row>
    <row r="2719" spans="1:5" x14ac:dyDescent="0.2">
      <c r="A2719" t="s">
        <v>926</v>
      </c>
      <c r="B2719" t="s">
        <v>927</v>
      </c>
      <c r="C2719" t="s">
        <v>438</v>
      </c>
      <c r="D2719" t="str">
        <f>VLOOKUP(C2719,'lookup table'!$A$2:$B$19,2,FALSE)</f>
        <v>ToM</v>
      </c>
      <c r="E2719" t="str">
        <f t="shared" si="42"/>
        <v>AL065_00|ToM</v>
      </c>
    </row>
    <row r="2720" spans="1:5" x14ac:dyDescent="0.2">
      <c r="A2720" t="s">
        <v>926</v>
      </c>
      <c r="B2720" t="s">
        <v>927</v>
      </c>
      <c r="C2720" t="s">
        <v>442</v>
      </c>
      <c r="D2720" t="str">
        <f>VLOOKUP(C2720,'lookup table'!$A$2:$B$19,2,FALSE)</f>
        <v>Partner Unit</v>
      </c>
      <c r="E2720" t="str">
        <f t="shared" si="42"/>
        <v>AL065_00|Partner Unit</v>
      </c>
    </row>
    <row r="2721" spans="1:5" x14ac:dyDescent="0.2">
      <c r="A2721" t="s">
        <v>928</v>
      </c>
      <c r="B2721" t="s">
        <v>929</v>
      </c>
      <c r="C2721" t="s">
        <v>20</v>
      </c>
      <c r="D2721" t="str">
        <f>VLOOKUP(C2721,'lookup table'!$A$2:$B$19,2,FALSE)</f>
        <v>AY</v>
      </c>
      <c r="E2721" t="str">
        <f t="shared" si="42"/>
        <v>AL065_17|AY</v>
      </c>
    </row>
    <row r="2722" spans="1:5" x14ac:dyDescent="0.2">
      <c r="A2722" t="s">
        <v>928</v>
      </c>
      <c r="B2722" t="s">
        <v>929</v>
      </c>
      <c r="C2722" t="s">
        <v>136</v>
      </c>
      <c r="D2722" t="str">
        <f>VLOOKUP(C2722,'lookup table'!$A$2:$B$19,2,FALSE)</f>
        <v>BBA Set</v>
      </c>
      <c r="E2722" t="str">
        <f t="shared" si="42"/>
        <v>AL065_17|BBA Set</v>
      </c>
    </row>
    <row r="2723" spans="1:5" x14ac:dyDescent="0.2">
      <c r="A2723" t="s">
        <v>928</v>
      </c>
      <c r="B2723" t="s">
        <v>929</v>
      </c>
      <c r="C2723" t="s">
        <v>331</v>
      </c>
      <c r="D2723" t="str">
        <f>VLOOKUP(C2723,'lookup table'!$A$2:$B$19,2,FALSE)</f>
        <v>FS Item</v>
      </c>
      <c r="E2723" t="str">
        <f t="shared" si="42"/>
        <v>AL065_17|FS Item</v>
      </c>
    </row>
    <row r="2724" spans="1:5" x14ac:dyDescent="0.2">
      <c r="A2724" t="s">
        <v>928</v>
      </c>
      <c r="B2724" t="s">
        <v>929</v>
      </c>
      <c r="C2724" t="s">
        <v>423</v>
      </c>
      <c r="D2724" t="str">
        <f>VLOOKUP(C2724,'lookup table'!$A$2:$B$19,2,FALSE)</f>
        <v>ignore</v>
      </c>
      <c r="E2724" t="str">
        <f t="shared" si="42"/>
        <v>AL065_17|ignore</v>
      </c>
    </row>
    <row r="2725" spans="1:5" x14ac:dyDescent="0.2">
      <c r="A2725" t="s">
        <v>928</v>
      </c>
      <c r="B2725" t="s">
        <v>929</v>
      </c>
      <c r="C2725" t="s">
        <v>428</v>
      </c>
      <c r="D2725" t="str">
        <f>VLOOKUP(C2725,'lookup table'!$A$2:$B$19,2,FALSE)</f>
        <v>LoB</v>
      </c>
      <c r="E2725" t="str">
        <f t="shared" si="42"/>
        <v>AL065_17|LoB</v>
      </c>
    </row>
    <row r="2726" spans="1:5" x14ac:dyDescent="0.2">
      <c r="A2726" t="s">
        <v>928</v>
      </c>
      <c r="B2726" t="s">
        <v>929</v>
      </c>
      <c r="C2726" t="s">
        <v>438</v>
      </c>
      <c r="D2726" t="str">
        <f>VLOOKUP(C2726,'lookup table'!$A$2:$B$19,2,FALSE)</f>
        <v>ToM</v>
      </c>
      <c r="E2726" t="str">
        <f t="shared" si="42"/>
        <v>AL065_17|ToM</v>
      </c>
    </row>
    <row r="2727" spans="1:5" x14ac:dyDescent="0.2">
      <c r="A2727" t="s">
        <v>928</v>
      </c>
      <c r="B2727" t="s">
        <v>929</v>
      </c>
      <c r="C2727" t="s">
        <v>442</v>
      </c>
      <c r="D2727" t="str">
        <f>VLOOKUP(C2727,'lookup table'!$A$2:$B$19,2,FALSE)</f>
        <v>Partner Unit</v>
      </c>
      <c r="E2727" t="str">
        <f t="shared" si="42"/>
        <v>AL065_17|Partner Unit</v>
      </c>
    </row>
    <row r="2728" spans="1:5" x14ac:dyDescent="0.2">
      <c r="A2728" t="s">
        <v>930</v>
      </c>
      <c r="B2728" t="s">
        <v>931</v>
      </c>
      <c r="C2728" t="s">
        <v>20</v>
      </c>
      <c r="D2728" t="str">
        <f>VLOOKUP(C2728,'lookup table'!$A$2:$B$19,2,FALSE)</f>
        <v>AY</v>
      </c>
      <c r="E2728" t="str">
        <f t="shared" si="42"/>
        <v>AL066_00|AY</v>
      </c>
    </row>
    <row r="2729" spans="1:5" x14ac:dyDescent="0.2">
      <c r="A2729" t="s">
        <v>930</v>
      </c>
      <c r="B2729" t="s">
        <v>931</v>
      </c>
      <c r="C2729" t="s">
        <v>331</v>
      </c>
      <c r="D2729" t="str">
        <f>VLOOKUP(C2729,'lookup table'!$A$2:$B$19,2,FALSE)</f>
        <v>FS Item</v>
      </c>
      <c r="E2729" t="str">
        <f t="shared" si="42"/>
        <v>AL066_00|FS Item</v>
      </c>
    </row>
    <row r="2730" spans="1:5" x14ac:dyDescent="0.2">
      <c r="A2730" t="s">
        <v>930</v>
      </c>
      <c r="B2730" t="s">
        <v>931</v>
      </c>
      <c r="C2730" t="s">
        <v>423</v>
      </c>
      <c r="D2730" t="str">
        <f>VLOOKUP(C2730,'lookup table'!$A$2:$B$19,2,FALSE)</f>
        <v>ignore</v>
      </c>
      <c r="E2730" t="str">
        <f t="shared" si="42"/>
        <v>AL066_00|ignore</v>
      </c>
    </row>
    <row r="2731" spans="1:5" x14ac:dyDescent="0.2">
      <c r="A2731" t="s">
        <v>930</v>
      </c>
      <c r="B2731" t="s">
        <v>931</v>
      </c>
      <c r="C2731" t="s">
        <v>428</v>
      </c>
      <c r="D2731" t="str">
        <f>VLOOKUP(C2731,'lookup table'!$A$2:$B$19,2,FALSE)</f>
        <v>LoB</v>
      </c>
      <c r="E2731" t="str">
        <f t="shared" si="42"/>
        <v>AL066_00|LoB</v>
      </c>
    </row>
    <row r="2732" spans="1:5" x14ac:dyDescent="0.2">
      <c r="A2732" t="s">
        <v>930</v>
      </c>
      <c r="B2732" t="s">
        <v>931</v>
      </c>
      <c r="C2732" t="s">
        <v>442</v>
      </c>
      <c r="D2732" t="str">
        <f>VLOOKUP(C2732,'lookup table'!$A$2:$B$19,2,FALSE)</f>
        <v>Partner Unit</v>
      </c>
      <c r="E2732" t="str">
        <f t="shared" si="42"/>
        <v>AL066_00|Partner Unit</v>
      </c>
    </row>
    <row r="2733" spans="1:5" x14ac:dyDescent="0.2">
      <c r="A2733" t="s">
        <v>932</v>
      </c>
      <c r="B2733" t="s">
        <v>933</v>
      </c>
      <c r="C2733" t="s">
        <v>20</v>
      </c>
      <c r="D2733" t="str">
        <f>VLOOKUP(C2733,'lookup table'!$A$2:$B$19,2,FALSE)</f>
        <v>AY</v>
      </c>
      <c r="E2733" t="str">
        <f t="shared" si="42"/>
        <v>AL067_00|AY</v>
      </c>
    </row>
    <row r="2734" spans="1:5" x14ac:dyDescent="0.2">
      <c r="A2734" t="s">
        <v>932</v>
      </c>
      <c r="B2734" t="s">
        <v>933</v>
      </c>
      <c r="C2734" t="s">
        <v>331</v>
      </c>
      <c r="D2734" t="str">
        <f>VLOOKUP(C2734,'lookup table'!$A$2:$B$19,2,FALSE)</f>
        <v>FS Item</v>
      </c>
      <c r="E2734" t="str">
        <f t="shared" si="42"/>
        <v>AL067_00|FS Item</v>
      </c>
    </row>
    <row r="2735" spans="1:5" x14ac:dyDescent="0.2">
      <c r="A2735" t="s">
        <v>932</v>
      </c>
      <c r="B2735" t="s">
        <v>933</v>
      </c>
      <c r="C2735" t="s">
        <v>423</v>
      </c>
      <c r="D2735" t="str">
        <f>VLOOKUP(C2735,'lookup table'!$A$2:$B$19,2,FALSE)</f>
        <v>ignore</v>
      </c>
      <c r="E2735" t="str">
        <f t="shared" si="42"/>
        <v>AL067_00|ignore</v>
      </c>
    </row>
    <row r="2736" spans="1:5" x14ac:dyDescent="0.2">
      <c r="A2736" t="s">
        <v>932</v>
      </c>
      <c r="B2736" t="s">
        <v>933</v>
      </c>
      <c r="C2736" t="s">
        <v>428</v>
      </c>
      <c r="D2736" t="str">
        <f>VLOOKUP(C2736,'lookup table'!$A$2:$B$19,2,FALSE)</f>
        <v>LoB</v>
      </c>
      <c r="E2736" t="str">
        <f t="shared" si="42"/>
        <v>AL067_00|LoB</v>
      </c>
    </row>
    <row r="2737" spans="1:5" x14ac:dyDescent="0.2">
      <c r="A2737" t="s">
        <v>932</v>
      </c>
      <c r="B2737" t="s">
        <v>933</v>
      </c>
      <c r="C2737" t="s">
        <v>438</v>
      </c>
      <c r="D2737" t="str">
        <f>VLOOKUP(C2737,'lookup table'!$A$2:$B$19,2,FALSE)</f>
        <v>ToM</v>
      </c>
      <c r="E2737" t="str">
        <f t="shared" si="42"/>
        <v>AL067_00|ToM</v>
      </c>
    </row>
    <row r="2738" spans="1:5" x14ac:dyDescent="0.2">
      <c r="A2738" t="s">
        <v>932</v>
      </c>
      <c r="B2738" t="s">
        <v>933</v>
      </c>
      <c r="C2738" t="s">
        <v>442</v>
      </c>
      <c r="D2738" t="str">
        <f>VLOOKUP(C2738,'lookup table'!$A$2:$B$19,2,FALSE)</f>
        <v>Partner Unit</v>
      </c>
      <c r="E2738" t="str">
        <f t="shared" si="42"/>
        <v>AL067_00|Partner Unit</v>
      </c>
    </row>
    <row r="2739" spans="1:5" x14ac:dyDescent="0.2">
      <c r="A2739" t="s">
        <v>934</v>
      </c>
      <c r="B2739" t="s">
        <v>13</v>
      </c>
      <c r="C2739" t="s">
        <v>14</v>
      </c>
      <c r="D2739" t="str">
        <f>VLOOKUP(C2739,'lookup table'!$A$2:$B$19,2,FALSE)</f>
        <v>ALC</v>
      </c>
      <c r="E2739" t="str">
        <f t="shared" si="42"/>
        <v>AL068_00|ALC</v>
      </c>
    </row>
    <row r="2740" spans="1:5" x14ac:dyDescent="0.2">
      <c r="A2740" t="s">
        <v>934</v>
      </c>
      <c r="B2740" t="s">
        <v>13</v>
      </c>
      <c r="C2740" t="s">
        <v>20</v>
      </c>
      <c r="D2740" t="str">
        <f>VLOOKUP(C2740,'lookup table'!$A$2:$B$19,2,FALSE)</f>
        <v>AY</v>
      </c>
      <c r="E2740" t="str">
        <f t="shared" si="42"/>
        <v>AL068_00|AY</v>
      </c>
    </row>
    <row r="2741" spans="1:5" x14ac:dyDescent="0.2">
      <c r="A2741" t="s">
        <v>934</v>
      </c>
      <c r="B2741" t="s">
        <v>13</v>
      </c>
      <c r="C2741" t="s">
        <v>136</v>
      </c>
      <c r="D2741" t="str">
        <f>VLOOKUP(C2741,'lookup table'!$A$2:$B$19,2,FALSE)</f>
        <v>BBA Set</v>
      </c>
      <c r="E2741" t="str">
        <f t="shared" si="42"/>
        <v>AL068_00|BBA Set</v>
      </c>
    </row>
    <row r="2742" spans="1:5" x14ac:dyDescent="0.2">
      <c r="A2742" t="s">
        <v>934</v>
      </c>
      <c r="B2742" t="s">
        <v>13</v>
      </c>
      <c r="C2742" t="s">
        <v>331</v>
      </c>
      <c r="D2742" t="str">
        <f>VLOOKUP(C2742,'lookup table'!$A$2:$B$19,2,FALSE)</f>
        <v>FS Item</v>
      </c>
      <c r="E2742" t="str">
        <f t="shared" si="42"/>
        <v>AL068_00|FS Item</v>
      </c>
    </row>
    <row r="2743" spans="1:5" x14ac:dyDescent="0.2">
      <c r="A2743" t="s">
        <v>934</v>
      </c>
      <c r="B2743" t="s">
        <v>13</v>
      </c>
      <c r="C2743" t="s">
        <v>423</v>
      </c>
      <c r="D2743" t="str">
        <f>VLOOKUP(C2743,'lookup table'!$A$2:$B$19,2,FALSE)</f>
        <v>ignore</v>
      </c>
      <c r="E2743" t="str">
        <f t="shared" si="42"/>
        <v>AL068_00|ignore</v>
      </c>
    </row>
    <row r="2744" spans="1:5" x14ac:dyDescent="0.2">
      <c r="A2744" t="s">
        <v>934</v>
      </c>
      <c r="B2744" t="s">
        <v>13</v>
      </c>
      <c r="C2744" t="s">
        <v>424</v>
      </c>
      <c r="D2744" t="str">
        <f>VLOOKUP(C2744,'lookup table'!$A$2:$B$19,2,FALSE)</f>
        <v>GRC</v>
      </c>
      <c r="E2744" t="str">
        <f t="shared" si="42"/>
        <v>AL068_00|GRC</v>
      </c>
    </row>
    <row r="2745" spans="1:5" x14ac:dyDescent="0.2">
      <c r="A2745" t="s">
        <v>934</v>
      </c>
      <c r="B2745" t="s">
        <v>13</v>
      </c>
      <c r="C2745" t="s">
        <v>428</v>
      </c>
      <c r="D2745" t="str">
        <f>VLOOKUP(C2745,'lookup table'!$A$2:$B$19,2,FALSE)</f>
        <v>LoB</v>
      </c>
      <c r="E2745" t="str">
        <f t="shared" si="42"/>
        <v>AL068_00|LoB</v>
      </c>
    </row>
    <row r="2746" spans="1:5" x14ac:dyDescent="0.2">
      <c r="A2746" t="s">
        <v>934</v>
      </c>
      <c r="B2746" t="s">
        <v>13</v>
      </c>
      <c r="C2746" t="s">
        <v>436</v>
      </c>
      <c r="D2746" t="str">
        <f>VLOOKUP(C2746,'lookup table'!$A$2:$B$19,2,FALSE)</f>
        <v>MAT</v>
      </c>
      <c r="E2746" t="str">
        <f t="shared" si="42"/>
        <v>AL068_00|MAT</v>
      </c>
    </row>
    <row r="2747" spans="1:5" x14ac:dyDescent="0.2">
      <c r="A2747" t="s">
        <v>934</v>
      </c>
      <c r="B2747" t="s">
        <v>13</v>
      </c>
      <c r="C2747" t="s">
        <v>438</v>
      </c>
      <c r="D2747" t="str">
        <f>VLOOKUP(C2747,'lookup table'!$A$2:$B$19,2,FALSE)</f>
        <v>ToM</v>
      </c>
      <c r="E2747" t="str">
        <f t="shared" si="42"/>
        <v>AL068_00|ToM</v>
      </c>
    </row>
    <row r="2748" spans="1:5" x14ac:dyDescent="0.2">
      <c r="A2748" t="s">
        <v>934</v>
      </c>
      <c r="B2748" t="s">
        <v>13</v>
      </c>
      <c r="C2748" t="s">
        <v>441</v>
      </c>
      <c r="D2748" t="str">
        <f>VLOOKUP(C2748,'lookup table'!$A$2:$B$19,2,FALSE)</f>
        <v>Partner Segment</v>
      </c>
      <c r="E2748" t="str">
        <f t="shared" si="42"/>
        <v>AL068_00|Partner Segment</v>
      </c>
    </row>
    <row r="2749" spans="1:5" x14ac:dyDescent="0.2">
      <c r="A2749" t="s">
        <v>934</v>
      </c>
      <c r="B2749" t="s">
        <v>13</v>
      </c>
      <c r="C2749" t="s">
        <v>442</v>
      </c>
      <c r="D2749" t="str">
        <f>VLOOKUP(C2749,'lookup table'!$A$2:$B$19,2,FALSE)</f>
        <v>Partner Unit</v>
      </c>
      <c r="E2749" t="str">
        <f t="shared" si="42"/>
        <v>AL068_00|Partner Unit</v>
      </c>
    </row>
    <row r="2750" spans="1:5" x14ac:dyDescent="0.2">
      <c r="A2750" t="s">
        <v>934</v>
      </c>
      <c r="B2750" t="s">
        <v>13</v>
      </c>
      <c r="C2750" t="s">
        <v>447</v>
      </c>
      <c r="D2750" t="str">
        <f>VLOOKUP(C2750,'lookup table'!$A$2:$B$19,2,FALSE)</f>
        <v>REX</v>
      </c>
      <c r="E2750" t="str">
        <f t="shared" si="42"/>
        <v>AL068_00|REX</v>
      </c>
    </row>
    <row r="2751" spans="1:5" x14ac:dyDescent="0.2">
      <c r="A2751" t="s">
        <v>934</v>
      </c>
      <c r="B2751" t="s">
        <v>13</v>
      </c>
      <c r="C2751" t="s">
        <v>457</v>
      </c>
      <c r="D2751" t="str">
        <f>VLOOKUP(C2751,'lookup table'!$A$2:$B$19,2,FALSE)</f>
        <v>VLT</v>
      </c>
      <c r="E2751" t="str">
        <f t="shared" si="42"/>
        <v>AL068_00|VLT</v>
      </c>
    </row>
    <row r="2752" spans="1:5" x14ac:dyDescent="0.2">
      <c r="A2752" t="s">
        <v>934</v>
      </c>
      <c r="B2752" t="s">
        <v>13</v>
      </c>
      <c r="C2752" t="s">
        <v>458</v>
      </c>
      <c r="D2752" t="str">
        <f>VLOOKUP(C2752,'lookup table'!$A$2:$B$19,2,FALSE)</f>
        <v>VAR</v>
      </c>
      <c r="E2752" t="str">
        <f t="shared" si="42"/>
        <v>AL068_00|VAR</v>
      </c>
    </row>
    <row r="2753" spans="1:5" x14ac:dyDescent="0.2">
      <c r="A2753" t="s">
        <v>935</v>
      </c>
      <c r="B2753" t="s">
        <v>936</v>
      </c>
      <c r="C2753" t="s">
        <v>14</v>
      </c>
      <c r="D2753" t="str">
        <f>VLOOKUP(C2753,'lookup table'!$A$2:$B$19,2,FALSE)</f>
        <v>ALC</v>
      </c>
      <c r="E2753" t="str">
        <f t="shared" si="42"/>
        <v>AL068_01|ALC</v>
      </c>
    </row>
    <row r="2754" spans="1:5" x14ac:dyDescent="0.2">
      <c r="A2754" t="s">
        <v>935</v>
      </c>
      <c r="B2754" t="s">
        <v>936</v>
      </c>
      <c r="C2754" t="s">
        <v>20</v>
      </c>
      <c r="D2754" t="str">
        <f>VLOOKUP(C2754,'lookup table'!$A$2:$B$19,2,FALSE)</f>
        <v>AY</v>
      </c>
      <c r="E2754" t="str">
        <f t="shared" si="42"/>
        <v>AL068_01|AY</v>
      </c>
    </row>
    <row r="2755" spans="1:5" x14ac:dyDescent="0.2">
      <c r="A2755" t="s">
        <v>935</v>
      </c>
      <c r="B2755" t="s">
        <v>936</v>
      </c>
      <c r="C2755" t="s">
        <v>136</v>
      </c>
      <c r="D2755" t="str">
        <f>VLOOKUP(C2755,'lookup table'!$A$2:$B$19,2,FALSE)</f>
        <v>BBA Set</v>
      </c>
      <c r="E2755" t="str">
        <f t="shared" ref="E2755:E2818" si="43">IF(ISNA(D2755),"",IF(A2755="","",A2755) &amp; "|" &amp; D2755)</f>
        <v>AL068_01|BBA Set</v>
      </c>
    </row>
    <row r="2756" spans="1:5" x14ac:dyDescent="0.2">
      <c r="A2756" t="s">
        <v>935</v>
      </c>
      <c r="B2756" t="s">
        <v>936</v>
      </c>
      <c r="C2756" t="s">
        <v>331</v>
      </c>
      <c r="D2756" t="str">
        <f>VLOOKUP(C2756,'lookup table'!$A$2:$B$19,2,FALSE)</f>
        <v>FS Item</v>
      </c>
      <c r="E2756" t="str">
        <f t="shared" si="43"/>
        <v>AL068_01|FS Item</v>
      </c>
    </row>
    <row r="2757" spans="1:5" x14ac:dyDescent="0.2">
      <c r="A2757" t="s">
        <v>935</v>
      </c>
      <c r="B2757" t="s">
        <v>936</v>
      </c>
      <c r="C2757" t="s">
        <v>423</v>
      </c>
      <c r="D2757" t="str">
        <f>VLOOKUP(C2757,'lookup table'!$A$2:$B$19,2,FALSE)</f>
        <v>ignore</v>
      </c>
      <c r="E2757" t="str">
        <f t="shared" si="43"/>
        <v>AL068_01|ignore</v>
      </c>
    </row>
    <row r="2758" spans="1:5" x14ac:dyDescent="0.2">
      <c r="A2758" t="s">
        <v>935</v>
      </c>
      <c r="B2758" t="s">
        <v>936</v>
      </c>
      <c r="C2758" t="s">
        <v>424</v>
      </c>
      <c r="D2758" t="str">
        <f>VLOOKUP(C2758,'lookup table'!$A$2:$B$19,2,FALSE)</f>
        <v>GRC</v>
      </c>
      <c r="E2758" t="str">
        <f t="shared" si="43"/>
        <v>AL068_01|GRC</v>
      </c>
    </row>
    <row r="2759" spans="1:5" x14ac:dyDescent="0.2">
      <c r="A2759" t="s">
        <v>935</v>
      </c>
      <c r="B2759" t="s">
        <v>936</v>
      </c>
      <c r="C2759" t="s">
        <v>428</v>
      </c>
      <c r="D2759" t="str">
        <f>VLOOKUP(C2759,'lookup table'!$A$2:$B$19,2,FALSE)</f>
        <v>LoB</v>
      </c>
      <c r="E2759" t="str">
        <f t="shared" si="43"/>
        <v>AL068_01|LoB</v>
      </c>
    </row>
    <row r="2760" spans="1:5" x14ac:dyDescent="0.2">
      <c r="A2760" t="s">
        <v>935</v>
      </c>
      <c r="B2760" t="s">
        <v>936</v>
      </c>
      <c r="C2760" t="s">
        <v>436</v>
      </c>
      <c r="D2760" t="str">
        <f>VLOOKUP(C2760,'lookup table'!$A$2:$B$19,2,FALSE)</f>
        <v>MAT</v>
      </c>
      <c r="E2760" t="str">
        <f t="shared" si="43"/>
        <v>AL068_01|MAT</v>
      </c>
    </row>
    <row r="2761" spans="1:5" x14ac:dyDescent="0.2">
      <c r="A2761" t="s">
        <v>935</v>
      </c>
      <c r="B2761" t="s">
        <v>936</v>
      </c>
      <c r="C2761" t="s">
        <v>438</v>
      </c>
      <c r="D2761" t="str">
        <f>VLOOKUP(C2761,'lookup table'!$A$2:$B$19,2,FALSE)</f>
        <v>ToM</v>
      </c>
      <c r="E2761" t="str">
        <f t="shared" si="43"/>
        <v>AL068_01|ToM</v>
      </c>
    </row>
    <row r="2762" spans="1:5" x14ac:dyDescent="0.2">
      <c r="A2762" t="s">
        <v>935</v>
      </c>
      <c r="B2762" t="s">
        <v>936</v>
      </c>
      <c r="C2762" t="s">
        <v>441</v>
      </c>
      <c r="D2762" t="str">
        <f>VLOOKUP(C2762,'lookup table'!$A$2:$B$19,2,FALSE)</f>
        <v>Partner Segment</v>
      </c>
      <c r="E2762" t="str">
        <f t="shared" si="43"/>
        <v>AL068_01|Partner Segment</v>
      </c>
    </row>
    <row r="2763" spans="1:5" x14ac:dyDescent="0.2">
      <c r="A2763" t="s">
        <v>935</v>
      </c>
      <c r="B2763" t="s">
        <v>936</v>
      </c>
      <c r="C2763" t="s">
        <v>442</v>
      </c>
      <c r="D2763" t="str">
        <f>VLOOKUP(C2763,'lookup table'!$A$2:$B$19,2,FALSE)</f>
        <v>Partner Unit</v>
      </c>
      <c r="E2763" t="str">
        <f t="shared" si="43"/>
        <v>AL068_01|Partner Unit</v>
      </c>
    </row>
    <row r="2764" spans="1:5" x14ac:dyDescent="0.2">
      <c r="A2764" t="s">
        <v>935</v>
      </c>
      <c r="B2764" t="s">
        <v>936</v>
      </c>
      <c r="C2764" t="s">
        <v>447</v>
      </c>
      <c r="D2764" t="str">
        <f>VLOOKUP(C2764,'lookup table'!$A$2:$B$19,2,FALSE)</f>
        <v>REX</v>
      </c>
      <c r="E2764" t="str">
        <f t="shared" si="43"/>
        <v>AL068_01|REX</v>
      </c>
    </row>
    <row r="2765" spans="1:5" x14ac:dyDescent="0.2">
      <c r="A2765" t="s">
        <v>935</v>
      </c>
      <c r="B2765" t="s">
        <v>936</v>
      </c>
      <c r="C2765" t="s">
        <v>457</v>
      </c>
      <c r="D2765" t="str">
        <f>VLOOKUP(C2765,'lookup table'!$A$2:$B$19,2,FALSE)</f>
        <v>VLT</v>
      </c>
      <c r="E2765" t="str">
        <f t="shared" si="43"/>
        <v>AL068_01|VLT</v>
      </c>
    </row>
    <row r="2766" spans="1:5" x14ac:dyDescent="0.2">
      <c r="A2766" t="s">
        <v>935</v>
      </c>
      <c r="B2766" t="s">
        <v>936</v>
      </c>
      <c r="C2766" t="s">
        <v>458</v>
      </c>
      <c r="D2766" t="str">
        <f>VLOOKUP(C2766,'lookup table'!$A$2:$B$19,2,FALSE)</f>
        <v>VAR</v>
      </c>
      <c r="E2766" t="str">
        <f t="shared" si="43"/>
        <v>AL068_01|VAR</v>
      </c>
    </row>
    <row r="2767" spans="1:5" x14ac:dyDescent="0.2">
      <c r="A2767" t="s">
        <v>937</v>
      </c>
      <c r="B2767" t="s">
        <v>938</v>
      </c>
      <c r="C2767" t="s">
        <v>14</v>
      </c>
      <c r="D2767" t="str">
        <f>VLOOKUP(C2767,'lookup table'!$A$2:$B$19,2,FALSE)</f>
        <v>ALC</v>
      </c>
      <c r="E2767" t="str">
        <f t="shared" si="43"/>
        <v>AL068_17|ALC</v>
      </c>
    </row>
    <row r="2768" spans="1:5" x14ac:dyDescent="0.2">
      <c r="A2768" t="s">
        <v>937</v>
      </c>
      <c r="B2768" t="s">
        <v>938</v>
      </c>
      <c r="C2768" t="s">
        <v>20</v>
      </c>
      <c r="D2768" t="str">
        <f>VLOOKUP(C2768,'lookup table'!$A$2:$B$19,2,FALSE)</f>
        <v>AY</v>
      </c>
      <c r="E2768" t="str">
        <f t="shared" si="43"/>
        <v>AL068_17|AY</v>
      </c>
    </row>
    <row r="2769" spans="1:5" x14ac:dyDescent="0.2">
      <c r="A2769" t="s">
        <v>937</v>
      </c>
      <c r="B2769" t="s">
        <v>938</v>
      </c>
      <c r="C2769" t="s">
        <v>136</v>
      </c>
      <c r="D2769" t="str">
        <f>VLOOKUP(C2769,'lookup table'!$A$2:$B$19,2,FALSE)</f>
        <v>BBA Set</v>
      </c>
      <c r="E2769" t="str">
        <f t="shared" si="43"/>
        <v>AL068_17|BBA Set</v>
      </c>
    </row>
    <row r="2770" spans="1:5" x14ac:dyDescent="0.2">
      <c r="A2770" t="s">
        <v>937</v>
      </c>
      <c r="B2770" t="s">
        <v>938</v>
      </c>
      <c r="C2770" t="s">
        <v>331</v>
      </c>
      <c r="D2770" t="str">
        <f>VLOOKUP(C2770,'lookup table'!$A$2:$B$19,2,FALSE)</f>
        <v>FS Item</v>
      </c>
      <c r="E2770" t="str">
        <f t="shared" si="43"/>
        <v>AL068_17|FS Item</v>
      </c>
    </row>
    <row r="2771" spans="1:5" x14ac:dyDescent="0.2">
      <c r="A2771" t="s">
        <v>937</v>
      </c>
      <c r="B2771" t="s">
        <v>938</v>
      </c>
      <c r="C2771" t="s">
        <v>423</v>
      </c>
      <c r="D2771" t="str">
        <f>VLOOKUP(C2771,'lookup table'!$A$2:$B$19,2,FALSE)</f>
        <v>ignore</v>
      </c>
      <c r="E2771" t="str">
        <f t="shared" si="43"/>
        <v>AL068_17|ignore</v>
      </c>
    </row>
    <row r="2772" spans="1:5" x14ac:dyDescent="0.2">
      <c r="A2772" t="s">
        <v>937</v>
      </c>
      <c r="B2772" t="s">
        <v>938</v>
      </c>
      <c r="C2772" t="s">
        <v>424</v>
      </c>
      <c r="D2772" t="str">
        <f>VLOOKUP(C2772,'lookup table'!$A$2:$B$19,2,FALSE)</f>
        <v>GRC</v>
      </c>
      <c r="E2772" t="str">
        <f t="shared" si="43"/>
        <v>AL068_17|GRC</v>
      </c>
    </row>
    <row r="2773" spans="1:5" x14ac:dyDescent="0.2">
      <c r="A2773" t="s">
        <v>937</v>
      </c>
      <c r="B2773" t="s">
        <v>938</v>
      </c>
      <c r="C2773" t="s">
        <v>428</v>
      </c>
      <c r="D2773" t="str">
        <f>VLOOKUP(C2773,'lookup table'!$A$2:$B$19,2,FALSE)</f>
        <v>LoB</v>
      </c>
      <c r="E2773" t="str">
        <f t="shared" si="43"/>
        <v>AL068_17|LoB</v>
      </c>
    </row>
    <row r="2774" spans="1:5" x14ac:dyDescent="0.2">
      <c r="A2774" t="s">
        <v>937</v>
      </c>
      <c r="B2774" t="s">
        <v>938</v>
      </c>
      <c r="C2774" t="s">
        <v>436</v>
      </c>
      <c r="D2774" t="str">
        <f>VLOOKUP(C2774,'lookup table'!$A$2:$B$19,2,FALSE)</f>
        <v>MAT</v>
      </c>
      <c r="E2774" t="str">
        <f t="shared" si="43"/>
        <v>AL068_17|MAT</v>
      </c>
    </row>
    <row r="2775" spans="1:5" x14ac:dyDescent="0.2">
      <c r="A2775" t="s">
        <v>937</v>
      </c>
      <c r="B2775" t="s">
        <v>938</v>
      </c>
      <c r="C2775" t="s">
        <v>438</v>
      </c>
      <c r="D2775" t="str">
        <f>VLOOKUP(C2775,'lookup table'!$A$2:$B$19,2,FALSE)</f>
        <v>ToM</v>
      </c>
      <c r="E2775" t="str">
        <f t="shared" si="43"/>
        <v>AL068_17|ToM</v>
      </c>
    </row>
    <row r="2776" spans="1:5" x14ac:dyDescent="0.2">
      <c r="A2776" t="s">
        <v>937</v>
      </c>
      <c r="B2776" t="s">
        <v>938</v>
      </c>
      <c r="C2776" t="s">
        <v>441</v>
      </c>
      <c r="D2776" t="str">
        <f>VLOOKUP(C2776,'lookup table'!$A$2:$B$19,2,FALSE)</f>
        <v>Partner Segment</v>
      </c>
      <c r="E2776" t="str">
        <f t="shared" si="43"/>
        <v>AL068_17|Partner Segment</v>
      </c>
    </row>
    <row r="2777" spans="1:5" x14ac:dyDescent="0.2">
      <c r="A2777" t="s">
        <v>937</v>
      </c>
      <c r="B2777" t="s">
        <v>938</v>
      </c>
      <c r="C2777" t="s">
        <v>442</v>
      </c>
      <c r="D2777" t="str">
        <f>VLOOKUP(C2777,'lookup table'!$A$2:$B$19,2,FALSE)</f>
        <v>Partner Unit</v>
      </c>
      <c r="E2777" t="str">
        <f t="shared" si="43"/>
        <v>AL068_17|Partner Unit</v>
      </c>
    </row>
    <row r="2778" spans="1:5" x14ac:dyDescent="0.2">
      <c r="A2778" t="s">
        <v>937</v>
      </c>
      <c r="B2778" t="s">
        <v>938</v>
      </c>
      <c r="C2778" t="s">
        <v>447</v>
      </c>
      <c r="D2778" t="str">
        <f>VLOOKUP(C2778,'lookup table'!$A$2:$B$19,2,FALSE)</f>
        <v>REX</v>
      </c>
      <c r="E2778" t="str">
        <f t="shared" si="43"/>
        <v>AL068_17|REX</v>
      </c>
    </row>
    <row r="2779" spans="1:5" x14ac:dyDescent="0.2">
      <c r="A2779" t="s">
        <v>937</v>
      </c>
      <c r="B2779" t="s">
        <v>938</v>
      </c>
      <c r="C2779" t="s">
        <v>457</v>
      </c>
      <c r="D2779" t="str">
        <f>VLOOKUP(C2779,'lookup table'!$A$2:$B$19,2,FALSE)</f>
        <v>VLT</v>
      </c>
      <c r="E2779" t="str">
        <f t="shared" si="43"/>
        <v>AL068_17|VLT</v>
      </c>
    </row>
    <row r="2780" spans="1:5" x14ac:dyDescent="0.2">
      <c r="A2780" t="s">
        <v>937</v>
      </c>
      <c r="B2780" t="s">
        <v>938</v>
      </c>
      <c r="C2780" t="s">
        <v>458</v>
      </c>
      <c r="D2780" t="str">
        <f>VLOOKUP(C2780,'lookup table'!$A$2:$B$19,2,FALSE)</f>
        <v>VAR</v>
      </c>
      <c r="E2780" t="str">
        <f t="shared" si="43"/>
        <v>AL068_17|VAR</v>
      </c>
    </row>
    <row r="2781" spans="1:5" x14ac:dyDescent="0.2">
      <c r="A2781" t="s">
        <v>939</v>
      </c>
      <c r="B2781" t="s">
        <v>938</v>
      </c>
      <c r="C2781" t="s">
        <v>14</v>
      </c>
      <c r="D2781" t="str">
        <f>VLOOKUP(C2781,'lookup table'!$A$2:$B$19,2,FALSE)</f>
        <v>ALC</v>
      </c>
      <c r="E2781" t="str">
        <f t="shared" si="43"/>
        <v>AL068_17Q4|ALC</v>
      </c>
    </row>
    <row r="2782" spans="1:5" x14ac:dyDescent="0.2">
      <c r="A2782" t="s">
        <v>939</v>
      </c>
      <c r="B2782" t="s">
        <v>938</v>
      </c>
      <c r="C2782" t="s">
        <v>20</v>
      </c>
      <c r="D2782" t="str">
        <f>VLOOKUP(C2782,'lookup table'!$A$2:$B$19,2,FALSE)</f>
        <v>AY</v>
      </c>
      <c r="E2782" t="str">
        <f t="shared" si="43"/>
        <v>AL068_17Q4|AY</v>
      </c>
    </row>
    <row r="2783" spans="1:5" x14ac:dyDescent="0.2">
      <c r="A2783" t="s">
        <v>939</v>
      </c>
      <c r="B2783" t="s">
        <v>938</v>
      </c>
      <c r="C2783" t="s">
        <v>136</v>
      </c>
      <c r="D2783" t="str">
        <f>VLOOKUP(C2783,'lookup table'!$A$2:$B$19,2,FALSE)</f>
        <v>BBA Set</v>
      </c>
      <c r="E2783" t="str">
        <f t="shared" si="43"/>
        <v>AL068_17Q4|BBA Set</v>
      </c>
    </row>
    <row r="2784" spans="1:5" x14ac:dyDescent="0.2">
      <c r="A2784" t="s">
        <v>939</v>
      </c>
      <c r="B2784" t="s">
        <v>938</v>
      </c>
      <c r="C2784" t="s">
        <v>331</v>
      </c>
      <c r="D2784" t="str">
        <f>VLOOKUP(C2784,'lookup table'!$A$2:$B$19,2,FALSE)</f>
        <v>FS Item</v>
      </c>
      <c r="E2784" t="str">
        <f t="shared" si="43"/>
        <v>AL068_17Q4|FS Item</v>
      </c>
    </row>
    <row r="2785" spans="1:5" x14ac:dyDescent="0.2">
      <c r="A2785" t="s">
        <v>939</v>
      </c>
      <c r="B2785" t="s">
        <v>938</v>
      </c>
      <c r="C2785" t="s">
        <v>423</v>
      </c>
      <c r="D2785" t="str">
        <f>VLOOKUP(C2785,'lookup table'!$A$2:$B$19,2,FALSE)</f>
        <v>ignore</v>
      </c>
      <c r="E2785" t="str">
        <f t="shared" si="43"/>
        <v>AL068_17Q4|ignore</v>
      </c>
    </row>
    <row r="2786" spans="1:5" x14ac:dyDescent="0.2">
      <c r="A2786" t="s">
        <v>939</v>
      </c>
      <c r="B2786" t="s">
        <v>938</v>
      </c>
      <c r="C2786" t="s">
        <v>424</v>
      </c>
      <c r="D2786" t="str">
        <f>VLOOKUP(C2786,'lookup table'!$A$2:$B$19,2,FALSE)</f>
        <v>GRC</v>
      </c>
      <c r="E2786" t="str">
        <f t="shared" si="43"/>
        <v>AL068_17Q4|GRC</v>
      </c>
    </row>
    <row r="2787" spans="1:5" x14ac:dyDescent="0.2">
      <c r="A2787" t="s">
        <v>939</v>
      </c>
      <c r="B2787" t="s">
        <v>938</v>
      </c>
      <c r="C2787" t="s">
        <v>428</v>
      </c>
      <c r="D2787" t="str">
        <f>VLOOKUP(C2787,'lookup table'!$A$2:$B$19,2,FALSE)</f>
        <v>LoB</v>
      </c>
      <c r="E2787" t="str">
        <f t="shared" si="43"/>
        <v>AL068_17Q4|LoB</v>
      </c>
    </row>
    <row r="2788" spans="1:5" x14ac:dyDescent="0.2">
      <c r="A2788" t="s">
        <v>939</v>
      </c>
      <c r="B2788" t="s">
        <v>938</v>
      </c>
      <c r="C2788" t="s">
        <v>436</v>
      </c>
      <c r="D2788" t="str">
        <f>VLOOKUP(C2788,'lookup table'!$A$2:$B$19,2,FALSE)</f>
        <v>MAT</v>
      </c>
      <c r="E2788" t="str">
        <f t="shared" si="43"/>
        <v>AL068_17Q4|MAT</v>
      </c>
    </row>
    <row r="2789" spans="1:5" x14ac:dyDescent="0.2">
      <c r="A2789" t="s">
        <v>939</v>
      </c>
      <c r="B2789" t="s">
        <v>938</v>
      </c>
      <c r="C2789" t="s">
        <v>438</v>
      </c>
      <c r="D2789" t="str">
        <f>VLOOKUP(C2789,'lookup table'!$A$2:$B$19,2,FALSE)</f>
        <v>ToM</v>
      </c>
      <c r="E2789" t="str">
        <f t="shared" si="43"/>
        <v>AL068_17Q4|ToM</v>
      </c>
    </row>
    <row r="2790" spans="1:5" x14ac:dyDescent="0.2">
      <c r="A2790" t="s">
        <v>939</v>
      </c>
      <c r="B2790" t="s">
        <v>938</v>
      </c>
      <c r="C2790" t="s">
        <v>441</v>
      </c>
      <c r="D2790" t="str">
        <f>VLOOKUP(C2790,'lookup table'!$A$2:$B$19,2,FALSE)</f>
        <v>Partner Segment</v>
      </c>
      <c r="E2790" t="str">
        <f t="shared" si="43"/>
        <v>AL068_17Q4|Partner Segment</v>
      </c>
    </row>
    <row r="2791" spans="1:5" x14ac:dyDescent="0.2">
      <c r="A2791" t="s">
        <v>939</v>
      </c>
      <c r="B2791" t="s">
        <v>938</v>
      </c>
      <c r="C2791" t="s">
        <v>442</v>
      </c>
      <c r="D2791" t="str">
        <f>VLOOKUP(C2791,'lookup table'!$A$2:$B$19,2,FALSE)</f>
        <v>Partner Unit</v>
      </c>
      <c r="E2791" t="str">
        <f t="shared" si="43"/>
        <v>AL068_17Q4|Partner Unit</v>
      </c>
    </row>
    <row r="2792" spans="1:5" x14ac:dyDescent="0.2">
      <c r="A2792" t="s">
        <v>939</v>
      </c>
      <c r="B2792" t="s">
        <v>938</v>
      </c>
      <c r="C2792" t="s">
        <v>447</v>
      </c>
      <c r="D2792" t="str">
        <f>VLOOKUP(C2792,'lookup table'!$A$2:$B$19,2,FALSE)</f>
        <v>REX</v>
      </c>
      <c r="E2792" t="str">
        <f t="shared" si="43"/>
        <v>AL068_17Q4|REX</v>
      </c>
    </row>
    <row r="2793" spans="1:5" x14ac:dyDescent="0.2">
      <c r="A2793" t="s">
        <v>939</v>
      </c>
      <c r="B2793" t="s">
        <v>938</v>
      </c>
      <c r="C2793" t="s">
        <v>457</v>
      </c>
      <c r="D2793" t="str">
        <f>VLOOKUP(C2793,'lookup table'!$A$2:$B$19,2,FALSE)</f>
        <v>VLT</v>
      </c>
      <c r="E2793" t="str">
        <f t="shared" si="43"/>
        <v>AL068_17Q4|VLT</v>
      </c>
    </row>
    <row r="2794" spans="1:5" x14ac:dyDescent="0.2">
      <c r="A2794" t="s">
        <v>939</v>
      </c>
      <c r="B2794" t="s">
        <v>938</v>
      </c>
      <c r="C2794" t="s">
        <v>458</v>
      </c>
      <c r="D2794" t="str">
        <f>VLOOKUP(C2794,'lookup table'!$A$2:$B$19,2,FALSE)</f>
        <v>VAR</v>
      </c>
      <c r="E2794" t="str">
        <f t="shared" si="43"/>
        <v>AL068_17Q4|VAR</v>
      </c>
    </row>
    <row r="2795" spans="1:5" x14ac:dyDescent="0.2">
      <c r="A2795" t="s">
        <v>940</v>
      </c>
      <c r="B2795" t="s">
        <v>941</v>
      </c>
      <c r="C2795" t="s">
        <v>14</v>
      </c>
      <c r="D2795" t="str">
        <f>VLOOKUP(C2795,'lookup table'!$A$2:$B$19,2,FALSE)</f>
        <v>ALC</v>
      </c>
      <c r="E2795" t="str">
        <f t="shared" si="43"/>
        <v>AL068_19|ALC</v>
      </c>
    </row>
    <row r="2796" spans="1:5" x14ac:dyDescent="0.2">
      <c r="A2796" t="s">
        <v>940</v>
      </c>
      <c r="B2796" t="s">
        <v>941</v>
      </c>
      <c r="C2796" t="s">
        <v>20</v>
      </c>
      <c r="D2796" t="str">
        <f>VLOOKUP(C2796,'lookup table'!$A$2:$B$19,2,FALSE)</f>
        <v>AY</v>
      </c>
      <c r="E2796" t="str">
        <f t="shared" si="43"/>
        <v>AL068_19|AY</v>
      </c>
    </row>
    <row r="2797" spans="1:5" x14ac:dyDescent="0.2">
      <c r="A2797" t="s">
        <v>940</v>
      </c>
      <c r="B2797" t="s">
        <v>941</v>
      </c>
      <c r="C2797" t="s">
        <v>136</v>
      </c>
      <c r="D2797" t="str">
        <f>VLOOKUP(C2797,'lookup table'!$A$2:$B$19,2,FALSE)</f>
        <v>BBA Set</v>
      </c>
      <c r="E2797" t="str">
        <f t="shared" si="43"/>
        <v>AL068_19|BBA Set</v>
      </c>
    </row>
    <row r="2798" spans="1:5" x14ac:dyDescent="0.2">
      <c r="A2798" t="s">
        <v>940</v>
      </c>
      <c r="B2798" t="s">
        <v>941</v>
      </c>
      <c r="C2798" t="s">
        <v>331</v>
      </c>
      <c r="D2798" t="str">
        <f>VLOOKUP(C2798,'lookup table'!$A$2:$B$19,2,FALSE)</f>
        <v>FS Item</v>
      </c>
      <c r="E2798" t="str">
        <f t="shared" si="43"/>
        <v>AL068_19|FS Item</v>
      </c>
    </row>
    <row r="2799" spans="1:5" x14ac:dyDescent="0.2">
      <c r="A2799" t="s">
        <v>940</v>
      </c>
      <c r="B2799" t="s">
        <v>941</v>
      </c>
      <c r="C2799" t="s">
        <v>423</v>
      </c>
      <c r="D2799" t="str">
        <f>VLOOKUP(C2799,'lookup table'!$A$2:$B$19,2,FALSE)</f>
        <v>ignore</v>
      </c>
      <c r="E2799" t="str">
        <f t="shared" si="43"/>
        <v>AL068_19|ignore</v>
      </c>
    </row>
    <row r="2800" spans="1:5" x14ac:dyDescent="0.2">
      <c r="A2800" t="s">
        <v>940</v>
      </c>
      <c r="B2800" t="s">
        <v>941</v>
      </c>
      <c r="C2800" t="s">
        <v>424</v>
      </c>
      <c r="D2800" t="str">
        <f>VLOOKUP(C2800,'lookup table'!$A$2:$B$19,2,FALSE)</f>
        <v>GRC</v>
      </c>
      <c r="E2800" t="str">
        <f t="shared" si="43"/>
        <v>AL068_19|GRC</v>
      </c>
    </row>
    <row r="2801" spans="1:5" x14ac:dyDescent="0.2">
      <c r="A2801" t="s">
        <v>940</v>
      </c>
      <c r="B2801" t="s">
        <v>941</v>
      </c>
      <c r="C2801" t="s">
        <v>428</v>
      </c>
      <c r="D2801" t="str">
        <f>VLOOKUP(C2801,'lookup table'!$A$2:$B$19,2,FALSE)</f>
        <v>LoB</v>
      </c>
      <c r="E2801" t="str">
        <f t="shared" si="43"/>
        <v>AL068_19|LoB</v>
      </c>
    </row>
    <row r="2802" spans="1:5" x14ac:dyDescent="0.2">
      <c r="A2802" t="s">
        <v>940</v>
      </c>
      <c r="B2802" t="s">
        <v>941</v>
      </c>
      <c r="C2802" t="s">
        <v>436</v>
      </c>
      <c r="D2802" t="str">
        <f>VLOOKUP(C2802,'lookup table'!$A$2:$B$19,2,FALSE)</f>
        <v>MAT</v>
      </c>
      <c r="E2802" t="str">
        <f t="shared" si="43"/>
        <v>AL068_19|MAT</v>
      </c>
    </row>
    <row r="2803" spans="1:5" x14ac:dyDescent="0.2">
      <c r="A2803" t="s">
        <v>940</v>
      </c>
      <c r="B2803" t="s">
        <v>941</v>
      </c>
      <c r="C2803" t="s">
        <v>438</v>
      </c>
      <c r="D2803" t="str">
        <f>VLOOKUP(C2803,'lookup table'!$A$2:$B$19,2,FALSE)</f>
        <v>ToM</v>
      </c>
      <c r="E2803" t="str">
        <f t="shared" si="43"/>
        <v>AL068_19|ToM</v>
      </c>
    </row>
    <row r="2804" spans="1:5" x14ac:dyDescent="0.2">
      <c r="A2804" t="s">
        <v>940</v>
      </c>
      <c r="B2804" t="s">
        <v>941</v>
      </c>
      <c r="C2804" t="s">
        <v>441</v>
      </c>
      <c r="D2804" t="str">
        <f>VLOOKUP(C2804,'lookup table'!$A$2:$B$19,2,FALSE)</f>
        <v>Partner Segment</v>
      </c>
      <c r="E2804" t="str">
        <f t="shared" si="43"/>
        <v>AL068_19|Partner Segment</v>
      </c>
    </row>
    <row r="2805" spans="1:5" x14ac:dyDescent="0.2">
      <c r="A2805" t="s">
        <v>940</v>
      </c>
      <c r="B2805" t="s">
        <v>941</v>
      </c>
      <c r="C2805" t="s">
        <v>442</v>
      </c>
      <c r="D2805" t="str">
        <f>VLOOKUP(C2805,'lookup table'!$A$2:$B$19,2,FALSE)</f>
        <v>Partner Unit</v>
      </c>
      <c r="E2805" t="str">
        <f t="shared" si="43"/>
        <v>AL068_19|Partner Unit</v>
      </c>
    </row>
    <row r="2806" spans="1:5" x14ac:dyDescent="0.2">
      <c r="A2806" t="s">
        <v>940</v>
      </c>
      <c r="B2806" t="s">
        <v>941</v>
      </c>
      <c r="C2806" t="s">
        <v>447</v>
      </c>
      <c r="D2806" t="str">
        <f>VLOOKUP(C2806,'lookup table'!$A$2:$B$19,2,FALSE)</f>
        <v>REX</v>
      </c>
      <c r="E2806" t="str">
        <f t="shared" si="43"/>
        <v>AL068_19|REX</v>
      </c>
    </row>
    <row r="2807" spans="1:5" x14ac:dyDescent="0.2">
      <c r="A2807" t="s">
        <v>940</v>
      </c>
      <c r="B2807" t="s">
        <v>941</v>
      </c>
      <c r="C2807" t="s">
        <v>457</v>
      </c>
      <c r="D2807" t="str">
        <f>VLOOKUP(C2807,'lookup table'!$A$2:$B$19,2,FALSE)</f>
        <v>VLT</v>
      </c>
      <c r="E2807" t="str">
        <f t="shared" si="43"/>
        <v>AL068_19|VLT</v>
      </c>
    </row>
    <row r="2808" spans="1:5" x14ac:dyDescent="0.2">
      <c r="A2808" t="s">
        <v>940</v>
      </c>
      <c r="B2808" t="s">
        <v>941</v>
      </c>
      <c r="C2808" t="s">
        <v>458</v>
      </c>
      <c r="D2808" t="str">
        <f>VLOOKUP(C2808,'lookup table'!$A$2:$B$19,2,FALSE)</f>
        <v>VAR</v>
      </c>
      <c r="E2808" t="str">
        <f t="shared" si="43"/>
        <v>AL068_19|VAR</v>
      </c>
    </row>
    <row r="2809" spans="1:5" x14ac:dyDescent="0.2">
      <c r="A2809" t="s">
        <v>942</v>
      </c>
      <c r="B2809" t="s">
        <v>943</v>
      </c>
      <c r="C2809" t="s">
        <v>14</v>
      </c>
      <c r="D2809" t="str">
        <f>VLOOKUP(C2809,'lookup table'!$A$2:$B$19,2,FALSE)</f>
        <v>ALC</v>
      </c>
      <c r="E2809" t="str">
        <f t="shared" si="43"/>
        <v>AL069_00|ALC</v>
      </c>
    </row>
    <row r="2810" spans="1:5" x14ac:dyDescent="0.2">
      <c r="A2810" t="s">
        <v>942</v>
      </c>
      <c r="B2810" t="s">
        <v>943</v>
      </c>
      <c r="C2810" t="s">
        <v>20</v>
      </c>
      <c r="D2810" t="str">
        <f>VLOOKUP(C2810,'lookup table'!$A$2:$B$19,2,FALSE)</f>
        <v>AY</v>
      </c>
      <c r="E2810" t="str">
        <f t="shared" si="43"/>
        <v>AL069_00|AY</v>
      </c>
    </row>
    <row r="2811" spans="1:5" x14ac:dyDescent="0.2">
      <c r="A2811" t="s">
        <v>942</v>
      </c>
      <c r="B2811" t="s">
        <v>943</v>
      </c>
      <c r="C2811" t="s">
        <v>331</v>
      </c>
      <c r="D2811" t="str">
        <f>VLOOKUP(C2811,'lookup table'!$A$2:$B$19,2,FALSE)</f>
        <v>FS Item</v>
      </c>
      <c r="E2811" t="str">
        <f t="shared" si="43"/>
        <v>AL069_00|FS Item</v>
      </c>
    </row>
    <row r="2812" spans="1:5" x14ac:dyDescent="0.2">
      <c r="A2812" t="s">
        <v>942</v>
      </c>
      <c r="B2812" t="s">
        <v>943</v>
      </c>
      <c r="C2812" t="s">
        <v>423</v>
      </c>
      <c r="D2812" t="str">
        <f>VLOOKUP(C2812,'lookup table'!$A$2:$B$19,2,FALSE)</f>
        <v>ignore</v>
      </c>
      <c r="E2812" t="str">
        <f t="shared" si="43"/>
        <v>AL069_00|ignore</v>
      </c>
    </row>
    <row r="2813" spans="1:5" x14ac:dyDescent="0.2">
      <c r="A2813" t="s">
        <v>942</v>
      </c>
      <c r="B2813" t="s">
        <v>943</v>
      </c>
      <c r="C2813" t="s">
        <v>424</v>
      </c>
      <c r="D2813" t="str">
        <f>VLOOKUP(C2813,'lookup table'!$A$2:$B$19,2,FALSE)</f>
        <v>GRC</v>
      </c>
      <c r="E2813" t="str">
        <f t="shared" si="43"/>
        <v>AL069_00|GRC</v>
      </c>
    </row>
    <row r="2814" spans="1:5" x14ac:dyDescent="0.2">
      <c r="A2814" t="s">
        <v>942</v>
      </c>
      <c r="B2814" t="s">
        <v>943</v>
      </c>
      <c r="C2814" t="s">
        <v>428</v>
      </c>
      <c r="D2814" t="str">
        <f>VLOOKUP(C2814,'lookup table'!$A$2:$B$19,2,FALSE)</f>
        <v>LoB</v>
      </c>
      <c r="E2814" t="str">
        <f t="shared" si="43"/>
        <v>AL069_00|LoB</v>
      </c>
    </row>
    <row r="2815" spans="1:5" x14ac:dyDescent="0.2">
      <c r="A2815" t="s">
        <v>942</v>
      </c>
      <c r="B2815" t="s">
        <v>943</v>
      </c>
      <c r="C2815" t="s">
        <v>436</v>
      </c>
      <c r="D2815" t="str">
        <f>VLOOKUP(C2815,'lookup table'!$A$2:$B$19,2,FALSE)</f>
        <v>MAT</v>
      </c>
      <c r="E2815" t="str">
        <f t="shared" si="43"/>
        <v>AL069_00|MAT</v>
      </c>
    </row>
    <row r="2816" spans="1:5" x14ac:dyDescent="0.2">
      <c r="A2816" t="s">
        <v>942</v>
      </c>
      <c r="B2816" t="s">
        <v>943</v>
      </c>
      <c r="C2816" t="s">
        <v>438</v>
      </c>
      <c r="D2816" t="str">
        <f>VLOOKUP(C2816,'lookup table'!$A$2:$B$19,2,FALSE)</f>
        <v>ToM</v>
      </c>
      <c r="E2816" t="str">
        <f t="shared" si="43"/>
        <v>AL069_00|ToM</v>
      </c>
    </row>
    <row r="2817" spans="1:5" x14ac:dyDescent="0.2">
      <c r="A2817" t="s">
        <v>942</v>
      </c>
      <c r="B2817" t="s">
        <v>943</v>
      </c>
      <c r="C2817" t="s">
        <v>441</v>
      </c>
      <c r="D2817" t="str">
        <f>VLOOKUP(C2817,'lookup table'!$A$2:$B$19,2,FALSE)</f>
        <v>Partner Segment</v>
      </c>
      <c r="E2817" t="str">
        <f t="shared" si="43"/>
        <v>AL069_00|Partner Segment</v>
      </c>
    </row>
    <row r="2818" spans="1:5" x14ac:dyDescent="0.2">
      <c r="A2818" t="s">
        <v>942</v>
      </c>
      <c r="B2818" t="s">
        <v>943</v>
      </c>
      <c r="C2818" t="s">
        <v>442</v>
      </c>
      <c r="D2818" t="str">
        <f>VLOOKUP(C2818,'lookup table'!$A$2:$B$19,2,FALSE)</f>
        <v>Partner Unit</v>
      </c>
      <c r="E2818" t="str">
        <f t="shared" si="43"/>
        <v>AL069_00|Partner Unit</v>
      </c>
    </row>
    <row r="2819" spans="1:5" x14ac:dyDescent="0.2">
      <c r="A2819" t="s">
        <v>942</v>
      </c>
      <c r="B2819" t="s">
        <v>943</v>
      </c>
      <c r="C2819" t="s">
        <v>447</v>
      </c>
      <c r="D2819" t="str">
        <f>VLOOKUP(C2819,'lookup table'!$A$2:$B$19,2,FALSE)</f>
        <v>REX</v>
      </c>
      <c r="E2819" t="str">
        <f t="shared" ref="E2819:E2882" si="44">IF(ISNA(D2819),"",IF(A2819="","",A2819) &amp; "|" &amp; D2819)</f>
        <v>AL069_00|REX</v>
      </c>
    </row>
    <row r="2820" spans="1:5" x14ac:dyDescent="0.2">
      <c r="A2820" t="s">
        <v>942</v>
      </c>
      <c r="B2820" t="s">
        <v>943</v>
      </c>
      <c r="C2820" t="s">
        <v>457</v>
      </c>
      <c r="D2820" t="str">
        <f>VLOOKUP(C2820,'lookup table'!$A$2:$B$19,2,FALSE)</f>
        <v>VLT</v>
      </c>
      <c r="E2820" t="str">
        <f t="shared" si="44"/>
        <v>AL069_00|VLT</v>
      </c>
    </row>
    <row r="2821" spans="1:5" x14ac:dyDescent="0.2">
      <c r="A2821" t="s">
        <v>942</v>
      </c>
      <c r="B2821" t="s">
        <v>943</v>
      </c>
      <c r="C2821" t="s">
        <v>458</v>
      </c>
      <c r="D2821" t="str">
        <f>VLOOKUP(C2821,'lookup table'!$A$2:$B$19,2,FALSE)</f>
        <v>VAR</v>
      </c>
      <c r="E2821" t="str">
        <f t="shared" si="44"/>
        <v>AL069_00|VAR</v>
      </c>
    </row>
    <row r="2822" spans="1:5" x14ac:dyDescent="0.2">
      <c r="A2822" t="s">
        <v>944</v>
      </c>
      <c r="B2822" t="s">
        <v>945</v>
      </c>
      <c r="C2822" t="s">
        <v>331</v>
      </c>
      <c r="D2822" t="str">
        <f>VLOOKUP(C2822,'lookup table'!$A$2:$B$19,2,FALSE)</f>
        <v>FS Item</v>
      </c>
      <c r="E2822" t="str">
        <f t="shared" si="44"/>
        <v>AL070_00|FS Item</v>
      </c>
    </row>
    <row r="2823" spans="1:5" x14ac:dyDescent="0.2">
      <c r="A2823" t="s">
        <v>944</v>
      </c>
      <c r="B2823" t="s">
        <v>945</v>
      </c>
      <c r="C2823" t="s">
        <v>423</v>
      </c>
      <c r="D2823" t="str">
        <f>VLOOKUP(C2823,'lookup table'!$A$2:$B$19,2,FALSE)</f>
        <v>ignore</v>
      </c>
      <c r="E2823" t="str">
        <f t="shared" si="44"/>
        <v>AL070_00|ignore</v>
      </c>
    </row>
    <row r="2824" spans="1:5" x14ac:dyDescent="0.2">
      <c r="A2824" t="s">
        <v>944</v>
      </c>
      <c r="B2824" t="s">
        <v>945</v>
      </c>
      <c r="C2824" t="s">
        <v>438</v>
      </c>
      <c r="D2824" t="str">
        <f>VLOOKUP(C2824,'lookup table'!$A$2:$B$19,2,FALSE)</f>
        <v>ToM</v>
      </c>
      <c r="E2824" t="str">
        <f t="shared" si="44"/>
        <v>AL070_00|ToM</v>
      </c>
    </row>
    <row r="2825" spans="1:5" x14ac:dyDescent="0.2">
      <c r="A2825" t="s">
        <v>946</v>
      </c>
      <c r="B2825" t="s">
        <v>947</v>
      </c>
      <c r="C2825" t="s">
        <v>20</v>
      </c>
      <c r="D2825" t="str">
        <f>VLOOKUP(C2825,'lookup table'!$A$2:$B$19,2,FALSE)</f>
        <v>AY</v>
      </c>
      <c r="E2825" t="str">
        <f t="shared" si="44"/>
        <v>AL072_00|AY</v>
      </c>
    </row>
    <row r="2826" spans="1:5" x14ac:dyDescent="0.2">
      <c r="A2826" t="s">
        <v>946</v>
      </c>
      <c r="B2826" t="s">
        <v>947</v>
      </c>
      <c r="C2826" t="s">
        <v>136</v>
      </c>
      <c r="D2826" t="str">
        <f>VLOOKUP(C2826,'lookup table'!$A$2:$B$19,2,FALSE)</f>
        <v>BBA Set</v>
      </c>
      <c r="E2826" t="str">
        <f t="shared" si="44"/>
        <v>AL072_00|BBA Set</v>
      </c>
    </row>
    <row r="2827" spans="1:5" x14ac:dyDescent="0.2">
      <c r="A2827" t="s">
        <v>946</v>
      </c>
      <c r="B2827" t="s">
        <v>947</v>
      </c>
      <c r="C2827" t="s">
        <v>331</v>
      </c>
      <c r="D2827" t="str">
        <f>VLOOKUP(C2827,'lookup table'!$A$2:$B$19,2,FALSE)</f>
        <v>FS Item</v>
      </c>
      <c r="E2827" t="str">
        <f t="shared" si="44"/>
        <v>AL072_00|FS Item</v>
      </c>
    </row>
    <row r="2828" spans="1:5" x14ac:dyDescent="0.2">
      <c r="A2828" t="s">
        <v>946</v>
      </c>
      <c r="B2828" t="s">
        <v>947</v>
      </c>
      <c r="C2828" t="s">
        <v>423</v>
      </c>
      <c r="D2828" t="str">
        <f>VLOOKUP(C2828,'lookup table'!$A$2:$B$19,2,FALSE)</f>
        <v>ignore</v>
      </c>
      <c r="E2828" t="str">
        <f t="shared" si="44"/>
        <v>AL072_00|ignore</v>
      </c>
    </row>
    <row r="2829" spans="1:5" x14ac:dyDescent="0.2">
      <c r="A2829" t="s">
        <v>946</v>
      </c>
      <c r="B2829" t="s">
        <v>947</v>
      </c>
      <c r="C2829" t="s">
        <v>428</v>
      </c>
      <c r="D2829" t="str">
        <f>VLOOKUP(C2829,'lookup table'!$A$2:$B$19,2,FALSE)</f>
        <v>LoB</v>
      </c>
      <c r="E2829" t="str">
        <f t="shared" si="44"/>
        <v>AL072_00|LoB</v>
      </c>
    </row>
    <row r="2830" spans="1:5" x14ac:dyDescent="0.2">
      <c r="A2830" t="s">
        <v>946</v>
      </c>
      <c r="B2830" t="s">
        <v>947</v>
      </c>
      <c r="C2830" t="s">
        <v>441</v>
      </c>
      <c r="D2830" t="str">
        <f>VLOOKUP(C2830,'lookup table'!$A$2:$B$19,2,FALSE)</f>
        <v>Partner Segment</v>
      </c>
      <c r="E2830" t="str">
        <f t="shared" si="44"/>
        <v>AL072_00|Partner Segment</v>
      </c>
    </row>
    <row r="2831" spans="1:5" x14ac:dyDescent="0.2">
      <c r="A2831" t="s">
        <v>946</v>
      </c>
      <c r="B2831" t="s">
        <v>947</v>
      </c>
      <c r="C2831" t="s">
        <v>442</v>
      </c>
      <c r="D2831" t="str">
        <f>VLOOKUP(C2831,'lookup table'!$A$2:$B$19,2,FALSE)</f>
        <v>Partner Unit</v>
      </c>
      <c r="E2831" t="str">
        <f t="shared" si="44"/>
        <v>AL072_00|Partner Unit</v>
      </c>
    </row>
    <row r="2832" spans="1:5" x14ac:dyDescent="0.2">
      <c r="A2832" t="s">
        <v>946</v>
      </c>
      <c r="B2832" t="s">
        <v>947</v>
      </c>
      <c r="C2832" t="s">
        <v>461</v>
      </c>
      <c r="D2832" t="str">
        <f>VLOOKUP(C2832,'lookup table'!$A$2:$B$19,2,FALSE)</f>
        <v>Posting Level</v>
      </c>
      <c r="E2832" t="str">
        <f t="shared" si="44"/>
        <v>AL072_00|Posting Level</v>
      </c>
    </row>
    <row r="2833" spans="1:5" x14ac:dyDescent="0.2">
      <c r="A2833" t="s">
        <v>948</v>
      </c>
      <c r="B2833" t="s">
        <v>949</v>
      </c>
      <c r="C2833" t="s">
        <v>20</v>
      </c>
      <c r="D2833" t="str">
        <f>VLOOKUP(C2833,'lookup table'!$A$2:$B$19,2,FALSE)</f>
        <v>AY</v>
      </c>
      <c r="E2833" t="str">
        <f t="shared" si="44"/>
        <v>AL072_14|AY</v>
      </c>
    </row>
    <row r="2834" spans="1:5" x14ac:dyDescent="0.2">
      <c r="A2834" t="s">
        <v>948</v>
      </c>
      <c r="B2834" t="s">
        <v>949</v>
      </c>
      <c r="C2834" t="s">
        <v>136</v>
      </c>
      <c r="D2834" t="str">
        <f>VLOOKUP(C2834,'lookup table'!$A$2:$B$19,2,FALSE)</f>
        <v>BBA Set</v>
      </c>
      <c r="E2834" t="str">
        <f t="shared" si="44"/>
        <v>AL072_14|BBA Set</v>
      </c>
    </row>
    <row r="2835" spans="1:5" x14ac:dyDescent="0.2">
      <c r="A2835" t="s">
        <v>948</v>
      </c>
      <c r="B2835" t="s">
        <v>949</v>
      </c>
      <c r="C2835" t="s">
        <v>331</v>
      </c>
      <c r="D2835" t="str">
        <f>VLOOKUP(C2835,'lookup table'!$A$2:$B$19,2,FALSE)</f>
        <v>FS Item</v>
      </c>
      <c r="E2835" t="str">
        <f t="shared" si="44"/>
        <v>AL072_14|FS Item</v>
      </c>
    </row>
    <row r="2836" spans="1:5" x14ac:dyDescent="0.2">
      <c r="A2836" t="s">
        <v>948</v>
      </c>
      <c r="B2836" t="s">
        <v>949</v>
      </c>
      <c r="C2836" t="s">
        <v>423</v>
      </c>
      <c r="D2836" t="str">
        <f>VLOOKUP(C2836,'lookup table'!$A$2:$B$19,2,FALSE)</f>
        <v>ignore</v>
      </c>
      <c r="E2836" t="str">
        <f t="shared" si="44"/>
        <v>AL072_14|ignore</v>
      </c>
    </row>
    <row r="2837" spans="1:5" x14ac:dyDescent="0.2">
      <c r="A2837" t="s">
        <v>948</v>
      </c>
      <c r="B2837" t="s">
        <v>949</v>
      </c>
      <c r="C2837" t="s">
        <v>428</v>
      </c>
      <c r="D2837" t="str">
        <f>VLOOKUP(C2837,'lookup table'!$A$2:$B$19,2,FALSE)</f>
        <v>LoB</v>
      </c>
      <c r="E2837" t="str">
        <f t="shared" si="44"/>
        <v>AL072_14|LoB</v>
      </c>
    </row>
    <row r="2838" spans="1:5" x14ac:dyDescent="0.2">
      <c r="A2838" t="s">
        <v>948</v>
      </c>
      <c r="B2838" t="s">
        <v>949</v>
      </c>
      <c r="C2838" t="s">
        <v>441</v>
      </c>
      <c r="D2838" t="str">
        <f>VLOOKUP(C2838,'lookup table'!$A$2:$B$19,2,FALSE)</f>
        <v>Partner Segment</v>
      </c>
      <c r="E2838" t="str">
        <f t="shared" si="44"/>
        <v>AL072_14|Partner Segment</v>
      </c>
    </row>
    <row r="2839" spans="1:5" x14ac:dyDescent="0.2">
      <c r="A2839" t="s">
        <v>948</v>
      </c>
      <c r="B2839" t="s">
        <v>949</v>
      </c>
      <c r="C2839" t="s">
        <v>442</v>
      </c>
      <c r="D2839" t="str">
        <f>VLOOKUP(C2839,'lookup table'!$A$2:$B$19,2,FALSE)</f>
        <v>Partner Unit</v>
      </c>
      <c r="E2839" t="str">
        <f t="shared" si="44"/>
        <v>AL072_14|Partner Unit</v>
      </c>
    </row>
    <row r="2840" spans="1:5" x14ac:dyDescent="0.2">
      <c r="A2840" t="s">
        <v>948</v>
      </c>
      <c r="B2840" t="s">
        <v>949</v>
      </c>
      <c r="C2840" t="s">
        <v>461</v>
      </c>
      <c r="D2840" t="str">
        <f>VLOOKUP(C2840,'lookup table'!$A$2:$B$19,2,FALSE)</f>
        <v>Posting Level</v>
      </c>
      <c r="E2840" t="str">
        <f t="shared" si="44"/>
        <v>AL072_14|Posting Level</v>
      </c>
    </row>
    <row r="2841" spans="1:5" x14ac:dyDescent="0.2">
      <c r="A2841" t="s">
        <v>950</v>
      </c>
      <c r="B2841" t="s">
        <v>951</v>
      </c>
      <c r="C2841" t="s">
        <v>331</v>
      </c>
      <c r="D2841" t="str">
        <f>VLOOKUP(C2841,'lookup table'!$A$2:$B$19,2,FALSE)</f>
        <v>FS Item</v>
      </c>
      <c r="E2841" t="str">
        <f t="shared" si="44"/>
        <v>AL073_00|FS Item</v>
      </c>
    </row>
    <row r="2842" spans="1:5" x14ac:dyDescent="0.2">
      <c r="A2842" t="s">
        <v>950</v>
      </c>
      <c r="B2842" t="s">
        <v>951</v>
      </c>
      <c r="C2842" t="s">
        <v>423</v>
      </c>
      <c r="D2842" t="str">
        <f>VLOOKUP(C2842,'lookup table'!$A$2:$B$19,2,FALSE)</f>
        <v>ignore</v>
      </c>
      <c r="E2842" t="str">
        <f t="shared" si="44"/>
        <v>AL073_00|ignore</v>
      </c>
    </row>
    <row r="2843" spans="1:5" x14ac:dyDescent="0.2">
      <c r="A2843" t="s">
        <v>950</v>
      </c>
      <c r="B2843" t="s">
        <v>951</v>
      </c>
      <c r="C2843" t="s">
        <v>438</v>
      </c>
      <c r="D2843" t="str">
        <f>VLOOKUP(C2843,'lookup table'!$A$2:$B$19,2,FALSE)</f>
        <v>ToM</v>
      </c>
      <c r="E2843" t="str">
        <f t="shared" si="44"/>
        <v>AL073_00|ToM</v>
      </c>
    </row>
    <row r="2844" spans="1:5" x14ac:dyDescent="0.2">
      <c r="A2844" t="s">
        <v>952</v>
      </c>
      <c r="B2844" t="s">
        <v>953</v>
      </c>
      <c r="C2844" t="s">
        <v>331</v>
      </c>
      <c r="D2844" t="str">
        <f>VLOOKUP(C2844,'lookup table'!$A$2:$B$19,2,FALSE)</f>
        <v>FS Item</v>
      </c>
      <c r="E2844" t="str">
        <f t="shared" si="44"/>
        <v>AL074_00|FS Item</v>
      </c>
    </row>
    <row r="2845" spans="1:5" x14ac:dyDescent="0.2">
      <c r="A2845" t="s">
        <v>952</v>
      </c>
      <c r="B2845" t="s">
        <v>953</v>
      </c>
      <c r="C2845" t="s">
        <v>423</v>
      </c>
      <c r="D2845" t="str">
        <f>VLOOKUP(C2845,'lookup table'!$A$2:$B$19,2,FALSE)</f>
        <v>ignore</v>
      </c>
      <c r="E2845" t="str">
        <f t="shared" si="44"/>
        <v>AL074_00|ignore</v>
      </c>
    </row>
    <row r="2846" spans="1:5" x14ac:dyDescent="0.2">
      <c r="A2846" t="s">
        <v>952</v>
      </c>
      <c r="B2846" t="s">
        <v>953</v>
      </c>
      <c r="C2846" t="s">
        <v>438</v>
      </c>
      <c r="D2846" t="str">
        <f>VLOOKUP(C2846,'lookup table'!$A$2:$B$19,2,FALSE)</f>
        <v>ToM</v>
      </c>
      <c r="E2846" t="str">
        <f t="shared" si="44"/>
        <v>AL074_00|ToM</v>
      </c>
    </row>
    <row r="2847" spans="1:5" x14ac:dyDescent="0.2">
      <c r="A2847" t="s">
        <v>954</v>
      </c>
      <c r="B2847" t="s">
        <v>955</v>
      </c>
      <c r="C2847" t="s">
        <v>331</v>
      </c>
      <c r="D2847" t="str">
        <f>VLOOKUP(C2847,'lookup table'!$A$2:$B$19,2,FALSE)</f>
        <v>FS Item</v>
      </c>
      <c r="E2847" t="str">
        <f t="shared" si="44"/>
        <v>AL075_00|FS Item</v>
      </c>
    </row>
    <row r="2848" spans="1:5" x14ac:dyDescent="0.2">
      <c r="A2848" t="s">
        <v>954</v>
      </c>
      <c r="B2848" t="s">
        <v>955</v>
      </c>
      <c r="C2848" t="s">
        <v>423</v>
      </c>
      <c r="D2848" t="str">
        <f>VLOOKUP(C2848,'lookup table'!$A$2:$B$19,2,FALSE)</f>
        <v>ignore</v>
      </c>
      <c r="E2848" t="str">
        <f t="shared" si="44"/>
        <v>AL075_00|ignore</v>
      </c>
    </row>
    <row r="2849" spans="1:5" x14ac:dyDescent="0.2">
      <c r="A2849" t="s">
        <v>954</v>
      </c>
      <c r="B2849" t="s">
        <v>955</v>
      </c>
      <c r="C2849" t="s">
        <v>438</v>
      </c>
      <c r="D2849" t="str">
        <f>VLOOKUP(C2849,'lookup table'!$A$2:$B$19,2,FALSE)</f>
        <v>ToM</v>
      </c>
      <c r="E2849" t="str">
        <f t="shared" si="44"/>
        <v>AL075_00|ToM</v>
      </c>
    </row>
    <row r="2850" spans="1:5" x14ac:dyDescent="0.2">
      <c r="A2850" t="s">
        <v>956</v>
      </c>
      <c r="B2850" t="s">
        <v>957</v>
      </c>
      <c r="C2850" t="s">
        <v>331</v>
      </c>
      <c r="D2850" t="str">
        <f>VLOOKUP(C2850,'lookup table'!$A$2:$B$19,2,FALSE)</f>
        <v>FS Item</v>
      </c>
      <c r="E2850" t="str">
        <f t="shared" si="44"/>
        <v>AL080_00|FS Item</v>
      </c>
    </row>
    <row r="2851" spans="1:5" x14ac:dyDescent="0.2">
      <c r="A2851" t="s">
        <v>956</v>
      </c>
      <c r="B2851" t="s">
        <v>957</v>
      </c>
      <c r="C2851" t="s">
        <v>423</v>
      </c>
      <c r="D2851" t="str">
        <f>VLOOKUP(C2851,'lookup table'!$A$2:$B$19,2,FALSE)</f>
        <v>ignore</v>
      </c>
      <c r="E2851" t="str">
        <f t="shared" si="44"/>
        <v>AL080_00|ignore</v>
      </c>
    </row>
    <row r="2852" spans="1:5" x14ac:dyDescent="0.2">
      <c r="A2852" t="s">
        <v>956</v>
      </c>
      <c r="B2852" t="s">
        <v>957</v>
      </c>
      <c r="C2852" t="s">
        <v>438</v>
      </c>
      <c r="D2852" t="str">
        <f>VLOOKUP(C2852,'lookup table'!$A$2:$B$19,2,FALSE)</f>
        <v>ToM</v>
      </c>
      <c r="E2852" t="str">
        <f t="shared" si="44"/>
        <v>AL080_00|ToM</v>
      </c>
    </row>
    <row r="2853" spans="1:5" x14ac:dyDescent="0.2">
      <c r="A2853" t="s">
        <v>958</v>
      </c>
      <c r="B2853" t="s">
        <v>959</v>
      </c>
      <c r="C2853" t="s">
        <v>20</v>
      </c>
      <c r="D2853" t="str">
        <f>VLOOKUP(C2853,'lookup table'!$A$2:$B$19,2,FALSE)</f>
        <v>AY</v>
      </c>
      <c r="E2853" t="str">
        <f t="shared" si="44"/>
        <v>AL082_00|AY</v>
      </c>
    </row>
    <row r="2854" spans="1:5" x14ac:dyDescent="0.2">
      <c r="A2854" t="s">
        <v>958</v>
      </c>
      <c r="B2854" t="s">
        <v>959</v>
      </c>
      <c r="C2854" t="s">
        <v>331</v>
      </c>
      <c r="D2854" t="str">
        <f>VLOOKUP(C2854,'lookup table'!$A$2:$B$19,2,FALSE)</f>
        <v>FS Item</v>
      </c>
      <c r="E2854" t="str">
        <f t="shared" si="44"/>
        <v>AL082_00|FS Item</v>
      </c>
    </row>
    <row r="2855" spans="1:5" x14ac:dyDescent="0.2">
      <c r="A2855" t="s">
        <v>958</v>
      </c>
      <c r="B2855" t="s">
        <v>959</v>
      </c>
      <c r="C2855" t="s">
        <v>423</v>
      </c>
      <c r="D2855" t="str">
        <f>VLOOKUP(C2855,'lookup table'!$A$2:$B$19,2,FALSE)</f>
        <v>ignore</v>
      </c>
      <c r="E2855" t="str">
        <f t="shared" si="44"/>
        <v>AL082_00|ignore</v>
      </c>
    </row>
    <row r="2856" spans="1:5" x14ac:dyDescent="0.2">
      <c r="A2856" t="s">
        <v>958</v>
      </c>
      <c r="B2856" t="s">
        <v>959</v>
      </c>
      <c r="C2856" t="s">
        <v>428</v>
      </c>
      <c r="D2856" t="str">
        <f>VLOOKUP(C2856,'lookup table'!$A$2:$B$19,2,FALSE)</f>
        <v>LoB</v>
      </c>
      <c r="E2856" t="str">
        <f t="shared" si="44"/>
        <v>AL082_00|LoB</v>
      </c>
    </row>
    <row r="2857" spans="1:5" x14ac:dyDescent="0.2">
      <c r="A2857" t="s">
        <v>958</v>
      </c>
      <c r="B2857" t="s">
        <v>959</v>
      </c>
      <c r="C2857" t="s">
        <v>438</v>
      </c>
      <c r="D2857" t="str">
        <f>VLOOKUP(C2857,'lookup table'!$A$2:$B$19,2,FALSE)</f>
        <v>ToM</v>
      </c>
      <c r="E2857" t="str">
        <f t="shared" si="44"/>
        <v>AL082_00|ToM</v>
      </c>
    </row>
    <row r="2858" spans="1:5" x14ac:dyDescent="0.2">
      <c r="A2858" t="s">
        <v>958</v>
      </c>
      <c r="B2858" t="s">
        <v>959</v>
      </c>
      <c r="C2858" t="s">
        <v>442</v>
      </c>
      <c r="D2858" t="str">
        <f>VLOOKUP(C2858,'lookup table'!$A$2:$B$19,2,FALSE)</f>
        <v>Partner Unit</v>
      </c>
      <c r="E2858" t="str">
        <f t="shared" si="44"/>
        <v>AL082_00|Partner Unit</v>
      </c>
    </row>
    <row r="2859" spans="1:5" x14ac:dyDescent="0.2">
      <c r="A2859" t="s">
        <v>960</v>
      </c>
      <c r="B2859" t="s">
        <v>961</v>
      </c>
      <c r="C2859" t="s">
        <v>20</v>
      </c>
      <c r="D2859" t="str">
        <f>VLOOKUP(C2859,'lookup table'!$A$2:$B$19,2,FALSE)</f>
        <v>AY</v>
      </c>
      <c r="E2859" t="str">
        <f t="shared" si="44"/>
        <v>AL082_17|AY</v>
      </c>
    </row>
    <row r="2860" spans="1:5" x14ac:dyDescent="0.2">
      <c r="A2860" t="s">
        <v>960</v>
      </c>
      <c r="B2860" t="s">
        <v>961</v>
      </c>
      <c r="C2860" t="s">
        <v>331</v>
      </c>
      <c r="D2860" t="str">
        <f>VLOOKUP(C2860,'lookup table'!$A$2:$B$19,2,FALSE)</f>
        <v>FS Item</v>
      </c>
      <c r="E2860" t="str">
        <f t="shared" si="44"/>
        <v>AL082_17|FS Item</v>
      </c>
    </row>
    <row r="2861" spans="1:5" x14ac:dyDescent="0.2">
      <c r="A2861" t="s">
        <v>960</v>
      </c>
      <c r="B2861" t="s">
        <v>961</v>
      </c>
      <c r="C2861" t="s">
        <v>423</v>
      </c>
      <c r="D2861" t="str">
        <f>VLOOKUP(C2861,'lookup table'!$A$2:$B$19,2,FALSE)</f>
        <v>ignore</v>
      </c>
      <c r="E2861" t="str">
        <f t="shared" si="44"/>
        <v>AL082_17|ignore</v>
      </c>
    </row>
    <row r="2862" spans="1:5" x14ac:dyDescent="0.2">
      <c r="A2862" t="s">
        <v>960</v>
      </c>
      <c r="B2862" t="s">
        <v>961</v>
      </c>
      <c r="C2862" t="s">
        <v>428</v>
      </c>
      <c r="D2862" t="str">
        <f>VLOOKUP(C2862,'lookup table'!$A$2:$B$19,2,FALSE)</f>
        <v>LoB</v>
      </c>
      <c r="E2862" t="str">
        <f t="shared" si="44"/>
        <v>AL082_17|LoB</v>
      </c>
    </row>
    <row r="2863" spans="1:5" x14ac:dyDescent="0.2">
      <c r="A2863" t="s">
        <v>960</v>
      </c>
      <c r="B2863" t="s">
        <v>961</v>
      </c>
      <c r="C2863" t="s">
        <v>438</v>
      </c>
      <c r="D2863" t="str">
        <f>VLOOKUP(C2863,'lookup table'!$A$2:$B$19,2,FALSE)</f>
        <v>ToM</v>
      </c>
      <c r="E2863" t="str">
        <f t="shared" si="44"/>
        <v>AL082_17|ToM</v>
      </c>
    </row>
    <row r="2864" spans="1:5" x14ac:dyDescent="0.2">
      <c r="A2864" t="s">
        <v>960</v>
      </c>
      <c r="B2864" t="s">
        <v>961</v>
      </c>
      <c r="C2864" t="s">
        <v>442</v>
      </c>
      <c r="D2864" t="str">
        <f>VLOOKUP(C2864,'lookup table'!$A$2:$B$19,2,FALSE)</f>
        <v>Partner Unit</v>
      </c>
      <c r="E2864" t="str">
        <f t="shared" si="44"/>
        <v>AL082_17|Partner Unit</v>
      </c>
    </row>
    <row r="2865" spans="1:5" x14ac:dyDescent="0.2">
      <c r="A2865" t="s">
        <v>962</v>
      </c>
      <c r="B2865" t="s">
        <v>963</v>
      </c>
      <c r="C2865" t="s">
        <v>20</v>
      </c>
      <c r="D2865" t="str">
        <f>VLOOKUP(C2865,'lookup table'!$A$2:$B$19,2,FALSE)</f>
        <v>AY</v>
      </c>
      <c r="E2865" t="str">
        <f t="shared" si="44"/>
        <v>AL082_60|AY</v>
      </c>
    </row>
    <row r="2866" spans="1:5" x14ac:dyDescent="0.2">
      <c r="A2866" t="s">
        <v>962</v>
      </c>
      <c r="B2866" t="s">
        <v>963</v>
      </c>
      <c r="C2866" t="s">
        <v>331</v>
      </c>
      <c r="D2866" t="str">
        <f>VLOOKUP(C2866,'lookup table'!$A$2:$B$19,2,FALSE)</f>
        <v>FS Item</v>
      </c>
      <c r="E2866" t="str">
        <f t="shared" si="44"/>
        <v>AL082_60|FS Item</v>
      </c>
    </row>
    <row r="2867" spans="1:5" x14ac:dyDescent="0.2">
      <c r="A2867" t="s">
        <v>962</v>
      </c>
      <c r="B2867" t="s">
        <v>963</v>
      </c>
      <c r="C2867" t="s">
        <v>423</v>
      </c>
      <c r="D2867" t="str">
        <f>VLOOKUP(C2867,'lookup table'!$A$2:$B$19,2,FALSE)</f>
        <v>ignore</v>
      </c>
      <c r="E2867" t="str">
        <f t="shared" si="44"/>
        <v>AL082_60|ignore</v>
      </c>
    </row>
    <row r="2868" spans="1:5" x14ac:dyDescent="0.2">
      <c r="A2868" t="s">
        <v>962</v>
      </c>
      <c r="B2868" t="s">
        <v>963</v>
      </c>
      <c r="C2868" t="s">
        <v>428</v>
      </c>
      <c r="D2868" t="str">
        <f>VLOOKUP(C2868,'lookup table'!$A$2:$B$19,2,FALSE)</f>
        <v>LoB</v>
      </c>
      <c r="E2868" t="str">
        <f t="shared" si="44"/>
        <v>AL082_60|LoB</v>
      </c>
    </row>
    <row r="2869" spans="1:5" x14ac:dyDescent="0.2">
      <c r="A2869" t="s">
        <v>962</v>
      </c>
      <c r="B2869" t="s">
        <v>963</v>
      </c>
      <c r="C2869" t="s">
        <v>438</v>
      </c>
      <c r="D2869" t="str">
        <f>VLOOKUP(C2869,'lookup table'!$A$2:$B$19,2,FALSE)</f>
        <v>ToM</v>
      </c>
      <c r="E2869" t="str">
        <f t="shared" si="44"/>
        <v>AL082_60|ToM</v>
      </c>
    </row>
    <row r="2870" spans="1:5" x14ac:dyDescent="0.2">
      <c r="A2870" t="s">
        <v>962</v>
      </c>
      <c r="B2870" t="s">
        <v>963</v>
      </c>
      <c r="C2870" t="s">
        <v>442</v>
      </c>
      <c r="D2870" t="str">
        <f>VLOOKUP(C2870,'lookup table'!$A$2:$B$19,2,FALSE)</f>
        <v>Partner Unit</v>
      </c>
      <c r="E2870" t="str">
        <f t="shared" si="44"/>
        <v>AL082_60|Partner Unit</v>
      </c>
    </row>
    <row r="2871" spans="1:5" x14ac:dyDescent="0.2">
      <c r="A2871" t="s">
        <v>964</v>
      </c>
      <c r="B2871" t="s">
        <v>965</v>
      </c>
      <c r="C2871" t="s">
        <v>331</v>
      </c>
      <c r="D2871" t="str">
        <f>VLOOKUP(C2871,'lookup table'!$A$2:$B$19,2,FALSE)</f>
        <v>FS Item</v>
      </c>
      <c r="E2871" t="str">
        <f t="shared" si="44"/>
        <v>AL083_00|FS Item</v>
      </c>
    </row>
    <row r="2872" spans="1:5" x14ac:dyDescent="0.2">
      <c r="A2872" t="s">
        <v>964</v>
      </c>
      <c r="B2872" t="s">
        <v>965</v>
      </c>
      <c r="C2872" t="s">
        <v>423</v>
      </c>
      <c r="D2872" t="str">
        <f>VLOOKUP(C2872,'lookup table'!$A$2:$B$19,2,FALSE)</f>
        <v>ignore</v>
      </c>
      <c r="E2872" t="str">
        <f t="shared" si="44"/>
        <v>AL083_00|ignore</v>
      </c>
    </row>
    <row r="2873" spans="1:5" x14ac:dyDescent="0.2">
      <c r="A2873" t="s">
        <v>964</v>
      </c>
      <c r="B2873" t="s">
        <v>965</v>
      </c>
      <c r="C2873" t="s">
        <v>428</v>
      </c>
      <c r="D2873" t="str">
        <f>VLOOKUP(C2873,'lookup table'!$A$2:$B$19,2,FALSE)</f>
        <v>LoB</v>
      </c>
      <c r="E2873" t="str">
        <f t="shared" si="44"/>
        <v>AL083_00|LoB</v>
      </c>
    </row>
    <row r="2874" spans="1:5" x14ac:dyDescent="0.2">
      <c r="A2874" t="s">
        <v>964</v>
      </c>
      <c r="B2874" t="s">
        <v>965</v>
      </c>
      <c r="C2874" t="s">
        <v>438</v>
      </c>
      <c r="D2874" t="str">
        <f>VLOOKUP(C2874,'lookup table'!$A$2:$B$19,2,FALSE)</f>
        <v>ToM</v>
      </c>
      <c r="E2874" t="str">
        <f t="shared" si="44"/>
        <v>AL083_00|ToM</v>
      </c>
    </row>
    <row r="2875" spans="1:5" x14ac:dyDescent="0.2">
      <c r="A2875" t="s">
        <v>964</v>
      </c>
      <c r="B2875" t="s">
        <v>965</v>
      </c>
      <c r="C2875" t="s">
        <v>441</v>
      </c>
      <c r="D2875" t="str">
        <f>VLOOKUP(C2875,'lookup table'!$A$2:$B$19,2,FALSE)</f>
        <v>Partner Segment</v>
      </c>
      <c r="E2875" t="str">
        <f t="shared" si="44"/>
        <v>AL083_00|Partner Segment</v>
      </c>
    </row>
    <row r="2876" spans="1:5" x14ac:dyDescent="0.2">
      <c r="A2876" t="s">
        <v>964</v>
      </c>
      <c r="B2876" t="s">
        <v>965</v>
      </c>
      <c r="C2876" t="s">
        <v>442</v>
      </c>
      <c r="D2876" t="str">
        <f>VLOOKUP(C2876,'lookup table'!$A$2:$B$19,2,FALSE)</f>
        <v>Partner Unit</v>
      </c>
      <c r="E2876" t="str">
        <f t="shared" si="44"/>
        <v>AL083_00|Partner Unit</v>
      </c>
    </row>
    <row r="2877" spans="1:5" x14ac:dyDescent="0.2">
      <c r="A2877" t="s">
        <v>966</v>
      </c>
      <c r="B2877" t="s">
        <v>967</v>
      </c>
      <c r="C2877" t="s">
        <v>136</v>
      </c>
      <c r="D2877" t="str">
        <f>VLOOKUP(C2877,'lookup table'!$A$2:$B$19,2,FALSE)</f>
        <v>BBA Set</v>
      </c>
      <c r="E2877" t="str">
        <f t="shared" si="44"/>
        <v>AL083_17|BBA Set</v>
      </c>
    </row>
    <row r="2878" spans="1:5" x14ac:dyDescent="0.2">
      <c r="A2878" t="s">
        <v>968</v>
      </c>
      <c r="B2878" t="s">
        <v>969</v>
      </c>
      <c r="C2878" t="s">
        <v>331</v>
      </c>
      <c r="D2878" t="str">
        <f>VLOOKUP(C2878,'lookup table'!$A$2:$B$19,2,FALSE)</f>
        <v>FS Item</v>
      </c>
      <c r="E2878" t="str">
        <f t="shared" si="44"/>
        <v>AL083_60|FS Item</v>
      </c>
    </row>
    <row r="2879" spans="1:5" x14ac:dyDescent="0.2">
      <c r="A2879" t="s">
        <v>968</v>
      </c>
      <c r="B2879" t="s">
        <v>969</v>
      </c>
      <c r="C2879" t="s">
        <v>423</v>
      </c>
      <c r="D2879" t="str">
        <f>VLOOKUP(C2879,'lookup table'!$A$2:$B$19,2,FALSE)</f>
        <v>ignore</v>
      </c>
      <c r="E2879" t="str">
        <f t="shared" si="44"/>
        <v>AL083_60|ignore</v>
      </c>
    </row>
    <row r="2880" spans="1:5" x14ac:dyDescent="0.2">
      <c r="A2880" t="s">
        <v>968</v>
      </c>
      <c r="B2880" t="s">
        <v>969</v>
      </c>
      <c r="C2880" t="s">
        <v>428</v>
      </c>
      <c r="D2880" t="str">
        <f>VLOOKUP(C2880,'lookup table'!$A$2:$B$19,2,FALSE)</f>
        <v>LoB</v>
      </c>
      <c r="E2880" t="str">
        <f t="shared" si="44"/>
        <v>AL083_60|LoB</v>
      </c>
    </row>
    <row r="2881" spans="1:5" x14ac:dyDescent="0.2">
      <c r="A2881" t="s">
        <v>968</v>
      </c>
      <c r="B2881" t="s">
        <v>969</v>
      </c>
      <c r="C2881" t="s">
        <v>438</v>
      </c>
      <c r="D2881" t="str">
        <f>VLOOKUP(C2881,'lookup table'!$A$2:$B$19,2,FALSE)</f>
        <v>ToM</v>
      </c>
      <c r="E2881" t="str">
        <f t="shared" si="44"/>
        <v>AL083_60|ToM</v>
      </c>
    </row>
    <row r="2882" spans="1:5" x14ac:dyDescent="0.2">
      <c r="A2882" t="s">
        <v>968</v>
      </c>
      <c r="B2882" t="s">
        <v>969</v>
      </c>
      <c r="C2882" t="s">
        <v>441</v>
      </c>
      <c r="D2882" t="str">
        <f>VLOOKUP(C2882,'lookup table'!$A$2:$B$19,2,FALSE)</f>
        <v>Partner Segment</v>
      </c>
      <c r="E2882" t="str">
        <f t="shared" si="44"/>
        <v>AL083_60|Partner Segment</v>
      </c>
    </row>
    <row r="2883" spans="1:5" x14ac:dyDescent="0.2">
      <c r="A2883" t="s">
        <v>968</v>
      </c>
      <c r="B2883" t="s">
        <v>969</v>
      </c>
      <c r="C2883" t="s">
        <v>442</v>
      </c>
      <c r="D2883" t="str">
        <f>VLOOKUP(C2883,'lookup table'!$A$2:$B$19,2,FALSE)</f>
        <v>Partner Unit</v>
      </c>
      <c r="E2883" t="str">
        <f t="shared" ref="E2883:E2946" si="45">IF(ISNA(D2883),"",IF(A2883="","",A2883) &amp; "|" &amp; D2883)</f>
        <v>AL083_60|Partner Unit</v>
      </c>
    </row>
    <row r="2884" spans="1:5" x14ac:dyDescent="0.2">
      <c r="A2884" t="s">
        <v>968</v>
      </c>
      <c r="B2884" t="s">
        <v>969</v>
      </c>
      <c r="C2884" t="s">
        <v>451</v>
      </c>
      <c r="D2884" t="str">
        <f>VLOOKUP(C2884,'lookup table'!$A$2:$B$19,2,FALSE)</f>
        <v>Segment</v>
      </c>
      <c r="E2884" t="str">
        <f t="shared" si="45"/>
        <v>AL083_60|Segment</v>
      </c>
    </row>
    <row r="2885" spans="1:5" x14ac:dyDescent="0.2">
      <c r="A2885" t="s">
        <v>970</v>
      </c>
      <c r="B2885" t="s">
        <v>971</v>
      </c>
      <c r="C2885" t="s">
        <v>331</v>
      </c>
      <c r="D2885" t="str">
        <f>VLOOKUP(C2885,'lookup table'!$A$2:$B$19,2,FALSE)</f>
        <v>FS Item</v>
      </c>
      <c r="E2885" t="str">
        <f t="shared" si="45"/>
        <v>AL084_00|FS Item</v>
      </c>
    </row>
    <row r="2886" spans="1:5" x14ac:dyDescent="0.2">
      <c r="A2886" t="s">
        <v>970</v>
      </c>
      <c r="B2886" t="s">
        <v>971</v>
      </c>
      <c r="C2886" t="s">
        <v>423</v>
      </c>
      <c r="D2886" t="str">
        <f>VLOOKUP(C2886,'lookup table'!$A$2:$B$19,2,FALSE)</f>
        <v>ignore</v>
      </c>
      <c r="E2886" t="str">
        <f t="shared" si="45"/>
        <v>AL084_00|ignore</v>
      </c>
    </row>
    <row r="2887" spans="1:5" x14ac:dyDescent="0.2">
      <c r="A2887" t="s">
        <v>970</v>
      </c>
      <c r="B2887" t="s">
        <v>971</v>
      </c>
      <c r="C2887" t="s">
        <v>438</v>
      </c>
      <c r="D2887" t="str">
        <f>VLOOKUP(C2887,'lookup table'!$A$2:$B$19,2,FALSE)</f>
        <v>ToM</v>
      </c>
      <c r="E2887" t="str">
        <f t="shared" si="45"/>
        <v>AL084_00|ToM</v>
      </c>
    </row>
    <row r="2888" spans="1:5" x14ac:dyDescent="0.2">
      <c r="A2888" t="s">
        <v>972</v>
      </c>
      <c r="B2888" t="s">
        <v>973</v>
      </c>
      <c r="C2888" t="s">
        <v>331</v>
      </c>
      <c r="D2888" t="str">
        <f>VLOOKUP(C2888,'lookup table'!$A$2:$B$19,2,FALSE)</f>
        <v>FS Item</v>
      </c>
      <c r="E2888" t="str">
        <f t="shared" si="45"/>
        <v>AL084_09|FS Item</v>
      </c>
    </row>
    <row r="2889" spans="1:5" x14ac:dyDescent="0.2">
      <c r="A2889" t="s">
        <v>972</v>
      </c>
      <c r="B2889" t="s">
        <v>973</v>
      </c>
      <c r="C2889" t="s">
        <v>423</v>
      </c>
      <c r="D2889" t="str">
        <f>VLOOKUP(C2889,'lookup table'!$A$2:$B$19,2,FALSE)</f>
        <v>ignore</v>
      </c>
      <c r="E2889" t="str">
        <f t="shared" si="45"/>
        <v>AL084_09|ignore</v>
      </c>
    </row>
    <row r="2890" spans="1:5" x14ac:dyDescent="0.2">
      <c r="A2890" t="s">
        <v>972</v>
      </c>
      <c r="B2890" t="s">
        <v>973</v>
      </c>
      <c r="C2890" t="s">
        <v>438</v>
      </c>
      <c r="D2890" t="str">
        <f>VLOOKUP(C2890,'lookup table'!$A$2:$B$19,2,FALSE)</f>
        <v>ToM</v>
      </c>
      <c r="E2890" t="str">
        <f t="shared" si="45"/>
        <v>AL084_09|ToM</v>
      </c>
    </row>
    <row r="2891" spans="1:5" x14ac:dyDescent="0.2">
      <c r="A2891" t="s">
        <v>974</v>
      </c>
      <c r="B2891" t="s">
        <v>975</v>
      </c>
      <c r="C2891" t="s">
        <v>331</v>
      </c>
      <c r="D2891" t="str">
        <f>VLOOKUP(C2891,'lookup table'!$A$2:$B$19,2,FALSE)</f>
        <v>FS Item</v>
      </c>
      <c r="E2891" t="str">
        <f t="shared" si="45"/>
        <v>AL084_60|FS Item</v>
      </c>
    </row>
    <row r="2892" spans="1:5" x14ac:dyDescent="0.2">
      <c r="A2892" t="s">
        <v>974</v>
      </c>
      <c r="B2892" t="s">
        <v>975</v>
      </c>
      <c r="C2892" t="s">
        <v>423</v>
      </c>
      <c r="D2892" t="str">
        <f>VLOOKUP(C2892,'lookup table'!$A$2:$B$19,2,FALSE)</f>
        <v>ignore</v>
      </c>
      <c r="E2892" t="str">
        <f t="shared" si="45"/>
        <v>AL084_60|ignore</v>
      </c>
    </row>
    <row r="2893" spans="1:5" x14ac:dyDescent="0.2">
      <c r="A2893" t="s">
        <v>974</v>
      </c>
      <c r="B2893" t="s">
        <v>975</v>
      </c>
      <c r="C2893" t="s">
        <v>438</v>
      </c>
      <c r="D2893" t="str">
        <f>VLOOKUP(C2893,'lookup table'!$A$2:$B$19,2,FALSE)</f>
        <v>ToM</v>
      </c>
      <c r="E2893" t="str">
        <f t="shared" si="45"/>
        <v>AL084_60|ToM</v>
      </c>
    </row>
    <row r="2894" spans="1:5" x14ac:dyDescent="0.2">
      <c r="A2894" t="s">
        <v>976</v>
      </c>
      <c r="B2894" t="s">
        <v>977</v>
      </c>
      <c r="C2894" t="s">
        <v>14</v>
      </c>
      <c r="D2894" t="str">
        <f>VLOOKUP(C2894,'lookup table'!$A$2:$B$19,2,FALSE)</f>
        <v>ALC</v>
      </c>
      <c r="E2894" t="str">
        <f t="shared" si="45"/>
        <v>AL085_00|ALC</v>
      </c>
    </row>
    <row r="2895" spans="1:5" x14ac:dyDescent="0.2">
      <c r="A2895" t="s">
        <v>976</v>
      </c>
      <c r="B2895" t="s">
        <v>977</v>
      </c>
      <c r="C2895" t="s">
        <v>20</v>
      </c>
      <c r="D2895" t="str">
        <f>VLOOKUP(C2895,'lookup table'!$A$2:$B$19,2,FALSE)</f>
        <v>AY</v>
      </c>
      <c r="E2895" t="str">
        <f t="shared" si="45"/>
        <v>AL085_00|AY</v>
      </c>
    </row>
    <row r="2896" spans="1:5" x14ac:dyDescent="0.2">
      <c r="A2896" t="s">
        <v>976</v>
      </c>
      <c r="B2896" t="s">
        <v>977</v>
      </c>
      <c r="C2896" t="s">
        <v>331</v>
      </c>
      <c r="D2896" t="str">
        <f>VLOOKUP(C2896,'lookup table'!$A$2:$B$19,2,FALSE)</f>
        <v>FS Item</v>
      </c>
      <c r="E2896" t="str">
        <f t="shared" si="45"/>
        <v>AL085_00|FS Item</v>
      </c>
    </row>
    <row r="2897" spans="1:5" x14ac:dyDescent="0.2">
      <c r="A2897" t="s">
        <v>976</v>
      </c>
      <c r="B2897" t="s">
        <v>977</v>
      </c>
      <c r="C2897" t="s">
        <v>423</v>
      </c>
      <c r="D2897" t="str">
        <f>VLOOKUP(C2897,'lookup table'!$A$2:$B$19,2,FALSE)</f>
        <v>ignore</v>
      </c>
      <c r="E2897" t="str">
        <f t="shared" si="45"/>
        <v>AL085_00|ignore</v>
      </c>
    </row>
    <row r="2898" spans="1:5" x14ac:dyDescent="0.2">
      <c r="A2898" t="s">
        <v>976</v>
      </c>
      <c r="B2898" t="s">
        <v>977</v>
      </c>
      <c r="C2898" t="s">
        <v>424</v>
      </c>
      <c r="D2898" t="str">
        <f>VLOOKUP(C2898,'lookup table'!$A$2:$B$19,2,FALSE)</f>
        <v>GRC</v>
      </c>
      <c r="E2898" t="str">
        <f t="shared" si="45"/>
        <v>AL085_00|GRC</v>
      </c>
    </row>
    <row r="2899" spans="1:5" x14ac:dyDescent="0.2">
      <c r="A2899" t="s">
        <v>976</v>
      </c>
      <c r="B2899" t="s">
        <v>977</v>
      </c>
      <c r="C2899" t="s">
        <v>428</v>
      </c>
      <c r="D2899" t="str">
        <f>VLOOKUP(C2899,'lookup table'!$A$2:$B$19,2,FALSE)</f>
        <v>LoB</v>
      </c>
      <c r="E2899" t="str">
        <f t="shared" si="45"/>
        <v>AL085_00|LoB</v>
      </c>
    </row>
    <row r="2900" spans="1:5" x14ac:dyDescent="0.2">
      <c r="A2900" t="s">
        <v>976</v>
      </c>
      <c r="B2900" t="s">
        <v>977</v>
      </c>
      <c r="C2900" t="s">
        <v>436</v>
      </c>
      <c r="D2900" t="str">
        <f>VLOOKUP(C2900,'lookup table'!$A$2:$B$19,2,FALSE)</f>
        <v>MAT</v>
      </c>
      <c r="E2900" t="str">
        <f t="shared" si="45"/>
        <v>AL085_00|MAT</v>
      </c>
    </row>
    <row r="2901" spans="1:5" x14ac:dyDescent="0.2">
      <c r="A2901" t="s">
        <v>976</v>
      </c>
      <c r="B2901" t="s">
        <v>977</v>
      </c>
      <c r="C2901" t="s">
        <v>438</v>
      </c>
      <c r="D2901" t="str">
        <f>VLOOKUP(C2901,'lookup table'!$A$2:$B$19,2,FALSE)</f>
        <v>ToM</v>
      </c>
      <c r="E2901" t="str">
        <f t="shared" si="45"/>
        <v>AL085_00|ToM</v>
      </c>
    </row>
    <row r="2902" spans="1:5" x14ac:dyDescent="0.2">
      <c r="A2902" t="s">
        <v>976</v>
      </c>
      <c r="B2902" t="s">
        <v>977</v>
      </c>
      <c r="C2902" t="s">
        <v>441</v>
      </c>
      <c r="D2902" t="str">
        <f>VLOOKUP(C2902,'lookup table'!$A$2:$B$19,2,FALSE)</f>
        <v>Partner Segment</v>
      </c>
      <c r="E2902" t="str">
        <f t="shared" si="45"/>
        <v>AL085_00|Partner Segment</v>
      </c>
    </row>
    <row r="2903" spans="1:5" x14ac:dyDescent="0.2">
      <c r="A2903" t="s">
        <v>976</v>
      </c>
      <c r="B2903" t="s">
        <v>977</v>
      </c>
      <c r="C2903" t="s">
        <v>442</v>
      </c>
      <c r="D2903" t="str">
        <f>VLOOKUP(C2903,'lookup table'!$A$2:$B$19,2,FALSE)</f>
        <v>Partner Unit</v>
      </c>
      <c r="E2903" t="str">
        <f t="shared" si="45"/>
        <v>AL085_00|Partner Unit</v>
      </c>
    </row>
    <row r="2904" spans="1:5" x14ac:dyDescent="0.2">
      <c r="A2904" t="s">
        <v>976</v>
      </c>
      <c r="B2904" t="s">
        <v>977</v>
      </c>
      <c r="C2904" t="s">
        <v>447</v>
      </c>
      <c r="D2904" t="str">
        <f>VLOOKUP(C2904,'lookup table'!$A$2:$B$19,2,FALSE)</f>
        <v>REX</v>
      </c>
      <c r="E2904" t="str">
        <f t="shared" si="45"/>
        <v>AL085_00|REX</v>
      </c>
    </row>
    <row r="2905" spans="1:5" x14ac:dyDescent="0.2">
      <c r="A2905" t="s">
        <v>976</v>
      </c>
      <c r="B2905" t="s">
        <v>977</v>
      </c>
      <c r="C2905" t="s">
        <v>457</v>
      </c>
      <c r="D2905" t="str">
        <f>VLOOKUP(C2905,'lookup table'!$A$2:$B$19,2,FALSE)</f>
        <v>VLT</v>
      </c>
      <c r="E2905" t="str">
        <f t="shared" si="45"/>
        <v>AL085_00|VLT</v>
      </c>
    </row>
    <row r="2906" spans="1:5" x14ac:dyDescent="0.2">
      <c r="A2906" t="s">
        <v>976</v>
      </c>
      <c r="B2906" t="s">
        <v>977</v>
      </c>
      <c r="C2906" t="s">
        <v>458</v>
      </c>
      <c r="D2906" t="str">
        <f>VLOOKUP(C2906,'lookup table'!$A$2:$B$19,2,FALSE)</f>
        <v>VAR</v>
      </c>
      <c r="E2906" t="str">
        <f t="shared" si="45"/>
        <v>AL085_00|VAR</v>
      </c>
    </row>
    <row r="2907" spans="1:5" x14ac:dyDescent="0.2">
      <c r="A2907" t="s">
        <v>978</v>
      </c>
      <c r="B2907" t="s">
        <v>977</v>
      </c>
      <c r="C2907" t="s">
        <v>331</v>
      </c>
      <c r="D2907" t="str">
        <f>VLOOKUP(C2907,'lookup table'!$A$2:$B$19,2,FALSE)</f>
        <v>FS Item</v>
      </c>
      <c r="E2907" t="str">
        <f t="shared" si="45"/>
        <v>AL085_02|FS Item</v>
      </c>
    </row>
    <row r="2908" spans="1:5" x14ac:dyDescent="0.2">
      <c r="A2908" t="s">
        <v>978</v>
      </c>
      <c r="B2908" t="s">
        <v>977</v>
      </c>
      <c r="C2908" t="s">
        <v>423</v>
      </c>
      <c r="D2908" t="str">
        <f>VLOOKUP(C2908,'lookup table'!$A$2:$B$19,2,FALSE)</f>
        <v>ignore</v>
      </c>
      <c r="E2908" t="str">
        <f t="shared" si="45"/>
        <v>AL085_02|ignore</v>
      </c>
    </row>
    <row r="2909" spans="1:5" x14ac:dyDescent="0.2">
      <c r="A2909" t="s">
        <v>978</v>
      </c>
      <c r="B2909" t="s">
        <v>977</v>
      </c>
      <c r="C2909" t="s">
        <v>438</v>
      </c>
      <c r="D2909" t="str">
        <f>VLOOKUP(C2909,'lookup table'!$A$2:$B$19,2,FALSE)</f>
        <v>ToM</v>
      </c>
      <c r="E2909" t="str">
        <f t="shared" si="45"/>
        <v>AL085_02|ToM</v>
      </c>
    </row>
    <row r="2910" spans="1:5" x14ac:dyDescent="0.2">
      <c r="A2910" t="s">
        <v>979</v>
      </c>
      <c r="B2910" t="s">
        <v>980</v>
      </c>
      <c r="C2910" t="s">
        <v>20</v>
      </c>
      <c r="D2910" t="str">
        <f>VLOOKUP(C2910,'lookup table'!$A$2:$B$19,2,FALSE)</f>
        <v>AY</v>
      </c>
      <c r="E2910" t="str">
        <f t="shared" si="45"/>
        <v>AL086_00|AY</v>
      </c>
    </row>
    <row r="2911" spans="1:5" x14ac:dyDescent="0.2">
      <c r="A2911" t="s">
        <v>979</v>
      </c>
      <c r="B2911" t="s">
        <v>980</v>
      </c>
      <c r="C2911" t="s">
        <v>331</v>
      </c>
      <c r="D2911" t="str">
        <f>VLOOKUP(C2911,'lookup table'!$A$2:$B$19,2,FALSE)</f>
        <v>FS Item</v>
      </c>
      <c r="E2911" t="str">
        <f t="shared" si="45"/>
        <v>AL086_00|FS Item</v>
      </c>
    </row>
    <row r="2912" spans="1:5" x14ac:dyDescent="0.2">
      <c r="A2912" t="s">
        <v>979</v>
      </c>
      <c r="B2912" t="s">
        <v>980</v>
      </c>
      <c r="C2912" t="s">
        <v>423</v>
      </c>
      <c r="D2912" t="str">
        <f>VLOOKUP(C2912,'lookup table'!$A$2:$B$19,2,FALSE)</f>
        <v>ignore</v>
      </c>
      <c r="E2912" t="str">
        <f t="shared" si="45"/>
        <v>AL086_00|ignore</v>
      </c>
    </row>
    <row r="2913" spans="1:5" x14ac:dyDescent="0.2">
      <c r="A2913" t="s">
        <v>979</v>
      </c>
      <c r="B2913" t="s">
        <v>980</v>
      </c>
      <c r="C2913" t="s">
        <v>428</v>
      </c>
      <c r="D2913" t="str">
        <f>VLOOKUP(C2913,'lookup table'!$A$2:$B$19,2,FALSE)</f>
        <v>LoB</v>
      </c>
      <c r="E2913" t="str">
        <f t="shared" si="45"/>
        <v>AL086_00|LoB</v>
      </c>
    </row>
    <row r="2914" spans="1:5" x14ac:dyDescent="0.2">
      <c r="A2914" t="s">
        <v>979</v>
      </c>
      <c r="B2914" t="s">
        <v>980</v>
      </c>
      <c r="C2914" t="s">
        <v>438</v>
      </c>
      <c r="D2914" t="str">
        <f>VLOOKUP(C2914,'lookup table'!$A$2:$B$19,2,FALSE)</f>
        <v>ToM</v>
      </c>
      <c r="E2914" t="str">
        <f t="shared" si="45"/>
        <v>AL086_00|ToM</v>
      </c>
    </row>
    <row r="2915" spans="1:5" x14ac:dyDescent="0.2">
      <c r="A2915" t="s">
        <v>979</v>
      </c>
      <c r="B2915" t="s">
        <v>980</v>
      </c>
      <c r="C2915" t="s">
        <v>441</v>
      </c>
      <c r="D2915" t="str">
        <f>VLOOKUP(C2915,'lookup table'!$A$2:$B$19,2,FALSE)</f>
        <v>Partner Segment</v>
      </c>
      <c r="E2915" t="str">
        <f t="shared" si="45"/>
        <v>AL086_00|Partner Segment</v>
      </c>
    </row>
    <row r="2916" spans="1:5" x14ac:dyDescent="0.2">
      <c r="A2916" t="s">
        <v>979</v>
      </c>
      <c r="B2916" t="s">
        <v>980</v>
      </c>
      <c r="C2916" t="s">
        <v>442</v>
      </c>
      <c r="D2916" t="str">
        <f>VLOOKUP(C2916,'lookup table'!$A$2:$B$19,2,FALSE)</f>
        <v>Partner Unit</v>
      </c>
      <c r="E2916" t="str">
        <f t="shared" si="45"/>
        <v>AL086_00|Partner Unit</v>
      </c>
    </row>
    <row r="2917" spans="1:5" x14ac:dyDescent="0.2">
      <c r="A2917" t="s">
        <v>981</v>
      </c>
      <c r="B2917" t="s">
        <v>982</v>
      </c>
      <c r="C2917" t="s">
        <v>331</v>
      </c>
      <c r="D2917" t="str">
        <f>VLOOKUP(C2917,'lookup table'!$A$2:$B$19,2,FALSE)</f>
        <v>FS Item</v>
      </c>
      <c r="E2917" t="str">
        <f t="shared" si="45"/>
        <v>AL090_00|FS Item</v>
      </c>
    </row>
    <row r="2918" spans="1:5" x14ac:dyDescent="0.2">
      <c r="A2918" t="s">
        <v>981</v>
      </c>
      <c r="B2918" t="s">
        <v>982</v>
      </c>
      <c r="C2918" t="s">
        <v>423</v>
      </c>
      <c r="D2918" t="str">
        <f>VLOOKUP(C2918,'lookup table'!$A$2:$B$19,2,FALSE)</f>
        <v>ignore</v>
      </c>
      <c r="E2918" t="str">
        <f t="shared" si="45"/>
        <v>AL090_00|ignore</v>
      </c>
    </row>
    <row r="2919" spans="1:5" x14ac:dyDescent="0.2">
      <c r="A2919" t="s">
        <v>981</v>
      </c>
      <c r="B2919" t="s">
        <v>982</v>
      </c>
      <c r="C2919" t="s">
        <v>442</v>
      </c>
      <c r="D2919" t="str">
        <f>VLOOKUP(C2919,'lookup table'!$A$2:$B$19,2,FALSE)</f>
        <v>Partner Unit</v>
      </c>
      <c r="E2919" t="str">
        <f t="shared" si="45"/>
        <v>AL090_00|Partner Unit</v>
      </c>
    </row>
    <row r="2920" spans="1:5" x14ac:dyDescent="0.2">
      <c r="A2920" t="s">
        <v>983</v>
      </c>
      <c r="B2920" t="s">
        <v>984</v>
      </c>
      <c r="C2920" t="s">
        <v>331</v>
      </c>
      <c r="D2920" t="str">
        <f>VLOOKUP(C2920,'lookup table'!$A$2:$B$19,2,FALSE)</f>
        <v>FS Item</v>
      </c>
      <c r="E2920" t="str">
        <f t="shared" si="45"/>
        <v>AL091_00|FS Item</v>
      </c>
    </row>
    <row r="2921" spans="1:5" x14ac:dyDescent="0.2">
      <c r="A2921" t="s">
        <v>983</v>
      </c>
      <c r="B2921" t="s">
        <v>984</v>
      </c>
      <c r="C2921" t="s">
        <v>423</v>
      </c>
      <c r="D2921" t="str">
        <f>VLOOKUP(C2921,'lookup table'!$A$2:$B$19,2,FALSE)</f>
        <v>ignore</v>
      </c>
      <c r="E2921" t="str">
        <f t="shared" si="45"/>
        <v>AL091_00|ignore</v>
      </c>
    </row>
    <row r="2922" spans="1:5" x14ac:dyDescent="0.2">
      <c r="A2922" t="s">
        <v>983</v>
      </c>
      <c r="B2922" t="s">
        <v>984</v>
      </c>
      <c r="C2922" t="s">
        <v>438</v>
      </c>
      <c r="D2922" t="str">
        <f>VLOOKUP(C2922,'lookup table'!$A$2:$B$19,2,FALSE)</f>
        <v>ToM</v>
      </c>
      <c r="E2922" t="str">
        <f t="shared" si="45"/>
        <v>AL091_00|ToM</v>
      </c>
    </row>
    <row r="2923" spans="1:5" x14ac:dyDescent="0.2">
      <c r="A2923" t="s">
        <v>983</v>
      </c>
      <c r="B2923" t="s">
        <v>984</v>
      </c>
      <c r="C2923" t="s">
        <v>442</v>
      </c>
      <c r="D2923" t="str">
        <f>VLOOKUP(C2923,'lookup table'!$A$2:$B$19,2,FALSE)</f>
        <v>Partner Unit</v>
      </c>
      <c r="E2923" t="str">
        <f t="shared" si="45"/>
        <v>AL091_00|Partner Unit</v>
      </c>
    </row>
    <row r="2924" spans="1:5" x14ac:dyDescent="0.2">
      <c r="A2924" t="s">
        <v>985</v>
      </c>
      <c r="B2924" t="s">
        <v>986</v>
      </c>
      <c r="C2924" t="s">
        <v>331</v>
      </c>
      <c r="D2924" t="str">
        <f>VLOOKUP(C2924,'lookup table'!$A$2:$B$19,2,FALSE)</f>
        <v>FS Item</v>
      </c>
      <c r="E2924" t="str">
        <f t="shared" si="45"/>
        <v>AL094_00|FS Item</v>
      </c>
    </row>
    <row r="2925" spans="1:5" x14ac:dyDescent="0.2">
      <c r="A2925" t="s">
        <v>985</v>
      </c>
      <c r="B2925" t="s">
        <v>986</v>
      </c>
      <c r="C2925" t="s">
        <v>423</v>
      </c>
      <c r="D2925" t="str">
        <f>VLOOKUP(C2925,'lookup table'!$A$2:$B$19,2,FALSE)</f>
        <v>ignore</v>
      </c>
      <c r="E2925" t="str">
        <f t="shared" si="45"/>
        <v>AL094_00|ignore</v>
      </c>
    </row>
    <row r="2926" spans="1:5" x14ac:dyDescent="0.2">
      <c r="A2926" t="s">
        <v>985</v>
      </c>
      <c r="B2926" t="s">
        <v>986</v>
      </c>
      <c r="C2926" t="s">
        <v>438</v>
      </c>
      <c r="D2926" t="str">
        <f>VLOOKUP(C2926,'lookup table'!$A$2:$B$19,2,FALSE)</f>
        <v>ToM</v>
      </c>
      <c r="E2926" t="str">
        <f t="shared" si="45"/>
        <v>AL094_00|ToM</v>
      </c>
    </row>
    <row r="2927" spans="1:5" x14ac:dyDescent="0.2">
      <c r="A2927" t="s">
        <v>985</v>
      </c>
      <c r="B2927" t="s">
        <v>986</v>
      </c>
      <c r="C2927" t="s">
        <v>442</v>
      </c>
      <c r="D2927" t="str">
        <f>VLOOKUP(C2927,'lookup table'!$A$2:$B$19,2,FALSE)</f>
        <v>Partner Unit</v>
      </c>
      <c r="E2927" t="str">
        <f t="shared" si="45"/>
        <v>AL094_00|Partner Unit</v>
      </c>
    </row>
    <row r="2928" spans="1:5" x14ac:dyDescent="0.2">
      <c r="A2928" t="s">
        <v>987</v>
      </c>
      <c r="B2928" t="s">
        <v>988</v>
      </c>
      <c r="C2928" t="s">
        <v>14</v>
      </c>
      <c r="D2928" t="str">
        <f>VLOOKUP(C2928,'lookup table'!$A$2:$B$19,2,FALSE)</f>
        <v>ALC</v>
      </c>
      <c r="E2928" t="str">
        <f t="shared" si="45"/>
        <v>AL095_00|ALC</v>
      </c>
    </row>
    <row r="2929" spans="1:5" x14ac:dyDescent="0.2">
      <c r="A2929" t="s">
        <v>987</v>
      </c>
      <c r="B2929" t="s">
        <v>988</v>
      </c>
      <c r="C2929" t="s">
        <v>331</v>
      </c>
      <c r="D2929" t="str">
        <f>VLOOKUP(C2929,'lookup table'!$A$2:$B$19,2,FALSE)</f>
        <v>FS Item</v>
      </c>
      <c r="E2929" t="str">
        <f t="shared" si="45"/>
        <v>AL095_00|FS Item</v>
      </c>
    </row>
    <row r="2930" spans="1:5" x14ac:dyDescent="0.2">
      <c r="A2930" t="s">
        <v>987</v>
      </c>
      <c r="B2930" t="s">
        <v>988</v>
      </c>
      <c r="C2930" t="s">
        <v>423</v>
      </c>
      <c r="D2930" t="str">
        <f>VLOOKUP(C2930,'lookup table'!$A$2:$B$19,2,FALSE)</f>
        <v>ignore</v>
      </c>
      <c r="E2930" t="str">
        <f t="shared" si="45"/>
        <v>AL095_00|ignore</v>
      </c>
    </row>
    <row r="2931" spans="1:5" x14ac:dyDescent="0.2">
      <c r="A2931" t="s">
        <v>987</v>
      </c>
      <c r="B2931" t="s">
        <v>988</v>
      </c>
      <c r="C2931" t="s">
        <v>436</v>
      </c>
      <c r="D2931" t="str">
        <f>VLOOKUP(C2931,'lookup table'!$A$2:$B$19,2,FALSE)</f>
        <v>MAT</v>
      </c>
      <c r="E2931" t="str">
        <f t="shared" si="45"/>
        <v>AL095_00|MAT</v>
      </c>
    </row>
    <row r="2932" spans="1:5" x14ac:dyDescent="0.2">
      <c r="A2932" t="s">
        <v>987</v>
      </c>
      <c r="B2932" t="s">
        <v>988</v>
      </c>
      <c r="C2932" t="s">
        <v>448</v>
      </c>
      <c r="D2932" t="e">
        <f>VLOOKUP(C2932,'lookup table'!$A$2:$B$19,2,FALSE)</f>
        <v>#N/A</v>
      </c>
      <c r="E2932" t="str">
        <f t="shared" si="45"/>
        <v/>
      </c>
    </row>
    <row r="2933" spans="1:5" x14ac:dyDescent="0.2">
      <c r="A2933" t="s">
        <v>989</v>
      </c>
      <c r="B2933" t="s">
        <v>990</v>
      </c>
      <c r="C2933" t="s">
        <v>14</v>
      </c>
      <c r="D2933" t="str">
        <f>VLOOKUP(C2933,'lookup table'!$A$2:$B$19,2,FALSE)</f>
        <v>ALC</v>
      </c>
      <c r="E2933" t="str">
        <f t="shared" si="45"/>
        <v>AL095_01|ALC</v>
      </c>
    </row>
    <row r="2934" spans="1:5" x14ac:dyDescent="0.2">
      <c r="A2934" t="s">
        <v>989</v>
      </c>
      <c r="B2934" t="s">
        <v>990</v>
      </c>
      <c r="C2934" t="s">
        <v>331</v>
      </c>
      <c r="D2934" t="str">
        <f>VLOOKUP(C2934,'lookup table'!$A$2:$B$19,2,FALSE)</f>
        <v>FS Item</v>
      </c>
      <c r="E2934" t="str">
        <f t="shared" si="45"/>
        <v>AL095_01|FS Item</v>
      </c>
    </row>
    <row r="2935" spans="1:5" x14ac:dyDescent="0.2">
      <c r="A2935" t="s">
        <v>989</v>
      </c>
      <c r="B2935" t="s">
        <v>990</v>
      </c>
      <c r="C2935" t="s">
        <v>423</v>
      </c>
      <c r="D2935" t="str">
        <f>VLOOKUP(C2935,'lookup table'!$A$2:$B$19,2,FALSE)</f>
        <v>ignore</v>
      </c>
      <c r="E2935" t="str">
        <f t="shared" si="45"/>
        <v>AL095_01|ignore</v>
      </c>
    </row>
    <row r="2936" spans="1:5" x14ac:dyDescent="0.2">
      <c r="A2936" t="s">
        <v>989</v>
      </c>
      <c r="B2936" t="s">
        <v>990</v>
      </c>
      <c r="C2936" t="s">
        <v>436</v>
      </c>
      <c r="D2936" t="str">
        <f>VLOOKUP(C2936,'lookup table'!$A$2:$B$19,2,FALSE)</f>
        <v>MAT</v>
      </c>
      <c r="E2936" t="str">
        <f t="shared" si="45"/>
        <v>AL095_01|MAT</v>
      </c>
    </row>
    <row r="2937" spans="1:5" x14ac:dyDescent="0.2">
      <c r="A2937" t="s">
        <v>989</v>
      </c>
      <c r="B2937" t="s">
        <v>990</v>
      </c>
      <c r="C2937" t="s">
        <v>448</v>
      </c>
      <c r="D2937" t="e">
        <f>VLOOKUP(C2937,'lookup table'!$A$2:$B$19,2,FALSE)</f>
        <v>#N/A</v>
      </c>
      <c r="E2937" t="str">
        <f t="shared" si="45"/>
        <v/>
      </c>
    </row>
    <row r="2938" spans="1:5" x14ac:dyDescent="0.2">
      <c r="A2938" t="s">
        <v>991</v>
      </c>
      <c r="B2938" t="s">
        <v>992</v>
      </c>
      <c r="C2938" t="s">
        <v>14</v>
      </c>
      <c r="D2938" t="str">
        <f>VLOOKUP(C2938,'lookup table'!$A$2:$B$19,2,FALSE)</f>
        <v>ALC</v>
      </c>
      <c r="E2938" t="str">
        <f t="shared" si="45"/>
        <v>AL095_02|ALC</v>
      </c>
    </row>
    <row r="2939" spans="1:5" x14ac:dyDescent="0.2">
      <c r="A2939" t="s">
        <v>991</v>
      </c>
      <c r="B2939" t="s">
        <v>992</v>
      </c>
      <c r="C2939" t="s">
        <v>331</v>
      </c>
      <c r="D2939" t="str">
        <f>VLOOKUP(C2939,'lookup table'!$A$2:$B$19,2,FALSE)</f>
        <v>FS Item</v>
      </c>
      <c r="E2939" t="str">
        <f t="shared" si="45"/>
        <v>AL095_02|FS Item</v>
      </c>
    </row>
    <row r="2940" spans="1:5" x14ac:dyDescent="0.2">
      <c r="A2940" t="s">
        <v>991</v>
      </c>
      <c r="B2940" t="s">
        <v>992</v>
      </c>
      <c r="C2940" t="s">
        <v>423</v>
      </c>
      <c r="D2940" t="str">
        <f>VLOOKUP(C2940,'lookup table'!$A$2:$B$19,2,FALSE)</f>
        <v>ignore</v>
      </c>
      <c r="E2940" t="str">
        <f t="shared" si="45"/>
        <v>AL095_02|ignore</v>
      </c>
    </row>
    <row r="2941" spans="1:5" x14ac:dyDescent="0.2">
      <c r="A2941" t="s">
        <v>991</v>
      </c>
      <c r="B2941" t="s">
        <v>992</v>
      </c>
      <c r="C2941" t="s">
        <v>436</v>
      </c>
      <c r="D2941" t="str">
        <f>VLOOKUP(C2941,'lookup table'!$A$2:$B$19,2,FALSE)</f>
        <v>MAT</v>
      </c>
      <c r="E2941" t="str">
        <f t="shared" si="45"/>
        <v>AL095_02|MAT</v>
      </c>
    </row>
    <row r="2942" spans="1:5" x14ac:dyDescent="0.2">
      <c r="A2942" t="s">
        <v>991</v>
      </c>
      <c r="B2942" t="s">
        <v>992</v>
      </c>
      <c r="C2942" t="s">
        <v>448</v>
      </c>
      <c r="D2942" t="e">
        <f>VLOOKUP(C2942,'lookup table'!$A$2:$B$19,2,FALSE)</f>
        <v>#N/A</v>
      </c>
      <c r="E2942" t="str">
        <f t="shared" si="45"/>
        <v/>
      </c>
    </row>
    <row r="2943" spans="1:5" x14ac:dyDescent="0.2">
      <c r="A2943" t="s">
        <v>993</v>
      </c>
      <c r="B2943" t="s">
        <v>994</v>
      </c>
      <c r="C2943" t="s">
        <v>14</v>
      </c>
      <c r="D2943" t="str">
        <f>VLOOKUP(C2943,'lookup table'!$A$2:$B$19,2,FALSE)</f>
        <v>ALC</v>
      </c>
      <c r="E2943" t="str">
        <f t="shared" si="45"/>
        <v>AL097_00|ALC</v>
      </c>
    </row>
    <row r="2944" spans="1:5" x14ac:dyDescent="0.2">
      <c r="A2944" t="s">
        <v>993</v>
      </c>
      <c r="B2944" t="s">
        <v>994</v>
      </c>
      <c r="C2944" t="s">
        <v>331</v>
      </c>
      <c r="D2944" t="str">
        <f>VLOOKUP(C2944,'lookup table'!$A$2:$B$19,2,FALSE)</f>
        <v>FS Item</v>
      </c>
      <c r="E2944" t="str">
        <f t="shared" si="45"/>
        <v>AL097_00|FS Item</v>
      </c>
    </row>
    <row r="2945" spans="1:5" x14ac:dyDescent="0.2">
      <c r="A2945" t="s">
        <v>993</v>
      </c>
      <c r="B2945" t="s">
        <v>994</v>
      </c>
      <c r="C2945" t="s">
        <v>423</v>
      </c>
      <c r="D2945" t="str">
        <f>VLOOKUP(C2945,'lookup table'!$A$2:$B$19,2,FALSE)</f>
        <v>ignore</v>
      </c>
      <c r="E2945" t="str">
        <f t="shared" si="45"/>
        <v>AL097_00|ignore</v>
      </c>
    </row>
    <row r="2946" spans="1:5" x14ac:dyDescent="0.2">
      <c r="A2946" t="s">
        <v>993</v>
      </c>
      <c r="B2946" t="s">
        <v>994</v>
      </c>
      <c r="C2946" t="s">
        <v>436</v>
      </c>
      <c r="D2946" t="str">
        <f>VLOOKUP(C2946,'lookup table'!$A$2:$B$19,2,FALSE)</f>
        <v>MAT</v>
      </c>
      <c r="E2946" t="str">
        <f t="shared" si="45"/>
        <v>AL097_00|MAT</v>
      </c>
    </row>
    <row r="2947" spans="1:5" x14ac:dyDescent="0.2">
      <c r="A2947" t="s">
        <v>993</v>
      </c>
      <c r="B2947" t="s">
        <v>994</v>
      </c>
      <c r="C2947" t="s">
        <v>448</v>
      </c>
      <c r="D2947" t="e">
        <f>VLOOKUP(C2947,'lookup table'!$A$2:$B$19,2,FALSE)</f>
        <v>#N/A</v>
      </c>
      <c r="E2947" t="str">
        <f t="shared" ref="E2947:E3010" si="46">IF(ISNA(D2947),"",IF(A2947="","",A2947) &amp; "|" &amp; D2947)</f>
        <v/>
      </c>
    </row>
    <row r="2948" spans="1:5" x14ac:dyDescent="0.2">
      <c r="A2948" t="s">
        <v>995</v>
      </c>
      <c r="B2948" t="s">
        <v>996</v>
      </c>
      <c r="C2948" t="s">
        <v>331</v>
      </c>
      <c r="D2948" t="str">
        <f>VLOOKUP(C2948,'lookup table'!$A$2:$B$19,2,FALSE)</f>
        <v>FS Item</v>
      </c>
      <c r="E2948" t="str">
        <f t="shared" si="46"/>
        <v>AL098_00|FS Item</v>
      </c>
    </row>
    <row r="2949" spans="1:5" x14ac:dyDescent="0.2">
      <c r="A2949" t="s">
        <v>995</v>
      </c>
      <c r="B2949" t="s">
        <v>996</v>
      </c>
      <c r="C2949" t="s">
        <v>423</v>
      </c>
      <c r="D2949" t="str">
        <f>VLOOKUP(C2949,'lookup table'!$A$2:$B$19,2,FALSE)</f>
        <v>ignore</v>
      </c>
      <c r="E2949" t="str">
        <f t="shared" si="46"/>
        <v>AL098_00|ignore</v>
      </c>
    </row>
    <row r="2950" spans="1:5" x14ac:dyDescent="0.2">
      <c r="A2950" t="s">
        <v>995</v>
      </c>
      <c r="B2950" t="s">
        <v>996</v>
      </c>
      <c r="C2950" t="s">
        <v>442</v>
      </c>
      <c r="D2950" t="str">
        <f>VLOOKUP(C2950,'lookup table'!$A$2:$B$19,2,FALSE)</f>
        <v>Partner Unit</v>
      </c>
      <c r="E2950" t="str">
        <f t="shared" si="46"/>
        <v>AL098_00|Partner Unit</v>
      </c>
    </row>
    <row r="2951" spans="1:5" x14ac:dyDescent="0.2">
      <c r="A2951" t="s">
        <v>997</v>
      </c>
      <c r="B2951" t="s">
        <v>998</v>
      </c>
      <c r="C2951" t="s">
        <v>20</v>
      </c>
      <c r="D2951" t="str">
        <f>VLOOKUP(C2951,'lookup table'!$A$2:$B$19,2,FALSE)</f>
        <v>AY</v>
      </c>
      <c r="E2951" t="str">
        <f t="shared" si="46"/>
        <v>AL099_00|AY</v>
      </c>
    </row>
    <row r="2952" spans="1:5" x14ac:dyDescent="0.2">
      <c r="A2952" t="s">
        <v>997</v>
      </c>
      <c r="B2952" t="s">
        <v>998</v>
      </c>
      <c r="C2952" t="s">
        <v>331</v>
      </c>
      <c r="D2952" t="str">
        <f>VLOOKUP(C2952,'lookup table'!$A$2:$B$19,2,FALSE)</f>
        <v>FS Item</v>
      </c>
      <c r="E2952" t="str">
        <f t="shared" si="46"/>
        <v>AL099_00|FS Item</v>
      </c>
    </row>
    <row r="2953" spans="1:5" x14ac:dyDescent="0.2">
      <c r="A2953" t="s">
        <v>997</v>
      </c>
      <c r="B2953" t="s">
        <v>998</v>
      </c>
      <c r="C2953" t="s">
        <v>423</v>
      </c>
      <c r="D2953" t="str">
        <f>VLOOKUP(C2953,'lookup table'!$A$2:$B$19,2,FALSE)</f>
        <v>ignore</v>
      </c>
      <c r="E2953" t="str">
        <f t="shared" si="46"/>
        <v>AL099_00|ignore</v>
      </c>
    </row>
    <row r="2954" spans="1:5" x14ac:dyDescent="0.2">
      <c r="A2954" t="s">
        <v>997</v>
      </c>
      <c r="B2954" t="s">
        <v>998</v>
      </c>
      <c r="C2954" t="s">
        <v>426</v>
      </c>
      <c r="D2954" t="str">
        <f>VLOOKUP(C2954,'lookup table'!$A$2:$B$19,2,FALSE)</f>
        <v>Investee Unit</v>
      </c>
      <c r="E2954" t="str">
        <f t="shared" si="46"/>
        <v>AL099_00|Investee Unit</v>
      </c>
    </row>
    <row r="2955" spans="1:5" x14ac:dyDescent="0.2">
      <c r="A2955" t="s">
        <v>997</v>
      </c>
      <c r="B2955" t="s">
        <v>998</v>
      </c>
      <c r="C2955" t="s">
        <v>428</v>
      </c>
      <c r="D2955" t="str">
        <f>VLOOKUP(C2955,'lookup table'!$A$2:$B$19,2,FALSE)</f>
        <v>LoB</v>
      </c>
      <c r="E2955" t="str">
        <f t="shared" si="46"/>
        <v>AL099_00|LoB</v>
      </c>
    </row>
    <row r="2956" spans="1:5" x14ac:dyDescent="0.2">
      <c r="A2956" t="s">
        <v>997</v>
      </c>
      <c r="B2956" t="s">
        <v>998</v>
      </c>
      <c r="C2956" t="s">
        <v>442</v>
      </c>
      <c r="D2956" t="str">
        <f>VLOOKUP(C2956,'lookup table'!$A$2:$B$19,2,FALSE)</f>
        <v>Partner Unit</v>
      </c>
      <c r="E2956" t="str">
        <f t="shared" si="46"/>
        <v>AL099_00|Partner Unit</v>
      </c>
    </row>
    <row r="2957" spans="1:5" x14ac:dyDescent="0.2">
      <c r="A2957" t="s">
        <v>999</v>
      </c>
      <c r="B2957" t="s">
        <v>1000</v>
      </c>
      <c r="C2957" t="s">
        <v>451</v>
      </c>
      <c r="D2957" t="str">
        <f>VLOOKUP(C2957,'lookup table'!$A$2:$B$19,2,FALSE)</f>
        <v>Segment</v>
      </c>
      <c r="E2957" t="str">
        <f t="shared" si="46"/>
        <v>AL100_70|Segment</v>
      </c>
    </row>
    <row r="2958" spans="1:5" x14ac:dyDescent="0.2">
      <c r="A2958" t="s">
        <v>1001</v>
      </c>
      <c r="B2958" t="s">
        <v>1002</v>
      </c>
      <c r="C2958" t="s">
        <v>331</v>
      </c>
      <c r="D2958" t="str">
        <f>VLOOKUP(C2958,'lookup table'!$A$2:$B$19,2,FALSE)</f>
        <v>FS Item</v>
      </c>
      <c r="E2958" t="str">
        <f t="shared" si="46"/>
        <v>AL101_00|FS Item</v>
      </c>
    </row>
    <row r="2959" spans="1:5" x14ac:dyDescent="0.2">
      <c r="A2959" t="s">
        <v>1001</v>
      </c>
      <c r="B2959" t="s">
        <v>1002</v>
      </c>
      <c r="C2959" t="s">
        <v>423</v>
      </c>
      <c r="D2959" t="str">
        <f>VLOOKUP(C2959,'lookup table'!$A$2:$B$19,2,FALSE)</f>
        <v>ignore</v>
      </c>
      <c r="E2959" t="str">
        <f t="shared" si="46"/>
        <v>AL101_00|ignore</v>
      </c>
    </row>
    <row r="2960" spans="1:5" x14ac:dyDescent="0.2">
      <c r="A2960" t="s">
        <v>1001</v>
      </c>
      <c r="B2960" t="s">
        <v>1002</v>
      </c>
      <c r="C2960" t="s">
        <v>426</v>
      </c>
      <c r="D2960" t="str">
        <f>VLOOKUP(C2960,'lookup table'!$A$2:$B$19,2,FALSE)</f>
        <v>Investee Unit</v>
      </c>
      <c r="E2960" t="str">
        <f t="shared" si="46"/>
        <v>AL101_00|Investee Unit</v>
      </c>
    </row>
    <row r="2961" spans="1:5" x14ac:dyDescent="0.2">
      <c r="A2961" t="s">
        <v>1001</v>
      </c>
      <c r="B2961" t="s">
        <v>1002</v>
      </c>
      <c r="C2961" t="s">
        <v>438</v>
      </c>
      <c r="D2961" t="str">
        <f>VLOOKUP(C2961,'lookup table'!$A$2:$B$19,2,FALSE)</f>
        <v>ToM</v>
      </c>
      <c r="E2961" t="str">
        <f t="shared" si="46"/>
        <v>AL101_00|ToM</v>
      </c>
    </row>
    <row r="2962" spans="1:5" x14ac:dyDescent="0.2">
      <c r="A2962" t="s">
        <v>1001</v>
      </c>
      <c r="B2962" t="s">
        <v>1002</v>
      </c>
      <c r="C2962" t="s">
        <v>442</v>
      </c>
      <c r="D2962" t="str">
        <f>VLOOKUP(C2962,'lookup table'!$A$2:$B$19,2,FALSE)</f>
        <v>Partner Unit</v>
      </c>
      <c r="E2962" t="str">
        <f t="shared" si="46"/>
        <v>AL101_00|Partner Unit</v>
      </c>
    </row>
    <row r="2963" spans="1:5" x14ac:dyDescent="0.2">
      <c r="A2963" t="s">
        <v>1001</v>
      </c>
      <c r="B2963" t="s">
        <v>1002</v>
      </c>
      <c r="C2963" t="s">
        <v>461</v>
      </c>
      <c r="D2963" t="str">
        <f>VLOOKUP(C2963,'lookup table'!$A$2:$B$19,2,FALSE)</f>
        <v>Posting Level</v>
      </c>
      <c r="E2963" t="str">
        <f t="shared" si="46"/>
        <v>AL101_00|Posting Level</v>
      </c>
    </row>
    <row r="2964" spans="1:5" x14ac:dyDescent="0.2">
      <c r="A2964" t="s">
        <v>1003</v>
      </c>
      <c r="B2964" t="s">
        <v>1004</v>
      </c>
      <c r="C2964" t="s">
        <v>331</v>
      </c>
      <c r="D2964" t="str">
        <f>VLOOKUP(C2964,'lookup table'!$A$2:$B$19,2,FALSE)</f>
        <v>FS Item</v>
      </c>
      <c r="E2964" t="str">
        <f t="shared" si="46"/>
        <v>AL101_70|FS Item</v>
      </c>
    </row>
    <row r="2965" spans="1:5" x14ac:dyDescent="0.2">
      <c r="A2965" t="s">
        <v>1003</v>
      </c>
      <c r="B2965" t="s">
        <v>1004</v>
      </c>
      <c r="C2965" t="s">
        <v>423</v>
      </c>
      <c r="D2965" t="str">
        <f>VLOOKUP(C2965,'lookup table'!$A$2:$B$19,2,FALSE)</f>
        <v>ignore</v>
      </c>
      <c r="E2965" t="str">
        <f t="shared" si="46"/>
        <v>AL101_70|ignore</v>
      </c>
    </row>
    <row r="2966" spans="1:5" x14ac:dyDescent="0.2">
      <c r="A2966" t="s">
        <v>1003</v>
      </c>
      <c r="B2966" t="s">
        <v>1004</v>
      </c>
      <c r="C2966" t="s">
        <v>428</v>
      </c>
      <c r="D2966" t="str">
        <f>VLOOKUP(C2966,'lookup table'!$A$2:$B$19,2,FALSE)</f>
        <v>LoB</v>
      </c>
      <c r="E2966" t="str">
        <f t="shared" si="46"/>
        <v>AL101_70|LoB</v>
      </c>
    </row>
    <row r="2967" spans="1:5" x14ac:dyDescent="0.2">
      <c r="A2967" t="s">
        <v>1003</v>
      </c>
      <c r="B2967" t="s">
        <v>1004</v>
      </c>
      <c r="C2967" t="s">
        <v>438</v>
      </c>
      <c r="D2967" t="str">
        <f>VLOOKUP(C2967,'lookup table'!$A$2:$B$19,2,FALSE)</f>
        <v>ToM</v>
      </c>
      <c r="E2967" t="str">
        <f t="shared" si="46"/>
        <v>AL101_70|ToM</v>
      </c>
    </row>
    <row r="2968" spans="1:5" x14ac:dyDescent="0.2">
      <c r="A2968" t="s">
        <v>1003</v>
      </c>
      <c r="B2968" t="s">
        <v>1004</v>
      </c>
      <c r="C2968" t="s">
        <v>441</v>
      </c>
      <c r="D2968" t="str">
        <f>VLOOKUP(C2968,'lookup table'!$A$2:$B$19,2,FALSE)</f>
        <v>Partner Segment</v>
      </c>
      <c r="E2968" t="str">
        <f t="shared" si="46"/>
        <v>AL101_70|Partner Segment</v>
      </c>
    </row>
    <row r="2969" spans="1:5" x14ac:dyDescent="0.2">
      <c r="A2969" t="s">
        <v>1003</v>
      </c>
      <c r="B2969" t="s">
        <v>1004</v>
      </c>
      <c r="C2969" t="s">
        <v>442</v>
      </c>
      <c r="D2969" t="str">
        <f>VLOOKUP(C2969,'lookup table'!$A$2:$B$19,2,FALSE)</f>
        <v>Partner Unit</v>
      </c>
      <c r="E2969" t="str">
        <f t="shared" si="46"/>
        <v>AL101_70|Partner Unit</v>
      </c>
    </row>
    <row r="2970" spans="1:5" x14ac:dyDescent="0.2">
      <c r="A2970" t="s">
        <v>1003</v>
      </c>
      <c r="B2970" t="s">
        <v>1004</v>
      </c>
      <c r="C2970" t="s">
        <v>451</v>
      </c>
      <c r="D2970" t="str">
        <f>VLOOKUP(C2970,'lookup table'!$A$2:$B$19,2,FALSE)</f>
        <v>Segment</v>
      </c>
      <c r="E2970" t="str">
        <f t="shared" si="46"/>
        <v>AL101_70|Segment</v>
      </c>
    </row>
    <row r="2971" spans="1:5" x14ac:dyDescent="0.2">
      <c r="A2971" t="s">
        <v>1005</v>
      </c>
      <c r="B2971" t="s">
        <v>129</v>
      </c>
      <c r="C2971" t="s">
        <v>20</v>
      </c>
      <c r="D2971" t="str">
        <f>VLOOKUP(C2971,'lookup table'!$A$2:$B$19,2,FALSE)</f>
        <v>AY</v>
      </c>
      <c r="E2971" t="str">
        <f t="shared" si="46"/>
        <v>AL102_00|AY</v>
      </c>
    </row>
    <row r="2972" spans="1:5" x14ac:dyDescent="0.2">
      <c r="A2972" t="s">
        <v>1005</v>
      </c>
      <c r="B2972" t="s">
        <v>129</v>
      </c>
      <c r="C2972" t="s">
        <v>136</v>
      </c>
      <c r="D2972" t="str">
        <f>VLOOKUP(C2972,'lookup table'!$A$2:$B$19,2,FALSE)</f>
        <v>BBA Set</v>
      </c>
      <c r="E2972" t="str">
        <f t="shared" si="46"/>
        <v>AL102_00|BBA Set</v>
      </c>
    </row>
    <row r="2973" spans="1:5" x14ac:dyDescent="0.2">
      <c r="A2973" t="s">
        <v>1005</v>
      </c>
      <c r="B2973" t="s">
        <v>129</v>
      </c>
      <c r="C2973" t="s">
        <v>331</v>
      </c>
      <c r="D2973" t="str">
        <f>VLOOKUP(C2973,'lookup table'!$A$2:$B$19,2,FALSE)</f>
        <v>FS Item</v>
      </c>
      <c r="E2973" t="str">
        <f t="shared" si="46"/>
        <v>AL102_00|FS Item</v>
      </c>
    </row>
    <row r="2974" spans="1:5" x14ac:dyDescent="0.2">
      <c r="A2974" t="s">
        <v>1005</v>
      </c>
      <c r="B2974" t="s">
        <v>129</v>
      </c>
      <c r="C2974" t="s">
        <v>423</v>
      </c>
      <c r="D2974" t="str">
        <f>VLOOKUP(C2974,'lookup table'!$A$2:$B$19,2,FALSE)</f>
        <v>ignore</v>
      </c>
      <c r="E2974" t="str">
        <f t="shared" si="46"/>
        <v>AL102_00|ignore</v>
      </c>
    </row>
    <row r="2975" spans="1:5" x14ac:dyDescent="0.2">
      <c r="A2975" t="s">
        <v>1005</v>
      </c>
      <c r="B2975" t="s">
        <v>129</v>
      </c>
      <c r="C2975" t="s">
        <v>428</v>
      </c>
      <c r="D2975" t="str">
        <f>VLOOKUP(C2975,'lookup table'!$A$2:$B$19,2,FALSE)</f>
        <v>LoB</v>
      </c>
      <c r="E2975" t="str">
        <f t="shared" si="46"/>
        <v>AL102_00|LoB</v>
      </c>
    </row>
    <row r="2976" spans="1:5" x14ac:dyDescent="0.2">
      <c r="A2976" t="s">
        <v>1005</v>
      </c>
      <c r="B2976" t="s">
        <v>129</v>
      </c>
      <c r="C2976" t="s">
        <v>438</v>
      </c>
      <c r="D2976" t="str">
        <f>VLOOKUP(C2976,'lookup table'!$A$2:$B$19,2,FALSE)</f>
        <v>ToM</v>
      </c>
      <c r="E2976" t="str">
        <f t="shared" si="46"/>
        <v>AL102_00|ToM</v>
      </c>
    </row>
    <row r="2977" spans="1:5" x14ac:dyDescent="0.2">
      <c r="A2977" t="s">
        <v>1005</v>
      </c>
      <c r="B2977" t="s">
        <v>129</v>
      </c>
      <c r="C2977" t="s">
        <v>441</v>
      </c>
      <c r="D2977" t="str">
        <f>VLOOKUP(C2977,'lookup table'!$A$2:$B$19,2,FALSE)</f>
        <v>Partner Segment</v>
      </c>
      <c r="E2977" t="str">
        <f t="shared" si="46"/>
        <v>AL102_00|Partner Segment</v>
      </c>
    </row>
    <row r="2978" spans="1:5" x14ac:dyDescent="0.2">
      <c r="A2978" t="s">
        <v>1005</v>
      </c>
      <c r="B2978" t="s">
        <v>129</v>
      </c>
      <c r="C2978" t="s">
        <v>442</v>
      </c>
      <c r="D2978" t="str">
        <f>VLOOKUP(C2978,'lookup table'!$A$2:$B$19,2,FALSE)</f>
        <v>Partner Unit</v>
      </c>
      <c r="E2978" t="str">
        <f t="shared" si="46"/>
        <v>AL102_00|Partner Unit</v>
      </c>
    </row>
    <row r="2979" spans="1:5" x14ac:dyDescent="0.2">
      <c r="A2979" t="s">
        <v>1006</v>
      </c>
      <c r="B2979" t="s">
        <v>1007</v>
      </c>
      <c r="C2979" t="s">
        <v>20</v>
      </c>
      <c r="D2979" t="str">
        <f>VLOOKUP(C2979,'lookup table'!$A$2:$B$19,2,FALSE)</f>
        <v>AY</v>
      </c>
      <c r="E2979" t="str">
        <f t="shared" si="46"/>
        <v>AL102_70|AY</v>
      </c>
    </row>
    <row r="2980" spans="1:5" x14ac:dyDescent="0.2">
      <c r="A2980" t="s">
        <v>1006</v>
      </c>
      <c r="B2980" t="s">
        <v>1007</v>
      </c>
      <c r="C2980" t="s">
        <v>331</v>
      </c>
      <c r="D2980" t="str">
        <f>VLOOKUP(C2980,'lookup table'!$A$2:$B$19,2,FALSE)</f>
        <v>FS Item</v>
      </c>
      <c r="E2980" t="str">
        <f t="shared" si="46"/>
        <v>AL102_70|FS Item</v>
      </c>
    </row>
    <row r="2981" spans="1:5" x14ac:dyDescent="0.2">
      <c r="A2981" t="s">
        <v>1006</v>
      </c>
      <c r="B2981" t="s">
        <v>1007</v>
      </c>
      <c r="C2981" t="s">
        <v>423</v>
      </c>
      <c r="D2981" t="str">
        <f>VLOOKUP(C2981,'lookup table'!$A$2:$B$19,2,FALSE)</f>
        <v>ignore</v>
      </c>
      <c r="E2981" t="str">
        <f t="shared" si="46"/>
        <v>AL102_70|ignore</v>
      </c>
    </row>
    <row r="2982" spans="1:5" x14ac:dyDescent="0.2">
      <c r="A2982" t="s">
        <v>1006</v>
      </c>
      <c r="B2982" t="s">
        <v>1007</v>
      </c>
      <c r="C2982" t="s">
        <v>428</v>
      </c>
      <c r="D2982" t="str">
        <f>VLOOKUP(C2982,'lookup table'!$A$2:$B$19,2,FALSE)</f>
        <v>LoB</v>
      </c>
      <c r="E2982" t="str">
        <f t="shared" si="46"/>
        <v>AL102_70|LoB</v>
      </c>
    </row>
    <row r="2983" spans="1:5" x14ac:dyDescent="0.2">
      <c r="A2983" t="s">
        <v>1006</v>
      </c>
      <c r="B2983" t="s">
        <v>1007</v>
      </c>
      <c r="C2983" t="s">
        <v>438</v>
      </c>
      <c r="D2983" t="str">
        <f>VLOOKUP(C2983,'lookup table'!$A$2:$B$19,2,FALSE)</f>
        <v>ToM</v>
      </c>
      <c r="E2983" t="str">
        <f t="shared" si="46"/>
        <v>AL102_70|ToM</v>
      </c>
    </row>
    <row r="2984" spans="1:5" x14ac:dyDescent="0.2">
      <c r="A2984" t="s">
        <v>1006</v>
      </c>
      <c r="B2984" t="s">
        <v>1007</v>
      </c>
      <c r="C2984" t="s">
        <v>441</v>
      </c>
      <c r="D2984" t="str">
        <f>VLOOKUP(C2984,'lookup table'!$A$2:$B$19,2,FALSE)</f>
        <v>Partner Segment</v>
      </c>
      <c r="E2984" t="str">
        <f t="shared" si="46"/>
        <v>AL102_70|Partner Segment</v>
      </c>
    </row>
    <row r="2985" spans="1:5" x14ac:dyDescent="0.2">
      <c r="A2985" t="s">
        <v>1006</v>
      </c>
      <c r="B2985" t="s">
        <v>1007</v>
      </c>
      <c r="C2985" t="s">
        <v>442</v>
      </c>
      <c r="D2985" t="str">
        <f>VLOOKUP(C2985,'lookup table'!$A$2:$B$19,2,FALSE)</f>
        <v>Partner Unit</v>
      </c>
      <c r="E2985" t="str">
        <f t="shared" si="46"/>
        <v>AL102_70|Partner Unit</v>
      </c>
    </row>
    <row r="2986" spans="1:5" x14ac:dyDescent="0.2">
      <c r="A2986" t="s">
        <v>1008</v>
      </c>
      <c r="B2986" t="s">
        <v>1009</v>
      </c>
      <c r="C2986" t="s">
        <v>20</v>
      </c>
      <c r="D2986" t="str">
        <f>VLOOKUP(C2986,'lookup table'!$A$2:$B$19,2,FALSE)</f>
        <v>AY</v>
      </c>
      <c r="E2986" t="str">
        <f t="shared" si="46"/>
        <v>AL103_00|AY</v>
      </c>
    </row>
    <row r="2987" spans="1:5" x14ac:dyDescent="0.2">
      <c r="A2987" t="s">
        <v>1008</v>
      </c>
      <c r="B2987" t="s">
        <v>1009</v>
      </c>
      <c r="C2987" t="s">
        <v>331</v>
      </c>
      <c r="D2987" t="str">
        <f>VLOOKUP(C2987,'lookup table'!$A$2:$B$19,2,FALSE)</f>
        <v>FS Item</v>
      </c>
      <c r="E2987" t="str">
        <f t="shared" si="46"/>
        <v>AL103_00|FS Item</v>
      </c>
    </row>
    <row r="2988" spans="1:5" x14ac:dyDescent="0.2">
      <c r="A2988" t="s">
        <v>1008</v>
      </c>
      <c r="B2988" t="s">
        <v>1009</v>
      </c>
      <c r="C2988" t="s">
        <v>423</v>
      </c>
      <c r="D2988" t="str">
        <f>VLOOKUP(C2988,'lookup table'!$A$2:$B$19,2,FALSE)</f>
        <v>ignore</v>
      </c>
      <c r="E2988" t="str">
        <f t="shared" si="46"/>
        <v>AL103_00|ignore</v>
      </c>
    </row>
    <row r="2989" spans="1:5" x14ac:dyDescent="0.2">
      <c r="A2989" t="s">
        <v>1008</v>
      </c>
      <c r="B2989" t="s">
        <v>1009</v>
      </c>
      <c r="C2989" t="s">
        <v>428</v>
      </c>
      <c r="D2989" t="str">
        <f>VLOOKUP(C2989,'lookup table'!$A$2:$B$19,2,FALSE)</f>
        <v>LoB</v>
      </c>
      <c r="E2989" t="str">
        <f t="shared" si="46"/>
        <v>AL103_00|LoB</v>
      </c>
    </row>
    <row r="2990" spans="1:5" x14ac:dyDescent="0.2">
      <c r="A2990" t="s">
        <v>1008</v>
      </c>
      <c r="B2990" t="s">
        <v>1009</v>
      </c>
      <c r="C2990" t="s">
        <v>441</v>
      </c>
      <c r="D2990" t="str">
        <f>VLOOKUP(C2990,'lookup table'!$A$2:$B$19,2,FALSE)</f>
        <v>Partner Segment</v>
      </c>
      <c r="E2990" t="str">
        <f t="shared" si="46"/>
        <v>AL103_00|Partner Segment</v>
      </c>
    </row>
    <row r="2991" spans="1:5" x14ac:dyDescent="0.2">
      <c r="A2991" t="s">
        <v>1008</v>
      </c>
      <c r="B2991" t="s">
        <v>1009</v>
      </c>
      <c r="C2991" t="s">
        <v>442</v>
      </c>
      <c r="D2991" t="str">
        <f>VLOOKUP(C2991,'lookup table'!$A$2:$B$19,2,FALSE)</f>
        <v>Partner Unit</v>
      </c>
      <c r="E2991" t="str">
        <f t="shared" si="46"/>
        <v>AL103_00|Partner Unit</v>
      </c>
    </row>
    <row r="2992" spans="1:5" x14ac:dyDescent="0.2">
      <c r="A2992" t="s">
        <v>1010</v>
      </c>
      <c r="B2992" t="s">
        <v>1011</v>
      </c>
      <c r="C2992" t="s">
        <v>331</v>
      </c>
      <c r="D2992" t="str">
        <f>VLOOKUP(C2992,'lookup table'!$A$2:$B$19,2,FALSE)</f>
        <v>FS Item</v>
      </c>
      <c r="E2992" t="str">
        <f t="shared" si="46"/>
        <v>AL103_70|FS Item</v>
      </c>
    </row>
    <row r="2993" spans="1:5" x14ac:dyDescent="0.2">
      <c r="A2993" t="s">
        <v>1010</v>
      </c>
      <c r="B2993" t="s">
        <v>1011</v>
      </c>
      <c r="C2993" t="s">
        <v>423</v>
      </c>
      <c r="D2993" t="str">
        <f>VLOOKUP(C2993,'lookup table'!$A$2:$B$19,2,FALSE)</f>
        <v>ignore</v>
      </c>
      <c r="E2993" t="str">
        <f t="shared" si="46"/>
        <v>AL103_70|ignore</v>
      </c>
    </row>
    <row r="2994" spans="1:5" x14ac:dyDescent="0.2">
      <c r="A2994" t="s">
        <v>1010</v>
      </c>
      <c r="B2994" t="s">
        <v>1011</v>
      </c>
      <c r="C2994" t="s">
        <v>438</v>
      </c>
      <c r="D2994" t="str">
        <f>VLOOKUP(C2994,'lookup table'!$A$2:$B$19,2,FALSE)</f>
        <v>ToM</v>
      </c>
      <c r="E2994" t="str">
        <f t="shared" si="46"/>
        <v>AL103_70|ToM</v>
      </c>
    </row>
    <row r="2995" spans="1:5" x14ac:dyDescent="0.2">
      <c r="A2995" t="s">
        <v>1012</v>
      </c>
      <c r="B2995" t="s">
        <v>1013</v>
      </c>
      <c r="C2995" t="s">
        <v>20</v>
      </c>
      <c r="D2995" t="str">
        <f>VLOOKUP(C2995,'lookup table'!$A$2:$B$19,2,FALSE)</f>
        <v>AY</v>
      </c>
      <c r="E2995" t="str">
        <f t="shared" si="46"/>
        <v>AL104_00|AY</v>
      </c>
    </row>
    <row r="2996" spans="1:5" x14ac:dyDescent="0.2">
      <c r="A2996" t="s">
        <v>1012</v>
      </c>
      <c r="B2996" t="s">
        <v>1013</v>
      </c>
      <c r="C2996" t="s">
        <v>331</v>
      </c>
      <c r="D2996" t="str">
        <f>VLOOKUP(C2996,'lookup table'!$A$2:$B$19,2,FALSE)</f>
        <v>FS Item</v>
      </c>
      <c r="E2996" t="str">
        <f t="shared" si="46"/>
        <v>AL104_00|FS Item</v>
      </c>
    </row>
    <row r="2997" spans="1:5" x14ac:dyDescent="0.2">
      <c r="A2997" t="s">
        <v>1012</v>
      </c>
      <c r="B2997" t="s">
        <v>1013</v>
      </c>
      <c r="C2997" t="s">
        <v>423</v>
      </c>
      <c r="D2997" t="str">
        <f>VLOOKUP(C2997,'lookup table'!$A$2:$B$19,2,FALSE)</f>
        <v>ignore</v>
      </c>
      <c r="E2997" t="str">
        <f t="shared" si="46"/>
        <v>AL104_00|ignore</v>
      </c>
    </row>
    <row r="2998" spans="1:5" x14ac:dyDescent="0.2">
      <c r="A2998" t="s">
        <v>1012</v>
      </c>
      <c r="B2998" t="s">
        <v>1013</v>
      </c>
      <c r="C2998" t="s">
        <v>428</v>
      </c>
      <c r="D2998" t="str">
        <f>VLOOKUP(C2998,'lookup table'!$A$2:$B$19,2,FALSE)</f>
        <v>LoB</v>
      </c>
      <c r="E2998" t="str">
        <f t="shared" si="46"/>
        <v>AL104_00|LoB</v>
      </c>
    </row>
    <row r="2999" spans="1:5" x14ac:dyDescent="0.2">
      <c r="A2999" t="s">
        <v>1012</v>
      </c>
      <c r="B2999" t="s">
        <v>1013</v>
      </c>
      <c r="C2999" t="s">
        <v>438</v>
      </c>
      <c r="D2999" t="str">
        <f>VLOOKUP(C2999,'lookup table'!$A$2:$B$19,2,FALSE)</f>
        <v>ToM</v>
      </c>
      <c r="E2999" t="str">
        <f t="shared" si="46"/>
        <v>AL104_00|ToM</v>
      </c>
    </row>
    <row r="3000" spans="1:5" x14ac:dyDescent="0.2">
      <c r="A3000" t="s">
        <v>1012</v>
      </c>
      <c r="B3000" t="s">
        <v>1013</v>
      </c>
      <c r="C3000" t="s">
        <v>441</v>
      </c>
      <c r="D3000" t="str">
        <f>VLOOKUP(C3000,'lookup table'!$A$2:$B$19,2,FALSE)</f>
        <v>Partner Segment</v>
      </c>
      <c r="E3000" t="str">
        <f t="shared" si="46"/>
        <v>AL104_00|Partner Segment</v>
      </c>
    </row>
    <row r="3001" spans="1:5" x14ac:dyDescent="0.2">
      <c r="A3001" t="s">
        <v>1012</v>
      </c>
      <c r="B3001" t="s">
        <v>1013</v>
      </c>
      <c r="C3001" t="s">
        <v>442</v>
      </c>
      <c r="D3001" t="str">
        <f>VLOOKUP(C3001,'lookup table'!$A$2:$B$19,2,FALSE)</f>
        <v>Partner Unit</v>
      </c>
      <c r="E3001" t="str">
        <f t="shared" si="46"/>
        <v>AL104_00|Partner Unit</v>
      </c>
    </row>
    <row r="3002" spans="1:5" x14ac:dyDescent="0.2">
      <c r="A3002" t="s">
        <v>1014</v>
      </c>
      <c r="B3002" t="s">
        <v>1015</v>
      </c>
      <c r="C3002" t="s">
        <v>20</v>
      </c>
      <c r="D3002" t="str">
        <f>VLOOKUP(C3002,'lookup table'!$A$2:$B$19,2,FALSE)</f>
        <v>AY</v>
      </c>
      <c r="E3002" t="str">
        <f t="shared" si="46"/>
        <v>AL104_70|AY</v>
      </c>
    </row>
    <row r="3003" spans="1:5" x14ac:dyDescent="0.2">
      <c r="A3003" t="s">
        <v>1014</v>
      </c>
      <c r="B3003" t="s">
        <v>1015</v>
      </c>
      <c r="C3003" t="s">
        <v>331</v>
      </c>
      <c r="D3003" t="str">
        <f>VLOOKUP(C3003,'lookup table'!$A$2:$B$19,2,FALSE)</f>
        <v>FS Item</v>
      </c>
      <c r="E3003" t="str">
        <f t="shared" si="46"/>
        <v>AL104_70|FS Item</v>
      </c>
    </row>
    <row r="3004" spans="1:5" x14ac:dyDescent="0.2">
      <c r="A3004" t="s">
        <v>1014</v>
      </c>
      <c r="B3004" t="s">
        <v>1015</v>
      </c>
      <c r="C3004" t="s">
        <v>423</v>
      </c>
      <c r="D3004" t="str">
        <f>VLOOKUP(C3004,'lookup table'!$A$2:$B$19,2,FALSE)</f>
        <v>ignore</v>
      </c>
      <c r="E3004" t="str">
        <f t="shared" si="46"/>
        <v>AL104_70|ignore</v>
      </c>
    </row>
    <row r="3005" spans="1:5" x14ac:dyDescent="0.2">
      <c r="A3005" t="s">
        <v>1014</v>
      </c>
      <c r="B3005" t="s">
        <v>1015</v>
      </c>
      <c r="C3005" t="s">
        <v>428</v>
      </c>
      <c r="D3005" t="str">
        <f>VLOOKUP(C3005,'lookup table'!$A$2:$B$19,2,FALSE)</f>
        <v>LoB</v>
      </c>
      <c r="E3005" t="str">
        <f t="shared" si="46"/>
        <v>AL104_70|LoB</v>
      </c>
    </row>
    <row r="3006" spans="1:5" x14ac:dyDescent="0.2">
      <c r="A3006" t="s">
        <v>1014</v>
      </c>
      <c r="B3006" t="s">
        <v>1015</v>
      </c>
      <c r="C3006" t="s">
        <v>438</v>
      </c>
      <c r="D3006" t="str">
        <f>VLOOKUP(C3006,'lookup table'!$A$2:$B$19,2,FALSE)</f>
        <v>ToM</v>
      </c>
      <c r="E3006" t="str">
        <f t="shared" si="46"/>
        <v>AL104_70|ToM</v>
      </c>
    </row>
    <row r="3007" spans="1:5" x14ac:dyDescent="0.2">
      <c r="A3007" t="s">
        <v>1014</v>
      </c>
      <c r="B3007" t="s">
        <v>1015</v>
      </c>
      <c r="C3007" t="s">
        <v>442</v>
      </c>
      <c r="D3007" t="str">
        <f>VLOOKUP(C3007,'lookup table'!$A$2:$B$19,2,FALSE)</f>
        <v>Partner Unit</v>
      </c>
      <c r="E3007" t="str">
        <f t="shared" si="46"/>
        <v>AL104_70|Partner Unit</v>
      </c>
    </row>
    <row r="3008" spans="1:5" x14ac:dyDescent="0.2">
      <c r="A3008" t="s">
        <v>1016</v>
      </c>
      <c r="B3008" t="s">
        <v>1017</v>
      </c>
      <c r="C3008" t="s">
        <v>14</v>
      </c>
      <c r="D3008" t="str">
        <f>VLOOKUP(C3008,'lookup table'!$A$2:$B$19,2,FALSE)</f>
        <v>ALC</v>
      </c>
      <c r="E3008" t="str">
        <f t="shared" si="46"/>
        <v>AL105_00|ALC</v>
      </c>
    </row>
    <row r="3009" spans="1:5" x14ac:dyDescent="0.2">
      <c r="A3009" t="s">
        <v>1016</v>
      </c>
      <c r="B3009" t="s">
        <v>1017</v>
      </c>
      <c r="C3009" t="s">
        <v>20</v>
      </c>
      <c r="D3009" t="str">
        <f>VLOOKUP(C3009,'lookup table'!$A$2:$B$19,2,FALSE)</f>
        <v>AY</v>
      </c>
      <c r="E3009" t="str">
        <f t="shared" si="46"/>
        <v>AL105_00|AY</v>
      </c>
    </row>
    <row r="3010" spans="1:5" x14ac:dyDescent="0.2">
      <c r="A3010" t="s">
        <v>1016</v>
      </c>
      <c r="B3010" t="s">
        <v>1017</v>
      </c>
      <c r="C3010" t="s">
        <v>331</v>
      </c>
      <c r="D3010" t="str">
        <f>VLOOKUP(C3010,'lookup table'!$A$2:$B$19,2,FALSE)</f>
        <v>FS Item</v>
      </c>
      <c r="E3010" t="str">
        <f t="shared" si="46"/>
        <v>AL105_00|FS Item</v>
      </c>
    </row>
    <row r="3011" spans="1:5" x14ac:dyDescent="0.2">
      <c r="A3011" t="s">
        <v>1016</v>
      </c>
      <c r="B3011" t="s">
        <v>1017</v>
      </c>
      <c r="C3011" t="s">
        <v>423</v>
      </c>
      <c r="D3011" t="str">
        <f>VLOOKUP(C3011,'lookup table'!$A$2:$B$19,2,FALSE)</f>
        <v>ignore</v>
      </c>
      <c r="E3011" t="str">
        <f t="shared" ref="E3011:E3074" si="47">IF(ISNA(D3011),"",IF(A3011="","",A3011) &amp; "|" &amp; D3011)</f>
        <v>AL105_00|ignore</v>
      </c>
    </row>
    <row r="3012" spans="1:5" x14ac:dyDescent="0.2">
      <c r="A3012" t="s">
        <v>1016</v>
      </c>
      <c r="B3012" t="s">
        <v>1017</v>
      </c>
      <c r="C3012" t="s">
        <v>424</v>
      </c>
      <c r="D3012" t="str">
        <f>VLOOKUP(C3012,'lookup table'!$A$2:$B$19,2,FALSE)</f>
        <v>GRC</v>
      </c>
      <c r="E3012" t="str">
        <f t="shared" si="47"/>
        <v>AL105_00|GRC</v>
      </c>
    </row>
    <row r="3013" spans="1:5" x14ac:dyDescent="0.2">
      <c r="A3013" t="s">
        <v>1016</v>
      </c>
      <c r="B3013" t="s">
        <v>1017</v>
      </c>
      <c r="C3013" t="s">
        <v>428</v>
      </c>
      <c r="D3013" t="str">
        <f>VLOOKUP(C3013,'lookup table'!$A$2:$B$19,2,FALSE)</f>
        <v>LoB</v>
      </c>
      <c r="E3013" t="str">
        <f t="shared" si="47"/>
        <v>AL105_00|LoB</v>
      </c>
    </row>
    <row r="3014" spans="1:5" x14ac:dyDescent="0.2">
      <c r="A3014" t="s">
        <v>1016</v>
      </c>
      <c r="B3014" t="s">
        <v>1017</v>
      </c>
      <c r="C3014" t="s">
        <v>436</v>
      </c>
      <c r="D3014" t="str">
        <f>VLOOKUP(C3014,'lookup table'!$A$2:$B$19,2,FALSE)</f>
        <v>MAT</v>
      </c>
      <c r="E3014" t="str">
        <f t="shared" si="47"/>
        <v>AL105_00|MAT</v>
      </c>
    </row>
    <row r="3015" spans="1:5" x14ac:dyDescent="0.2">
      <c r="A3015" t="s">
        <v>1016</v>
      </c>
      <c r="B3015" t="s">
        <v>1017</v>
      </c>
      <c r="C3015" t="s">
        <v>438</v>
      </c>
      <c r="D3015" t="str">
        <f>VLOOKUP(C3015,'lookup table'!$A$2:$B$19,2,FALSE)</f>
        <v>ToM</v>
      </c>
      <c r="E3015" t="str">
        <f t="shared" si="47"/>
        <v>AL105_00|ToM</v>
      </c>
    </row>
    <row r="3016" spans="1:5" x14ac:dyDescent="0.2">
      <c r="A3016" t="s">
        <v>1016</v>
      </c>
      <c r="B3016" t="s">
        <v>1017</v>
      </c>
      <c r="C3016" t="s">
        <v>441</v>
      </c>
      <c r="D3016" t="str">
        <f>VLOOKUP(C3016,'lookup table'!$A$2:$B$19,2,FALSE)</f>
        <v>Partner Segment</v>
      </c>
      <c r="E3016" t="str">
        <f t="shared" si="47"/>
        <v>AL105_00|Partner Segment</v>
      </c>
    </row>
    <row r="3017" spans="1:5" x14ac:dyDescent="0.2">
      <c r="A3017" t="s">
        <v>1016</v>
      </c>
      <c r="B3017" t="s">
        <v>1017</v>
      </c>
      <c r="C3017" t="s">
        <v>442</v>
      </c>
      <c r="D3017" t="str">
        <f>VLOOKUP(C3017,'lookup table'!$A$2:$B$19,2,FALSE)</f>
        <v>Partner Unit</v>
      </c>
      <c r="E3017" t="str">
        <f t="shared" si="47"/>
        <v>AL105_00|Partner Unit</v>
      </c>
    </row>
    <row r="3018" spans="1:5" x14ac:dyDescent="0.2">
      <c r="A3018" t="s">
        <v>1016</v>
      </c>
      <c r="B3018" t="s">
        <v>1017</v>
      </c>
      <c r="C3018" t="s">
        <v>447</v>
      </c>
      <c r="D3018" t="str">
        <f>VLOOKUP(C3018,'lookup table'!$A$2:$B$19,2,FALSE)</f>
        <v>REX</v>
      </c>
      <c r="E3018" t="str">
        <f t="shared" si="47"/>
        <v>AL105_00|REX</v>
      </c>
    </row>
    <row r="3019" spans="1:5" x14ac:dyDescent="0.2">
      <c r="A3019" t="s">
        <v>1016</v>
      </c>
      <c r="B3019" t="s">
        <v>1017</v>
      </c>
      <c r="C3019" t="s">
        <v>457</v>
      </c>
      <c r="D3019" t="str">
        <f>VLOOKUP(C3019,'lookup table'!$A$2:$B$19,2,FALSE)</f>
        <v>VLT</v>
      </c>
      <c r="E3019" t="str">
        <f t="shared" si="47"/>
        <v>AL105_00|VLT</v>
      </c>
    </row>
    <row r="3020" spans="1:5" x14ac:dyDescent="0.2">
      <c r="A3020" t="s">
        <v>1016</v>
      </c>
      <c r="B3020" t="s">
        <v>1017</v>
      </c>
      <c r="C3020" t="s">
        <v>458</v>
      </c>
      <c r="D3020" t="str">
        <f>VLOOKUP(C3020,'lookup table'!$A$2:$B$19,2,FALSE)</f>
        <v>VAR</v>
      </c>
      <c r="E3020" t="str">
        <f t="shared" si="47"/>
        <v>AL105_00|VAR</v>
      </c>
    </row>
    <row r="3021" spans="1:5" x14ac:dyDescent="0.2">
      <c r="A3021" t="s">
        <v>1018</v>
      </c>
      <c r="B3021" t="s">
        <v>1019</v>
      </c>
      <c r="C3021" t="s">
        <v>20</v>
      </c>
      <c r="D3021" t="str">
        <f>VLOOKUP(C3021,'lookup table'!$A$2:$B$19,2,FALSE)</f>
        <v>AY</v>
      </c>
      <c r="E3021" t="str">
        <f t="shared" si="47"/>
        <v>AL106_00|AY</v>
      </c>
    </row>
    <row r="3022" spans="1:5" x14ac:dyDescent="0.2">
      <c r="A3022" t="s">
        <v>1018</v>
      </c>
      <c r="B3022" t="s">
        <v>1019</v>
      </c>
      <c r="C3022" t="s">
        <v>331</v>
      </c>
      <c r="D3022" t="str">
        <f>VLOOKUP(C3022,'lookup table'!$A$2:$B$19,2,FALSE)</f>
        <v>FS Item</v>
      </c>
      <c r="E3022" t="str">
        <f t="shared" si="47"/>
        <v>AL106_00|FS Item</v>
      </c>
    </row>
    <row r="3023" spans="1:5" x14ac:dyDescent="0.2">
      <c r="A3023" t="s">
        <v>1018</v>
      </c>
      <c r="B3023" t="s">
        <v>1019</v>
      </c>
      <c r="C3023" t="s">
        <v>423</v>
      </c>
      <c r="D3023" t="str">
        <f>VLOOKUP(C3023,'lookup table'!$A$2:$B$19,2,FALSE)</f>
        <v>ignore</v>
      </c>
      <c r="E3023" t="str">
        <f t="shared" si="47"/>
        <v>AL106_00|ignore</v>
      </c>
    </row>
    <row r="3024" spans="1:5" x14ac:dyDescent="0.2">
      <c r="A3024" t="s">
        <v>1018</v>
      </c>
      <c r="B3024" t="s">
        <v>1019</v>
      </c>
      <c r="C3024" t="s">
        <v>428</v>
      </c>
      <c r="D3024" t="str">
        <f>VLOOKUP(C3024,'lookup table'!$A$2:$B$19,2,FALSE)</f>
        <v>LoB</v>
      </c>
      <c r="E3024" t="str">
        <f t="shared" si="47"/>
        <v>AL106_00|LoB</v>
      </c>
    </row>
    <row r="3025" spans="1:5" x14ac:dyDescent="0.2">
      <c r="A3025" t="s">
        <v>1018</v>
      </c>
      <c r="B3025" t="s">
        <v>1019</v>
      </c>
      <c r="C3025" t="s">
        <v>441</v>
      </c>
      <c r="D3025" t="str">
        <f>VLOOKUP(C3025,'lookup table'!$A$2:$B$19,2,FALSE)</f>
        <v>Partner Segment</v>
      </c>
      <c r="E3025" t="str">
        <f t="shared" si="47"/>
        <v>AL106_00|Partner Segment</v>
      </c>
    </row>
    <row r="3026" spans="1:5" x14ac:dyDescent="0.2">
      <c r="A3026" t="s">
        <v>1018</v>
      </c>
      <c r="B3026" t="s">
        <v>1019</v>
      </c>
      <c r="C3026" t="s">
        <v>442</v>
      </c>
      <c r="D3026" t="str">
        <f>VLOOKUP(C3026,'lookup table'!$A$2:$B$19,2,FALSE)</f>
        <v>Partner Unit</v>
      </c>
      <c r="E3026" t="str">
        <f t="shared" si="47"/>
        <v>AL106_00|Partner Unit</v>
      </c>
    </row>
    <row r="3027" spans="1:5" x14ac:dyDescent="0.2">
      <c r="A3027" t="s">
        <v>1020</v>
      </c>
      <c r="B3027" t="s">
        <v>1021</v>
      </c>
      <c r="C3027" t="s">
        <v>20</v>
      </c>
      <c r="D3027" t="str">
        <f>VLOOKUP(C3027,'lookup table'!$A$2:$B$19,2,FALSE)</f>
        <v>AY</v>
      </c>
      <c r="E3027" t="str">
        <f t="shared" si="47"/>
        <v>AL106_70|AY</v>
      </c>
    </row>
    <row r="3028" spans="1:5" x14ac:dyDescent="0.2">
      <c r="A3028" t="s">
        <v>1020</v>
      </c>
      <c r="B3028" t="s">
        <v>1021</v>
      </c>
      <c r="C3028" t="s">
        <v>331</v>
      </c>
      <c r="D3028" t="str">
        <f>VLOOKUP(C3028,'lookup table'!$A$2:$B$19,2,FALSE)</f>
        <v>FS Item</v>
      </c>
      <c r="E3028" t="str">
        <f t="shared" si="47"/>
        <v>AL106_70|FS Item</v>
      </c>
    </row>
    <row r="3029" spans="1:5" x14ac:dyDescent="0.2">
      <c r="A3029" t="s">
        <v>1020</v>
      </c>
      <c r="B3029" t="s">
        <v>1021</v>
      </c>
      <c r="C3029" t="s">
        <v>423</v>
      </c>
      <c r="D3029" t="str">
        <f>VLOOKUP(C3029,'lookup table'!$A$2:$B$19,2,FALSE)</f>
        <v>ignore</v>
      </c>
      <c r="E3029" t="str">
        <f t="shared" si="47"/>
        <v>AL106_70|ignore</v>
      </c>
    </row>
    <row r="3030" spans="1:5" x14ac:dyDescent="0.2">
      <c r="A3030" t="s">
        <v>1020</v>
      </c>
      <c r="B3030" t="s">
        <v>1021</v>
      </c>
      <c r="C3030" t="s">
        <v>428</v>
      </c>
      <c r="D3030" t="str">
        <f>VLOOKUP(C3030,'lookup table'!$A$2:$B$19,2,FALSE)</f>
        <v>LoB</v>
      </c>
      <c r="E3030" t="str">
        <f t="shared" si="47"/>
        <v>AL106_70|LoB</v>
      </c>
    </row>
    <row r="3031" spans="1:5" x14ac:dyDescent="0.2">
      <c r="A3031" t="s">
        <v>1020</v>
      </c>
      <c r="B3031" t="s">
        <v>1021</v>
      </c>
      <c r="C3031" t="s">
        <v>438</v>
      </c>
      <c r="D3031" t="str">
        <f>VLOOKUP(C3031,'lookup table'!$A$2:$B$19,2,FALSE)</f>
        <v>ToM</v>
      </c>
      <c r="E3031" t="str">
        <f t="shared" si="47"/>
        <v>AL106_70|ToM</v>
      </c>
    </row>
    <row r="3032" spans="1:5" x14ac:dyDescent="0.2">
      <c r="A3032" t="s">
        <v>1020</v>
      </c>
      <c r="B3032" t="s">
        <v>1021</v>
      </c>
      <c r="C3032" t="s">
        <v>442</v>
      </c>
      <c r="D3032" t="str">
        <f>VLOOKUP(C3032,'lookup table'!$A$2:$B$19,2,FALSE)</f>
        <v>Partner Unit</v>
      </c>
      <c r="E3032" t="str">
        <f t="shared" si="47"/>
        <v>AL106_70|Partner Unit</v>
      </c>
    </row>
    <row r="3033" spans="1:5" x14ac:dyDescent="0.2">
      <c r="A3033" t="s">
        <v>1022</v>
      </c>
      <c r="B3033" t="s">
        <v>1023</v>
      </c>
      <c r="C3033" t="s">
        <v>331</v>
      </c>
      <c r="D3033" t="str">
        <f>VLOOKUP(C3033,'lookup table'!$A$2:$B$19,2,FALSE)</f>
        <v>FS Item</v>
      </c>
      <c r="E3033" t="str">
        <f t="shared" si="47"/>
        <v>AL106_80|FS Item</v>
      </c>
    </row>
    <row r="3034" spans="1:5" x14ac:dyDescent="0.2">
      <c r="A3034" t="s">
        <v>1022</v>
      </c>
      <c r="B3034" t="s">
        <v>1023</v>
      </c>
      <c r="C3034" t="s">
        <v>423</v>
      </c>
      <c r="D3034" t="str">
        <f>VLOOKUP(C3034,'lookup table'!$A$2:$B$19,2,FALSE)</f>
        <v>ignore</v>
      </c>
      <c r="E3034" t="str">
        <f t="shared" si="47"/>
        <v>AL106_80|ignore</v>
      </c>
    </row>
    <row r="3035" spans="1:5" x14ac:dyDescent="0.2">
      <c r="A3035" t="s">
        <v>1022</v>
      </c>
      <c r="B3035" t="s">
        <v>1023</v>
      </c>
      <c r="C3035" t="s">
        <v>442</v>
      </c>
      <c r="D3035" t="str">
        <f>VLOOKUP(C3035,'lookup table'!$A$2:$B$19,2,FALSE)</f>
        <v>Partner Unit</v>
      </c>
      <c r="E3035" t="str">
        <f t="shared" si="47"/>
        <v>AL106_80|Partner Unit</v>
      </c>
    </row>
    <row r="3036" spans="1:5" x14ac:dyDescent="0.2">
      <c r="A3036" t="s">
        <v>1022</v>
      </c>
      <c r="B3036" t="s">
        <v>1023</v>
      </c>
      <c r="C3036" t="s">
        <v>451</v>
      </c>
      <c r="D3036" t="str">
        <f>VLOOKUP(C3036,'lookup table'!$A$2:$B$19,2,FALSE)</f>
        <v>Segment</v>
      </c>
      <c r="E3036" t="str">
        <f t="shared" si="47"/>
        <v>AL106_80|Segment</v>
      </c>
    </row>
    <row r="3037" spans="1:5" x14ac:dyDescent="0.2">
      <c r="A3037" t="s">
        <v>1024</v>
      </c>
      <c r="B3037" t="s">
        <v>1025</v>
      </c>
      <c r="C3037" t="s">
        <v>20</v>
      </c>
      <c r="D3037" t="str">
        <f>VLOOKUP(C3037,'lookup table'!$A$2:$B$19,2,FALSE)</f>
        <v>AY</v>
      </c>
      <c r="E3037" t="str">
        <f t="shared" si="47"/>
        <v>AL107_00|AY</v>
      </c>
    </row>
    <row r="3038" spans="1:5" x14ac:dyDescent="0.2">
      <c r="A3038" t="s">
        <v>1024</v>
      </c>
      <c r="B3038" t="s">
        <v>1025</v>
      </c>
      <c r="C3038" t="s">
        <v>331</v>
      </c>
      <c r="D3038" t="str">
        <f>VLOOKUP(C3038,'lookup table'!$A$2:$B$19,2,FALSE)</f>
        <v>FS Item</v>
      </c>
      <c r="E3038" t="str">
        <f t="shared" si="47"/>
        <v>AL107_00|FS Item</v>
      </c>
    </row>
    <row r="3039" spans="1:5" x14ac:dyDescent="0.2">
      <c r="A3039" t="s">
        <v>1024</v>
      </c>
      <c r="B3039" t="s">
        <v>1025</v>
      </c>
      <c r="C3039" t="s">
        <v>423</v>
      </c>
      <c r="D3039" t="str">
        <f>VLOOKUP(C3039,'lookup table'!$A$2:$B$19,2,FALSE)</f>
        <v>ignore</v>
      </c>
      <c r="E3039" t="str">
        <f t="shared" si="47"/>
        <v>AL107_00|ignore</v>
      </c>
    </row>
    <row r="3040" spans="1:5" x14ac:dyDescent="0.2">
      <c r="A3040" t="s">
        <v>1024</v>
      </c>
      <c r="B3040" t="s">
        <v>1025</v>
      </c>
      <c r="C3040" t="s">
        <v>428</v>
      </c>
      <c r="D3040" t="str">
        <f>VLOOKUP(C3040,'lookup table'!$A$2:$B$19,2,FALSE)</f>
        <v>LoB</v>
      </c>
      <c r="E3040" t="str">
        <f t="shared" si="47"/>
        <v>AL107_00|LoB</v>
      </c>
    </row>
    <row r="3041" spans="1:5" x14ac:dyDescent="0.2">
      <c r="A3041" t="s">
        <v>1024</v>
      </c>
      <c r="B3041" t="s">
        <v>1025</v>
      </c>
      <c r="C3041" t="s">
        <v>441</v>
      </c>
      <c r="D3041" t="str">
        <f>VLOOKUP(C3041,'lookup table'!$A$2:$B$19,2,FALSE)</f>
        <v>Partner Segment</v>
      </c>
      <c r="E3041" t="str">
        <f t="shared" si="47"/>
        <v>AL107_00|Partner Segment</v>
      </c>
    </row>
    <row r="3042" spans="1:5" x14ac:dyDescent="0.2">
      <c r="A3042" t="s">
        <v>1024</v>
      </c>
      <c r="B3042" t="s">
        <v>1025</v>
      </c>
      <c r="C3042" t="s">
        <v>442</v>
      </c>
      <c r="D3042" t="str">
        <f>VLOOKUP(C3042,'lookup table'!$A$2:$B$19,2,FALSE)</f>
        <v>Partner Unit</v>
      </c>
      <c r="E3042" t="str">
        <f t="shared" si="47"/>
        <v>AL107_00|Partner Unit</v>
      </c>
    </row>
    <row r="3043" spans="1:5" x14ac:dyDescent="0.2">
      <c r="A3043" t="s">
        <v>1026</v>
      </c>
      <c r="B3043" t="s">
        <v>1027</v>
      </c>
      <c r="C3043" t="s">
        <v>20</v>
      </c>
      <c r="D3043" t="str">
        <f>VLOOKUP(C3043,'lookup table'!$A$2:$B$19,2,FALSE)</f>
        <v>AY</v>
      </c>
      <c r="E3043" t="str">
        <f t="shared" si="47"/>
        <v>AL107_70|AY</v>
      </c>
    </row>
    <row r="3044" spans="1:5" x14ac:dyDescent="0.2">
      <c r="A3044" t="s">
        <v>1026</v>
      </c>
      <c r="B3044" t="s">
        <v>1027</v>
      </c>
      <c r="C3044" t="s">
        <v>331</v>
      </c>
      <c r="D3044" t="str">
        <f>VLOOKUP(C3044,'lookup table'!$A$2:$B$19,2,FALSE)</f>
        <v>FS Item</v>
      </c>
      <c r="E3044" t="str">
        <f t="shared" si="47"/>
        <v>AL107_70|FS Item</v>
      </c>
    </row>
    <row r="3045" spans="1:5" x14ac:dyDescent="0.2">
      <c r="A3045" t="s">
        <v>1026</v>
      </c>
      <c r="B3045" t="s">
        <v>1027</v>
      </c>
      <c r="C3045" t="s">
        <v>423</v>
      </c>
      <c r="D3045" t="str">
        <f>VLOOKUP(C3045,'lookup table'!$A$2:$B$19,2,FALSE)</f>
        <v>ignore</v>
      </c>
      <c r="E3045" t="str">
        <f t="shared" si="47"/>
        <v>AL107_70|ignore</v>
      </c>
    </row>
    <row r="3046" spans="1:5" x14ac:dyDescent="0.2">
      <c r="A3046" t="s">
        <v>1026</v>
      </c>
      <c r="B3046" t="s">
        <v>1027</v>
      </c>
      <c r="C3046" t="s">
        <v>428</v>
      </c>
      <c r="D3046" t="str">
        <f>VLOOKUP(C3046,'lookup table'!$A$2:$B$19,2,FALSE)</f>
        <v>LoB</v>
      </c>
      <c r="E3046" t="str">
        <f t="shared" si="47"/>
        <v>AL107_70|LoB</v>
      </c>
    </row>
    <row r="3047" spans="1:5" x14ac:dyDescent="0.2">
      <c r="A3047" t="s">
        <v>1026</v>
      </c>
      <c r="B3047" t="s">
        <v>1027</v>
      </c>
      <c r="C3047" t="s">
        <v>438</v>
      </c>
      <c r="D3047" t="str">
        <f>VLOOKUP(C3047,'lookup table'!$A$2:$B$19,2,FALSE)</f>
        <v>ToM</v>
      </c>
      <c r="E3047" t="str">
        <f t="shared" si="47"/>
        <v>AL107_70|ToM</v>
      </c>
    </row>
    <row r="3048" spans="1:5" x14ac:dyDescent="0.2">
      <c r="A3048" t="s">
        <v>1026</v>
      </c>
      <c r="B3048" t="s">
        <v>1027</v>
      </c>
      <c r="C3048" t="s">
        <v>441</v>
      </c>
      <c r="D3048" t="str">
        <f>VLOOKUP(C3048,'lookup table'!$A$2:$B$19,2,FALSE)</f>
        <v>Partner Segment</v>
      </c>
      <c r="E3048" t="str">
        <f t="shared" si="47"/>
        <v>AL107_70|Partner Segment</v>
      </c>
    </row>
    <row r="3049" spans="1:5" x14ac:dyDescent="0.2">
      <c r="A3049" t="s">
        <v>1026</v>
      </c>
      <c r="B3049" t="s">
        <v>1027</v>
      </c>
      <c r="C3049" t="s">
        <v>442</v>
      </c>
      <c r="D3049" t="str">
        <f>VLOOKUP(C3049,'lookup table'!$A$2:$B$19,2,FALSE)</f>
        <v>Partner Unit</v>
      </c>
      <c r="E3049" t="str">
        <f t="shared" si="47"/>
        <v>AL107_70|Partner Unit</v>
      </c>
    </row>
    <row r="3050" spans="1:5" x14ac:dyDescent="0.2">
      <c r="A3050" t="s">
        <v>1026</v>
      </c>
      <c r="B3050" t="s">
        <v>1027</v>
      </c>
      <c r="C3050" t="s">
        <v>458</v>
      </c>
      <c r="D3050" t="str">
        <f>VLOOKUP(C3050,'lookup table'!$A$2:$B$19,2,FALSE)</f>
        <v>VAR</v>
      </c>
      <c r="E3050" t="str">
        <f t="shared" si="47"/>
        <v>AL107_70|VAR</v>
      </c>
    </row>
    <row r="3051" spans="1:5" x14ac:dyDescent="0.2">
      <c r="A3051" t="s">
        <v>1028</v>
      </c>
      <c r="B3051" t="s">
        <v>1029</v>
      </c>
      <c r="C3051" t="s">
        <v>20</v>
      </c>
      <c r="D3051" t="str">
        <f>VLOOKUP(C3051,'lookup table'!$A$2:$B$19,2,FALSE)</f>
        <v>AY</v>
      </c>
      <c r="E3051" t="str">
        <f t="shared" si="47"/>
        <v>AL107_80|AY</v>
      </c>
    </row>
    <row r="3052" spans="1:5" x14ac:dyDescent="0.2">
      <c r="A3052" t="s">
        <v>1028</v>
      </c>
      <c r="B3052" t="s">
        <v>1029</v>
      </c>
      <c r="C3052" t="s">
        <v>331</v>
      </c>
      <c r="D3052" t="str">
        <f>VLOOKUP(C3052,'lookup table'!$A$2:$B$19,2,FALSE)</f>
        <v>FS Item</v>
      </c>
      <c r="E3052" t="str">
        <f t="shared" si="47"/>
        <v>AL107_80|FS Item</v>
      </c>
    </row>
    <row r="3053" spans="1:5" x14ac:dyDescent="0.2">
      <c r="A3053" t="s">
        <v>1028</v>
      </c>
      <c r="B3053" t="s">
        <v>1029</v>
      </c>
      <c r="C3053" t="s">
        <v>423</v>
      </c>
      <c r="D3053" t="str">
        <f>VLOOKUP(C3053,'lookup table'!$A$2:$B$19,2,FALSE)</f>
        <v>ignore</v>
      </c>
      <c r="E3053" t="str">
        <f t="shared" si="47"/>
        <v>AL107_80|ignore</v>
      </c>
    </row>
    <row r="3054" spans="1:5" x14ac:dyDescent="0.2">
      <c r="A3054" t="s">
        <v>1028</v>
      </c>
      <c r="B3054" t="s">
        <v>1029</v>
      </c>
      <c r="C3054" t="s">
        <v>428</v>
      </c>
      <c r="D3054" t="str">
        <f>VLOOKUP(C3054,'lookup table'!$A$2:$B$19,2,FALSE)</f>
        <v>LoB</v>
      </c>
      <c r="E3054" t="str">
        <f t="shared" si="47"/>
        <v>AL107_80|LoB</v>
      </c>
    </row>
    <row r="3055" spans="1:5" x14ac:dyDescent="0.2">
      <c r="A3055" t="s">
        <v>1028</v>
      </c>
      <c r="B3055" t="s">
        <v>1029</v>
      </c>
      <c r="C3055" t="s">
        <v>441</v>
      </c>
      <c r="D3055" t="str">
        <f>VLOOKUP(C3055,'lookup table'!$A$2:$B$19,2,FALSE)</f>
        <v>Partner Segment</v>
      </c>
      <c r="E3055" t="str">
        <f t="shared" si="47"/>
        <v>AL107_80|Partner Segment</v>
      </c>
    </row>
    <row r="3056" spans="1:5" x14ac:dyDescent="0.2">
      <c r="A3056" t="s">
        <v>1028</v>
      </c>
      <c r="B3056" t="s">
        <v>1029</v>
      </c>
      <c r="C3056" t="s">
        <v>442</v>
      </c>
      <c r="D3056" t="str">
        <f>VLOOKUP(C3056,'lookup table'!$A$2:$B$19,2,FALSE)</f>
        <v>Partner Unit</v>
      </c>
      <c r="E3056" t="str">
        <f t="shared" si="47"/>
        <v>AL107_80|Partner Unit</v>
      </c>
    </row>
    <row r="3057" spans="1:5" x14ac:dyDescent="0.2">
      <c r="A3057" t="s">
        <v>1030</v>
      </c>
      <c r="B3057" t="s">
        <v>35</v>
      </c>
      <c r="C3057" t="s">
        <v>20</v>
      </c>
      <c r="D3057" t="str">
        <f>VLOOKUP(C3057,'lookup table'!$A$2:$B$19,2,FALSE)</f>
        <v>AY</v>
      </c>
      <c r="E3057" t="str">
        <f t="shared" si="47"/>
        <v>AL108_00|AY</v>
      </c>
    </row>
    <row r="3058" spans="1:5" x14ac:dyDescent="0.2">
      <c r="A3058" t="s">
        <v>1030</v>
      </c>
      <c r="B3058" t="s">
        <v>35</v>
      </c>
      <c r="C3058" t="s">
        <v>136</v>
      </c>
      <c r="D3058" t="str">
        <f>VLOOKUP(C3058,'lookup table'!$A$2:$B$19,2,FALSE)</f>
        <v>BBA Set</v>
      </c>
      <c r="E3058" t="str">
        <f t="shared" si="47"/>
        <v>AL108_00|BBA Set</v>
      </c>
    </row>
    <row r="3059" spans="1:5" x14ac:dyDescent="0.2">
      <c r="A3059" t="s">
        <v>1030</v>
      </c>
      <c r="B3059" t="s">
        <v>35</v>
      </c>
      <c r="C3059" t="s">
        <v>331</v>
      </c>
      <c r="D3059" t="str">
        <f>VLOOKUP(C3059,'lookup table'!$A$2:$B$19,2,FALSE)</f>
        <v>FS Item</v>
      </c>
      <c r="E3059" t="str">
        <f t="shared" si="47"/>
        <v>AL108_00|FS Item</v>
      </c>
    </row>
    <row r="3060" spans="1:5" x14ac:dyDescent="0.2">
      <c r="A3060" t="s">
        <v>1030</v>
      </c>
      <c r="B3060" t="s">
        <v>35</v>
      </c>
      <c r="C3060" t="s">
        <v>423</v>
      </c>
      <c r="D3060" t="str">
        <f>VLOOKUP(C3060,'lookup table'!$A$2:$B$19,2,FALSE)</f>
        <v>ignore</v>
      </c>
      <c r="E3060" t="str">
        <f t="shared" si="47"/>
        <v>AL108_00|ignore</v>
      </c>
    </row>
    <row r="3061" spans="1:5" x14ac:dyDescent="0.2">
      <c r="A3061" t="s">
        <v>1030</v>
      </c>
      <c r="B3061" t="s">
        <v>35</v>
      </c>
      <c r="C3061" t="s">
        <v>428</v>
      </c>
      <c r="D3061" t="str">
        <f>VLOOKUP(C3061,'lookup table'!$A$2:$B$19,2,FALSE)</f>
        <v>LoB</v>
      </c>
      <c r="E3061" t="str">
        <f t="shared" si="47"/>
        <v>AL108_00|LoB</v>
      </c>
    </row>
    <row r="3062" spans="1:5" x14ac:dyDescent="0.2">
      <c r="A3062" t="s">
        <v>1030</v>
      </c>
      <c r="B3062" t="s">
        <v>35</v>
      </c>
      <c r="C3062" t="s">
        <v>441</v>
      </c>
      <c r="D3062" t="str">
        <f>VLOOKUP(C3062,'lookup table'!$A$2:$B$19,2,FALSE)</f>
        <v>Partner Segment</v>
      </c>
      <c r="E3062" t="str">
        <f t="shared" si="47"/>
        <v>AL108_00|Partner Segment</v>
      </c>
    </row>
    <row r="3063" spans="1:5" x14ac:dyDescent="0.2">
      <c r="A3063" t="s">
        <v>1030</v>
      </c>
      <c r="B3063" t="s">
        <v>35</v>
      </c>
      <c r="C3063" t="s">
        <v>442</v>
      </c>
      <c r="D3063" t="str">
        <f>VLOOKUP(C3063,'lookup table'!$A$2:$B$19,2,FALSE)</f>
        <v>Partner Unit</v>
      </c>
      <c r="E3063" t="str">
        <f t="shared" si="47"/>
        <v>AL108_00|Partner Unit</v>
      </c>
    </row>
    <row r="3064" spans="1:5" x14ac:dyDescent="0.2">
      <c r="A3064" t="s">
        <v>1030</v>
      </c>
      <c r="B3064" t="s">
        <v>35</v>
      </c>
      <c r="C3064" t="s">
        <v>461</v>
      </c>
      <c r="D3064" t="str">
        <f>VLOOKUP(C3064,'lookup table'!$A$2:$B$19,2,FALSE)</f>
        <v>Posting Level</v>
      </c>
      <c r="E3064" t="str">
        <f t="shared" si="47"/>
        <v>AL108_00|Posting Level</v>
      </c>
    </row>
    <row r="3065" spans="1:5" x14ac:dyDescent="0.2">
      <c r="A3065" t="s">
        <v>1031</v>
      </c>
      <c r="B3065" t="s">
        <v>1032</v>
      </c>
      <c r="C3065" t="s">
        <v>20</v>
      </c>
      <c r="D3065" t="str">
        <f>VLOOKUP(C3065,'lookup table'!$A$2:$B$19,2,FALSE)</f>
        <v>AY</v>
      </c>
      <c r="E3065" t="str">
        <f t="shared" si="47"/>
        <v>AL108_01|AY</v>
      </c>
    </row>
    <row r="3066" spans="1:5" x14ac:dyDescent="0.2">
      <c r="A3066" t="s">
        <v>1031</v>
      </c>
      <c r="B3066" t="s">
        <v>1032</v>
      </c>
      <c r="C3066" t="s">
        <v>136</v>
      </c>
      <c r="D3066" t="str">
        <f>VLOOKUP(C3066,'lookup table'!$A$2:$B$19,2,FALSE)</f>
        <v>BBA Set</v>
      </c>
      <c r="E3066" t="str">
        <f t="shared" si="47"/>
        <v>AL108_01|BBA Set</v>
      </c>
    </row>
    <row r="3067" spans="1:5" x14ac:dyDescent="0.2">
      <c r="A3067" t="s">
        <v>1031</v>
      </c>
      <c r="B3067" t="s">
        <v>1032</v>
      </c>
      <c r="C3067" t="s">
        <v>331</v>
      </c>
      <c r="D3067" t="str">
        <f>VLOOKUP(C3067,'lookup table'!$A$2:$B$19,2,FALSE)</f>
        <v>FS Item</v>
      </c>
      <c r="E3067" t="str">
        <f t="shared" si="47"/>
        <v>AL108_01|FS Item</v>
      </c>
    </row>
    <row r="3068" spans="1:5" x14ac:dyDescent="0.2">
      <c r="A3068" t="s">
        <v>1031</v>
      </c>
      <c r="B3068" t="s">
        <v>1032</v>
      </c>
      <c r="C3068" t="s">
        <v>423</v>
      </c>
      <c r="D3068" t="str">
        <f>VLOOKUP(C3068,'lookup table'!$A$2:$B$19,2,FALSE)</f>
        <v>ignore</v>
      </c>
      <c r="E3068" t="str">
        <f t="shared" si="47"/>
        <v>AL108_01|ignore</v>
      </c>
    </row>
    <row r="3069" spans="1:5" x14ac:dyDescent="0.2">
      <c r="A3069" t="s">
        <v>1031</v>
      </c>
      <c r="B3069" t="s">
        <v>1032</v>
      </c>
      <c r="C3069" t="s">
        <v>428</v>
      </c>
      <c r="D3069" t="str">
        <f>VLOOKUP(C3069,'lookup table'!$A$2:$B$19,2,FALSE)</f>
        <v>LoB</v>
      </c>
      <c r="E3069" t="str">
        <f t="shared" si="47"/>
        <v>AL108_01|LoB</v>
      </c>
    </row>
    <row r="3070" spans="1:5" x14ac:dyDescent="0.2">
      <c r="A3070" t="s">
        <v>1031</v>
      </c>
      <c r="B3070" t="s">
        <v>1032</v>
      </c>
      <c r="C3070" t="s">
        <v>442</v>
      </c>
      <c r="D3070" t="str">
        <f>VLOOKUP(C3070,'lookup table'!$A$2:$B$19,2,FALSE)</f>
        <v>Partner Unit</v>
      </c>
      <c r="E3070" t="str">
        <f t="shared" si="47"/>
        <v>AL108_01|Partner Unit</v>
      </c>
    </row>
    <row r="3071" spans="1:5" x14ac:dyDescent="0.2">
      <c r="A3071" t="s">
        <v>1031</v>
      </c>
      <c r="B3071" t="s">
        <v>1032</v>
      </c>
      <c r="C3071" t="s">
        <v>461</v>
      </c>
      <c r="D3071" t="str">
        <f>VLOOKUP(C3071,'lookup table'!$A$2:$B$19,2,FALSE)</f>
        <v>Posting Level</v>
      </c>
      <c r="E3071" t="str">
        <f t="shared" si="47"/>
        <v>AL108_01|Posting Level</v>
      </c>
    </row>
    <row r="3072" spans="1:5" x14ac:dyDescent="0.2">
      <c r="A3072" t="s">
        <v>1033</v>
      </c>
      <c r="B3072" t="s">
        <v>1034</v>
      </c>
      <c r="C3072" t="s">
        <v>20</v>
      </c>
      <c r="D3072" t="str">
        <f>VLOOKUP(C3072,'lookup table'!$A$2:$B$19,2,FALSE)</f>
        <v>AY</v>
      </c>
      <c r="E3072" t="str">
        <f t="shared" si="47"/>
        <v>AL108_10|AY</v>
      </c>
    </row>
    <row r="3073" spans="1:5" x14ac:dyDescent="0.2">
      <c r="A3073" t="s">
        <v>1033</v>
      </c>
      <c r="B3073" t="s">
        <v>1034</v>
      </c>
      <c r="C3073" t="s">
        <v>136</v>
      </c>
      <c r="D3073" t="str">
        <f>VLOOKUP(C3073,'lookup table'!$A$2:$B$19,2,FALSE)</f>
        <v>BBA Set</v>
      </c>
      <c r="E3073" t="str">
        <f t="shared" si="47"/>
        <v>AL108_10|BBA Set</v>
      </c>
    </row>
    <row r="3074" spans="1:5" x14ac:dyDescent="0.2">
      <c r="A3074" t="s">
        <v>1033</v>
      </c>
      <c r="B3074" t="s">
        <v>1034</v>
      </c>
      <c r="C3074" t="s">
        <v>331</v>
      </c>
      <c r="D3074" t="str">
        <f>VLOOKUP(C3074,'lookup table'!$A$2:$B$19,2,FALSE)</f>
        <v>FS Item</v>
      </c>
      <c r="E3074" t="str">
        <f t="shared" si="47"/>
        <v>AL108_10|FS Item</v>
      </c>
    </row>
    <row r="3075" spans="1:5" x14ac:dyDescent="0.2">
      <c r="A3075" t="s">
        <v>1033</v>
      </c>
      <c r="B3075" t="s">
        <v>1034</v>
      </c>
      <c r="C3075" t="s">
        <v>423</v>
      </c>
      <c r="D3075" t="str">
        <f>VLOOKUP(C3075,'lookup table'!$A$2:$B$19,2,FALSE)</f>
        <v>ignore</v>
      </c>
      <c r="E3075" t="str">
        <f t="shared" ref="E3075:E3138" si="48">IF(ISNA(D3075),"",IF(A3075="","",A3075) &amp; "|" &amp; D3075)</f>
        <v>AL108_10|ignore</v>
      </c>
    </row>
    <row r="3076" spans="1:5" x14ac:dyDescent="0.2">
      <c r="A3076" t="s">
        <v>1033</v>
      </c>
      <c r="B3076" t="s">
        <v>1034</v>
      </c>
      <c r="C3076" t="s">
        <v>428</v>
      </c>
      <c r="D3076" t="str">
        <f>VLOOKUP(C3076,'lookup table'!$A$2:$B$19,2,FALSE)</f>
        <v>LoB</v>
      </c>
      <c r="E3076" t="str">
        <f t="shared" si="48"/>
        <v>AL108_10|LoB</v>
      </c>
    </row>
    <row r="3077" spans="1:5" x14ac:dyDescent="0.2">
      <c r="A3077" t="s">
        <v>1033</v>
      </c>
      <c r="B3077" t="s">
        <v>1034</v>
      </c>
      <c r="C3077" t="s">
        <v>442</v>
      </c>
      <c r="D3077" t="str">
        <f>VLOOKUP(C3077,'lookup table'!$A$2:$B$19,2,FALSE)</f>
        <v>Partner Unit</v>
      </c>
      <c r="E3077" t="str">
        <f t="shared" si="48"/>
        <v>AL108_10|Partner Unit</v>
      </c>
    </row>
    <row r="3078" spans="1:5" x14ac:dyDescent="0.2">
      <c r="A3078" t="s">
        <v>1033</v>
      </c>
      <c r="B3078" t="s">
        <v>1034</v>
      </c>
      <c r="C3078" t="s">
        <v>461</v>
      </c>
      <c r="D3078" t="str">
        <f>VLOOKUP(C3078,'lookup table'!$A$2:$B$19,2,FALSE)</f>
        <v>Posting Level</v>
      </c>
      <c r="E3078" t="str">
        <f t="shared" si="48"/>
        <v>AL108_10|Posting Level</v>
      </c>
    </row>
    <row r="3079" spans="1:5" x14ac:dyDescent="0.2">
      <c r="A3079" t="s">
        <v>1035</v>
      </c>
      <c r="B3079" t="s">
        <v>1036</v>
      </c>
      <c r="C3079" t="s">
        <v>20</v>
      </c>
      <c r="D3079" t="str">
        <f>VLOOKUP(C3079,'lookup table'!$A$2:$B$19,2,FALSE)</f>
        <v>AY</v>
      </c>
      <c r="E3079" t="str">
        <f t="shared" si="48"/>
        <v>AL108_14|AY</v>
      </c>
    </row>
    <row r="3080" spans="1:5" x14ac:dyDescent="0.2">
      <c r="A3080" t="s">
        <v>1035</v>
      </c>
      <c r="B3080" t="s">
        <v>1036</v>
      </c>
      <c r="C3080" t="s">
        <v>136</v>
      </c>
      <c r="D3080" t="str">
        <f>VLOOKUP(C3080,'lookup table'!$A$2:$B$19,2,FALSE)</f>
        <v>BBA Set</v>
      </c>
      <c r="E3080" t="str">
        <f t="shared" si="48"/>
        <v>AL108_14|BBA Set</v>
      </c>
    </row>
    <row r="3081" spans="1:5" x14ac:dyDescent="0.2">
      <c r="A3081" t="s">
        <v>1035</v>
      </c>
      <c r="B3081" t="s">
        <v>1036</v>
      </c>
      <c r="C3081" t="s">
        <v>331</v>
      </c>
      <c r="D3081" t="str">
        <f>VLOOKUP(C3081,'lookup table'!$A$2:$B$19,2,FALSE)</f>
        <v>FS Item</v>
      </c>
      <c r="E3081" t="str">
        <f t="shared" si="48"/>
        <v>AL108_14|FS Item</v>
      </c>
    </row>
    <row r="3082" spans="1:5" x14ac:dyDescent="0.2">
      <c r="A3082" t="s">
        <v>1035</v>
      </c>
      <c r="B3082" t="s">
        <v>1036</v>
      </c>
      <c r="C3082" t="s">
        <v>423</v>
      </c>
      <c r="D3082" t="str">
        <f>VLOOKUP(C3082,'lookup table'!$A$2:$B$19,2,FALSE)</f>
        <v>ignore</v>
      </c>
      <c r="E3082" t="str">
        <f t="shared" si="48"/>
        <v>AL108_14|ignore</v>
      </c>
    </row>
    <row r="3083" spans="1:5" x14ac:dyDescent="0.2">
      <c r="A3083" t="s">
        <v>1035</v>
      </c>
      <c r="B3083" t="s">
        <v>1036</v>
      </c>
      <c r="C3083" t="s">
        <v>428</v>
      </c>
      <c r="D3083" t="str">
        <f>VLOOKUP(C3083,'lookup table'!$A$2:$B$19,2,FALSE)</f>
        <v>LoB</v>
      </c>
      <c r="E3083" t="str">
        <f t="shared" si="48"/>
        <v>AL108_14|LoB</v>
      </c>
    </row>
    <row r="3084" spans="1:5" x14ac:dyDescent="0.2">
      <c r="A3084" t="s">
        <v>1035</v>
      </c>
      <c r="B3084" t="s">
        <v>1036</v>
      </c>
      <c r="C3084" t="s">
        <v>441</v>
      </c>
      <c r="D3084" t="str">
        <f>VLOOKUP(C3084,'lookup table'!$A$2:$B$19,2,FALSE)</f>
        <v>Partner Segment</v>
      </c>
      <c r="E3084" t="str">
        <f t="shared" si="48"/>
        <v>AL108_14|Partner Segment</v>
      </c>
    </row>
    <row r="3085" spans="1:5" x14ac:dyDescent="0.2">
      <c r="A3085" t="s">
        <v>1035</v>
      </c>
      <c r="B3085" t="s">
        <v>1036</v>
      </c>
      <c r="C3085" t="s">
        <v>442</v>
      </c>
      <c r="D3085" t="str">
        <f>VLOOKUP(C3085,'lookup table'!$A$2:$B$19,2,FALSE)</f>
        <v>Partner Unit</v>
      </c>
      <c r="E3085" t="str">
        <f t="shared" si="48"/>
        <v>AL108_14|Partner Unit</v>
      </c>
    </row>
    <row r="3086" spans="1:5" x14ac:dyDescent="0.2">
      <c r="A3086" t="s">
        <v>1035</v>
      </c>
      <c r="B3086" t="s">
        <v>1036</v>
      </c>
      <c r="C3086" t="s">
        <v>461</v>
      </c>
      <c r="D3086" t="str">
        <f>VLOOKUP(C3086,'lookup table'!$A$2:$B$19,2,FALSE)</f>
        <v>Posting Level</v>
      </c>
      <c r="E3086" t="str">
        <f t="shared" si="48"/>
        <v>AL108_14|Posting Level</v>
      </c>
    </row>
    <row r="3087" spans="1:5" x14ac:dyDescent="0.2">
      <c r="A3087" t="s">
        <v>1037</v>
      </c>
      <c r="B3087" t="s">
        <v>1038</v>
      </c>
      <c r="C3087" t="s">
        <v>20</v>
      </c>
      <c r="D3087" t="str">
        <f>VLOOKUP(C3087,'lookup table'!$A$2:$B$19,2,FALSE)</f>
        <v>AY</v>
      </c>
      <c r="E3087" t="str">
        <f t="shared" si="48"/>
        <v>AL108_70|AY</v>
      </c>
    </row>
    <row r="3088" spans="1:5" x14ac:dyDescent="0.2">
      <c r="A3088" t="s">
        <v>1037</v>
      </c>
      <c r="B3088" t="s">
        <v>1038</v>
      </c>
      <c r="C3088" t="s">
        <v>331</v>
      </c>
      <c r="D3088" t="str">
        <f>VLOOKUP(C3088,'lookup table'!$A$2:$B$19,2,FALSE)</f>
        <v>FS Item</v>
      </c>
      <c r="E3088" t="str">
        <f t="shared" si="48"/>
        <v>AL108_70|FS Item</v>
      </c>
    </row>
    <row r="3089" spans="1:5" x14ac:dyDescent="0.2">
      <c r="A3089" t="s">
        <v>1037</v>
      </c>
      <c r="B3089" t="s">
        <v>1038</v>
      </c>
      <c r="C3089" t="s">
        <v>423</v>
      </c>
      <c r="D3089" t="str">
        <f>VLOOKUP(C3089,'lookup table'!$A$2:$B$19,2,FALSE)</f>
        <v>ignore</v>
      </c>
      <c r="E3089" t="str">
        <f t="shared" si="48"/>
        <v>AL108_70|ignore</v>
      </c>
    </row>
    <row r="3090" spans="1:5" x14ac:dyDescent="0.2">
      <c r="A3090" t="s">
        <v>1037</v>
      </c>
      <c r="B3090" t="s">
        <v>1038</v>
      </c>
      <c r="C3090" t="s">
        <v>428</v>
      </c>
      <c r="D3090" t="str">
        <f>VLOOKUP(C3090,'lookup table'!$A$2:$B$19,2,FALSE)</f>
        <v>LoB</v>
      </c>
      <c r="E3090" t="str">
        <f t="shared" si="48"/>
        <v>AL108_70|LoB</v>
      </c>
    </row>
    <row r="3091" spans="1:5" x14ac:dyDescent="0.2">
      <c r="A3091" t="s">
        <v>1037</v>
      </c>
      <c r="B3091" t="s">
        <v>1038</v>
      </c>
      <c r="C3091" t="s">
        <v>441</v>
      </c>
      <c r="D3091" t="str">
        <f>VLOOKUP(C3091,'lookup table'!$A$2:$B$19,2,FALSE)</f>
        <v>Partner Segment</v>
      </c>
      <c r="E3091" t="str">
        <f t="shared" si="48"/>
        <v>AL108_70|Partner Segment</v>
      </c>
    </row>
    <row r="3092" spans="1:5" x14ac:dyDescent="0.2">
      <c r="A3092" t="s">
        <v>1037</v>
      </c>
      <c r="B3092" t="s">
        <v>1038</v>
      </c>
      <c r="C3092" t="s">
        <v>442</v>
      </c>
      <c r="D3092" t="str">
        <f>VLOOKUP(C3092,'lookup table'!$A$2:$B$19,2,FALSE)</f>
        <v>Partner Unit</v>
      </c>
      <c r="E3092" t="str">
        <f t="shared" si="48"/>
        <v>AL108_70|Partner Unit</v>
      </c>
    </row>
    <row r="3093" spans="1:5" x14ac:dyDescent="0.2">
      <c r="A3093" t="s">
        <v>1039</v>
      </c>
      <c r="B3093" t="s">
        <v>1040</v>
      </c>
      <c r="C3093" t="s">
        <v>20</v>
      </c>
      <c r="D3093" t="str">
        <f>VLOOKUP(C3093,'lookup table'!$A$2:$B$19,2,FALSE)</f>
        <v>AY</v>
      </c>
      <c r="E3093" t="str">
        <f t="shared" si="48"/>
        <v>AL108_Q1|AY</v>
      </c>
    </row>
    <row r="3094" spans="1:5" x14ac:dyDescent="0.2">
      <c r="A3094" t="s">
        <v>1039</v>
      </c>
      <c r="B3094" t="s">
        <v>1040</v>
      </c>
      <c r="C3094" t="s">
        <v>136</v>
      </c>
      <c r="D3094" t="str">
        <f>VLOOKUP(C3094,'lookup table'!$A$2:$B$19,2,FALSE)</f>
        <v>BBA Set</v>
      </c>
      <c r="E3094" t="str">
        <f t="shared" si="48"/>
        <v>AL108_Q1|BBA Set</v>
      </c>
    </row>
    <row r="3095" spans="1:5" x14ac:dyDescent="0.2">
      <c r="A3095" t="s">
        <v>1039</v>
      </c>
      <c r="B3095" t="s">
        <v>1040</v>
      </c>
      <c r="C3095" t="s">
        <v>331</v>
      </c>
      <c r="D3095" t="str">
        <f>VLOOKUP(C3095,'lookup table'!$A$2:$B$19,2,FALSE)</f>
        <v>FS Item</v>
      </c>
      <c r="E3095" t="str">
        <f t="shared" si="48"/>
        <v>AL108_Q1|FS Item</v>
      </c>
    </row>
    <row r="3096" spans="1:5" x14ac:dyDescent="0.2">
      <c r="A3096" t="s">
        <v>1039</v>
      </c>
      <c r="B3096" t="s">
        <v>1040</v>
      </c>
      <c r="C3096" t="s">
        <v>423</v>
      </c>
      <c r="D3096" t="str">
        <f>VLOOKUP(C3096,'lookup table'!$A$2:$B$19,2,FALSE)</f>
        <v>ignore</v>
      </c>
      <c r="E3096" t="str">
        <f t="shared" si="48"/>
        <v>AL108_Q1|ignore</v>
      </c>
    </row>
    <row r="3097" spans="1:5" x14ac:dyDescent="0.2">
      <c r="A3097" t="s">
        <v>1039</v>
      </c>
      <c r="B3097" t="s">
        <v>1040</v>
      </c>
      <c r="C3097" t="s">
        <v>428</v>
      </c>
      <c r="D3097" t="str">
        <f>VLOOKUP(C3097,'lookup table'!$A$2:$B$19,2,FALSE)</f>
        <v>LoB</v>
      </c>
      <c r="E3097" t="str">
        <f t="shared" si="48"/>
        <v>AL108_Q1|LoB</v>
      </c>
    </row>
    <row r="3098" spans="1:5" x14ac:dyDescent="0.2">
      <c r="A3098" t="s">
        <v>1039</v>
      </c>
      <c r="B3098" t="s">
        <v>1040</v>
      </c>
      <c r="C3098" t="s">
        <v>441</v>
      </c>
      <c r="D3098" t="str">
        <f>VLOOKUP(C3098,'lookup table'!$A$2:$B$19,2,FALSE)</f>
        <v>Partner Segment</v>
      </c>
      <c r="E3098" t="str">
        <f t="shared" si="48"/>
        <v>AL108_Q1|Partner Segment</v>
      </c>
    </row>
    <row r="3099" spans="1:5" x14ac:dyDescent="0.2">
      <c r="A3099" t="s">
        <v>1039</v>
      </c>
      <c r="B3099" t="s">
        <v>1040</v>
      </c>
      <c r="C3099" t="s">
        <v>442</v>
      </c>
      <c r="D3099" t="str">
        <f>VLOOKUP(C3099,'lookup table'!$A$2:$B$19,2,FALSE)</f>
        <v>Partner Unit</v>
      </c>
      <c r="E3099" t="str">
        <f t="shared" si="48"/>
        <v>AL108_Q1|Partner Unit</v>
      </c>
    </row>
    <row r="3100" spans="1:5" x14ac:dyDescent="0.2">
      <c r="A3100" t="s">
        <v>1039</v>
      </c>
      <c r="B3100" t="s">
        <v>1040</v>
      </c>
      <c r="C3100" t="s">
        <v>461</v>
      </c>
      <c r="D3100" t="str">
        <f>VLOOKUP(C3100,'lookup table'!$A$2:$B$19,2,FALSE)</f>
        <v>Posting Level</v>
      </c>
      <c r="E3100" t="str">
        <f t="shared" si="48"/>
        <v>AL108_Q1|Posting Level</v>
      </c>
    </row>
    <row r="3101" spans="1:5" x14ac:dyDescent="0.2">
      <c r="A3101" t="s">
        <v>1041</v>
      </c>
      <c r="B3101" t="s">
        <v>1042</v>
      </c>
      <c r="C3101" t="s">
        <v>20</v>
      </c>
      <c r="D3101" t="str">
        <f>VLOOKUP(C3101,'lookup table'!$A$2:$B$19,2,FALSE)</f>
        <v>AY</v>
      </c>
      <c r="E3101" t="str">
        <f t="shared" si="48"/>
        <v>AL109_00|AY</v>
      </c>
    </row>
    <row r="3102" spans="1:5" x14ac:dyDescent="0.2">
      <c r="A3102" t="s">
        <v>1041</v>
      </c>
      <c r="B3102" t="s">
        <v>1042</v>
      </c>
      <c r="C3102" t="s">
        <v>331</v>
      </c>
      <c r="D3102" t="str">
        <f>VLOOKUP(C3102,'lookup table'!$A$2:$B$19,2,FALSE)</f>
        <v>FS Item</v>
      </c>
      <c r="E3102" t="str">
        <f t="shared" si="48"/>
        <v>AL109_00|FS Item</v>
      </c>
    </row>
    <row r="3103" spans="1:5" x14ac:dyDescent="0.2">
      <c r="A3103" t="s">
        <v>1041</v>
      </c>
      <c r="B3103" t="s">
        <v>1042</v>
      </c>
      <c r="C3103" t="s">
        <v>423</v>
      </c>
      <c r="D3103" t="str">
        <f>VLOOKUP(C3103,'lookup table'!$A$2:$B$19,2,FALSE)</f>
        <v>ignore</v>
      </c>
      <c r="E3103" t="str">
        <f t="shared" si="48"/>
        <v>AL109_00|ignore</v>
      </c>
    </row>
    <row r="3104" spans="1:5" x14ac:dyDescent="0.2">
      <c r="A3104" t="s">
        <v>1041</v>
      </c>
      <c r="B3104" t="s">
        <v>1042</v>
      </c>
      <c r="C3104" t="s">
        <v>428</v>
      </c>
      <c r="D3104" t="str">
        <f>VLOOKUP(C3104,'lookup table'!$A$2:$B$19,2,FALSE)</f>
        <v>LoB</v>
      </c>
      <c r="E3104" t="str">
        <f t="shared" si="48"/>
        <v>AL109_00|LoB</v>
      </c>
    </row>
    <row r="3105" spans="1:5" x14ac:dyDescent="0.2">
      <c r="A3105" t="s">
        <v>1041</v>
      </c>
      <c r="B3105" t="s">
        <v>1042</v>
      </c>
      <c r="C3105" t="s">
        <v>438</v>
      </c>
      <c r="D3105" t="str">
        <f>VLOOKUP(C3105,'lookup table'!$A$2:$B$19,2,FALSE)</f>
        <v>ToM</v>
      </c>
      <c r="E3105" t="str">
        <f t="shared" si="48"/>
        <v>AL109_00|ToM</v>
      </c>
    </row>
    <row r="3106" spans="1:5" x14ac:dyDescent="0.2">
      <c r="A3106" t="s">
        <v>1041</v>
      </c>
      <c r="B3106" t="s">
        <v>1042</v>
      </c>
      <c r="C3106" t="s">
        <v>441</v>
      </c>
      <c r="D3106" t="str">
        <f>VLOOKUP(C3106,'lookup table'!$A$2:$B$19,2,FALSE)</f>
        <v>Partner Segment</v>
      </c>
      <c r="E3106" t="str">
        <f t="shared" si="48"/>
        <v>AL109_00|Partner Segment</v>
      </c>
    </row>
    <row r="3107" spans="1:5" x14ac:dyDescent="0.2">
      <c r="A3107" t="s">
        <v>1041</v>
      </c>
      <c r="B3107" t="s">
        <v>1042</v>
      </c>
      <c r="C3107" t="s">
        <v>442</v>
      </c>
      <c r="D3107" t="str">
        <f>VLOOKUP(C3107,'lookup table'!$A$2:$B$19,2,FALSE)</f>
        <v>Partner Unit</v>
      </c>
      <c r="E3107" t="str">
        <f t="shared" si="48"/>
        <v>AL109_00|Partner Unit</v>
      </c>
    </row>
    <row r="3108" spans="1:5" x14ac:dyDescent="0.2">
      <c r="A3108" t="s">
        <v>1043</v>
      </c>
      <c r="B3108" t="s">
        <v>1044</v>
      </c>
      <c r="C3108" t="s">
        <v>331</v>
      </c>
      <c r="D3108" t="str">
        <f>VLOOKUP(C3108,'lookup table'!$A$2:$B$19,2,FALSE)</f>
        <v>FS Item</v>
      </c>
      <c r="E3108" t="str">
        <f t="shared" si="48"/>
        <v>AL109_70|FS Item</v>
      </c>
    </row>
    <row r="3109" spans="1:5" x14ac:dyDescent="0.2">
      <c r="A3109" t="s">
        <v>1043</v>
      </c>
      <c r="B3109" t="s">
        <v>1044</v>
      </c>
      <c r="C3109" t="s">
        <v>423</v>
      </c>
      <c r="D3109" t="str">
        <f>VLOOKUP(C3109,'lookup table'!$A$2:$B$19,2,FALSE)</f>
        <v>ignore</v>
      </c>
      <c r="E3109" t="str">
        <f t="shared" si="48"/>
        <v>AL109_70|ignore</v>
      </c>
    </row>
    <row r="3110" spans="1:5" x14ac:dyDescent="0.2">
      <c r="A3110" t="s">
        <v>1043</v>
      </c>
      <c r="B3110" t="s">
        <v>1044</v>
      </c>
      <c r="C3110" t="s">
        <v>428</v>
      </c>
      <c r="D3110" t="str">
        <f>VLOOKUP(C3110,'lookup table'!$A$2:$B$19,2,FALSE)</f>
        <v>LoB</v>
      </c>
      <c r="E3110" t="str">
        <f t="shared" si="48"/>
        <v>AL109_70|LoB</v>
      </c>
    </row>
    <row r="3111" spans="1:5" x14ac:dyDescent="0.2">
      <c r="A3111" t="s">
        <v>1045</v>
      </c>
      <c r="B3111" t="s">
        <v>1046</v>
      </c>
      <c r="C3111" t="s">
        <v>20</v>
      </c>
      <c r="D3111" t="str">
        <f>VLOOKUP(C3111,'lookup table'!$A$2:$B$19,2,FALSE)</f>
        <v>AY</v>
      </c>
      <c r="E3111" t="str">
        <f t="shared" si="48"/>
        <v>AL110_00|AY</v>
      </c>
    </row>
    <row r="3112" spans="1:5" x14ac:dyDescent="0.2">
      <c r="A3112" t="s">
        <v>1045</v>
      </c>
      <c r="B3112" t="s">
        <v>1046</v>
      </c>
      <c r="C3112" t="s">
        <v>331</v>
      </c>
      <c r="D3112" t="str">
        <f>VLOOKUP(C3112,'lookup table'!$A$2:$B$19,2,FALSE)</f>
        <v>FS Item</v>
      </c>
      <c r="E3112" t="str">
        <f t="shared" si="48"/>
        <v>AL110_00|FS Item</v>
      </c>
    </row>
    <row r="3113" spans="1:5" x14ac:dyDescent="0.2">
      <c r="A3113" t="s">
        <v>1045</v>
      </c>
      <c r="B3113" t="s">
        <v>1046</v>
      </c>
      <c r="C3113" t="s">
        <v>423</v>
      </c>
      <c r="D3113" t="str">
        <f>VLOOKUP(C3113,'lookup table'!$A$2:$B$19,2,FALSE)</f>
        <v>ignore</v>
      </c>
      <c r="E3113" t="str">
        <f t="shared" si="48"/>
        <v>AL110_00|ignore</v>
      </c>
    </row>
    <row r="3114" spans="1:5" x14ac:dyDescent="0.2">
      <c r="A3114" t="s">
        <v>1045</v>
      </c>
      <c r="B3114" t="s">
        <v>1046</v>
      </c>
      <c r="C3114" t="s">
        <v>428</v>
      </c>
      <c r="D3114" t="str">
        <f>VLOOKUP(C3114,'lookup table'!$A$2:$B$19,2,FALSE)</f>
        <v>LoB</v>
      </c>
      <c r="E3114" t="str">
        <f t="shared" si="48"/>
        <v>AL110_00|LoB</v>
      </c>
    </row>
    <row r="3115" spans="1:5" x14ac:dyDescent="0.2">
      <c r="A3115" t="s">
        <v>1045</v>
      </c>
      <c r="B3115" t="s">
        <v>1046</v>
      </c>
      <c r="C3115" t="s">
        <v>441</v>
      </c>
      <c r="D3115" t="str">
        <f>VLOOKUP(C3115,'lookup table'!$A$2:$B$19,2,FALSE)</f>
        <v>Partner Segment</v>
      </c>
      <c r="E3115" t="str">
        <f t="shared" si="48"/>
        <v>AL110_00|Partner Segment</v>
      </c>
    </row>
    <row r="3116" spans="1:5" x14ac:dyDescent="0.2">
      <c r="A3116" t="s">
        <v>1045</v>
      </c>
      <c r="B3116" t="s">
        <v>1046</v>
      </c>
      <c r="C3116" t="s">
        <v>442</v>
      </c>
      <c r="D3116" t="str">
        <f>VLOOKUP(C3116,'lookup table'!$A$2:$B$19,2,FALSE)</f>
        <v>Partner Unit</v>
      </c>
      <c r="E3116" t="str">
        <f t="shared" si="48"/>
        <v>AL110_00|Partner Unit</v>
      </c>
    </row>
    <row r="3117" spans="1:5" x14ac:dyDescent="0.2">
      <c r="A3117" t="s">
        <v>1047</v>
      </c>
      <c r="B3117" t="s">
        <v>1048</v>
      </c>
      <c r="C3117" t="s">
        <v>331</v>
      </c>
      <c r="D3117" t="str">
        <f>VLOOKUP(C3117,'lookup table'!$A$2:$B$19,2,FALSE)</f>
        <v>FS Item</v>
      </c>
      <c r="E3117" t="str">
        <f t="shared" si="48"/>
        <v>AL110_70|FS Item</v>
      </c>
    </row>
    <row r="3118" spans="1:5" x14ac:dyDescent="0.2">
      <c r="A3118" t="s">
        <v>1047</v>
      </c>
      <c r="B3118" t="s">
        <v>1048</v>
      </c>
      <c r="C3118" t="s">
        <v>423</v>
      </c>
      <c r="D3118" t="str">
        <f>VLOOKUP(C3118,'lookup table'!$A$2:$B$19,2,FALSE)</f>
        <v>ignore</v>
      </c>
      <c r="E3118" t="str">
        <f t="shared" si="48"/>
        <v>AL110_70|ignore</v>
      </c>
    </row>
    <row r="3119" spans="1:5" x14ac:dyDescent="0.2">
      <c r="A3119" t="s">
        <v>1047</v>
      </c>
      <c r="B3119" t="s">
        <v>1048</v>
      </c>
      <c r="C3119" t="s">
        <v>438</v>
      </c>
      <c r="D3119" t="str">
        <f>VLOOKUP(C3119,'lookup table'!$A$2:$B$19,2,FALSE)</f>
        <v>ToM</v>
      </c>
      <c r="E3119" t="str">
        <f t="shared" si="48"/>
        <v>AL110_70|ToM</v>
      </c>
    </row>
    <row r="3120" spans="1:5" x14ac:dyDescent="0.2">
      <c r="A3120" t="s">
        <v>1049</v>
      </c>
      <c r="B3120" t="s">
        <v>1050</v>
      </c>
      <c r="C3120" t="s">
        <v>331</v>
      </c>
      <c r="D3120" t="str">
        <f>VLOOKUP(C3120,'lookup table'!$A$2:$B$19,2,FALSE)</f>
        <v>FS Item</v>
      </c>
      <c r="E3120" t="str">
        <f t="shared" si="48"/>
        <v>AL111_70|FS Item</v>
      </c>
    </row>
    <row r="3121" spans="1:5" x14ac:dyDescent="0.2">
      <c r="A3121" t="s">
        <v>1049</v>
      </c>
      <c r="B3121" t="s">
        <v>1050</v>
      </c>
      <c r="C3121" t="s">
        <v>423</v>
      </c>
      <c r="D3121" t="str">
        <f>VLOOKUP(C3121,'lookup table'!$A$2:$B$19,2,FALSE)</f>
        <v>ignore</v>
      </c>
      <c r="E3121" t="str">
        <f t="shared" si="48"/>
        <v>AL111_70|ignore</v>
      </c>
    </row>
    <row r="3122" spans="1:5" x14ac:dyDescent="0.2">
      <c r="A3122" t="s">
        <v>1049</v>
      </c>
      <c r="B3122" t="s">
        <v>1050</v>
      </c>
      <c r="C3122" t="s">
        <v>438</v>
      </c>
      <c r="D3122" t="str">
        <f>VLOOKUP(C3122,'lookup table'!$A$2:$B$19,2,FALSE)</f>
        <v>ToM</v>
      </c>
      <c r="E3122" t="str">
        <f t="shared" si="48"/>
        <v>AL111_70|ToM</v>
      </c>
    </row>
    <row r="3123" spans="1:5" x14ac:dyDescent="0.2">
      <c r="A3123" t="s">
        <v>1051</v>
      </c>
      <c r="B3123" t="s">
        <v>1052</v>
      </c>
      <c r="C3123" t="s">
        <v>20</v>
      </c>
      <c r="D3123" t="str">
        <f>VLOOKUP(C3123,'lookup table'!$A$2:$B$19,2,FALSE)</f>
        <v>AY</v>
      </c>
      <c r="E3123" t="str">
        <f t="shared" si="48"/>
        <v>AL112_00|AY</v>
      </c>
    </row>
    <row r="3124" spans="1:5" x14ac:dyDescent="0.2">
      <c r="A3124" t="s">
        <v>1051</v>
      </c>
      <c r="B3124" t="s">
        <v>1052</v>
      </c>
      <c r="C3124" t="s">
        <v>136</v>
      </c>
      <c r="D3124" t="str">
        <f>VLOOKUP(C3124,'lookup table'!$A$2:$B$19,2,FALSE)</f>
        <v>BBA Set</v>
      </c>
      <c r="E3124" t="str">
        <f t="shared" si="48"/>
        <v>AL112_00|BBA Set</v>
      </c>
    </row>
    <row r="3125" spans="1:5" x14ac:dyDescent="0.2">
      <c r="A3125" t="s">
        <v>1051</v>
      </c>
      <c r="B3125" t="s">
        <v>1052</v>
      </c>
      <c r="C3125" t="s">
        <v>331</v>
      </c>
      <c r="D3125" t="str">
        <f>VLOOKUP(C3125,'lookup table'!$A$2:$B$19,2,FALSE)</f>
        <v>FS Item</v>
      </c>
      <c r="E3125" t="str">
        <f t="shared" si="48"/>
        <v>AL112_00|FS Item</v>
      </c>
    </row>
    <row r="3126" spans="1:5" x14ac:dyDescent="0.2">
      <c r="A3126" t="s">
        <v>1051</v>
      </c>
      <c r="B3126" t="s">
        <v>1052</v>
      </c>
      <c r="C3126" t="s">
        <v>423</v>
      </c>
      <c r="D3126" t="str">
        <f>VLOOKUP(C3126,'lookup table'!$A$2:$B$19,2,FALSE)</f>
        <v>ignore</v>
      </c>
      <c r="E3126" t="str">
        <f t="shared" si="48"/>
        <v>AL112_00|ignore</v>
      </c>
    </row>
    <row r="3127" spans="1:5" x14ac:dyDescent="0.2">
      <c r="A3127" t="s">
        <v>1051</v>
      </c>
      <c r="B3127" t="s">
        <v>1052</v>
      </c>
      <c r="C3127" t="s">
        <v>428</v>
      </c>
      <c r="D3127" t="str">
        <f>VLOOKUP(C3127,'lookup table'!$A$2:$B$19,2,FALSE)</f>
        <v>LoB</v>
      </c>
      <c r="E3127" t="str">
        <f t="shared" si="48"/>
        <v>AL112_00|LoB</v>
      </c>
    </row>
    <row r="3128" spans="1:5" x14ac:dyDescent="0.2">
      <c r="A3128" t="s">
        <v>1051</v>
      </c>
      <c r="B3128" t="s">
        <v>1052</v>
      </c>
      <c r="C3128" t="s">
        <v>441</v>
      </c>
      <c r="D3128" t="str">
        <f>VLOOKUP(C3128,'lookup table'!$A$2:$B$19,2,FALSE)</f>
        <v>Partner Segment</v>
      </c>
      <c r="E3128" t="str">
        <f t="shared" si="48"/>
        <v>AL112_00|Partner Segment</v>
      </c>
    </row>
    <row r="3129" spans="1:5" x14ac:dyDescent="0.2">
      <c r="A3129" t="s">
        <v>1051</v>
      </c>
      <c r="B3129" t="s">
        <v>1052</v>
      </c>
      <c r="C3129" t="s">
        <v>442</v>
      </c>
      <c r="D3129" t="str">
        <f>VLOOKUP(C3129,'lookup table'!$A$2:$B$19,2,FALSE)</f>
        <v>Partner Unit</v>
      </c>
      <c r="E3129" t="str">
        <f t="shared" si="48"/>
        <v>AL112_00|Partner Unit</v>
      </c>
    </row>
    <row r="3130" spans="1:5" x14ac:dyDescent="0.2">
      <c r="A3130" t="s">
        <v>1053</v>
      </c>
      <c r="B3130" t="s">
        <v>1054</v>
      </c>
      <c r="C3130" t="s">
        <v>20</v>
      </c>
      <c r="D3130" t="str">
        <f>VLOOKUP(C3130,'lookup table'!$A$2:$B$19,2,FALSE)</f>
        <v>AY</v>
      </c>
      <c r="E3130" t="str">
        <f t="shared" si="48"/>
        <v>AL112_14|AY</v>
      </c>
    </row>
    <row r="3131" spans="1:5" x14ac:dyDescent="0.2">
      <c r="A3131" t="s">
        <v>1053</v>
      </c>
      <c r="B3131" t="s">
        <v>1054</v>
      </c>
      <c r="C3131" t="s">
        <v>136</v>
      </c>
      <c r="D3131" t="str">
        <f>VLOOKUP(C3131,'lookup table'!$A$2:$B$19,2,FALSE)</f>
        <v>BBA Set</v>
      </c>
      <c r="E3131" t="str">
        <f t="shared" si="48"/>
        <v>AL112_14|BBA Set</v>
      </c>
    </row>
    <row r="3132" spans="1:5" x14ac:dyDescent="0.2">
      <c r="A3132" t="s">
        <v>1053</v>
      </c>
      <c r="B3132" t="s">
        <v>1054</v>
      </c>
      <c r="C3132" t="s">
        <v>331</v>
      </c>
      <c r="D3132" t="str">
        <f>VLOOKUP(C3132,'lookup table'!$A$2:$B$19,2,FALSE)</f>
        <v>FS Item</v>
      </c>
      <c r="E3132" t="str">
        <f t="shared" si="48"/>
        <v>AL112_14|FS Item</v>
      </c>
    </row>
    <row r="3133" spans="1:5" x14ac:dyDescent="0.2">
      <c r="A3133" t="s">
        <v>1053</v>
      </c>
      <c r="B3133" t="s">
        <v>1054</v>
      </c>
      <c r="C3133" t="s">
        <v>423</v>
      </c>
      <c r="D3133" t="str">
        <f>VLOOKUP(C3133,'lookup table'!$A$2:$B$19,2,FALSE)</f>
        <v>ignore</v>
      </c>
      <c r="E3133" t="str">
        <f t="shared" si="48"/>
        <v>AL112_14|ignore</v>
      </c>
    </row>
    <row r="3134" spans="1:5" x14ac:dyDescent="0.2">
      <c r="A3134" t="s">
        <v>1053</v>
      </c>
      <c r="B3134" t="s">
        <v>1054</v>
      </c>
      <c r="C3134" t="s">
        <v>428</v>
      </c>
      <c r="D3134" t="str">
        <f>VLOOKUP(C3134,'lookup table'!$A$2:$B$19,2,FALSE)</f>
        <v>LoB</v>
      </c>
      <c r="E3134" t="str">
        <f t="shared" si="48"/>
        <v>AL112_14|LoB</v>
      </c>
    </row>
    <row r="3135" spans="1:5" x14ac:dyDescent="0.2">
      <c r="A3135" t="s">
        <v>1053</v>
      </c>
      <c r="B3135" t="s">
        <v>1054</v>
      </c>
      <c r="C3135" t="s">
        <v>441</v>
      </c>
      <c r="D3135" t="str">
        <f>VLOOKUP(C3135,'lookup table'!$A$2:$B$19,2,FALSE)</f>
        <v>Partner Segment</v>
      </c>
      <c r="E3135" t="str">
        <f t="shared" si="48"/>
        <v>AL112_14|Partner Segment</v>
      </c>
    </row>
    <row r="3136" spans="1:5" x14ac:dyDescent="0.2">
      <c r="A3136" t="s">
        <v>1053</v>
      </c>
      <c r="B3136" t="s">
        <v>1054</v>
      </c>
      <c r="C3136" t="s">
        <v>442</v>
      </c>
      <c r="D3136" t="str">
        <f>VLOOKUP(C3136,'lookup table'!$A$2:$B$19,2,FALSE)</f>
        <v>Partner Unit</v>
      </c>
      <c r="E3136" t="str">
        <f t="shared" si="48"/>
        <v>AL112_14|Partner Unit</v>
      </c>
    </row>
    <row r="3137" spans="1:5" x14ac:dyDescent="0.2">
      <c r="A3137" t="s">
        <v>1055</v>
      </c>
      <c r="B3137" t="s">
        <v>1056</v>
      </c>
      <c r="C3137" t="s">
        <v>331</v>
      </c>
      <c r="D3137" t="str">
        <f>VLOOKUP(C3137,'lookup table'!$A$2:$B$19,2,FALSE)</f>
        <v>FS Item</v>
      </c>
      <c r="E3137" t="str">
        <f t="shared" si="48"/>
        <v>AL112_70|FS Item</v>
      </c>
    </row>
    <row r="3138" spans="1:5" x14ac:dyDescent="0.2">
      <c r="A3138" t="s">
        <v>1055</v>
      </c>
      <c r="B3138" t="s">
        <v>1056</v>
      </c>
      <c r="C3138" t="s">
        <v>423</v>
      </c>
      <c r="D3138" t="str">
        <f>VLOOKUP(C3138,'lookup table'!$A$2:$B$19,2,FALSE)</f>
        <v>ignore</v>
      </c>
      <c r="E3138" t="str">
        <f t="shared" si="48"/>
        <v>AL112_70|ignore</v>
      </c>
    </row>
    <row r="3139" spans="1:5" x14ac:dyDescent="0.2">
      <c r="A3139" t="s">
        <v>1055</v>
      </c>
      <c r="B3139" t="s">
        <v>1056</v>
      </c>
      <c r="C3139" t="s">
        <v>428</v>
      </c>
      <c r="D3139" t="str">
        <f>VLOOKUP(C3139,'lookup table'!$A$2:$B$19,2,FALSE)</f>
        <v>LoB</v>
      </c>
      <c r="E3139" t="str">
        <f t="shared" ref="E3139:E3202" si="49">IF(ISNA(D3139),"",IF(A3139="","",A3139) &amp; "|" &amp; D3139)</f>
        <v>AL112_70|LoB</v>
      </c>
    </row>
    <row r="3140" spans="1:5" x14ac:dyDescent="0.2">
      <c r="A3140" t="s">
        <v>1057</v>
      </c>
      <c r="B3140" t="s">
        <v>1058</v>
      </c>
      <c r="C3140" t="s">
        <v>14</v>
      </c>
      <c r="D3140" t="str">
        <f>VLOOKUP(C3140,'lookup table'!$A$2:$B$19,2,FALSE)</f>
        <v>ALC</v>
      </c>
      <c r="E3140" t="str">
        <f t="shared" si="49"/>
        <v>AL113_00|ALC</v>
      </c>
    </row>
    <row r="3141" spans="1:5" x14ac:dyDescent="0.2">
      <c r="A3141" t="s">
        <v>1057</v>
      </c>
      <c r="B3141" t="s">
        <v>1058</v>
      </c>
      <c r="C3141" t="s">
        <v>20</v>
      </c>
      <c r="D3141" t="str">
        <f>VLOOKUP(C3141,'lookup table'!$A$2:$B$19,2,FALSE)</f>
        <v>AY</v>
      </c>
      <c r="E3141" t="str">
        <f t="shared" si="49"/>
        <v>AL113_00|AY</v>
      </c>
    </row>
    <row r="3142" spans="1:5" x14ac:dyDescent="0.2">
      <c r="A3142" t="s">
        <v>1057</v>
      </c>
      <c r="B3142" t="s">
        <v>1058</v>
      </c>
      <c r="C3142" t="s">
        <v>331</v>
      </c>
      <c r="D3142" t="str">
        <f>VLOOKUP(C3142,'lookup table'!$A$2:$B$19,2,FALSE)</f>
        <v>FS Item</v>
      </c>
      <c r="E3142" t="str">
        <f t="shared" si="49"/>
        <v>AL113_00|FS Item</v>
      </c>
    </row>
    <row r="3143" spans="1:5" x14ac:dyDescent="0.2">
      <c r="A3143" t="s">
        <v>1057</v>
      </c>
      <c r="B3143" t="s">
        <v>1058</v>
      </c>
      <c r="C3143" t="s">
        <v>423</v>
      </c>
      <c r="D3143" t="str">
        <f>VLOOKUP(C3143,'lookup table'!$A$2:$B$19,2,FALSE)</f>
        <v>ignore</v>
      </c>
      <c r="E3143" t="str">
        <f t="shared" si="49"/>
        <v>AL113_00|ignore</v>
      </c>
    </row>
    <row r="3144" spans="1:5" x14ac:dyDescent="0.2">
      <c r="A3144" t="s">
        <v>1057</v>
      </c>
      <c r="B3144" t="s">
        <v>1058</v>
      </c>
      <c r="C3144" t="s">
        <v>424</v>
      </c>
      <c r="D3144" t="str">
        <f>VLOOKUP(C3144,'lookup table'!$A$2:$B$19,2,FALSE)</f>
        <v>GRC</v>
      </c>
      <c r="E3144" t="str">
        <f t="shared" si="49"/>
        <v>AL113_00|GRC</v>
      </c>
    </row>
    <row r="3145" spans="1:5" x14ac:dyDescent="0.2">
      <c r="A3145" t="s">
        <v>1057</v>
      </c>
      <c r="B3145" t="s">
        <v>1058</v>
      </c>
      <c r="C3145" t="s">
        <v>428</v>
      </c>
      <c r="D3145" t="str">
        <f>VLOOKUP(C3145,'lookup table'!$A$2:$B$19,2,FALSE)</f>
        <v>LoB</v>
      </c>
      <c r="E3145" t="str">
        <f t="shared" si="49"/>
        <v>AL113_00|LoB</v>
      </c>
    </row>
    <row r="3146" spans="1:5" x14ac:dyDescent="0.2">
      <c r="A3146" t="s">
        <v>1057</v>
      </c>
      <c r="B3146" t="s">
        <v>1058</v>
      </c>
      <c r="C3146" t="s">
        <v>436</v>
      </c>
      <c r="D3146" t="str">
        <f>VLOOKUP(C3146,'lookup table'!$A$2:$B$19,2,FALSE)</f>
        <v>MAT</v>
      </c>
      <c r="E3146" t="str">
        <f t="shared" si="49"/>
        <v>AL113_00|MAT</v>
      </c>
    </row>
    <row r="3147" spans="1:5" x14ac:dyDescent="0.2">
      <c r="A3147" t="s">
        <v>1057</v>
      </c>
      <c r="B3147" t="s">
        <v>1058</v>
      </c>
      <c r="C3147" t="s">
        <v>438</v>
      </c>
      <c r="D3147" t="str">
        <f>VLOOKUP(C3147,'lookup table'!$A$2:$B$19,2,FALSE)</f>
        <v>ToM</v>
      </c>
      <c r="E3147" t="str">
        <f t="shared" si="49"/>
        <v>AL113_00|ToM</v>
      </c>
    </row>
    <row r="3148" spans="1:5" x14ac:dyDescent="0.2">
      <c r="A3148" t="s">
        <v>1057</v>
      </c>
      <c r="B3148" t="s">
        <v>1058</v>
      </c>
      <c r="C3148" t="s">
        <v>441</v>
      </c>
      <c r="D3148" t="str">
        <f>VLOOKUP(C3148,'lookup table'!$A$2:$B$19,2,FALSE)</f>
        <v>Partner Segment</v>
      </c>
      <c r="E3148" t="str">
        <f t="shared" si="49"/>
        <v>AL113_00|Partner Segment</v>
      </c>
    </row>
    <row r="3149" spans="1:5" x14ac:dyDescent="0.2">
      <c r="A3149" t="s">
        <v>1057</v>
      </c>
      <c r="B3149" t="s">
        <v>1058</v>
      </c>
      <c r="C3149" t="s">
        <v>442</v>
      </c>
      <c r="D3149" t="str">
        <f>VLOOKUP(C3149,'lookup table'!$A$2:$B$19,2,FALSE)</f>
        <v>Partner Unit</v>
      </c>
      <c r="E3149" t="str">
        <f t="shared" si="49"/>
        <v>AL113_00|Partner Unit</v>
      </c>
    </row>
    <row r="3150" spans="1:5" x14ac:dyDescent="0.2">
      <c r="A3150" t="s">
        <v>1057</v>
      </c>
      <c r="B3150" t="s">
        <v>1058</v>
      </c>
      <c r="C3150" t="s">
        <v>447</v>
      </c>
      <c r="D3150" t="str">
        <f>VLOOKUP(C3150,'lookup table'!$A$2:$B$19,2,FALSE)</f>
        <v>REX</v>
      </c>
      <c r="E3150" t="str">
        <f t="shared" si="49"/>
        <v>AL113_00|REX</v>
      </c>
    </row>
    <row r="3151" spans="1:5" x14ac:dyDescent="0.2">
      <c r="A3151" t="s">
        <v>1057</v>
      </c>
      <c r="B3151" t="s">
        <v>1058</v>
      </c>
      <c r="C3151" t="s">
        <v>457</v>
      </c>
      <c r="D3151" t="str">
        <f>VLOOKUP(C3151,'lookup table'!$A$2:$B$19,2,FALSE)</f>
        <v>VLT</v>
      </c>
      <c r="E3151" t="str">
        <f t="shared" si="49"/>
        <v>AL113_00|VLT</v>
      </c>
    </row>
    <row r="3152" spans="1:5" x14ac:dyDescent="0.2">
      <c r="A3152" t="s">
        <v>1057</v>
      </c>
      <c r="B3152" t="s">
        <v>1058</v>
      </c>
      <c r="C3152" t="s">
        <v>458</v>
      </c>
      <c r="D3152" t="str">
        <f>VLOOKUP(C3152,'lookup table'!$A$2:$B$19,2,FALSE)</f>
        <v>VAR</v>
      </c>
      <c r="E3152" t="str">
        <f t="shared" si="49"/>
        <v>AL113_00|VAR</v>
      </c>
    </row>
    <row r="3153" spans="1:5" x14ac:dyDescent="0.2">
      <c r="A3153" t="s">
        <v>1059</v>
      </c>
      <c r="B3153" t="s">
        <v>1060</v>
      </c>
      <c r="C3153" t="s">
        <v>20</v>
      </c>
      <c r="D3153" t="str">
        <f>VLOOKUP(C3153,'lookup table'!$A$2:$B$19,2,FALSE)</f>
        <v>AY</v>
      </c>
      <c r="E3153" t="str">
        <f t="shared" si="49"/>
        <v>AL114_00|AY</v>
      </c>
    </row>
    <row r="3154" spans="1:5" x14ac:dyDescent="0.2">
      <c r="A3154" t="s">
        <v>1059</v>
      </c>
      <c r="B3154" t="s">
        <v>1060</v>
      </c>
      <c r="C3154" t="s">
        <v>331</v>
      </c>
      <c r="D3154" t="str">
        <f>VLOOKUP(C3154,'lookup table'!$A$2:$B$19,2,FALSE)</f>
        <v>FS Item</v>
      </c>
      <c r="E3154" t="str">
        <f t="shared" si="49"/>
        <v>AL114_00|FS Item</v>
      </c>
    </row>
    <row r="3155" spans="1:5" x14ac:dyDescent="0.2">
      <c r="A3155" t="s">
        <v>1059</v>
      </c>
      <c r="B3155" t="s">
        <v>1060</v>
      </c>
      <c r="C3155" t="s">
        <v>423</v>
      </c>
      <c r="D3155" t="str">
        <f>VLOOKUP(C3155,'lookup table'!$A$2:$B$19,2,FALSE)</f>
        <v>ignore</v>
      </c>
      <c r="E3155" t="str">
        <f t="shared" si="49"/>
        <v>AL114_00|ignore</v>
      </c>
    </row>
    <row r="3156" spans="1:5" x14ac:dyDescent="0.2">
      <c r="A3156" t="s">
        <v>1059</v>
      </c>
      <c r="B3156" t="s">
        <v>1060</v>
      </c>
      <c r="C3156" t="s">
        <v>428</v>
      </c>
      <c r="D3156" t="str">
        <f>VLOOKUP(C3156,'lookup table'!$A$2:$B$19,2,FALSE)</f>
        <v>LoB</v>
      </c>
      <c r="E3156" t="str">
        <f t="shared" si="49"/>
        <v>AL114_00|LoB</v>
      </c>
    </row>
    <row r="3157" spans="1:5" x14ac:dyDescent="0.2">
      <c r="A3157" t="s">
        <v>1059</v>
      </c>
      <c r="B3157" t="s">
        <v>1060</v>
      </c>
      <c r="C3157" t="s">
        <v>441</v>
      </c>
      <c r="D3157" t="str">
        <f>VLOOKUP(C3157,'lookup table'!$A$2:$B$19,2,FALSE)</f>
        <v>Partner Segment</v>
      </c>
      <c r="E3157" t="str">
        <f t="shared" si="49"/>
        <v>AL114_00|Partner Segment</v>
      </c>
    </row>
    <row r="3158" spans="1:5" x14ac:dyDescent="0.2">
      <c r="A3158" t="s">
        <v>1059</v>
      </c>
      <c r="B3158" t="s">
        <v>1060</v>
      </c>
      <c r="C3158" t="s">
        <v>442</v>
      </c>
      <c r="D3158" t="str">
        <f>VLOOKUP(C3158,'lookup table'!$A$2:$B$19,2,FALSE)</f>
        <v>Partner Unit</v>
      </c>
      <c r="E3158" t="str">
        <f t="shared" si="49"/>
        <v>AL114_00|Partner Unit</v>
      </c>
    </row>
    <row r="3159" spans="1:5" x14ac:dyDescent="0.2">
      <c r="A3159" t="s">
        <v>1061</v>
      </c>
      <c r="B3159" t="s">
        <v>1062</v>
      </c>
      <c r="C3159" t="s">
        <v>20</v>
      </c>
      <c r="D3159" t="str">
        <f>VLOOKUP(C3159,'lookup table'!$A$2:$B$19,2,FALSE)</f>
        <v>AY</v>
      </c>
      <c r="E3159" t="str">
        <f t="shared" si="49"/>
        <v>AL115_00|AY</v>
      </c>
    </row>
    <row r="3160" spans="1:5" x14ac:dyDescent="0.2">
      <c r="A3160" t="s">
        <v>1061</v>
      </c>
      <c r="B3160" t="s">
        <v>1062</v>
      </c>
      <c r="C3160" t="s">
        <v>331</v>
      </c>
      <c r="D3160" t="str">
        <f>VLOOKUP(C3160,'lookup table'!$A$2:$B$19,2,FALSE)</f>
        <v>FS Item</v>
      </c>
      <c r="E3160" t="str">
        <f t="shared" si="49"/>
        <v>AL115_00|FS Item</v>
      </c>
    </row>
    <row r="3161" spans="1:5" x14ac:dyDescent="0.2">
      <c r="A3161" t="s">
        <v>1061</v>
      </c>
      <c r="B3161" t="s">
        <v>1062</v>
      </c>
      <c r="C3161" t="s">
        <v>423</v>
      </c>
      <c r="D3161" t="str">
        <f>VLOOKUP(C3161,'lookup table'!$A$2:$B$19,2,FALSE)</f>
        <v>ignore</v>
      </c>
      <c r="E3161" t="str">
        <f t="shared" si="49"/>
        <v>AL115_00|ignore</v>
      </c>
    </row>
    <row r="3162" spans="1:5" x14ac:dyDescent="0.2">
      <c r="A3162" t="s">
        <v>1061</v>
      </c>
      <c r="B3162" t="s">
        <v>1062</v>
      </c>
      <c r="C3162" t="s">
        <v>428</v>
      </c>
      <c r="D3162" t="str">
        <f>VLOOKUP(C3162,'lookup table'!$A$2:$B$19,2,FALSE)</f>
        <v>LoB</v>
      </c>
      <c r="E3162" t="str">
        <f t="shared" si="49"/>
        <v>AL115_00|LoB</v>
      </c>
    </row>
    <row r="3163" spans="1:5" x14ac:dyDescent="0.2">
      <c r="A3163" t="s">
        <v>1061</v>
      </c>
      <c r="B3163" t="s">
        <v>1062</v>
      </c>
      <c r="C3163" t="s">
        <v>441</v>
      </c>
      <c r="D3163" t="str">
        <f>VLOOKUP(C3163,'lookup table'!$A$2:$B$19,2,FALSE)</f>
        <v>Partner Segment</v>
      </c>
      <c r="E3163" t="str">
        <f t="shared" si="49"/>
        <v>AL115_00|Partner Segment</v>
      </c>
    </row>
    <row r="3164" spans="1:5" x14ac:dyDescent="0.2">
      <c r="A3164" t="s">
        <v>1061</v>
      </c>
      <c r="B3164" t="s">
        <v>1062</v>
      </c>
      <c r="C3164" t="s">
        <v>442</v>
      </c>
      <c r="D3164" t="str">
        <f>VLOOKUP(C3164,'lookup table'!$A$2:$B$19,2,FALSE)</f>
        <v>Partner Unit</v>
      </c>
      <c r="E3164" t="str">
        <f t="shared" si="49"/>
        <v>AL115_00|Partner Unit</v>
      </c>
    </row>
    <row r="3165" spans="1:5" x14ac:dyDescent="0.2">
      <c r="A3165" t="s">
        <v>1063</v>
      </c>
      <c r="B3165" t="s">
        <v>1064</v>
      </c>
      <c r="C3165" t="s">
        <v>20</v>
      </c>
      <c r="D3165" t="str">
        <f>VLOOKUP(C3165,'lookup table'!$A$2:$B$19,2,FALSE)</f>
        <v>AY</v>
      </c>
      <c r="E3165" t="str">
        <f t="shared" si="49"/>
        <v>AL116_00|AY</v>
      </c>
    </row>
    <row r="3166" spans="1:5" x14ac:dyDescent="0.2">
      <c r="A3166" t="s">
        <v>1063</v>
      </c>
      <c r="B3166" t="s">
        <v>1064</v>
      </c>
      <c r="C3166" t="s">
        <v>331</v>
      </c>
      <c r="D3166" t="str">
        <f>VLOOKUP(C3166,'lookup table'!$A$2:$B$19,2,FALSE)</f>
        <v>FS Item</v>
      </c>
      <c r="E3166" t="str">
        <f t="shared" si="49"/>
        <v>AL116_00|FS Item</v>
      </c>
    </row>
    <row r="3167" spans="1:5" x14ac:dyDescent="0.2">
      <c r="A3167" t="s">
        <v>1063</v>
      </c>
      <c r="B3167" t="s">
        <v>1064</v>
      </c>
      <c r="C3167" t="s">
        <v>423</v>
      </c>
      <c r="D3167" t="str">
        <f>VLOOKUP(C3167,'lookup table'!$A$2:$B$19,2,FALSE)</f>
        <v>ignore</v>
      </c>
      <c r="E3167" t="str">
        <f t="shared" si="49"/>
        <v>AL116_00|ignore</v>
      </c>
    </row>
    <row r="3168" spans="1:5" x14ac:dyDescent="0.2">
      <c r="A3168" t="s">
        <v>1063</v>
      </c>
      <c r="B3168" t="s">
        <v>1064</v>
      </c>
      <c r="C3168" t="s">
        <v>428</v>
      </c>
      <c r="D3168" t="str">
        <f>VLOOKUP(C3168,'lookup table'!$A$2:$B$19,2,FALSE)</f>
        <v>LoB</v>
      </c>
      <c r="E3168" t="str">
        <f t="shared" si="49"/>
        <v>AL116_00|LoB</v>
      </c>
    </row>
    <row r="3169" spans="1:5" x14ac:dyDescent="0.2">
      <c r="A3169" t="s">
        <v>1063</v>
      </c>
      <c r="B3169" t="s">
        <v>1064</v>
      </c>
      <c r="C3169" t="s">
        <v>441</v>
      </c>
      <c r="D3169" t="str">
        <f>VLOOKUP(C3169,'lookup table'!$A$2:$B$19,2,FALSE)</f>
        <v>Partner Segment</v>
      </c>
      <c r="E3169" t="str">
        <f t="shared" si="49"/>
        <v>AL116_00|Partner Segment</v>
      </c>
    </row>
    <row r="3170" spans="1:5" x14ac:dyDescent="0.2">
      <c r="A3170" t="s">
        <v>1063</v>
      </c>
      <c r="B3170" t="s">
        <v>1064</v>
      </c>
      <c r="C3170" t="s">
        <v>442</v>
      </c>
      <c r="D3170" t="str">
        <f>VLOOKUP(C3170,'lookup table'!$A$2:$B$19,2,FALSE)</f>
        <v>Partner Unit</v>
      </c>
      <c r="E3170" t="str">
        <f t="shared" si="49"/>
        <v>AL116_00|Partner Unit</v>
      </c>
    </row>
    <row r="3171" spans="1:5" x14ac:dyDescent="0.2">
      <c r="A3171" t="s">
        <v>1065</v>
      </c>
      <c r="B3171" t="s">
        <v>1064</v>
      </c>
      <c r="C3171" t="s">
        <v>20</v>
      </c>
      <c r="D3171" t="str">
        <f>VLOOKUP(C3171,'lookup table'!$A$2:$B$19,2,FALSE)</f>
        <v>AY</v>
      </c>
      <c r="E3171" t="str">
        <f t="shared" si="49"/>
        <v>AL116_01|AY</v>
      </c>
    </row>
    <row r="3172" spans="1:5" x14ac:dyDescent="0.2">
      <c r="A3172" t="s">
        <v>1065</v>
      </c>
      <c r="B3172" t="s">
        <v>1064</v>
      </c>
      <c r="C3172" t="s">
        <v>331</v>
      </c>
      <c r="D3172" t="str">
        <f>VLOOKUP(C3172,'lookup table'!$A$2:$B$19,2,FALSE)</f>
        <v>FS Item</v>
      </c>
      <c r="E3172" t="str">
        <f t="shared" si="49"/>
        <v>AL116_01|FS Item</v>
      </c>
    </row>
    <row r="3173" spans="1:5" x14ac:dyDescent="0.2">
      <c r="A3173" t="s">
        <v>1065</v>
      </c>
      <c r="B3173" t="s">
        <v>1064</v>
      </c>
      <c r="C3173" t="s">
        <v>423</v>
      </c>
      <c r="D3173" t="str">
        <f>VLOOKUP(C3173,'lookup table'!$A$2:$B$19,2,FALSE)</f>
        <v>ignore</v>
      </c>
      <c r="E3173" t="str">
        <f t="shared" si="49"/>
        <v>AL116_01|ignore</v>
      </c>
    </row>
    <row r="3174" spans="1:5" x14ac:dyDescent="0.2">
      <c r="A3174" t="s">
        <v>1065</v>
      </c>
      <c r="B3174" t="s">
        <v>1064</v>
      </c>
      <c r="C3174" t="s">
        <v>428</v>
      </c>
      <c r="D3174" t="str">
        <f>VLOOKUP(C3174,'lookup table'!$A$2:$B$19,2,FALSE)</f>
        <v>LoB</v>
      </c>
      <c r="E3174" t="str">
        <f t="shared" si="49"/>
        <v>AL116_01|LoB</v>
      </c>
    </row>
    <row r="3175" spans="1:5" x14ac:dyDescent="0.2">
      <c r="A3175" t="s">
        <v>1065</v>
      </c>
      <c r="B3175" t="s">
        <v>1064</v>
      </c>
      <c r="C3175" t="s">
        <v>441</v>
      </c>
      <c r="D3175" t="str">
        <f>VLOOKUP(C3175,'lookup table'!$A$2:$B$19,2,FALSE)</f>
        <v>Partner Segment</v>
      </c>
      <c r="E3175" t="str">
        <f t="shared" si="49"/>
        <v>AL116_01|Partner Segment</v>
      </c>
    </row>
    <row r="3176" spans="1:5" x14ac:dyDescent="0.2">
      <c r="A3176" t="s">
        <v>1065</v>
      </c>
      <c r="B3176" t="s">
        <v>1064</v>
      </c>
      <c r="C3176" t="s">
        <v>442</v>
      </c>
      <c r="D3176" t="str">
        <f>VLOOKUP(C3176,'lookup table'!$A$2:$B$19,2,FALSE)</f>
        <v>Partner Unit</v>
      </c>
      <c r="E3176" t="str">
        <f t="shared" si="49"/>
        <v>AL116_01|Partner Unit</v>
      </c>
    </row>
    <row r="3177" spans="1:5" x14ac:dyDescent="0.2">
      <c r="A3177" t="s">
        <v>1066</v>
      </c>
      <c r="B3177" t="s">
        <v>1064</v>
      </c>
      <c r="C3177" t="s">
        <v>20</v>
      </c>
      <c r="D3177" t="str">
        <f>VLOOKUP(C3177,'lookup table'!$A$2:$B$19,2,FALSE)</f>
        <v>AY</v>
      </c>
      <c r="E3177" t="str">
        <f t="shared" si="49"/>
        <v>AL116_02|AY</v>
      </c>
    </row>
    <row r="3178" spans="1:5" x14ac:dyDescent="0.2">
      <c r="A3178" t="s">
        <v>1066</v>
      </c>
      <c r="B3178" t="s">
        <v>1064</v>
      </c>
      <c r="C3178" t="s">
        <v>331</v>
      </c>
      <c r="D3178" t="str">
        <f>VLOOKUP(C3178,'lookup table'!$A$2:$B$19,2,FALSE)</f>
        <v>FS Item</v>
      </c>
      <c r="E3178" t="str">
        <f t="shared" si="49"/>
        <v>AL116_02|FS Item</v>
      </c>
    </row>
    <row r="3179" spans="1:5" x14ac:dyDescent="0.2">
      <c r="A3179" t="s">
        <v>1066</v>
      </c>
      <c r="B3179" t="s">
        <v>1064</v>
      </c>
      <c r="C3179" t="s">
        <v>423</v>
      </c>
      <c r="D3179" t="str">
        <f>VLOOKUP(C3179,'lookup table'!$A$2:$B$19,2,FALSE)</f>
        <v>ignore</v>
      </c>
      <c r="E3179" t="str">
        <f t="shared" si="49"/>
        <v>AL116_02|ignore</v>
      </c>
    </row>
    <row r="3180" spans="1:5" x14ac:dyDescent="0.2">
      <c r="A3180" t="s">
        <v>1066</v>
      </c>
      <c r="B3180" t="s">
        <v>1064</v>
      </c>
      <c r="C3180" t="s">
        <v>428</v>
      </c>
      <c r="D3180" t="str">
        <f>VLOOKUP(C3180,'lookup table'!$A$2:$B$19,2,FALSE)</f>
        <v>LoB</v>
      </c>
      <c r="E3180" t="str">
        <f t="shared" si="49"/>
        <v>AL116_02|LoB</v>
      </c>
    </row>
    <row r="3181" spans="1:5" x14ac:dyDescent="0.2">
      <c r="A3181" t="s">
        <v>1066</v>
      </c>
      <c r="B3181" t="s">
        <v>1064</v>
      </c>
      <c r="C3181" t="s">
        <v>441</v>
      </c>
      <c r="D3181" t="str">
        <f>VLOOKUP(C3181,'lookup table'!$A$2:$B$19,2,FALSE)</f>
        <v>Partner Segment</v>
      </c>
      <c r="E3181" t="str">
        <f t="shared" si="49"/>
        <v>AL116_02|Partner Segment</v>
      </c>
    </row>
    <row r="3182" spans="1:5" x14ac:dyDescent="0.2">
      <c r="A3182" t="s">
        <v>1066</v>
      </c>
      <c r="B3182" t="s">
        <v>1064</v>
      </c>
      <c r="C3182" t="s">
        <v>442</v>
      </c>
      <c r="D3182" t="str">
        <f>VLOOKUP(C3182,'lookup table'!$A$2:$B$19,2,FALSE)</f>
        <v>Partner Unit</v>
      </c>
      <c r="E3182" t="str">
        <f t="shared" si="49"/>
        <v>AL116_02|Partner Unit</v>
      </c>
    </row>
    <row r="3183" spans="1:5" x14ac:dyDescent="0.2">
      <c r="A3183" t="s">
        <v>1067</v>
      </c>
      <c r="B3183" t="s">
        <v>1068</v>
      </c>
      <c r="C3183" t="s">
        <v>20</v>
      </c>
      <c r="D3183" t="str">
        <f>VLOOKUP(C3183,'lookup table'!$A$2:$B$19,2,FALSE)</f>
        <v>AY</v>
      </c>
      <c r="E3183" t="str">
        <f t="shared" si="49"/>
        <v>AL116_60|AY</v>
      </c>
    </row>
    <row r="3184" spans="1:5" x14ac:dyDescent="0.2">
      <c r="A3184" t="s">
        <v>1067</v>
      </c>
      <c r="B3184" t="s">
        <v>1068</v>
      </c>
      <c r="C3184" t="s">
        <v>331</v>
      </c>
      <c r="D3184" t="str">
        <f>VLOOKUP(C3184,'lookup table'!$A$2:$B$19,2,FALSE)</f>
        <v>FS Item</v>
      </c>
      <c r="E3184" t="str">
        <f t="shared" si="49"/>
        <v>AL116_60|FS Item</v>
      </c>
    </row>
    <row r="3185" spans="1:5" x14ac:dyDescent="0.2">
      <c r="A3185" t="s">
        <v>1067</v>
      </c>
      <c r="B3185" t="s">
        <v>1068</v>
      </c>
      <c r="C3185" t="s">
        <v>423</v>
      </c>
      <c r="D3185" t="str">
        <f>VLOOKUP(C3185,'lookup table'!$A$2:$B$19,2,FALSE)</f>
        <v>ignore</v>
      </c>
      <c r="E3185" t="str">
        <f t="shared" si="49"/>
        <v>AL116_60|ignore</v>
      </c>
    </row>
    <row r="3186" spans="1:5" x14ac:dyDescent="0.2">
      <c r="A3186" t="s">
        <v>1067</v>
      </c>
      <c r="B3186" t="s">
        <v>1068</v>
      </c>
      <c r="C3186" t="s">
        <v>428</v>
      </c>
      <c r="D3186" t="str">
        <f>VLOOKUP(C3186,'lookup table'!$A$2:$B$19,2,FALSE)</f>
        <v>LoB</v>
      </c>
      <c r="E3186" t="str">
        <f t="shared" si="49"/>
        <v>AL116_60|LoB</v>
      </c>
    </row>
    <row r="3187" spans="1:5" x14ac:dyDescent="0.2">
      <c r="A3187" t="s">
        <v>1067</v>
      </c>
      <c r="B3187" t="s">
        <v>1068</v>
      </c>
      <c r="C3187" t="s">
        <v>442</v>
      </c>
      <c r="D3187" t="str">
        <f>VLOOKUP(C3187,'lookup table'!$A$2:$B$19,2,FALSE)</f>
        <v>Partner Unit</v>
      </c>
      <c r="E3187" t="str">
        <f t="shared" si="49"/>
        <v>AL116_60|Partner Unit</v>
      </c>
    </row>
    <row r="3188" spans="1:5" x14ac:dyDescent="0.2">
      <c r="A3188" t="s">
        <v>1069</v>
      </c>
      <c r="B3188" t="s">
        <v>1070</v>
      </c>
      <c r="C3188" t="s">
        <v>20</v>
      </c>
      <c r="D3188" t="str">
        <f>VLOOKUP(C3188,'lookup table'!$A$2:$B$19,2,FALSE)</f>
        <v>AY</v>
      </c>
      <c r="E3188" t="str">
        <f t="shared" si="49"/>
        <v>AL116_85|AY</v>
      </c>
    </row>
    <row r="3189" spans="1:5" x14ac:dyDescent="0.2">
      <c r="A3189" t="s">
        <v>1069</v>
      </c>
      <c r="B3189" t="s">
        <v>1070</v>
      </c>
      <c r="C3189" t="s">
        <v>331</v>
      </c>
      <c r="D3189" t="str">
        <f>VLOOKUP(C3189,'lookup table'!$A$2:$B$19,2,FALSE)</f>
        <v>FS Item</v>
      </c>
      <c r="E3189" t="str">
        <f t="shared" si="49"/>
        <v>AL116_85|FS Item</v>
      </c>
    </row>
    <row r="3190" spans="1:5" x14ac:dyDescent="0.2">
      <c r="A3190" t="s">
        <v>1069</v>
      </c>
      <c r="B3190" t="s">
        <v>1070</v>
      </c>
      <c r="C3190" t="s">
        <v>423</v>
      </c>
      <c r="D3190" t="str">
        <f>VLOOKUP(C3190,'lookup table'!$A$2:$B$19,2,FALSE)</f>
        <v>ignore</v>
      </c>
      <c r="E3190" t="str">
        <f t="shared" si="49"/>
        <v>AL116_85|ignore</v>
      </c>
    </row>
    <row r="3191" spans="1:5" x14ac:dyDescent="0.2">
      <c r="A3191" t="s">
        <v>1069</v>
      </c>
      <c r="B3191" t="s">
        <v>1070</v>
      </c>
      <c r="C3191" t="s">
        <v>428</v>
      </c>
      <c r="D3191" t="str">
        <f>VLOOKUP(C3191,'lookup table'!$A$2:$B$19,2,FALSE)</f>
        <v>LoB</v>
      </c>
      <c r="E3191" t="str">
        <f t="shared" si="49"/>
        <v>AL116_85|LoB</v>
      </c>
    </row>
    <row r="3192" spans="1:5" x14ac:dyDescent="0.2">
      <c r="A3192" t="s">
        <v>1069</v>
      </c>
      <c r="B3192" t="s">
        <v>1070</v>
      </c>
      <c r="C3192" t="s">
        <v>438</v>
      </c>
      <c r="D3192" t="str">
        <f>VLOOKUP(C3192,'lookup table'!$A$2:$B$19,2,FALSE)</f>
        <v>ToM</v>
      </c>
      <c r="E3192" t="str">
        <f t="shared" si="49"/>
        <v>AL116_85|ToM</v>
      </c>
    </row>
    <row r="3193" spans="1:5" x14ac:dyDescent="0.2">
      <c r="A3193" t="s">
        <v>1069</v>
      </c>
      <c r="B3193" t="s">
        <v>1070</v>
      </c>
      <c r="C3193" t="s">
        <v>441</v>
      </c>
      <c r="D3193" t="str">
        <f>VLOOKUP(C3193,'lookup table'!$A$2:$B$19,2,FALSE)</f>
        <v>Partner Segment</v>
      </c>
      <c r="E3193" t="str">
        <f t="shared" si="49"/>
        <v>AL116_85|Partner Segment</v>
      </c>
    </row>
    <row r="3194" spans="1:5" x14ac:dyDescent="0.2">
      <c r="A3194" t="s">
        <v>1069</v>
      </c>
      <c r="B3194" t="s">
        <v>1070</v>
      </c>
      <c r="C3194" t="s">
        <v>442</v>
      </c>
      <c r="D3194" t="str">
        <f>VLOOKUP(C3194,'lookup table'!$A$2:$B$19,2,FALSE)</f>
        <v>Partner Unit</v>
      </c>
      <c r="E3194" t="str">
        <f t="shared" si="49"/>
        <v>AL116_85|Partner Unit</v>
      </c>
    </row>
    <row r="3195" spans="1:5" x14ac:dyDescent="0.2">
      <c r="A3195" t="s">
        <v>1069</v>
      </c>
      <c r="B3195" t="s">
        <v>1070</v>
      </c>
      <c r="C3195" t="s">
        <v>451</v>
      </c>
      <c r="D3195" t="str">
        <f>VLOOKUP(C3195,'lookup table'!$A$2:$B$19,2,FALSE)</f>
        <v>Segment</v>
      </c>
      <c r="E3195" t="str">
        <f t="shared" si="49"/>
        <v>AL116_85|Segment</v>
      </c>
    </row>
    <row r="3196" spans="1:5" x14ac:dyDescent="0.2">
      <c r="A3196" t="s">
        <v>1071</v>
      </c>
      <c r="B3196" t="s">
        <v>1072</v>
      </c>
      <c r="C3196" t="s">
        <v>20</v>
      </c>
      <c r="D3196" t="str">
        <f>VLOOKUP(C3196,'lookup table'!$A$2:$B$19,2,FALSE)</f>
        <v>AY</v>
      </c>
      <c r="E3196" t="str">
        <f t="shared" si="49"/>
        <v>AL117_60|AY</v>
      </c>
    </row>
    <row r="3197" spans="1:5" x14ac:dyDescent="0.2">
      <c r="A3197" t="s">
        <v>1071</v>
      </c>
      <c r="B3197" t="s">
        <v>1072</v>
      </c>
      <c r="C3197" t="s">
        <v>331</v>
      </c>
      <c r="D3197" t="str">
        <f>VLOOKUP(C3197,'lookup table'!$A$2:$B$19,2,FALSE)</f>
        <v>FS Item</v>
      </c>
      <c r="E3197" t="str">
        <f t="shared" si="49"/>
        <v>AL117_60|FS Item</v>
      </c>
    </row>
    <row r="3198" spans="1:5" x14ac:dyDescent="0.2">
      <c r="A3198" t="s">
        <v>1071</v>
      </c>
      <c r="B3198" t="s">
        <v>1072</v>
      </c>
      <c r="C3198" t="s">
        <v>423</v>
      </c>
      <c r="D3198" t="str">
        <f>VLOOKUP(C3198,'lookup table'!$A$2:$B$19,2,FALSE)</f>
        <v>ignore</v>
      </c>
      <c r="E3198" t="str">
        <f t="shared" si="49"/>
        <v>AL117_60|ignore</v>
      </c>
    </row>
    <row r="3199" spans="1:5" x14ac:dyDescent="0.2">
      <c r="A3199" t="s">
        <v>1071</v>
      </c>
      <c r="B3199" t="s">
        <v>1072</v>
      </c>
      <c r="C3199" t="s">
        <v>428</v>
      </c>
      <c r="D3199" t="str">
        <f>VLOOKUP(C3199,'lookup table'!$A$2:$B$19,2,FALSE)</f>
        <v>LoB</v>
      </c>
      <c r="E3199" t="str">
        <f t="shared" si="49"/>
        <v>AL117_60|LoB</v>
      </c>
    </row>
    <row r="3200" spans="1:5" x14ac:dyDescent="0.2">
      <c r="A3200" t="s">
        <v>1071</v>
      </c>
      <c r="B3200" t="s">
        <v>1072</v>
      </c>
      <c r="C3200" t="s">
        <v>442</v>
      </c>
      <c r="D3200" t="str">
        <f>VLOOKUP(C3200,'lookup table'!$A$2:$B$19,2,FALSE)</f>
        <v>Partner Unit</v>
      </c>
      <c r="E3200" t="str">
        <f t="shared" si="49"/>
        <v>AL117_60|Partner Unit</v>
      </c>
    </row>
    <row r="3201" spans="1:5" x14ac:dyDescent="0.2">
      <c r="A3201" t="s">
        <v>1073</v>
      </c>
      <c r="B3201" t="s">
        <v>1074</v>
      </c>
      <c r="C3201" t="s">
        <v>20</v>
      </c>
      <c r="D3201" t="str">
        <f>VLOOKUP(C3201,'lookup table'!$A$2:$B$19,2,FALSE)</f>
        <v>AY</v>
      </c>
      <c r="E3201" t="str">
        <f t="shared" si="49"/>
        <v>AL117_85|AY</v>
      </c>
    </row>
    <row r="3202" spans="1:5" x14ac:dyDescent="0.2">
      <c r="A3202" t="s">
        <v>1073</v>
      </c>
      <c r="B3202" t="s">
        <v>1074</v>
      </c>
      <c r="C3202" t="s">
        <v>331</v>
      </c>
      <c r="D3202" t="str">
        <f>VLOOKUP(C3202,'lookup table'!$A$2:$B$19,2,FALSE)</f>
        <v>FS Item</v>
      </c>
      <c r="E3202" t="str">
        <f t="shared" si="49"/>
        <v>AL117_85|FS Item</v>
      </c>
    </row>
    <row r="3203" spans="1:5" x14ac:dyDescent="0.2">
      <c r="A3203" t="s">
        <v>1073</v>
      </c>
      <c r="B3203" t="s">
        <v>1074</v>
      </c>
      <c r="C3203" t="s">
        <v>423</v>
      </c>
      <c r="D3203" t="str">
        <f>VLOOKUP(C3203,'lookup table'!$A$2:$B$19,2,FALSE)</f>
        <v>ignore</v>
      </c>
      <c r="E3203" t="str">
        <f t="shared" ref="E3203:E3266" si="50">IF(ISNA(D3203),"",IF(A3203="","",A3203) &amp; "|" &amp; D3203)</f>
        <v>AL117_85|ignore</v>
      </c>
    </row>
    <row r="3204" spans="1:5" x14ac:dyDescent="0.2">
      <c r="A3204" t="s">
        <v>1073</v>
      </c>
      <c r="B3204" t="s">
        <v>1074</v>
      </c>
      <c r="C3204" t="s">
        <v>428</v>
      </c>
      <c r="D3204" t="str">
        <f>VLOOKUP(C3204,'lookup table'!$A$2:$B$19,2,FALSE)</f>
        <v>LoB</v>
      </c>
      <c r="E3204" t="str">
        <f t="shared" si="50"/>
        <v>AL117_85|LoB</v>
      </c>
    </row>
    <row r="3205" spans="1:5" x14ac:dyDescent="0.2">
      <c r="A3205" t="s">
        <v>1073</v>
      </c>
      <c r="B3205" t="s">
        <v>1074</v>
      </c>
      <c r="C3205" t="s">
        <v>438</v>
      </c>
      <c r="D3205" t="str">
        <f>VLOOKUP(C3205,'lookup table'!$A$2:$B$19,2,FALSE)</f>
        <v>ToM</v>
      </c>
      <c r="E3205" t="str">
        <f t="shared" si="50"/>
        <v>AL117_85|ToM</v>
      </c>
    </row>
    <row r="3206" spans="1:5" x14ac:dyDescent="0.2">
      <c r="A3206" t="s">
        <v>1073</v>
      </c>
      <c r="B3206" t="s">
        <v>1074</v>
      </c>
      <c r="C3206" t="s">
        <v>441</v>
      </c>
      <c r="D3206" t="str">
        <f>VLOOKUP(C3206,'lookup table'!$A$2:$B$19,2,FALSE)</f>
        <v>Partner Segment</v>
      </c>
      <c r="E3206" t="str">
        <f t="shared" si="50"/>
        <v>AL117_85|Partner Segment</v>
      </c>
    </row>
    <row r="3207" spans="1:5" x14ac:dyDescent="0.2">
      <c r="A3207" t="s">
        <v>1073</v>
      </c>
      <c r="B3207" t="s">
        <v>1074</v>
      </c>
      <c r="C3207" t="s">
        <v>442</v>
      </c>
      <c r="D3207" t="str">
        <f>VLOOKUP(C3207,'lookup table'!$A$2:$B$19,2,FALSE)</f>
        <v>Partner Unit</v>
      </c>
      <c r="E3207" t="str">
        <f t="shared" si="50"/>
        <v>AL117_85|Partner Unit</v>
      </c>
    </row>
    <row r="3208" spans="1:5" x14ac:dyDescent="0.2">
      <c r="A3208" t="s">
        <v>1073</v>
      </c>
      <c r="B3208" t="s">
        <v>1074</v>
      </c>
      <c r="C3208" t="s">
        <v>451</v>
      </c>
      <c r="D3208" t="str">
        <f>VLOOKUP(C3208,'lookup table'!$A$2:$B$19,2,FALSE)</f>
        <v>Segment</v>
      </c>
      <c r="E3208" t="str">
        <f t="shared" si="50"/>
        <v>AL117_85|Segment</v>
      </c>
    </row>
    <row r="3209" spans="1:5" x14ac:dyDescent="0.2">
      <c r="A3209" t="s">
        <v>1075</v>
      </c>
      <c r="B3209" t="s">
        <v>1076</v>
      </c>
      <c r="C3209" t="s">
        <v>20</v>
      </c>
      <c r="D3209" t="str">
        <f>VLOOKUP(C3209,'lookup table'!$A$2:$B$19,2,FALSE)</f>
        <v>AY</v>
      </c>
      <c r="E3209" t="str">
        <f t="shared" si="50"/>
        <v>AL118_60|AY</v>
      </c>
    </row>
    <row r="3210" spans="1:5" x14ac:dyDescent="0.2">
      <c r="A3210" t="s">
        <v>1075</v>
      </c>
      <c r="B3210" t="s">
        <v>1076</v>
      </c>
      <c r="C3210" t="s">
        <v>331</v>
      </c>
      <c r="D3210" t="str">
        <f>VLOOKUP(C3210,'lookup table'!$A$2:$B$19,2,FALSE)</f>
        <v>FS Item</v>
      </c>
      <c r="E3210" t="str">
        <f t="shared" si="50"/>
        <v>AL118_60|FS Item</v>
      </c>
    </row>
    <row r="3211" spans="1:5" x14ac:dyDescent="0.2">
      <c r="A3211" t="s">
        <v>1075</v>
      </c>
      <c r="B3211" t="s">
        <v>1076</v>
      </c>
      <c r="C3211" t="s">
        <v>423</v>
      </c>
      <c r="D3211" t="str">
        <f>VLOOKUP(C3211,'lookup table'!$A$2:$B$19,2,FALSE)</f>
        <v>ignore</v>
      </c>
      <c r="E3211" t="str">
        <f t="shared" si="50"/>
        <v>AL118_60|ignore</v>
      </c>
    </row>
    <row r="3212" spans="1:5" x14ac:dyDescent="0.2">
      <c r="A3212" t="s">
        <v>1075</v>
      </c>
      <c r="B3212" t="s">
        <v>1076</v>
      </c>
      <c r="C3212" t="s">
        <v>428</v>
      </c>
      <c r="D3212" t="str">
        <f>VLOOKUP(C3212,'lookup table'!$A$2:$B$19,2,FALSE)</f>
        <v>LoB</v>
      </c>
      <c r="E3212" t="str">
        <f t="shared" si="50"/>
        <v>AL118_60|LoB</v>
      </c>
    </row>
    <row r="3213" spans="1:5" x14ac:dyDescent="0.2">
      <c r="A3213" t="s">
        <v>1075</v>
      </c>
      <c r="B3213" t="s">
        <v>1076</v>
      </c>
      <c r="C3213" t="s">
        <v>442</v>
      </c>
      <c r="D3213" t="str">
        <f>VLOOKUP(C3213,'lookup table'!$A$2:$B$19,2,FALSE)</f>
        <v>Partner Unit</v>
      </c>
      <c r="E3213" t="str">
        <f t="shared" si="50"/>
        <v>AL118_60|Partner Unit</v>
      </c>
    </row>
    <row r="3214" spans="1:5" x14ac:dyDescent="0.2">
      <c r="A3214" t="s">
        <v>1077</v>
      </c>
      <c r="B3214" t="s">
        <v>1078</v>
      </c>
      <c r="C3214" t="s">
        <v>20</v>
      </c>
      <c r="D3214" t="str">
        <f>VLOOKUP(C3214,'lookup table'!$A$2:$B$19,2,FALSE)</f>
        <v>AY</v>
      </c>
      <c r="E3214" t="str">
        <f t="shared" si="50"/>
        <v>AL118_85|AY</v>
      </c>
    </row>
    <row r="3215" spans="1:5" x14ac:dyDescent="0.2">
      <c r="A3215" t="s">
        <v>1077</v>
      </c>
      <c r="B3215" t="s">
        <v>1078</v>
      </c>
      <c r="C3215" t="s">
        <v>331</v>
      </c>
      <c r="D3215" t="str">
        <f>VLOOKUP(C3215,'lookup table'!$A$2:$B$19,2,FALSE)</f>
        <v>FS Item</v>
      </c>
      <c r="E3215" t="str">
        <f t="shared" si="50"/>
        <v>AL118_85|FS Item</v>
      </c>
    </row>
    <row r="3216" spans="1:5" x14ac:dyDescent="0.2">
      <c r="A3216" t="s">
        <v>1077</v>
      </c>
      <c r="B3216" t="s">
        <v>1078</v>
      </c>
      <c r="C3216" t="s">
        <v>423</v>
      </c>
      <c r="D3216" t="str">
        <f>VLOOKUP(C3216,'lookup table'!$A$2:$B$19,2,FALSE)</f>
        <v>ignore</v>
      </c>
      <c r="E3216" t="str">
        <f t="shared" si="50"/>
        <v>AL118_85|ignore</v>
      </c>
    </row>
    <row r="3217" spans="1:5" x14ac:dyDescent="0.2">
      <c r="A3217" t="s">
        <v>1077</v>
      </c>
      <c r="B3217" t="s">
        <v>1078</v>
      </c>
      <c r="C3217" t="s">
        <v>428</v>
      </c>
      <c r="D3217" t="str">
        <f>VLOOKUP(C3217,'lookup table'!$A$2:$B$19,2,FALSE)</f>
        <v>LoB</v>
      </c>
      <c r="E3217" t="str">
        <f t="shared" si="50"/>
        <v>AL118_85|LoB</v>
      </c>
    </row>
    <row r="3218" spans="1:5" x14ac:dyDescent="0.2">
      <c r="A3218" t="s">
        <v>1077</v>
      </c>
      <c r="B3218" t="s">
        <v>1078</v>
      </c>
      <c r="C3218" t="s">
        <v>438</v>
      </c>
      <c r="D3218" t="str">
        <f>VLOOKUP(C3218,'lookup table'!$A$2:$B$19,2,FALSE)</f>
        <v>ToM</v>
      </c>
      <c r="E3218" t="str">
        <f t="shared" si="50"/>
        <v>AL118_85|ToM</v>
      </c>
    </row>
    <row r="3219" spans="1:5" x14ac:dyDescent="0.2">
      <c r="A3219" t="s">
        <v>1077</v>
      </c>
      <c r="B3219" t="s">
        <v>1078</v>
      </c>
      <c r="C3219" t="s">
        <v>441</v>
      </c>
      <c r="D3219" t="str">
        <f>VLOOKUP(C3219,'lookup table'!$A$2:$B$19,2,FALSE)</f>
        <v>Partner Segment</v>
      </c>
      <c r="E3219" t="str">
        <f t="shared" si="50"/>
        <v>AL118_85|Partner Segment</v>
      </c>
    </row>
    <row r="3220" spans="1:5" x14ac:dyDescent="0.2">
      <c r="A3220" t="s">
        <v>1077</v>
      </c>
      <c r="B3220" t="s">
        <v>1078</v>
      </c>
      <c r="C3220" t="s">
        <v>442</v>
      </c>
      <c r="D3220" t="str">
        <f>VLOOKUP(C3220,'lookup table'!$A$2:$B$19,2,FALSE)</f>
        <v>Partner Unit</v>
      </c>
      <c r="E3220" t="str">
        <f t="shared" si="50"/>
        <v>AL118_85|Partner Unit</v>
      </c>
    </row>
    <row r="3221" spans="1:5" x14ac:dyDescent="0.2">
      <c r="A3221" t="s">
        <v>1077</v>
      </c>
      <c r="B3221" t="s">
        <v>1078</v>
      </c>
      <c r="C3221" t="s">
        <v>451</v>
      </c>
      <c r="D3221" t="str">
        <f>VLOOKUP(C3221,'lookup table'!$A$2:$B$19,2,FALSE)</f>
        <v>Segment</v>
      </c>
      <c r="E3221" t="str">
        <f t="shared" si="50"/>
        <v>AL118_85|Segment</v>
      </c>
    </row>
    <row r="3222" spans="1:5" x14ac:dyDescent="0.2">
      <c r="A3222" t="s">
        <v>1079</v>
      </c>
      <c r="B3222" t="s">
        <v>1080</v>
      </c>
      <c r="C3222" t="s">
        <v>20</v>
      </c>
      <c r="D3222" t="str">
        <f>VLOOKUP(C3222,'lookup table'!$A$2:$B$19,2,FALSE)</f>
        <v>AY</v>
      </c>
      <c r="E3222" t="str">
        <f t="shared" si="50"/>
        <v>AL119_60|AY</v>
      </c>
    </row>
    <row r="3223" spans="1:5" x14ac:dyDescent="0.2">
      <c r="A3223" t="s">
        <v>1079</v>
      </c>
      <c r="B3223" t="s">
        <v>1080</v>
      </c>
      <c r="C3223" t="s">
        <v>331</v>
      </c>
      <c r="D3223" t="str">
        <f>VLOOKUP(C3223,'lookup table'!$A$2:$B$19,2,FALSE)</f>
        <v>FS Item</v>
      </c>
      <c r="E3223" t="str">
        <f t="shared" si="50"/>
        <v>AL119_60|FS Item</v>
      </c>
    </row>
    <row r="3224" spans="1:5" x14ac:dyDescent="0.2">
      <c r="A3224" t="s">
        <v>1079</v>
      </c>
      <c r="B3224" t="s">
        <v>1080</v>
      </c>
      <c r="C3224" t="s">
        <v>423</v>
      </c>
      <c r="D3224" t="str">
        <f>VLOOKUP(C3224,'lookup table'!$A$2:$B$19,2,FALSE)</f>
        <v>ignore</v>
      </c>
      <c r="E3224" t="str">
        <f t="shared" si="50"/>
        <v>AL119_60|ignore</v>
      </c>
    </row>
    <row r="3225" spans="1:5" x14ac:dyDescent="0.2">
      <c r="A3225" t="s">
        <v>1079</v>
      </c>
      <c r="B3225" t="s">
        <v>1080</v>
      </c>
      <c r="C3225" t="s">
        <v>428</v>
      </c>
      <c r="D3225" t="str">
        <f>VLOOKUP(C3225,'lookup table'!$A$2:$B$19,2,FALSE)</f>
        <v>LoB</v>
      </c>
      <c r="E3225" t="str">
        <f t="shared" si="50"/>
        <v>AL119_60|LoB</v>
      </c>
    </row>
    <row r="3226" spans="1:5" x14ac:dyDescent="0.2">
      <c r="A3226" t="s">
        <v>1079</v>
      </c>
      <c r="B3226" t="s">
        <v>1080</v>
      </c>
      <c r="C3226" t="s">
        <v>442</v>
      </c>
      <c r="D3226" t="str">
        <f>VLOOKUP(C3226,'lookup table'!$A$2:$B$19,2,FALSE)</f>
        <v>Partner Unit</v>
      </c>
      <c r="E3226" t="str">
        <f t="shared" si="50"/>
        <v>AL119_60|Partner Unit</v>
      </c>
    </row>
    <row r="3227" spans="1:5" x14ac:dyDescent="0.2">
      <c r="A3227" t="s">
        <v>1081</v>
      </c>
      <c r="B3227" t="s">
        <v>1082</v>
      </c>
      <c r="C3227" t="s">
        <v>20</v>
      </c>
      <c r="D3227" t="str">
        <f>VLOOKUP(C3227,'lookup table'!$A$2:$B$19,2,FALSE)</f>
        <v>AY</v>
      </c>
      <c r="E3227" t="str">
        <f t="shared" si="50"/>
        <v>AL119_85|AY</v>
      </c>
    </row>
    <row r="3228" spans="1:5" x14ac:dyDescent="0.2">
      <c r="A3228" t="s">
        <v>1081</v>
      </c>
      <c r="B3228" t="s">
        <v>1082</v>
      </c>
      <c r="C3228" t="s">
        <v>331</v>
      </c>
      <c r="D3228" t="str">
        <f>VLOOKUP(C3228,'lookup table'!$A$2:$B$19,2,FALSE)</f>
        <v>FS Item</v>
      </c>
      <c r="E3228" t="str">
        <f t="shared" si="50"/>
        <v>AL119_85|FS Item</v>
      </c>
    </row>
    <row r="3229" spans="1:5" x14ac:dyDescent="0.2">
      <c r="A3229" t="s">
        <v>1081</v>
      </c>
      <c r="B3229" t="s">
        <v>1082</v>
      </c>
      <c r="C3229" t="s">
        <v>423</v>
      </c>
      <c r="D3229" t="str">
        <f>VLOOKUP(C3229,'lookup table'!$A$2:$B$19,2,FALSE)</f>
        <v>ignore</v>
      </c>
      <c r="E3229" t="str">
        <f t="shared" si="50"/>
        <v>AL119_85|ignore</v>
      </c>
    </row>
    <row r="3230" spans="1:5" x14ac:dyDescent="0.2">
      <c r="A3230" t="s">
        <v>1081</v>
      </c>
      <c r="B3230" t="s">
        <v>1082</v>
      </c>
      <c r="C3230" t="s">
        <v>428</v>
      </c>
      <c r="D3230" t="str">
        <f>VLOOKUP(C3230,'lookup table'!$A$2:$B$19,2,FALSE)</f>
        <v>LoB</v>
      </c>
      <c r="E3230" t="str">
        <f t="shared" si="50"/>
        <v>AL119_85|LoB</v>
      </c>
    </row>
    <row r="3231" spans="1:5" x14ac:dyDescent="0.2">
      <c r="A3231" t="s">
        <v>1081</v>
      </c>
      <c r="B3231" t="s">
        <v>1082</v>
      </c>
      <c r="C3231" t="s">
        <v>441</v>
      </c>
      <c r="D3231" t="str">
        <f>VLOOKUP(C3231,'lookup table'!$A$2:$B$19,2,FALSE)</f>
        <v>Partner Segment</v>
      </c>
      <c r="E3231" t="str">
        <f t="shared" si="50"/>
        <v>AL119_85|Partner Segment</v>
      </c>
    </row>
    <row r="3232" spans="1:5" x14ac:dyDescent="0.2">
      <c r="A3232" t="s">
        <v>1081</v>
      </c>
      <c r="B3232" t="s">
        <v>1082</v>
      </c>
      <c r="C3232" t="s">
        <v>442</v>
      </c>
      <c r="D3232" t="str">
        <f>VLOOKUP(C3232,'lookup table'!$A$2:$B$19,2,FALSE)</f>
        <v>Partner Unit</v>
      </c>
      <c r="E3232" t="str">
        <f t="shared" si="50"/>
        <v>AL119_85|Partner Unit</v>
      </c>
    </row>
    <row r="3233" spans="1:5" x14ac:dyDescent="0.2">
      <c r="A3233" t="s">
        <v>1081</v>
      </c>
      <c r="B3233" t="s">
        <v>1082</v>
      </c>
      <c r="C3233" t="s">
        <v>451</v>
      </c>
      <c r="D3233" t="str">
        <f>VLOOKUP(C3233,'lookup table'!$A$2:$B$19,2,FALSE)</f>
        <v>Segment</v>
      </c>
      <c r="E3233" t="str">
        <f t="shared" si="50"/>
        <v>AL119_85|Segment</v>
      </c>
    </row>
    <row r="3234" spans="1:5" x14ac:dyDescent="0.2">
      <c r="A3234" t="s">
        <v>1083</v>
      </c>
      <c r="B3234" t="s">
        <v>1084</v>
      </c>
      <c r="C3234" t="s">
        <v>20</v>
      </c>
      <c r="D3234" t="str">
        <f>VLOOKUP(C3234,'lookup table'!$A$2:$B$19,2,FALSE)</f>
        <v>AY</v>
      </c>
      <c r="E3234" t="str">
        <f t="shared" si="50"/>
        <v>AL120_60|AY</v>
      </c>
    </row>
    <row r="3235" spans="1:5" x14ac:dyDescent="0.2">
      <c r="A3235" t="s">
        <v>1083</v>
      </c>
      <c r="B3235" t="s">
        <v>1084</v>
      </c>
      <c r="C3235" t="s">
        <v>331</v>
      </c>
      <c r="D3235" t="str">
        <f>VLOOKUP(C3235,'lookup table'!$A$2:$B$19,2,FALSE)</f>
        <v>FS Item</v>
      </c>
      <c r="E3235" t="str">
        <f t="shared" si="50"/>
        <v>AL120_60|FS Item</v>
      </c>
    </row>
    <row r="3236" spans="1:5" x14ac:dyDescent="0.2">
      <c r="A3236" t="s">
        <v>1083</v>
      </c>
      <c r="B3236" t="s">
        <v>1084</v>
      </c>
      <c r="C3236" t="s">
        <v>423</v>
      </c>
      <c r="D3236" t="str">
        <f>VLOOKUP(C3236,'lookup table'!$A$2:$B$19,2,FALSE)</f>
        <v>ignore</v>
      </c>
      <c r="E3236" t="str">
        <f t="shared" si="50"/>
        <v>AL120_60|ignore</v>
      </c>
    </row>
    <row r="3237" spans="1:5" x14ac:dyDescent="0.2">
      <c r="A3237" t="s">
        <v>1083</v>
      </c>
      <c r="B3237" t="s">
        <v>1084</v>
      </c>
      <c r="C3237" t="s">
        <v>428</v>
      </c>
      <c r="D3237" t="str">
        <f>VLOOKUP(C3237,'lookup table'!$A$2:$B$19,2,FALSE)</f>
        <v>LoB</v>
      </c>
      <c r="E3237" t="str">
        <f t="shared" si="50"/>
        <v>AL120_60|LoB</v>
      </c>
    </row>
    <row r="3238" spans="1:5" x14ac:dyDescent="0.2">
      <c r="A3238" t="s">
        <v>1083</v>
      </c>
      <c r="B3238" t="s">
        <v>1084</v>
      </c>
      <c r="C3238" t="s">
        <v>442</v>
      </c>
      <c r="D3238" t="str">
        <f>VLOOKUP(C3238,'lookup table'!$A$2:$B$19,2,FALSE)</f>
        <v>Partner Unit</v>
      </c>
      <c r="E3238" t="str">
        <f t="shared" si="50"/>
        <v>AL120_60|Partner Unit</v>
      </c>
    </row>
    <row r="3239" spans="1:5" x14ac:dyDescent="0.2">
      <c r="A3239" t="s">
        <v>1085</v>
      </c>
      <c r="B3239" t="s">
        <v>1086</v>
      </c>
      <c r="C3239" t="s">
        <v>20</v>
      </c>
      <c r="D3239" t="str">
        <f>VLOOKUP(C3239,'lookup table'!$A$2:$B$19,2,FALSE)</f>
        <v>AY</v>
      </c>
      <c r="E3239" t="str">
        <f t="shared" si="50"/>
        <v>AL120_85|AY</v>
      </c>
    </row>
    <row r="3240" spans="1:5" x14ac:dyDescent="0.2">
      <c r="A3240" t="s">
        <v>1085</v>
      </c>
      <c r="B3240" t="s">
        <v>1086</v>
      </c>
      <c r="C3240" t="s">
        <v>331</v>
      </c>
      <c r="D3240" t="str">
        <f>VLOOKUP(C3240,'lookup table'!$A$2:$B$19,2,FALSE)</f>
        <v>FS Item</v>
      </c>
      <c r="E3240" t="str">
        <f t="shared" si="50"/>
        <v>AL120_85|FS Item</v>
      </c>
    </row>
    <row r="3241" spans="1:5" x14ac:dyDescent="0.2">
      <c r="A3241" t="s">
        <v>1085</v>
      </c>
      <c r="B3241" t="s">
        <v>1086</v>
      </c>
      <c r="C3241" t="s">
        <v>423</v>
      </c>
      <c r="D3241" t="str">
        <f>VLOOKUP(C3241,'lookup table'!$A$2:$B$19,2,FALSE)</f>
        <v>ignore</v>
      </c>
      <c r="E3241" t="str">
        <f t="shared" si="50"/>
        <v>AL120_85|ignore</v>
      </c>
    </row>
    <row r="3242" spans="1:5" x14ac:dyDescent="0.2">
      <c r="A3242" t="s">
        <v>1085</v>
      </c>
      <c r="B3242" t="s">
        <v>1086</v>
      </c>
      <c r="C3242" t="s">
        <v>428</v>
      </c>
      <c r="D3242" t="str">
        <f>VLOOKUP(C3242,'lookup table'!$A$2:$B$19,2,FALSE)</f>
        <v>LoB</v>
      </c>
      <c r="E3242" t="str">
        <f t="shared" si="50"/>
        <v>AL120_85|LoB</v>
      </c>
    </row>
    <row r="3243" spans="1:5" x14ac:dyDescent="0.2">
      <c r="A3243" t="s">
        <v>1085</v>
      </c>
      <c r="B3243" t="s">
        <v>1086</v>
      </c>
      <c r="C3243" t="s">
        <v>438</v>
      </c>
      <c r="D3243" t="str">
        <f>VLOOKUP(C3243,'lookup table'!$A$2:$B$19,2,FALSE)</f>
        <v>ToM</v>
      </c>
      <c r="E3243" t="str">
        <f t="shared" si="50"/>
        <v>AL120_85|ToM</v>
      </c>
    </row>
    <row r="3244" spans="1:5" x14ac:dyDescent="0.2">
      <c r="A3244" t="s">
        <v>1085</v>
      </c>
      <c r="B3244" t="s">
        <v>1086</v>
      </c>
      <c r="C3244" t="s">
        <v>441</v>
      </c>
      <c r="D3244" t="str">
        <f>VLOOKUP(C3244,'lookup table'!$A$2:$B$19,2,FALSE)</f>
        <v>Partner Segment</v>
      </c>
      <c r="E3244" t="str">
        <f t="shared" si="50"/>
        <v>AL120_85|Partner Segment</v>
      </c>
    </row>
    <row r="3245" spans="1:5" x14ac:dyDescent="0.2">
      <c r="A3245" t="s">
        <v>1085</v>
      </c>
      <c r="B3245" t="s">
        <v>1086</v>
      </c>
      <c r="C3245" t="s">
        <v>442</v>
      </c>
      <c r="D3245" t="str">
        <f>VLOOKUP(C3245,'lookup table'!$A$2:$B$19,2,FALSE)</f>
        <v>Partner Unit</v>
      </c>
      <c r="E3245" t="str">
        <f t="shared" si="50"/>
        <v>AL120_85|Partner Unit</v>
      </c>
    </row>
    <row r="3246" spans="1:5" x14ac:dyDescent="0.2">
      <c r="A3246" t="s">
        <v>1085</v>
      </c>
      <c r="B3246" t="s">
        <v>1086</v>
      </c>
      <c r="C3246" t="s">
        <v>451</v>
      </c>
      <c r="D3246" t="str">
        <f>VLOOKUP(C3246,'lookup table'!$A$2:$B$19,2,FALSE)</f>
        <v>Segment</v>
      </c>
      <c r="E3246" t="str">
        <f t="shared" si="50"/>
        <v>AL120_85|Segment</v>
      </c>
    </row>
    <row r="3247" spans="1:5" x14ac:dyDescent="0.2">
      <c r="A3247" t="s">
        <v>1087</v>
      </c>
      <c r="B3247" t="s">
        <v>1088</v>
      </c>
      <c r="C3247" t="s">
        <v>20</v>
      </c>
      <c r="D3247" t="str">
        <f>VLOOKUP(C3247,'lookup table'!$A$2:$B$19,2,FALSE)</f>
        <v>AY</v>
      </c>
      <c r="E3247" t="str">
        <f t="shared" si="50"/>
        <v>AL122_60|AY</v>
      </c>
    </row>
    <row r="3248" spans="1:5" x14ac:dyDescent="0.2">
      <c r="A3248" t="s">
        <v>1087</v>
      </c>
      <c r="B3248" t="s">
        <v>1088</v>
      </c>
      <c r="C3248" t="s">
        <v>331</v>
      </c>
      <c r="D3248" t="str">
        <f>VLOOKUP(C3248,'lookup table'!$A$2:$B$19,2,FALSE)</f>
        <v>FS Item</v>
      </c>
      <c r="E3248" t="str">
        <f t="shared" si="50"/>
        <v>AL122_60|FS Item</v>
      </c>
    </row>
    <row r="3249" spans="1:5" x14ac:dyDescent="0.2">
      <c r="A3249" t="s">
        <v>1087</v>
      </c>
      <c r="B3249" t="s">
        <v>1088</v>
      </c>
      <c r="C3249" t="s">
        <v>423</v>
      </c>
      <c r="D3249" t="str">
        <f>VLOOKUP(C3249,'lookup table'!$A$2:$B$19,2,FALSE)</f>
        <v>ignore</v>
      </c>
      <c r="E3249" t="str">
        <f t="shared" si="50"/>
        <v>AL122_60|ignore</v>
      </c>
    </row>
    <row r="3250" spans="1:5" x14ac:dyDescent="0.2">
      <c r="A3250" t="s">
        <v>1087</v>
      </c>
      <c r="B3250" t="s">
        <v>1088</v>
      </c>
      <c r="C3250" t="s">
        <v>428</v>
      </c>
      <c r="D3250" t="str">
        <f>VLOOKUP(C3250,'lookup table'!$A$2:$B$19,2,FALSE)</f>
        <v>LoB</v>
      </c>
      <c r="E3250" t="str">
        <f t="shared" si="50"/>
        <v>AL122_60|LoB</v>
      </c>
    </row>
    <row r="3251" spans="1:5" x14ac:dyDescent="0.2">
      <c r="A3251" t="s">
        <v>1087</v>
      </c>
      <c r="B3251" t="s">
        <v>1088</v>
      </c>
      <c r="C3251" t="s">
        <v>442</v>
      </c>
      <c r="D3251" t="str">
        <f>VLOOKUP(C3251,'lookup table'!$A$2:$B$19,2,FALSE)</f>
        <v>Partner Unit</v>
      </c>
      <c r="E3251" t="str">
        <f t="shared" si="50"/>
        <v>AL122_60|Partner Unit</v>
      </c>
    </row>
    <row r="3252" spans="1:5" x14ac:dyDescent="0.2">
      <c r="A3252" t="s">
        <v>1089</v>
      </c>
      <c r="B3252" t="s">
        <v>1090</v>
      </c>
      <c r="C3252" t="s">
        <v>20</v>
      </c>
      <c r="D3252" t="str">
        <f>VLOOKUP(C3252,'lookup table'!$A$2:$B$19,2,FALSE)</f>
        <v>AY</v>
      </c>
      <c r="E3252" t="str">
        <f t="shared" si="50"/>
        <v>AL123_60|AY</v>
      </c>
    </row>
    <row r="3253" spans="1:5" x14ac:dyDescent="0.2">
      <c r="A3253" t="s">
        <v>1089</v>
      </c>
      <c r="B3253" t="s">
        <v>1090</v>
      </c>
      <c r="C3253" t="s">
        <v>331</v>
      </c>
      <c r="D3253" t="str">
        <f>VLOOKUP(C3253,'lookup table'!$A$2:$B$19,2,FALSE)</f>
        <v>FS Item</v>
      </c>
      <c r="E3253" t="str">
        <f t="shared" si="50"/>
        <v>AL123_60|FS Item</v>
      </c>
    </row>
    <row r="3254" spans="1:5" x14ac:dyDescent="0.2">
      <c r="A3254" t="s">
        <v>1089</v>
      </c>
      <c r="B3254" t="s">
        <v>1090</v>
      </c>
      <c r="C3254" t="s">
        <v>423</v>
      </c>
      <c r="D3254" t="str">
        <f>VLOOKUP(C3254,'lookup table'!$A$2:$B$19,2,FALSE)</f>
        <v>ignore</v>
      </c>
      <c r="E3254" t="str">
        <f t="shared" si="50"/>
        <v>AL123_60|ignore</v>
      </c>
    </row>
    <row r="3255" spans="1:5" x14ac:dyDescent="0.2">
      <c r="A3255" t="s">
        <v>1089</v>
      </c>
      <c r="B3255" t="s">
        <v>1090</v>
      </c>
      <c r="C3255" t="s">
        <v>428</v>
      </c>
      <c r="D3255" t="str">
        <f>VLOOKUP(C3255,'lookup table'!$A$2:$B$19,2,FALSE)</f>
        <v>LoB</v>
      </c>
      <c r="E3255" t="str">
        <f t="shared" si="50"/>
        <v>AL123_60|LoB</v>
      </c>
    </row>
    <row r="3256" spans="1:5" x14ac:dyDescent="0.2">
      <c r="A3256" t="s">
        <v>1089</v>
      </c>
      <c r="B3256" t="s">
        <v>1090</v>
      </c>
      <c r="C3256" t="s">
        <v>442</v>
      </c>
      <c r="D3256" t="str">
        <f>VLOOKUP(C3256,'lookup table'!$A$2:$B$19,2,FALSE)</f>
        <v>Partner Unit</v>
      </c>
      <c r="E3256" t="str">
        <f t="shared" si="50"/>
        <v>AL123_60|Partner Unit</v>
      </c>
    </row>
    <row r="3257" spans="1:5" x14ac:dyDescent="0.2">
      <c r="A3257" t="s">
        <v>1091</v>
      </c>
      <c r="B3257" t="s">
        <v>1092</v>
      </c>
      <c r="C3257" t="s">
        <v>20</v>
      </c>
      <c r="D3257" t="str">
        <f>VLOOKUP(C3257,'lookup table'!$A$2:$B$19,2,FALSE)</f>
        <v>AY</v>
      </c>
      <c r="E3257" t="str">
        <f t="shared" si="50"/>
        <v>AL124_60|AY</v>
      </c>
    </row>
    <row r="3258" spans="1:5" x14ac:dyDescent="0.2">
      <c r="A3258" t="s">
        <v>1091</v>
      </c>
      <c r="B3258" t="s">
        <v>1092</v>
      </c>
      <c r="C3258" t="s">
        <v>331</v>
      </c>
      <c r="D3258" t="str">
        <f>VLOOKUP(C3258,'lookup table'!$A$2:$B$19,2,FALSE)</f>
        <v>FS Item</v>
      </c>
      <c r="E3258" t="str">
        <f t="shared" si="50"/>
        <v>AL124_60|FS Item</v>
      </c>
    </row>
    <row r="3259" spans="1:5" x14ac:dyDescent="0.2">
      <c r="A3259" t="s">
        <v>1091</v>
      </c>
      <c r="B3259" t="s">
        <v>1092</v>
      </c>
      <c r="C3259" t="s">
        <v>423</v>
      </c>
      <c r="D3259" t="str">
        <f>VLOOKUP(C3259,'lookup table'!$A$2:$B$19,2,FALSE)</f>
        <v>ignore</v>
      </c>
      <c r="E3259" t="str">
        <f t="shared" si="50"/>
        <v>AL124_60|ignore</v>
      </c>
    </row>
    <row r="3260" spans="1:5" x14ac:dyDescent="0.2">
      <c r="A3260" t="s">
        <v>1091</v>
      </c>
      <c r="B3260" t="s">
        <v>1092</v>
      </c>
      <c r="C3260" t="s">
        <v>428</v>
      </c>
      <c r="D3260" t="str">
        <f>VLOOKUP(C3260,'lookup table'!$A$2:$B$19,2,FALSE)</f>
        <v>LoB</v>
      </c>
      <c r="E3260" t="str">
        <f t="shared" si="50"/>
        <v>AL124_60|LoB</v>
      </c>
    </row>
    <row r="3261" spans="1:5" x14ac:dyDescent="0.2">
      <c r="A3261" t="s">
        <v>1091</v>
      </c>
      <c r="B3261" t="s">
        <v>1092</v>
      </c>
      <c r="C3261" t="s">
        <v>442</v>
      </c>
      <c r="D3261" t="str">
        <f>VLOOKUP(C3261,'lookup table'!$A$2:$B$19,2,FALSE)</f>
        <v>Partner Unit</v>
      </c>
      <c r="E3261" t="str">
        <f t="shared" si="50"/>
        <v>AL124_60|Partner Unit</v>
      </c>
    </row>
    <row r="3262" spans="1:5" x14ac:dyDescent="0.2">
      <c r="A3262" t="s">
        <v>1093</v>
      </c>
      <c r="B3262" t="s">
        <v>1094</v>
      </c>
      <c r="C3262" t="s">
        <v>20</v>
      </c>
      <c r="D3262" t="str">
        <f>VLOOKUP(C3262,'lookup table'!$A$2:$B$19,2,FALSE)</f>
        <v>AY</v>
      </c>
      <c r="E3262" t="str">
        <f t="shared" si="50"/>
        <v>AL125_60|AY</v>
      </c>
    </row>
    <row r="3263" spans="1:5" x14ac:dyDescent="0.2">
      <c r="A3263" t="s">
        <v>1093</v>
      </c>
      <c r="B3263" t="s">
        <v>1094</v>
      </c>
      <c r="C3263" t="s">
        <v>331</v>
      </c>
      <c r="D3263" t="str">
        <f>VLOOKUP(C3263,'lookup table'!$A$2:$B$19,2,FALSE)</f>
        <v>FS Item</v>
      </c>
      <c r="E3263" t="str">
        <f t="shared" si="50"/>
        <v>AL125_60|FS Item</v>
      </c>
    </row>
    <row r="3264" spans="1:5" x14ac:dyDescent="0.2">
      <c r="A3264" t="s">
        <v>1093</v>
      </c>
      <c r="B3264" t="s">
        <v>1094</v>
      </c>
      <c r="C3264" t="s">
        <v>423</v>
      </c>
      <c r="D3264" t="str">
        <f>VLOOKUP(C3264,'lookup table'!$A$2:$B$19,2,FALSE)</f>
        <v>ignore</v>
      </c>
      <c r="E3264" t="str">
        <f t="shared" si="50"/>
        <v>AL125_60|ignore</v>
      </c>
    </row>
    <row r="3265" spans="1:5" x14ac:dyDescent="0.2">
      <c r="A3265" t="s">
        <v>1093</v>
      </c>
      <c r="B3265" t="s">
        <v>1094</v>
      </c>
      <c r="C3265" t="s">
        <v>428</v>
      </c>
      <c r="D3265" t="str">
        <f>VLOOKUP(C3265,'lookup table'!$A$2:$B$19,2,FALSE)</f>
        <v>LoB</v>
      </c>
      <c r="E3265" t="str">
        <f t="shared" si="50"/>
        <v>AL125_60|LoB</v>
      </c>
    </row>
    <row r="3266" spans="1:5" x14ac:dyDescent="0.2">
      <c r="A3266" t="s">
        <v>1093</v>
      </c>
      <c r="B3266" t="s">
        <v>1094</v>
      </c>
      <c r="C3266" t="s">
        <v>442</v>
      </c>
      <c r="D3266" t="str">
        <f>VLOOKUP(C3266,'lookup table'!$A$2:$B$19,2,FALSE)</f>
        <v>Partner Unit</v>
      </c>
      <c r="E3266" t="str">
        <f t="shared" si="50"/>
        <v>AL125_60|Partner Unit</v>
      </c>
    </row>
    <row r="3267" spans="1:5" x14ac:dyDescent="0.2">
      <c r="A3267" t="s">
        <v>1095</v>
      </c>
      <c r="B3267" t="s">
        <v>1096</v>
      </c>
      <c r="C3267" t="s">
        <v>428</v>
      </c>
      <c r="D3267" t="str">
        <f>VLOOKUP(C3267,'lookup table'!$A$2:$B$19,2,FALSE)</f>
        <v>LoB</v>
      </c>
      <c r="E3267" t="str">
        <f t="shared" ref="E3267:E3330" si="51">IF(ISNA(D3267),"",IF(A3267="","",A3267) &amp; "|" &amp; D3267)</f>
        <v>AL126_00|LoB</v>
      </c>
    </row>
    <row r="3268" spans="1:5" x14ac:dyDescent="0.2">
      <c r="A3268" t="s">
        <v>1097</v>
      </c>
      <c r="B3268" t="s">
        <v>1098</v>
      </c>
      <c r="C3268" t="s">
        <v>428</v>
      </c>
      <c r="D3268" t="str">
        <f>VLOOKUP(C3268,'lookup table'!$A$2:$B$19,2,FALSE)</f>
        <v>LoB</v>
      </c>
      <c r="E3268" t="str">
        <f t="shared" si="51"/>
        <v>AL126_01|LoB</v>
      </c>
    </row>
    <row r="3269" spans="1:5" x14ac:dyDescent="0.2">
      <c r="A3269" t="s">
        <v>1099</v>
      </c>
      <c r="B3269" t="s">
        <v>1100</v>
      </c>
      <c r="C3269" t="s">
        <v>428</v>
      </c>
      <c r="D3269" t="str">
        <f>VLOOKUP(C3269,'lookup table'!$A$2:$B$19,2,FALSE)</f>
        <v>LoB</v>
      </c>
      <c r="E3269" t="str">
        <f t="shared" si="51"/>
        <v>AL126_02|LoB</v>
      </c>
    </row>
    <row r="3270" spans="1:5" x14ac:dyDescent="0.2">
      <c r="A3270" t="s">
        <v>1101</v>
      </c>
      <c r="B3270" t="s">
        <v>1102</v>
      </c>
      <c r="C3270" t="s">
        <v>428</v>
      </c>
      <c r="D3270" t="str">
        <f>VLOOKUP(C3270,'lookup table'!$A$2:$B$19,2,FALSE)</f>
        <v>LoB</v>
      </c>
      <c r="E3270" t="str">
        <f t="shared" si="51"/>
        <v>AL126_03|LoB</v>
      </c>
    </row>
    <row r="3271" spans="1:5" x14ac:dyDescent="0.2">
      <c r="A3271" t="s">
        <v>1103</v>
      </c>
      <c r="B3271" t="s">
        <v>1104</v>
      </c>
      <c r="C3271" t="s">
        <v>428</v>
      </c>
      <c r="D3271" t="str">
        <f>VLOOKUP(C3271,'lookup table'!$A$2:$B$19,2,FALSE)</f>
        <v>LoB</v>
      </c>
      <c r="E3271" t="str">
        <f t="shared" si="51"/>
        <v>AL126_04|LoB</v>
      </c>
    </row>
    <row r="3272" spans="1:5" x14ac:dyDescent="0.2">
      <c r="A3272" t="s">
        <v>1105</v>
      </c>
      <c r="B3272" t="s">
        <v>1106</v>
      </c>
      <c r="C3272" t="s">
        <v>428</v>
      </c>
      <c r="D3272" t="str">
        <f>VLOOKUP(C3272,'lookup table'!$A$2:$B$19,2,FALSE)</f>
        <v>LoB</v>
      </c>
      <c r="E3272" t="str">
        <f t="shared" si="51"/>
        <v>AL126_05|LoB</v>
      </c>
    </row>
    <row r="3273" spans="1:5" x14ac:dyDescent="0.2">
      <c r="A3273" t="s">
        <v>1107</v>
      </c>
      <c r="B3273" t="s">
        <v>1108</v>
      </c>
      <c r="C3273" t="s">
        <v>428</v>
      </c>
      <c r="D3273" t="str">
        <f>VLOOKUP(C3273,'lookup table'!$A$2:$B$19,2,FALSE)</f>
        <v>LoB</v>
      </c>
      <c r="E3273" t="str">
        <f t="shared" si="51"/>
        <v>AL126_80|LoB</v>
      </c>
    </row>
    <row r="3274" spans="1:5" x14ac:dyDescent="0.2">
      <c r="A3274" t="s">
        <v>1109</v>
      </c>
      <c r="B3274" t="s">
        <v>1110</v>
      </c>
      <c r="C3274" t="s">
        <v>428</v>
      </c>
      <c r="D3274" t="str">
        <f>VLOOKUP(C3274,'lookup table'!$A$2:$B$19,2,FALSE)</f>
        <v>LoB</v>
      </c>
      <c r="E3274" t="str">
        <f t="shared" si="51"/>
        <v>AL127_00|LoB</v>
      </c>
    </row>
    <row r="3275" spans="1:5" x14ac:dyDescent="0.2">
      <c r="A3275" t="s">
        <v>1111</v>
      </c>
      <c r="B3275" t="s">
        <v>1112</v>
      </c>
      <c r="C3275" t="s">
        <v>428</v>
      </c>
      <c r="D3275" t="str">
        <f>VLOOKUP(C3275,'lookup table'!$A$2:$B$19,2,FALSE)</f>
        <v>LoB</v>
      </c>
      <c r="E3275" t="str">
        <f t="shared" si="51"/>
        <v>AL127_01|LoB</v>
      </c>
    </row>
    <row r="3276" spans="1:5" x14ac:dyDescent="0.2">
      <c r="A3276" t="s">
        <v>1113</v>
      </c>
      <c r="B3276" t="s">
        <v>1114</v>
      </c>
      <c r="C3276" t="s">
        <v>428</v>
      </c>
      <c r="D3276" t="str">
        <f>VLOOKUP(C3276,'lookup table'!$A$2:$B$19,2,FALSE)</f>
        <v>LoB</v>
      </c>
      <c r="E3276" t="str">
        <f t="shared" si="51"/>
        <v>AL127_02|LoB</v>
      </c>
    </row>
    <row r="3277" spans="1:5" x14ac:dyDescent="0.2">
      <c r="A3277" t="s">
        <v>1115</v>
      </c>
      <c r="B3277" t="s">
        <v>1116</v>
      </c>
      <c r="C3277" t="s">
        <v>428</v>
      </c>
      <c r="D3277" t="str">
        <f>VLOOKUP(C3277,'lookup table'!$A$2:$B$19,2,FALSE)</f>
        <v>LoB</v>
      </c>
      <c r="E3277" t="str">
        <f t="shared" si="51"/>
        <v>AL127_03|LoB</v>
      </c>
    </row>
    <row r="3278" spans="1:5" x14ac:dyDescent="0.2">
      <c r="A3278" t="s">
        <v>1117</v>
      </c>
      <c r="B3278" t="s">
        <v>1118</v>
      </c>
      <c r="C3278" t="s">
        <v>428</v>
      </c>
      <c r="D3278" t="str">
        <f>VLOOKUP(C3278,'lookup table'!$A$2:$B$19,2,FALSE)</f>
        <v>LoB</v>
      </c>
      <c r="E3278" t="str">
        <f t="shared" si="51"/>
        <v>AL127_04|LoB</v>
      </c>
    </row>
    <row r="3279" spans="1:5" x14ac:dyDescent="0.2">
      <c r="A3279" t="s">
        <v>1119</v>
      </c>
      <c r="B3279" t="s">
        <v>1120</v>
      </c>
      <c r="C3279" t="s">
        <v>428</v>
      </c>
      <c r="D3279" t="str">
        <f>VLOOKUP(C3279,'lookup table'!$A$2:$B$19,2,FALSE)</f>
        <v>LoB</v>
      </c>
      <c r="E3279" t="str">
        <f t="shared" si="51"/>
        <v>AL127_05|LoB</v>
      </c>
    </row>
    <row r="3280" spans="1:5" x14ac:dyDescent="0.2">
      <c r="A3280" t="s">
        <v>1121</v>
      </c>
      <c r="B3280" t="s">
        <v>1122</v>
      </c>
      <c r="C3280" t="s">
        <v>428</v>
      </c>
      <c r="D3280" t="str">
        <f>VLOOKUP(C3280,'lookup table'!$A$2:$B$19,2,FALSE)</f>
        <v>LoB</v>
      </c>
      <c r="E3280" t="str">
        <f t="shared" si="51"/>
        <v>AL127_80|LoB</v>
      </c>
    </row>
    <row r="3281" spans="1:5" x14ac:dyDescent="0.2">
      <c r="A3281" t="s">
        <v>1123</v>
      </c>
      <c r="B3281" t="s">
        <v>1124</v>
      </c>
      <c r="C3281" t="s">
        <v>331</v>
      </c>
      <c r="D3281" t="str">
        <f>VLOOKUP(C3281,'lookup table'!$A$2:$B$19,2,FALSE)</f>
        <v>FS Item</v>
      </c>
      <c r="E3281" t="str">
        <f t="shared" si="51"/>
        <v>AL128_00|FS Item</v>
      </c>
    </row>
    <row r="3282" spans="1:5" x14ac:dyDescent="0.2">
      <c r="A3282" t="s">
        <v>1123</v>
      </c>
      <c r="B3282" t="s">
        <v>1124</v>
      </c>
      <c r="C3282" t="s">
        <v>423</v>
      </c>
      <c r="D3282" t="str">
        <f>VLOOKUP(C3282,'lookup table'!$A$2:$B$19,2,FALSE)</f>
        <v>ignore</v>
      </c>
      <c r="E3282" t="str">
        <f t="shared" si="51"/>
        <v>AL128_00|ignore</v>
      </c>
    </row>
    <row r="3283" spans="1:5" x14ac:dyDescent="0.2">
      <c r="A3283" t="s">
        <v>1123</v>
      </c>
      <c r="B3283" t="s">
        <v>1124</v>
      </c>
      <c r="C3283" t="s">
        <v>428</v>
      </c>
      <c r="D3283" t="str">
        <f>VLOOKUP(C3283,'lookup table'!$A$2:$B$19,2,FALSE)</f>
        <v>LoB</v>
      </c>
      <c r="E3283" t="str">
        <f t="shared" si="51"/>
        <v>AL128_00|LoB</v>
      </c>
    </row>
    <row r="3284" spans="1:5" x14ac:dyDescent="0.2">
      <c r="A3284" t="s">
        <v>1125</v>
      </c>
      <c r="B3284" t="s">
        <v>1126</v>
      </c>
      <c r="C3284" t="s">
        <v>331</v>
      </c>
      <c r="D3284" t="str">
        <f>VLOOKUP(C3284,'lookup table'!$A$2:$B$19,2,FALSE)</f>
        <v>FS Item</v>
      </c>
      <c r="E3284" t="str">
        <f t="shared" si="51"/>
        <v>AL128_01|FS Item</v>
      </c>
    </row>
    <row r="3285" spans="1:5" x14ac:dyDescent="0.2">
      <c r="A3285" t="s">
        <v>1125</v>
      </c>
      <c r="B3285" t="s">
        <v>1126</v>
      </c>
      <c r="C3285" t="s">
        <v>423</v>
      </c>
      <c r="D3285" t="str">
        <f>VLOOKUP(C3285,'lookup table'!$A$2:$B$19,2,FALSE)</f>
        <v>ignore</v>
      </c>
      <c r="E3285" t="str">
        <f t="shared" si="51"/>
        <v>AL128_01|ignore</v>
      </c>
    </row>
    <row r="3286" spans="1:5" x14ac:dyDescent="0.2">
      <c r="A3286" t="s">
        <v>1125</v>
      </c>
      <c r="B3286" t="s">
        <v>1126</v>
      </c>
      <c r="C3286" t="s">
        <v>428</v>
      </c>
      <c r="D3286" t="str">
        <f>VLOOKUP(C3286,'lookup table'!$A$2:$B$19,2,FALSE)</f>
        <v>LoB</v>
      </c>
      <c r="E3286" t="str">
        <f t="shared" si="51"/>
        <v>AL128_01|LoB</v>
      </c>
    </row>
    <row r="3287" spans="1:5" x14ac:dyDescent="0.2">
      <c r="A3287" t="s">
        <v>1127</v>
      </c>
      <c r="B3287" t="s">
        <v>1128</v>
      </c>
      <c r="C3287" t="s">
        <v>14</v>
      </c>
      <c r="D3287" t="str">
        <f>VLOOKUP(C3287,'lookup table'!$A$2:$B$19,2,FALSE)</f>
        <v>ALC</v>
      </c>
      <c r="E3287" t="str">
        <f t="shared" si="51"/>
        <v>AL129_00|ALC</v>
      </c>
    </row>
    <row r="3288" spans="1:5" x14ac:dyDescent="0.2">
      <c r="A3288" t="s">
        <v>1127</v>
      </c>
      <c r="B3288" t="s">
        <v>1128</v>
      </c>
      <c r="C3288" t="s">
        <v>20</v>
      </c>
      <c r="D3288" t="str">
        <f>VLOOKUP(C3288,'lookup table'!$A$2:$B$19,2,FALSE)</f>
        <v>AY</v>
      </c>
      <c r="E3288" t="str">
        <f t="shared" si="51"/>
        <v>AL129_00|AY</v>
      </c>
    </row>
    <row r="3289" spans="1:5" x14ac:dyDescent="0.2">
      <c r="A3289" t="s">
        <v>1127</v>
      </c>
      <c r="B3289" t="s">
        <v>1128</v>
      </c>
      <c r="C3289" t="s">
        <v>136</v>
      </c>
      <c r="D3289" t="str">
        <f>VLOOKUP(C3289,'lookup table'!$A$2:$B$19,2,FALSE)</f>
        <v>BBA Set</v>
      </c>
      <c r="E3289" t="str">
        <f t="shared" si="51"/>
        <v>AL129_00|BBA Set</v>
      </c>
    </row>
    <row r="3290" spans="1:5" x14ac:dyDescent="0.2">
      <c r="A3290" t="s">
        <v>1127</v>
      </c>
      <c r="B3290" t="s">
        <v>1128</v>
      </c>
      <c r="C3290" t="s">
        <v>331</v>
      </c>
      <c r="D3290" t="str">
        <f>VLOOKUP(C3290,'lookup table'!$A$2:$B$19,2,FALSE)</f>
        <v>FS Item</v>
      </c>
      <c r="E3290" t="str">
        <f t="shared" si="51"/>
        <v>AL129_00|FS Item</v>
      </c>
    </row>
    <row r="3291" spans="1:5" x14ac:dyDescent="0.2">
      <c r="A3291" t="s">
        <v>1127</v>
      </c>
      <c r="B3291" t="s">
        <v>1128</v>
      </c>
      <c r="C3291" t="s">
        <v>423</v>
      </c>
      <c r="D3291" t="str">
        <f>VLOOKUP(C3291,'lookup table'!$A$2:$B$19,2,FALSE)</f>
        <v>ignore</v>
      </c>
      <c r="E3291" t="str">
        <f t="shared" si="51"/>
        <v>AL129_00|ignore</v>
      </c>
    </row>
    <row r="3292" spans="1:5" x14ac:dyDescent="0.2">
      <c r="A3292" t="s">
        <v>1127</v>
      </c>
      <c r="B3292" t="s">
        <v>1128</v>
      </c>
      <c r="C3292" t="s">
        <v>424</v>
      </c>
      <c r="D3292" t="str">
        <f>VLOOKUP(C3292,'lookup table'!$A$2:$B$19,2,FALSE)</f>
        <v>GRC</v>
      </c>
      <c r="E3292" t="str">
        <f t="shared" si="51"/>
        <v>AL129_00|GRC</v>
      </c>
    </row>
    <row r="3293" spans="1:5" x14ac:dyDescent="0.2">
      <c r="A3293" t="s">
        <v>1127</v>
      </c>
      <c r="B3293" t="s">
        <v>1128</v>
      </c>
      <c r="C3293" t="s">
        <v>425</v>
      </c>
      <c r="D3293" t="str">
        <f>VLOOKUP(C3293,'lookup table'!$A$2:$B$19,2,FALSE)</f>
        <v>Investee Segment</v>
      </c>
      <c r="E3293" t="str">
        <f t="shared" si="51"/>
        <v>AL129_00|Investee Segment</v>
      </c>
    </row>
    <row r="3294" spans="1:5" x14ac:dyDescent="0.2">
      <c r="A3294" t="s">
        <v>1127</v>
      </c>
      <c r="B3294" t="s">
        <v>1128</v>
      </c>
      <c r="C3294" t="s">
        <v>426</v>
      </c>
      <c r="D3294" t="str">
        <f>VLOOKUP(C3294,'lookup table'!$A$2:$B$19,2,FALSE)</f>
        <v>Investee Unit</v>
      </c>
      <c r="E3294" t="str">
        <f t="shared" si="51"/>
        <v>AL129_00|Investee Unit</v>
      </c>
    </row>
    <row r="3295" spans="1:5" x14ac:dyDescent="0.2">
      <c r="A3295" t="s">
        <v>1127</v>
      </c>
      <c r="B3295" t="s">
        <v>1128</v>
      </c>
      <c r="C3295" t="s">
        <v>428</v>
      </c>
      <c r="D3295" t="str">
        <f>VLOOKUP(C3295,'lookup table'!$A$2:$B$19,2,FALSE)</f>
        <v>LoB</v>
      </c>
      <c r="E3295" t="str">
        <f t="shared" si="51"/>
        <v>AL129_00|LoB</v>
      </c>
    </row>
    <row r="3296" spans="1:5" x14ac:dyDescent="0.2">
      <c r="A3296" t="s">
        <v>1127</v>
      </c>
      <c r="B3296" t="s">
        <v>1128</v>
      </c>
      <c r="C3296" t="s">
        <v>436</v>
      </c>
      <c r="D3296" t="str">
        <f>VLOOKUP(C3296,'lookup table'!$A$2:$B$19,2,FALSE)</f>
        <v>MAT</v>
      </c>
      <c r="E3296" t="str">
        <f t="shared" si="51"/>
        <v>AL129_00|MAT</v>
      </c>
    </row>
    <row r="3297" spans="1:5" x14ac:dyDescent="0.2">
      <c r="A3297" t="s">
        <v>1127</v>
      </c>
      <c r="B3297" t="s">
        <v>1128</v>
      </c>
      <c r="C3297" t="s">
        <v>438</v>
      </c>
      <c r="D3297" t="str">
        <f>VLOOKUP(C3297,'lookup table'!$A$2:$B$19,2,FALSE)</f>
        <v>ToM</v>
      </c>
      <c r="E3297" t="str">
        <f t="shared" si="51"/>
        <v>AL129_00|ToM</v>
      </c>
    </row>
    <row r="3298" spans="1:5" x14ac:dyDescent="0.2">
      <c r="A3298" t="s">
        <v>1127</v>
      </c>
      <c r="B3298" t="s">
        <v>1128</v>
      </c>
      <c r="C3298" t="s">
        <v>441</v>
      </c>
      <c r="D3298" t="str">
        <f>VLOOKUP(C3298,'lookup table'!$A$2:$B$19,2,FALSE)</f>
        <v>Partner Segment</v>
      </c>
      <c r="E3298" t="str">
        <f t="shared" si="51"/>
        <v>AL129_00|Partner Segment</v>
      </c>
    </row>
    <row r="3299" spans="1:5" x14ac:dyDescent="0.2">
      <c r="A3299" t="s">
        <v>1127</v>
      </c>
      <c r="B3299" t="s">
        <v>1128</v>
      </c>
      <c r="C3299" t="s">
        <v>442</v>
      </c>
      <c r="D3299" t="str">
        <f>VLOOKUP(C3299,'lookup table'!$A$2:$B$19,2,FALSE)</f>
        <v>Partner Unit</v>
      </c>
      <c r="E3299" t="str">
        <f t="shared" si="51"/>
        <v>AL129_00|Partner Unit</v>
      </c>
    </row>
    <row r="3300" spans="1:5" x14ac:dyDescent="0.2">
      <c r="A3300" t="s">
        <v>1127</v>
      </c>
      <c r="B3300" t="s">
        <v>1128</v>
      </c>
      <c r="C3300" t="s">
        <v>447</v>
      </c>
      <c r="D3300" t="str">
        <f>VLOOKUP(C3300,'lookup table'!$A$2:$B$19,2,FALSE)</f>
        <v>REX</v>
      </c>
      <c r="E3300" t="str">
        <f t="shared" si="51"/>
        <v>AL129_00|REX</v>
      </c>
    </row>
    <row r="3301" spans="1:5" x14ac:dyDescent="0.2">
      <c r="A3301" t="s">
        <v>1127</v>
      </c>
      <c r="B3301" t="s">
        <v>1128</v>
      </c>
      <c r="C3301" t="s">
        <v>457</v>
      </c>
      <c r="D3301" t="str">
        <f>VLOOKUP(C3301,'lookup table'!$A$2:$B$19,2,FALSE)</f>
        <v>VLT</v>
      </c>
      <c r="E3301" t="str">
        <f t="shared" si="51"/>
        <v>AL129_00|VLT</v>
      </c>
    </row>
    <row r="3302" spans="1:5" x14ac:dyDescent="0.2">
      <c r="A3302" t="s">
        <v>1127</v>
      </c>
      <c r="B3302" t="s">
        <v>1128</v>
      </c>
      <c r="C3302" t="s">
        <v>458</v>
      </c>
      <c r="D3302" t="str">
        <f>VLOOKUP(C3302,'lookup table'!$A$2:$B$19,2,FALSE)</f>
        <v>VAR</v>
      </c>
      <c r="E3302" t="str">
        <f t="shared" si="51"/>
        <v>AL129_00|VAR</v>
      </c>
    </row>
    <row r="3303" spans="1:5" x14ac:dyDescent="0.2">
      <c r="A3303" t="s">
        <v>1129</v>
      </c>
      <c r="B3303" t="s">
        <v>1130</v>
      </c>
      <c r="C3303" t="s">
        <v>14</v>
      </c>
      <c r="D3303" t="str">
        <f>VLOOKUP(C3303,'lookup table'!$A$2:$B$19,2,FALSE)</f>
        <v>ALC</v>
      </c>
      <c r="E3303" t="str">
        <f t="shared" si="51"/>
        <v>AL129_01|ALC</v>
      </c>
    </row>
    <row r="3304" spans="1:5" x14ac:dyDescent="0.2">
      <c r="A3304" t="s">
        <v>1129</v>
      </c>
      <c r="B3304" t="s">
        <v>1130</v>
      </c>
      <c r="C3304" t="s">
        <v>20</v>
      </c>
      <c r="D3304" t="str">
        <f>VLOOKUP(C3304,'lookup table'!$A$2:$B$19,2,FALSE)</f>
        <v>AY</v>
      </c>
      <c r="E3304" t="str">
        <f t="shared" si="51"/>
        <v>AL129_01|AY</v>
      </c>
    </row>
    <row r="3305" spans="1:5" x14ac:dyDescent="0.2">
      <c r="A3305" t="s">
        <v>1129</v>
      </c>
      <c r="B3305" t="s">
        <v>1130</v>
      </c>
      <c r="C3305" t="s">
        <v>136</v>
      </c>
      <c r="D3305" t="str">
        <f>VLOOKUP(C3305,'lookup table'!$A$2:$B$19,2,FALSE)</f>
        <v>BBA Set</v>
      </c>
      <c r="E3305" t="str">
        <f t="shared" si="51"/>
        <v>AL129_01|BBA Set</v>
      </c>
    </row>
    <row r="3306" spans="1:5" x14ac:dyDescent="0.2">
      <c r="A3306" t="s">
        <v>1129</v>
      </c>
      <c r="B3306" t="s">
        <v>1130</v>
      </c>
      <c r="C3306" t="s">
        <v>331</v>
      </c>
      <c r="D3306" t="str">
        <f>VLOOKUP(C3306,'lookup table'!$A$2:$B$19,2,FALSE)</f>
        <v>FS Item</v>
      </c>
      <c r="E3306" t="str">
        <f t="shared" si="51"/>
        <v>AL129_01|FS Item</v>
      </c>
    </row>
    <row r="3307" spans="1:5" x14ac:dyDescent="0.2">
      <c r="A3307" t="s">
        <v>1129</v>
      </c>
      <c r="B3307" t="s">
        <v>1130</v>
      </c>
      <c r="C3307" t="s">
        <v>423</v>
      </c>
      <c r="D3307" t="str">
        <f>VLOOKUP(C3307,'lookup table'!$A$2:$B$19,2,FALSE)</f>
        <v>ignore</v>
      </c>
      <c r="E3307" t="str">
        <f t="shared" si="51"/>
        <v>AL129_01|ignore</v>
      </c>
    </row>
    <row r="3308" spans="1:5" x14ac:dyDescent="0.2">
      <c r="A3308" t="s">
        <v>1129</v>
      </c>
      <c r="B3308" t="s">
        <v>1130</v>
      </c>
      <c r="C3308" t="s">
        <v>424</v>
      </c>
      <c r="D3308" t="str">
        <f>VLOOKUP(C3308,'lookup table'!$A$2:$B$19,2,FALSE)</f>
        <v>GRC</v>
      </c>
      <c r="E3308" t="str">
        <f t="shared" si="51"/>
        <v>AL129_01|GRC</v>
      </c>
    </row>
    <row r="3309" spans="1:5" x14ac:dyDescent="0.2">
      <c r="A3309" t="s">
        <v>1129</v>
      </c>
      <c r="B3309" t="s">
        <v>1130</v>
      </c>
      <c r="C3309" t="s">
        <v>425</v>
      </c>
      <c r="D3309" t="str">
        <f>VLOOKUP(C3309,'lookup table'!$A$2:$B$19,2,FALSE)</f>
        <v>Investee Segment</v>
      </c>
      <c r="E3309" t="str">
        <f t="shared" si="51"/>
        <v>AL129_01|Investee Segment</v>
      </c>
    </row>
    <row r="3310" spans="1:5" x14ac:dyDescent="0.2">
      <c r="A3310" t="s">
        <v>1129</v>
      </c>
      <c r="B3310" t="s">
        <v>1130</v>
      </c>
      <c r="C3310" t="s">
        <v>426</v>
      </c>
      <c r="D3310" t="str">
        <f>VLOOKUP(C3310,'lookup table'!$A$2:$B$19,2,FALSE)</f>
        <v>Investee Unit</v>
      </c>
      <c r="E3310" t="str">
        <f t="shared" si="51"/>
        <v>AL129_01|Investee Unit</v>
      </c>
    </row>
    <row r="3311" spans="1:5" x14ac:dyDescent="0.2">
      <c r="A3311" t="s">
        <v>1129</v>
      </c>
      <c r="B3311" t="s">
        <v>1130</v>
      </c>
      <c r="C3311" t="s">
        <v>428</v>
      </c>
      <c r="D3311" t="str">
        <f>VLOOKUP(C3311,'lookup table'!$A$2:$B$19,2,FALSE)</f>
        <v>LoB</v>
      </c>
      <c r="E3311" t="str">
        <f t="shared" si="51"/>
        <v>AL129_01|LoB</v>
      </c>
    </row>
    <row r="3312" spans="1:5" x14ac:dyDescent="0.2">
      <c r="A3312" t="s">
        <v>1129</v>
      </c>
      <c r="B3312" t="s">
        <v>1130</v>
      </c>
      <c r="C3312" t="s">
        <v>436</v>
      </c>
      <c r="D3312" t="str">
        <f>VLOOKUP(C3312,'lookup table'!$A$2:$B$19,2,FALSE)</f>
        <v>MAT</v>
      </c>
      <c r="E3312" t="str">
        <f t="shared" si="51"/>
        <v>AL129_01|MAT</v>
      </c>
    </row>
    <row r="3313" spans="1:5" x14ac:dyDescent="0.2">
      <c r="A3313" t="s">
        <v>1129</v>
      </c>
      <c r="B3313" t="s">
        <v>1130</v>
      </c>
      <c r="C3313" t="s">
        <v>438</v>
      </c>
      <c r="D3313" t="str">
        <f>VLOOKUP(C3313,'lookup table'!$A$2:$B$19,2,FALSE)</f>
        <v>ToM</v>
      </c>
      <c r="E3313" t="str">
        <f t="shared" si="51"/>
        <v>AL129_01|ToM</v>
      </c>
    </row>
    <row r="3314" spans="1:5" x14ac:dyDescent="0.2">
      <c r="A3314" t="s">
        <v>1129</v>
      </c>
      <c r="B3314" t="s">
        <v>1130</v>
      </c>
      <c r="C3314" t="s">
        <v>441</v>
      </c>
      <c r="D3314" t="str">
        <f>VLOOKUP(C3314,'lookup table'!$A$2:$B$19,2,FALSE)</f>
        <v>Partner Segment</v>
      </c>
      <c r="E3314" t="str">
        <f t="shared" si="51"/>
        <v>AL129_01|Partner Segment</v>
      </c>
    </row>
    <row r="3315" spans="1:5" x14ac:dyDescent="0.2">
      <c r="A3315" t="s">
        <v>1129</v>
      </c>
      <c r="B3315" t="s">
        <v>1130</v>
      </c>
      <c r="C3315" t="s">
        <v>442</v>
      </c>
      <c r="D3315" t="str">
        <f>VLOOKUP(C3315,'lookup table'!$A$2:$B$19,2,FALSE)</f>
        <v>Partner Unit</v>
      </c>
      <c r="E3315" t="str">
        <f t="shared" si="51"/>
        <v>AL129_01|Partner Unit</v>
      </c>
    </row>
    <row r="3316" spans="1:5" x14ac:dyDescent="0.2">
      <c r="A3316" t="s">
        <v>1129</v>
      </c>
      <c r="B3316" t="s">
        <v>1130</v>
      </c>
      <c r="C3316" t="s">
        <v>447</v>
      </c>
      <c r="D3316" t="str">
        <f>VLOOKUP(C3316,'lookup table'!$A$2:$B$19,2,FALSE)</f>
        <v>REX</v>
      </c>
      <c r="E3316" t="str">
        <f t="shared" si="51"/>
        <v>AL129_01|REX</v>
      </c>
    </row>
    <row r="3317" spans="1:5" x14ac:dyDescent="0.2">
      <c r="A3317" t="s">
        <v>1129</v>
      </c>
      <c r="B3317" t="s">
        <v>1130</v>
      </c>
      <c r="C3317" t="s">
        <v>457</v>
      </c>
      <c r="D3317" t="str">
        <f>VLOOKUP(C3317,'lookup table'!$A$2:$B$19,2,FALSE)</f>
        <v>VLT</v>
      </c>
      <c r="E3317" t="str">
        <f t="shared" si="51"/>
        <v>AL129_01|VLT</v>
      </c>
    </row>
    <row r="3318" spans="1:5" x14ac:dyDescent="0.2">
      <c r="A3318" t="s">
        <v>1129</v>
      </c>
      <c r="B3318" t="s">
        <v>1130</v>
      </c>
      <c r="C3318" t="s">
        <v>458</v>
      </c>
      <c r="D3318" t="str">
        <f>VLOOKUP(C3318,'lookup table'!$A$2:$B$19,2,FALSE)</f>
        <v>VAR</v>
      </c>
      <c r="E3318" t="str">
        <f t="shared" si="51"/>
        <v>AL129_01|VAR</v>
      </c>
    </row>
    <row r="3319" spans="1:5" x14ac:dyDescent="0.2">
      <c r="A3319" t="s">
        <v>1131</v>
      </c>
      <c r="B3319" t="s">
        <v>1132</v>
      </c>
      <c r="C3319" t="s">
        <v>14</v>
      </c>
      <c r="D3319" t="str">
        <f>VLOOKUP(C3319,'lookup table'!$A$2:$B$19,2,FALSE)</f>
        <v>ALC</v>
      </c>
      <c r="E3319" t="str">
        <f t="shared" si="51"/>
        <v>AL129_02|ALC</v>
      </c>
    </row>
    <row r="3320" spans="1:5" x14ac:dyDescent="0.2">
      <c r="A3320" t="s">
        <v>1131</v>
      </c>
      <c r="B3320" t="s">
        <v>1132</v>
      </c>
      <c r="C3320" t="s">
        <v>20</v>
      </c>
      <c r="D3320" t="str">
        <f>VLOOKUP(C3320,'lookup table'!$A$2:$B$19,2,FALSE)</f>
        <v>AY</v>
      </c>
      <c r="E3320" t="str">
        <f t="shared" si="51"/>
        <v>AL129_02|AY</v>
      </c>
    </row>
    <row r="3321" spans="1:5" x14ac:dyDescent="0.2">
      <c r="A3321" t="s">
        <v>1131</v>
      </c>
      <c r="B3321" t="s">
        <v>1132</v>
      </c>
      <c r="C3321" t="s">
        <v>136</v>
      </c>
      <c r="D3321" t="str">
        <f>VLOOKUP(C3321,'lookup table'!$A$2:$B$19,2,FALSE)</f>
        <v>BBA Set</v>
      </c>
      <c r="E3321" t="str">
        <f t="shared" si="51"/>
        <v>AL129_02|BBA Set</v>
      </c>
    </row>
    <row r="3322" spans="1:5" x14ac:dyDescent="0.2">
      <c r="A3322" t="s">
        <v>1131</v>
      </c>
      <c r="B3322" t="s">
        <v>1132</v>
      </c>
      <c r="C3322" t="s">
        <v>331</v>
      </c>
      <c r="D3322" t="str">
        <f>VLOOKUP(C3322,'lookup table'!$A$2:$B$19,2,FALSE)</f>
        <v>FS Item</v>
      </c>
      <c r="E3322" t="str">
        <f t="shared" si="51"/>
        <v>AL129_02|FS Item</v>
      </c>
    </row>
    <row r="3323" spans="1:5" x14ac:dyDescent="0.2">
      <c r="A3323" t="s">
        <v>1131</v>
      </c>
      <c r="B3323" t="s">
        <v>1132</v>
      </c>
      <c r="C3323" t="s">
        <v>423</v>
      </c>
      <c r="D3323" t="str">
        <f>VLOOKUP(C3323,'lookup table'!$A$2:$B$19,2,FALSE)</f>
        <v>ignore</v>
      </c>
      <c r="E3323" t="str">
        <f t="shared" si="51"/>
        <v>AL129_02|ignore</v>
      </c>
    </row>
    <row r="3324" spans="1:5" x14ac:dyDescent="0.2">
      <c r="A3324" t="s">
        <v>1131</v>
      </c>
      <c r="B3324" t="s">
        <v>1132</v>
      </c>
      <c r="C3324" t="s">
        <v>424</v>
      </c>
      <c r="D3324" t="str">
        <f>VLOOKUP(C3324,'lookup table'!$A$2:$B$19,2,FALSE)</f>
        <v>GRC</v>
      </c>
      <c r="E3324" t="str">
        <f t="shared" si="51"/>
        <v>AL129_02|GRC</v>
      </c>
    </row>
    <row r="3325" spans="1:5" x14ac:dyDescent="0.2">
      <c r="A3325" t="s">
        <v>1131</v>
      </c>
      <c r="B3325" t="s">
        <v>1132</v>
      </c>
      <c r="C3325" t="s">
        <v>425</v>
      </c>
      <c r="D3325" t="str">
        <f>VLOOKUP(C3325,'lookup table'!$A$2:$B$19,2,FALSE)</f>
        <v>Investee Segment</v>
      </c>
      <c r="E3325" t="str">
        <f t="shared" si="51"/>
        <v>AL129_02|Investee Segment</v>
      </c>
    </row>
    <row r="3326" spans="1:5" x14ac:dyDescent="0.2">
      <c r="A3326" t="s">
        <v>1131</v>
      </c>
      <c r="B3326" t="s">
        <v>1132</v>
      </c>
      <c r="C3326" t="s">
        <v>426</v>
      </c>
      <c r="D3326" t="str">
        <f>VLOOKUP(C3326,'lookup table'!$A$2:$B$19,2,FALSE)</f>
        <v>Investee Unit</v>
      </c>
      <c r="E3326" t="str">
        <f t="shared" si="51"/>
        <v>AL129_02|Investee Unit</v>
      </c>
    </row>
    <row r="3327" spans="1:5" x14ac:dyDescent="0.2">
      <c r="A3327" t="s">
        <v>1131</v>
      </c>
      <c r="B3327" t="s">
        <v>1132</v>
      </c>
      <c r="C3327" t="s">
        <v>428</v>
      </c>
      <c r="D3327" t="str">
        <f>VLOOKUP(C3327,'lookup table'!$A$2:$B$19,2,FALSE)</f>
        <v>LoB</v>
      </c>
      <c r="E3327" t="str">
        <f t="shared" si="51"/>
        <v>AL129_02|LoB</v>
      </c>
    </row>
    <row r="3328" spans="1:5" x14ac:dyDescent="0.2">
      <c r="A3328" t="s">
        <v>1131</v>
      </c>
      <c r="B3328" t="s">
        <v>1132</v>
      </c>
      <c r="C3328" t="s">
        <v>436</v>
      </c>
      <c r="D3328" t="str">
        <f>VLOOKUP(C3328,'lookup table'!$A$2:$B$19,2,FALSE)</f>
        <v>MAT</v>
      </c>
      <c r="E3328" t="str">
        <f t="shared" si="51"/>
        <v>AL129_02|MAT</v>
      </c>
    </row>
    <row r="3329" spans="1:5" x14ac:dyDescent="0.2">
      <c r="A3329" t="s">
        <v>1131</v>
      </c>
      <c r="B3329" t="s">
        <v>1132</v>
      </c>
      <c r="C3329" t="s">
        <v>438</v>
      </c>
      <c r="D3329" t="str">
        <f>VLOOKUP(C3329,'lookup table'!$A$2:$B$19,2,FALSE)</f>
        <v>ToM</v>
      </c>
      <c r="E3329" t="str">
        <f t="shared" si="51"/>
        <v>AL129_02|ToM</v>
      </c>
    </row>
    <row r="3330" spans="1:5" x14ac:dyDescent="0.2">
      <c r="A3330" t="s">
        <v>1131</v>
      </c>
      <c r="B3330" t="s">
        <v>1132</v>
      </c>
      <c r="C3330" t="s">
        <v>441</v>
      </c>
      <c r="D3330" t="str">
        <f>VLOOKUP(C3330,'lookup table'!$A$2:$B$19,2,FALSE)</f>
        <v>Partner Segment</v>
      </c>
      <c r="E3330" t="str">
        <f t="shared" si="51"/>
        <v>AL129_02|Partner Segment</v>
      </c>
    </row>
    <row r="3331" spans="1:5" x14ac:dyDescent="0.2">
      <c r="A3331" t="s">
        <v>1131</v>
      </c>
      <c r="B3331" t="s">
        <v>1132</v>
      </c>
      <c r="C3331" t="s">
        <v>442</v>
      </c>
      <c r="D3331" t="str">
        <f>VLOOKUP(C3331,'lookup table'!$A$2:$B$19,2,FALSE)</f>
        <v>Partner Unit</v>
      </c>
      <c r="E3331" t="str">
        <f t="shared" ref="E3331:E3394" si="52">IF(ISNA(D3331),"",IF(A3331="","",A3331) &amp; "|" &amp; D3331)</f>
        <v>AL129_02|Partner Unit</v>
      </c>
    </row>
    <row r="3332" spans="1:5" x14ac:dyDescent="0.2">
      <c r="A3332" t="s">
        <v>1131</v>
      </c>
      <c r="B3332" t="s">
        <v>1132</v>
      </c>
      <c r="C3332" t="s">
        <v>447</v>
      </c>
      <c r="D3332" t="str">
        <f>VLOOKUP(C3332,'lookup table'!$A$2:$B$19,2,FALSE)</f>
        <v>REX</v>
      </c>
      <c r="E3332" t="str">
        <f t="shared" si="52"/>
        <v>AL129_02|REX</v>
      </c>
    </row>
    <row r="3333" spans="1:5" x14ac:dyDescent="0.2">
      <c r="A3333" t="s">
        <v>1131</v>
      </c>
      <c r="B3333" t="s">
        <v>1132</v>
      </c>
      <c r="C3333" t="s">
        <v>457</v>
      </c>
      <c r="D3333" t="str">
        <f>VLOOKUP(C3333,'lookup table'!$A$2:$B$19,2,FALSE)</f>
        <v>VLT</v>
      </c>
      <c r="E3333" t="str">
        <f t="shared" si="52"/>
        <v>AL129_02|VLT</v>
      </c>
    </row>
    <row r="3334" spans="1:5" x14ac:dyDescent="0.2">
      <c r="A3334" t="s">
        <v>1131</v>
      </c>
      <c r="B3334" t="s">
        <v>1132</v>
      </c>
      <c r="C3334" t="s">
        <v>458</v>
      </c>
      <c r="D3334" t="str">
        <f>VLOOKUP(C3334,'lookup table'!$A$2:$B$19,2,FALSE)</f>
        <v>VAR</v>
      </c>
      <c r="E3334" t="str">
        <f t="shared" si="52"/>
        <v>AL129_02|VAR</v>
      </c>
    </row>
    <row r="3335" spans="1:5" x14ac:dyDescent="0.2">
      <c r="A3335" t="s">
        <v>1133</v>
      </c>
      <c r="B3335" t="s">
        <v>1134</v>
      </c>
      <c r="C3335" t="s">
        <v>14</v>
      </c>
      <c r="D3335" t="str">
        <f>VLOOKUP(C3335,'lookup table'!$A$2:$B$19,2,FALSE)</f>
        <v>ALC</v>
      </c>
      <c r="E3335" t="str">
        <f t="shared" si="52"/>
        <v>AL129_03|ALC</v>
      </c>
    </row>
    <row r="3336" spans="1:5" x14ac:dyDescent="0.2">
      <c r="A3336" t="s">
        <v>1133</v>
      </c>
      <c r="B3336" t="s">
        <v>1134</v>
      </c>
      <c r="C3336" t="s">
        <v>20</v>
      </c>
      <c r="D3336" t="str">
        <f>VLOOKUP(C3336,'lookup table'!$A$2:$B$19,2,FALSE)</f>
        <v>AY</v>
      </c>
      <c r="E3336" t="str">
        <f t="shared" si="52"/>
        <v>AL129_03|AY</v>
      </c>
    </row>
    <row r="3337" spans="1:5" x14ac:dyDescent="0.2">
      <c r="A3337" t="s">
        <v>1133</v>
      </c>
      <c r="B3337" t="s">
        <v>1134</v>
      </c>
      <c r="C3337" t="s">
        <v>136</v>
      </c>
      <c r="D3337" t="str">
        <f>VLOOKUP(C3337,'lookup table'!$A$2:$B$19,2,FALSE)</f>
        <v>BBA Set</v>
      </c>
      <c r="E3337" t="str">
        <f t="shared" si="52"/>
        <v>AL129_03|BBA Set</v>
      </c>
    </row>
    <row r="3338" spans="1:5" x14ac:dyDescent="0.2">
      <c r="A3338" t="s">
        <v>1133</v>
      </c>
      <c r="B3338" t="s">
        <v>1134</v>
      </c>
      <c r="C3338" t="s">
        <v>331</v>
      </c>
      <c r="D3338" t="str">
        <f>VLOOKUP(C3338,'lookup table'!$A$2:$B$19,2,FALSE)</f>
        <v>FS Item</v>
      </c>
      <c r="E3338" t="str">
        <f t="shared" si="52"/>
        <v>AL129_03|FS Item</v>
      </c>
    </row>
    <row r="3339" spans="1:5" x14ac:dyDescent="0.2">
      <c r="A3339" t="s">
        <v>1133</v>
      </c>
      <c r="B3339" t="s">
        <v>1134</v>
      </c>
      <c r="C3339" t="s">
        <v>423</v>
      </c>
      <c r="D3339" t="str">
        <f>VLOOKUP(C3339,'lookup table'!$A$2:$B$19,2,FALSE)</f>
        <v>ignore</v>
      </c>
      <c r="E3339" t="str">
        <f t="shared" si="52"/>
        <v>AL129_03|ignore</v>
      </c>
    </row>
    <row r="3340" spans="1:5" x14ac:dyDescent="0.2">
      <c r="A3340" t="s">
        <v>1133</v>
      </c>
      <c r="B3340" t="s">
        <v>1134</v>
      </c>
      <c r="C3340" t="s">
        <v>424</v>
      </c>
      <c r="D3340" t="str">
        <f>VLOOKUP(C3340,'lookup table'!$A$2:$B$19,2,FALSE)</f>
        <v>GRC</v>
      </c>
      <c r="E3340" t="str">
        <f t="shared" si="52"/>
        <v>AL129_03|GRC</v>
      </c>
    </row>
    <row r="3341" spans="1:5" x14ac:dyDescent="0.2">
      <c r="A3341" t="s">
        <v>1133</v>
      </c>
      <c r="B3341" t="s">
        <v>1134</v>
      </c>
      <c r="C3341" t="s">
        <v>425</v>
      </c>
      <c r="D3341" t="str">
        <f>VLOOKUP(C3341,'lookup table'!$A$2:$B$19,2,FALSE)</f>
        <v>Investee Segment</v>
      </c>
      <c r="E3341" t="str">
        <f t="shared" si="52"/>
        <v>AL129_03|Investee Segment</v>
      </c>
    </row>
    <row r="3342" spans="1:5" x14ac:dyDescent="0.2">
      <c r="A3342" t="s">
        <v>1133</v>
      </c>
      <c r="B3342" t="s">
        <v>1134</v>
      </c>
      <c r="C3342" t="s">
        <v>426</v>
      </c>
      <c r="D3342" t="str">
        <f>VLOOKUP(C3342,'lookup table'!$A$2:$B$19,2,FALSE)</f>
        <v>Investee Unit</v>
      </c>
      <c r="E3342" t="str">
        <f t="shared" si="52"/>
        <v>AL129_03|Investee Unit</v>
      </c>
    </row>
    <row r="3343" spans="1:5" x14ac:dyDescent="0.2">
      <c r="A3343" t="s">
        <v>1133</v>
      </c>
      <c r="B3343" t="s">
        <v>1134</v>
      </c>
      <c r="C3343" t="s">
        <v>428</v>
      </c>
      <c r="D3343" t="str">
        <f>VLOOKUP(C3343,'lookup table'!$A$2:$B$19,2,FALSE)</f>
        <v>LoB</v>
      </c>
      <c r="E3343" t="str">
        <f t="shared" si="52"/>
        <v>AL129_03|LoB</v>
      </c>
    </row>
    <row r="3344" spans="1:5" x14ac:dyDescent="0.2">
      <c r="A3344" t="s">
        <v>1133</v>
      </c>
      <c r="B3344" t="s">
        <v>1134</v>
      </c>
      <c r="C3344" t="s">
        <v>436</v>
      </c>
      <c r="D3344" t="str">
        <f>VLOOKUP(C3344,'lookup table'!$A$2:$B$19,2,FALSE)</f>
        <v>MAT</v>
      </c>
      <c r="E3344" t="str">
        <f t="shared" si="52"/>
        <v>AL129_03|MAT</v>
      </c>
    </row>
    <row r="3345" spans="1:5" x14ac:dyDescent="0.2">
      <c r="A3345" t="s">
        <v>1133</v>
      </c>
      <c r="B3345" t="s">
        <v>1134</v>
      </c>
      <c r="C3345" t="s">
        <v>438</v>
      </c>
      <c r="D3345" t="str">
        <f>VLOOKUP(C3345,'lookup table'!$A$2:$B$19,2,FALSE)</f>
        <v>ToM</v>
      </c>
      <c r="E3345" t="str">
        <f t="shared" si="52"/>
        <v>AL129_03|ToM</v>
      </c>
    </row>
    <row r="3346" spans="1:5" x14ac:dyDescent="0.2">
      <c r="A3346" t="s">
        <v>1133</v>
      </c>
      <c r="B3346" t="s">
        <v>1134</v>
      </c>
      <c r="C3346" t="s">
        <v>441</v>
      </c>
      <c r="D3346" t="str">
        <f>VLOOKUP(C3346,'lookup table'!$A$2:$B$19,2,FALSE)</f>
        <v>Partner Segment</v>
      </c>
      <c r="E3346" t="str">
        <f t="shared" si="52"/>
        <v>AL129_03|Partner Segment</v>
      </c>
    </row>
    <row r="3347" spans="1:5" x14ac:dyDescent="0.2">
      <c r="A3347" t="s">
        <v>1133</v>
      </c>
      <c r="B3347" t="s">
        <v>1134</v>
      </c>
      <c r="C3347" t="s">
        <v>442</v>
      </c>
      <c r="D3347" t="str">
        <f>VLOOKUP(C3347,'lookup table'!$A$2:$B$19,2,FALSE)</f>
        <v>Partner Unit</v>
      </c>
      <c r="E3347" t="str">
        <f t="shared" si="52"/>
        <v>AL129_03|Partner Unit</v>
      </c>
    </row>
    <row r="3348" spans="1:5" x14ac:dyDescent="0.2">
      <c r="A3348" t="s">
        <v>1133</v>
      </c>
      <c r="B3348" t="s">
        <v>1134</v>
      </c>
      <c r="C3348" t="s">
        <v>447</v>
      </c>
      <c r="D3348" t="str">
        <f>VLOOKUP(C3348,'lookup table'!$A$2:$B$19,2,FALSE)</f>
        <v>REX</v>
      </c>
      <c r="E3348" t="str">
        <f t="shared" si="52"/>
        <v>AL129_03|REX</v>
      </c>
    </row>
    <row r="3349" spans="1:5" x14ac:dyDescent="0.2">
      <c r="A3349" t="s">
        <v>1133</v>
      </c>
      <c r="B3349" t="s">
        <v>1134</v>
      </c>
      <c r="C3349" t="s">
        <v>457</v>
      </c>
      <c r="D3349" t="str">
        <f>VLOOKUP(C3349,'lookup table'!$A$2:$B$19,2,FALSE)</f>
        <v>VLT</v>
      </c>
      <c r="E3349" t="str">
        <f t="shared" si="52"/>
        <v>AL129_03|VLT</v>
      </c>
    </row>
    <row r="3350" spans="1:5" x14ac:dyDescent="0.2">
      <c r="A3350" t="s">
        <v>1133</v>
      </c>
      <c r="B3350" t="s">
        <v>1134</v>
      </c>
      <c r="C3350" t="s">
        <v>458</v>
      </c>
      <c r="D3350" t="str">
        <f>VLOOKUP(C3350,'lookup table'!$A$2:$B$19,2,FALSE)</f>
        <v>VAR</v>
      </c>
      <c r="E3350" t="str">
        <f t="shared" si="52"/>
        <v>AL129_03|VAR</v>
      </c>
    </row>
    <row r="3351" spans="1:5" x14ac:dyDescent="0.2">
      <c r="A3351" t="s">
        <v>1135</v>
      </c>
      <c r="B3351" t="s">
        <v>1136</v>
      </c>
      <c r="C3351" t="s">
        <v>14</v>
      </c>
      <c r="D3351" t="str">
        <f>VLOOKUP(C3351,'lookup table'!$A$2:$B$19,2,FALSE)</f>
        <v>ALC</v>
      </c>
      <c r="E3351" t="str">
        <f t="shared" si="52"/>
        <v>AL129_04|ALC</v>
      </c>
    </row>
    <row r="3352" spans="1:5" x14ac:dyDescent="0.2">
      <c r="A3352" t="s">
        <v>1135</v>
      </c>
      <c r="B3352" t="s">
        <v>1136</v>
      </c>
      <c r="C3352" t="s">
        <v>20</v>
      </c>
      <c r="D3352" t="str">
        <f>VLOOKUP(C3352,'lookup table'!$A$2:$B$19,2,FALSE)</f>
        <v>AY</v>
      </c>
      <c r="E3352" t="str">
        <f t="shared" si="52"/>
        <v>AL129_04|AY</v>
      </c>
    </row>
    <row r="3353" spans="1:5" x14ac:dyDescent="0.2">
      <c r="A3353" t="s">
        <v>1135</v>
      </c>
      <c r="B3353" t="s">
        <v>1136</v>
      </c>
      <c r="C3353" t="s">
        <v>136</v>
      </c>
      <c r="D3353" t="str">
        <f>VLOOKUP(C3353,'lookup table'!$A$2:$B$19,2,FALSE)</f>
        <v>BBA Set</v>
      </c>
      <c r="E3353" t="str">
        <f t="shared" si="52"/>
        <v>AL129_04|BBA Set</v>
      </c>
    </row>
    <row r="3354" spans="1:5" x14ac:dyDescent="0.2">
      <c r="A3354" t="s">
        <v>1135</v>
      </c>
      <c r="B3354" t="s">
        <v>1136</v>
      </c>
      <c r="C3354" t="s">
        <v>331</v>
      </c>
      <c r="D3354" t="str">
        <f>VLOOKUP(C3354,'lookup table'!$A$2:$B$19,2,FALSE)</f>
        <v>FS Item</v>
      </c>
      <c r="E3354" t="str">
        <f t="shared" si="52"/>
        <v>AL129_04|FS Item</v>
      </c>
    </row>
    <row r="3355" spans="1:5" x14ac:dyDescent="0.2">
      <c r="A3355" t="s">
        <v>1135</v>
      </c>
      <c r="B3355" t="s">
        <v>1136</v>
      </c>
      <c r="C3355" t="s">
        <v>423</v>
      </c>
      <c r="D3355" t="str">
        <f>VLOOKUP(C3355,'lookup table'!$A$2:$B$19,2,FALSE)</f>
        <v>ignore</v>
      </c>
      <c r="E3355" t="str">
        <f t="shared" si="52"/>
        <v>AL129_04|ignore</v>
      </c>
    </row>
    <row r="3356" spans="1:5" x14ac:dyDescent="0.2">
      <c r="A3356" t="s">
        <v>1135</v>
      </c>
      <c r="B3356" t="s">
        <v>1136</v>
      </c>
      <c r="C3356" t="s">
        <v>424</v>
      </c>
      <c r="D3356" t="str">
        <f>VLOOKUP(C3356,'lookup table'!$A$2:$B$19,2,FALSE)</f>
        <v>GRC</v>
      </c>
      <c r="E3356" t="str">
        <f t="shared" si="52"/>
        <v>AL129_04|GRC</v>
      </c>
    </row>
    <row r="3357" spans="1:5" x14ac:dyDescent="0.2">
      <c r="A3357" t="s">
        <v>1135</v>
      </c>
      <c r="B3357" t="s">
        <v>1136</v>
      </c>
      <c r="C3357" t="s">
        <v>425</v>
      </c>
      <c r="D3357" t="str">
        <f>VLOOKUP(C3357,'lookup table'!$A$2:$B$19,2,FALSE)</f>
        <v>Investee Segment</v>
      </c>
      <c r="E3357" t="str">
        <f t="shared" si="52"/>
        <v>AL129_04|Investee Segment</v>
      </c>
    </row>
    <row r="3358" spans="1:5" x14ac:dyDescent="0.2">
      <c r="A3358" t="s">
        <v>1135</v>
      </c>
      <c r="B3358" t="s">
        <v>1136</v>
      </c>
      <c r="C3358" t="s">
        <v>426</v>
      </c>
      <c r="D3358" t="str">
        <f>VLOOKUP(C3358,'lookup table'!$A$2:$B$19,2,FALSE)</f>
        <v>Investee Unit</v>
      </c>
      <c r="E3358" t="str">
        <f t="shared" si="52"/>
        <v>AL129_04|Investee Unit</v>
      </c>
    </row>
    <row r="3359" spans="1:5" x14ac:dyDescent="0.2">
      <c r="A3359" t="s">
        <v>1135</v>
      </c>
      <c r="B3359" t="s">
        <v>1136</v>
      </c>
      <c r="C3359" t="s">
        <v>428</v>
      </c>
      <c r="D3359" t="str">
        <f>VLOOKUP(C3359,'lookup table'!$A$2:$B$19,2,FALSE)</f>
        <v>LoB</v>
      </c>
      <c r="E3359" t="str">
        <f t="shared" si="52"/>
        <v>AL129_04|LoB</v>
      </c>
    </row>
    <row r="3360" spans="1:5" x14ac:dyDescent="0.2">
      <c r="A3360" t="s">
        <v>1135</v>
      </c>
      <c r="B3360" t="s">
        <v>1136</v>
      </c>
      <c r="C3360" t="s">
        <v>436</v>
      </c>
      <c r="D3360" t="str">
        <f>VLOOKUP(C3360,'lookup table'!$A$2:$B$19,2,FALSE)</f>
        <v>MAT</v>
      </c>
      <c r="E3360" t="str">
        <f t="shared" si="52"/>
        <v>AL129_04|MAT</v>
      </c>
    </row>
    <row r="3361" spans="1:5" x14ac:dyDescent="0.2">
      <c r="A3361" t="s">
        <v>1135</v>
      </c>
      <c r="B3361" t="s">
        <v>1136</v>
      </c>
      <c r="C3361" t="s">
        <v>438</v>
      </c>
      <c r="D3361" t="str">
        <f>VLOOKUP(C3361,'lookup table'!$A$2:$B$19,2,FALSE)</f>
        <v>ToM</v>
      </c>
      <c r="E3361" t="str">
        <f t="shared" si="52"/>
        <v>AL129_04|ToM</v>
      </c>
    </row>
    <row r="3362" spans="1:5" x14ac:dyDescent="0.2">
      <c r="A3362" t="s">
        <v>1135</v>
      </c>
      <c r="B3362" t="s">
        <v>1136</v>
      </c>
      <c r="C3362" t="s">
        <v>441</v>
      </c>
      <c r="D3362" t="str">
        <f>VLOOKUP(C3362,'lookup table'!$A$2:$B$19,2,FALSE)</f>
        <v>Partner Segment</v>
      </c>
      <c r="E3362" t="str">
        <f t="shared" si="52"/>
        <v>AL129_04|Partner Segment</v>
      </c>
    </row>
    <row r="3363" spans="1:5" x14ac:dyDescent="0.2">
      <c r="A3363" t="s">
        <v>1135</v>
      </c>
      <c r="B3363" t="s">
        <v>1136</v>
      </c>
      <c r="C3363" t="s">
        <v>442</v>
      </c>
      <c r="D3363" t="str">
        <f>VLOOKUP(C3363,'lookup table'!$A$2:$B$19,2,FALSE)</f>
        <v>Partner Unit</v>
      </c>
      <c r="E3363" t="str">
        <f t="shared" si="52"/>
        <v>AL129_04|Partner Unit</v>
      </c>
    </row>
    <row r="3364" spans="1:5" x14ac:dyDescent="0.2">
      <c r="A3364" t="s">
        <v>1135</v>
      </c>
      <c r="B3364" t="s">
        <v>1136</v>
      </c>
      <c r="C3364" t="s">
        <v>447</v>
      </c>
      <c r="D3364" t="str">
        <f>VLOOKUP(C3364,'lookup table'!$A$2:$B$19,2,FALSE)</f>
        <v>REX</v>
      </c>
      <c r="E3364" t="str">
        <f t="shared" si="52"/>
        <v>AL129_04|REX</v>
      </c>
    </row>
    <row r="3365" spans="1:5" x14ac:dyDescent="0.2">
      <c r="A3365" t="s">
        <v>1135</v>
      </c>
      <c r="B3365" t="s">
        <v>1136</v>
      </c>
      <c r="C3365" t="s">
        <v>457</v>
      </c>
      <c r="D3365" t="str">
        <f>VLOOKUP(C3365,'lookup table'!$A$2:$B$19,2,FALSE)</f>
        <v>VLT</v>
      </c>
      <c r="E3365" t="str">
        <f t="shared" si="52"/>
        <v>AL129_04|VLT</v>
      </c>
    </row>
    <row r="3366" spans="1:5" x14ac:dyDescent="0.2">
      <c r="A3366" t="s">
        <v>1135</v>
      </c>
      <c r="B3366" t="s">
        <v>1136</v>
      </c>
      <c r="C3366" t="s">
        <v>458</v>
      </c>
      <c r="D3366" t="str">
        <f>VLOOKUP(C3366,'lookup table'!$A$2:$B$19,2,FALSE)</f>
        <v>VAR</v>
      </c>
      <c r="E3366" t="str">
        <f t="shared" si="52"/>
        <v>AL129_04|VAR</v>
      </c>
    </row>
    <row r="3367" spans="1:5" x14ac:dyDescent="0.2">
      <c r="A3367" t="s">
        <v>1137</v>
      </c>
      <c r="B3367" t="s">
        <v>1138</v>
      </c>
      <c r="C3367" t="s">
        <v>14</v>
      </c>
      <c r="D3367" t="str">
        <f>VLOOKUP(C3367,'lookup table'!$A$2:$B$19,2,FALSE)</f>
        <v>ALC</v>
      </c>
      <c r="E3367" t="str">
        <f t="shared" si="52"/>
        <v>AL130_00|ALC</v>
      </c>
    </row>
    <row r="3368" spans="1:5" x14ac:dyDescent="0.2">
      <c r="A3368" t="s">
        <v>1137</v>
      </c>
      <c r="B3368" t="s">
        <v>1138</v>
      </c>
      <c r="C3368" t="s">
        <v>20</v>
      </c>
      <c r="D3368" t="str">
        <f>VLOOKUP(C3368,'lookup table'!$A$2:$B$19,2,FALSE)</f>
        <v>AY</v>
      </c>
      <c r="E3368" t="str">
        <f t="shared" si="52"/>
        <v>AL130_00|AY</v>
      </c>
    </row>
    <row r="3369" spans="1:5" x14ac:dyDescent="0.2">
      <c r="A3369" t="s">
        <v>1137</v>
      </c>
      <c r="B3369" t="s">
        <v>1138</v>
      </c>
      <c r="C3369" t="s">
        <v>136</v>
      </c>
      <c r="D3369" t="str">
        <f>VLOOKUP(C3369,'lookup table'!$A$2:$B$19,2,FALSE)</f>
        <v>BBA Set</v>
      </c>
      <c r="E3369" t="str">
        <f t="shared" si="52"/>
        <v>AL130_00|BBA Set</v>
      </c>
    </row>
    <row r="3370" spans="1:5" x14ac:dyDescent="0.2">
      <c r="A3370" t="s">
        <v>1137</v>
      </c>
      <c r="B3370" t="s">
        <v>1138</v>
      </c>
      <c r="C3370" t="s">
        <v>331</v>
      </c>
      <c r="D3370" t="str">
        <f>VLOOKUP(C3370,'lookup table'!$A$2:$B$19,2,FALSE)</f>
        <v>FS Item</v>
      </c>
      <c r="E3370" t="str">
        <f t="shared" si="52"/>
        <v>AL130_00|FS Item</v>
      </c>
    </row>
    <row r="3371" spans="1:5" x14ac:dyDescent="0.2">
      <c r="A3371" t="s">
        <v>1137</v>
      </c>
      <c r="B3371" t="s">
        <v>1138</v>
      </c>
      <c r="C3371" t="s">
        <v>423</v>
      </c>
      <c r="D3371" t="str">
        <f>VLOOKUP(C3371,'lookup table'!$A$2:$B$19,2,FALSE)</f>
        <v>ignore</v>
      </c>
      <c r="E3371" t="str">
        <f t="shared" si="52"/>
        <v>AL130_00|ignore</v>
      </c>
    </row>
    <row r="3372" spans="1:5" x14ac:dyDescent="0.2">
      <c r="A3372" t="s">
        <v>1137</v>
      </c>
      <c r="B3372" t="s">
        <v>1138</v>
      </c>
      <c r="C3372" t="s">
        <v>424</v>
      </c>
      <c r="D3372" t="str">
        <f>VLOOKUP(C3372,'lookup table'!$A$2:$B$19,2,FALSE)</f>
        <v>GRC</v>
      </c>
      <c r="E3372" t="str">
        <f t="shared" si="52"/>
        <v>AL130_00|GRC</v>
      </c>
    </row>
    <row r="3373" spans="1:5" x14ac:dyDescent="0.2">
      <c r="A3373" t="s">
        <v>1137</v>
      </c>
      <c r="B3373" t="s">
        <v>1138</v>
      </c>
      <c r="C3373" t="s">
        <v>425</v>
      </c>
      <c r="D3373" t="str">
        <f>VLOOKUP(C3373,'lookup table'!$A$2:$B$19,2,FALSE)</f>
        <v>Investee Segment</v>
      </c>
      <c r="E3373" t="str">
        <f t="shared" si="52"/>
        <v>AL130_00|Investee Segment</v>
      </c>
    </row>
    <row r="3374" spans="1:5" x14ac:dyDescent="0.2">
      <c r="A3374" t="s">
        <v>1137</v>
      </c>
      <c r="B3374" t="s">
        <v>1138</v>
      </c>
      <c r="C3374" t="s">
        <v>426</v>
      </c>
      <c r="D3374" t="str">
        <f>VLOOKUP(C3374,'lookup table'!$A$2:$B$19,2,FALSE)</f>
        <v>Investee Unit</v>
      </c>
      <c r="E3374" t="str">
        <f t="shared" si="52"/>
        <v>AL130_00|Investee Unit</v>
      </c>
    </row>
    <row r="3375" spans="1:5" x14ac:dyDescent="0.2">
      <c r="A3375" t="s">
        <v>1137</v>
      </c>
      <c r="B3375" t="s">
        <v>1138</v>
      </c>
      <c r="C3375" t="s">
        <v>428</v>
      </c>
      <c r="D3375" t="str">
        <f>VLOOKUP(C3375,'lookup table'!$A$2:$B$19,2,FALSE)</f>
        <v>LoB</v>
      </c>
      <c r="E3375" t="str">
        <f t="shared" si="52"/>
        <v>AL130_00|LoB</v>
      </c>
    </row>
    <row r="3376" spans="1:5" x14ac:dyDescent="0.2">
      <c r="A3376" t="s">
        <v>1137</v>
      </c>
      <c r="B3376" t="s">
        <v>1138</v>
      </c>
      <c r="C3376" t="s">
        <v>436</v>
      </c>
      <c r="D3376" t="str">
        <f>VLOOKUP(C3376,'lookup table'!$A$2:$B$19,2,FALSE)</f>
        <v>MAT</v>
      </c>
      <c r="E3376" t="str">
        <f t="shared" si="52"/>
        <v>AL130_00|MAT</v>
      </c>
    </row>
    <row r="3377" spans="1:5" x14ac:dyDescent="0.2">
      <c r="A3377" t="s">
        <v>1137</v>
      </c>
      <c r="B3377" t="s">
        <v>1138</v>
      </c>
      <c r="C3377" t="s">
        <v>438</v>
      </c>
      <c r="D3377" t="str">
        <f>VLOOKUP(C3377,'lookup table'!$A$2:$B$19,2,FALSE)</f>
        <v>ToM</v>
      </c>
      <c r="E3377" t="str">
        <f t="shared" si="52"/>
        <v>AL130_00|ToM</v>
      </c>
    </row>
    <row r="3378" spans="1:5" x14ac:dyDescent="0.2">
      <c r="A3378" t="s">
        <v>1137</v>
      </c>
      <c r="B3378" t="s">
        <v>1138</v>
      </c>
      <c r="C3378" t="s">
        <v>441</v>
      </c>
      <c r="D3378" t="str">
        <f>VLOOKUP(C3378,'lookup table'!$A$2:$B$19,2,FALSE)</f>
        <v>Partner Segment</v>
      </c>
      <c r="E3378" t="str">
        <f t="shared" si="52"/>
        <v>AL130_00|Partner Segment</v>
      </c>
    </row>
    <row r="3379" spans="1:5" x14ac:dyDescent="0.2">
      <c r="A3379" t="s">
        <v>1137</v>
      </c>
      <c r="B3379" t="s">
        <v>1138</v>
      </c>
      <c r="C3379" t="s">
        <v>442</v>
      </c>
      <c r="D3379" t="str">
        <f>VLOOKUP(C3379,'lookup table'!$A$2:$B$19,2,FALSE)</f>
        <v>Partner Unit</v>
      </c>
      <c r="E3379" t="str">
        <f t="shared" si="52"/>
        <v>AL130_00|Partner Unit</v>
      </c>
    </row>
    <row r="3380" spans="1:5" x14ac:dyDescent="0.2">
      <c r="A3380" t="s">
        <v>1137</v>
      </c>
      <c r="B3380" t="s">
        <v>1138</v>
      </c>
      <c r="C3380" t="s">
        <v>447</v>
      </c>
      <c r="D3380" t="str">
        <f>VLOOKUP(C3380,'lookup table'!$A$2:$B$19,2,FALSE)</f>
        <v>REX</v>
      </c>
      <c r="E3380" t="str">
        <f t="shared" si="52"/>
        <v>AL130_00|REX</v>
      </c>
    </row>
    <row r="3381" spans="1:5" x14ac:dyDescent="0.2">
      <c r="A3381" t="s">
        <v>1137</v>
      </c>
      <c r="B3381" t="s">
        <v>1138</v>
      </c>
      <c r="C3381" t="s">
        <v>449</v>
      </c>
      <c r="D3381" t="e">
        <f>VLOOKUP(C3381,'lookup table'!$A$2:$B$19,2,FALSE)</f>
        <v>#N/A</v>
      </c>
      <c r="E3381" t="str">
        <f t="shared" si="52"/>
        <v/>
      </c>
    </row>
    <row r="3382" spans="1:5" x14ac:dyDescent="0.2">
      <c r="A3382" t="s">
        <v>1137</v>
      </c>
      <c r="B3382" t="s">
        <v>1138</v>
      </c>
      <c r="C3382" t="s">
        <v>457</v>
      </c>
      <c r="D3382" t="str">
        <f>VLOOKUP(C3382,'lookup table'!$A$2:$B$19,2,FALSE)</f>
        <v>VLT</v>
      </c>
      <c r="E3382" t="str">
        <f t="shared" si="52"/>
        <v>AL130_00|VLT</v>
      </c>
    </row>
    <row r="3383" spans="1:5" x14ac:dyDescent="0.2">
      <c r="A3383" t="s">
        <v>1137</v>
      </c>
      <c r="B3383" t="s">
        <v>1138</v>
      </c>
      <c r="C3383" t="s">
        <v>458</v>
      </c>
      <c r="D3383" t="str">
        <f>VLOOKUP(C3383,'lookup table'!$A$2:$B$19,2,FALSE)</f>
        <v>VAR</v>
      </c>
      <c r="E3383" t="str">
        <f t="shared" si="52"/>
        <v>AL130_00|VAR</v>
      </c>
    </row>
    <row r="3384" spans="1:5" x14ac:dyDescent="0.2">
      <c r="A3384" t="s">
        <v>1139</v>
      </c>
      <c r="B3384" t="s">
        <v>1140</v>
      </c>
      <c r="C3384" t="s">
        <v>14</v>
      </c>
      <c r="D3384" t="str">
        <f>VLOOKUP(C3384,'lookup table'!$A$2:$B$19,2,FALSE)</f>
        <v>ALC</v>
      </c>
      <c r="E3384" t="str">
        <f t="shared" si="52"/>
        <v>AL130_01|ALC</v>
      </c>
    </row>
    <row r="3385" spans="1:5" x14ac:dyDescent="0.2">
      <c r="A3385" t="s">
        <v>1139</v>
      </c>
      <c r="B3385" t="s">
        <v>1140</v>
      </c>
      <c r="C3385" t="s">
        <v>20</v>
      </c>
      <c r="D3385" t="str">
        <f>VLOOKUP(C3385,'lookup table'!$A$2:$B$19,2,FALSE)</f>
        <v>AY</v>
      </c>
      <c r="E3385" t="str">
        <f t="shared" si="52"/>
        <v>AL130_01|AY</v>
      </c>
    </row>
    <row r="3386" spans="1:5" x14ac:dyDescent="0.2">
      <c r="A3386" t="s">
        <v>1139</v>
      </c>
      <c r="B3386" t="s">
        <v>1140</v>
      </c>
      <c r="C3386" t="s">
        <v>136</v>
      </c>
      <c r="D3386" t="str">
        <f>VLOOKUP(C3386,'lookup table'!$A$2:$B$19,2,FALSE)</f>
        <v>BBA Set</v>
      </c>
      <c r="E3386" t="str">
        <f t="shared" si="52"/>
        <v>AL130_01|BBA Set</v>
      </c>
    </row>
    <row r="3387" spans="1:5" x14ac:dyDescent="0.2">
      <c r="A3387" t="s">
        <v>1139</v>
      </c>
      <c r="B3387" t="s">
        <v>1140</v>
      </c>
      <c r="C3387" t="s">
        <v>331</v>
      </c>
      <c r="D3387" t="str">
        <f>VLOOKUP(C3387,'lookup table'!$A$2:$B$19,2,FALSE)</f>
        <v>FS Item</v>
      </c>
      <c r="E3387" t="str">
        <f t="shared" si="52"/>
        <v>AL130_01|FS Item</v>
      </c>
    </row>
    <row r="3388" spans="1:5" x14ac:dyDescent="0.2">
      <c r="A3388" t="s">
        <v>1139</v>
      </c>
      <c r="B3388" t="s">
        <v>1140</v>
      </c>
      <c r="C3388" t="s">
        <v>423</v>
      </c>
      <c r="D3388" t="str">
        <f>VLOOKUP(C3388,'lookup table'!$A$2:$B$19,2,FALSE)</f>
        <v>ignore</v>
      </c>
      <c r="E3388" t="str">
        <f t="shared" si="52"/>
        <v>AL130_01|ignore</v>
      </c>
    </row>
    <row r="3389" spans="1:5" x14ac:dyDescent="0.2">
      <c r="A3389" t="s">
        <v>1139</v>
      </c>
      <c r="B3389" t="s">
        <v>1140</v>
      </c>
      <c r="C3389" t="s">
        <v>424</v>
      </c>
      <c r="D3389" t="str">
        <f>VLOOKUP(C3389,'lookup table'!$A$2:$B$19,2,FALSE)</f>
        <v>GRC</v>
      </c>
      <c r="E3389" t="str">
        <f t="shared" si="52"/>
        <v>AL130_01|GRC</v>
      </c>
    </row>
    <row r="3390" spans="1:5" x14ac:dyDescent="0.2">
      <c r="A3390" t="s">
        <v>1139</v>
      </c>
      <c r="B3390" t="s">
        <v>1140</v>
      </c>
      <c r="C3390" t="s">
        <v>425</v>
      </c>
      <c r="D3390" t="str">
        <f>VLOOKUP(C3390,'lookup table'!$A$2:$B$19,2,FALSE)</f>
        <v>Investee Segment</v>
      </c>
      <c r="E3390" t="str">
        <f t="shared" si="52"/>
        <v>AL130_01|Investee Segment</v>
      </c>
    </row>
    <row r="3391" spans="1:5" x14ac:dyDescent="0.2">
      <c r="A3391" t="s">
        <v>1139</v>
      </c>
      <c r="B3391" t="s">
        <v>1140</v>
      </c>
      <c r="C3391" t="s">
        <v>426</v>
      </c>
      <c r="D3391" t="str">
        <f>VLOOKUP(C3391,'lookup table'!$A$2:$B$19,2,FALSE)</f>
        <v>Investee Unit</v>
      </c>
      <c r="E3391" t="str">
        <f t="shared" si="52"/>
        <v>AL130_01|Investee Unit</v>
      </c>
    </row>
    <row r="3392" spans="1:5" x14ac:dyDescent="0.2">
      <c r="A3392" t="s">
        <v>1139</v>
      </c>
      <c r="B3392" t="s">
        <v>1140</v>
      </c>
      <c r="C3392" t="s">
        <v>428</v>
      </c>
      <c r="D3392" t="str">
        <f>VLOOKUP(C3392,'lookup table'!$A$2:$B$19,2,FALSE)</f>
        <v>LoB</v>
      </c>
      <c r="E3392" t="str">
        <f t="shared" si="52"/>
        <v>AL130_01|LoB</v>
      </c>
    </row>
    <row r="3393" spans="1:5" x14ac:dyDescent="0.2">
      <c r="A3393" t="s">
        <v>1139</v>
      </c>
      <c r="B3393" t="s">
        <v>1140</v>
      </c>
      <c r="C3393" t="s">
        <v>436</v>
      </c>
      <c r="D3393" t="str">
        <f>VLOOKUP(C3393,'lookup table'!$A$2:$B$19,2,FALSE)</f>
        <v>MAT</v>
      </c>
      <c r="E3393" t="str">
        <f t="shared" si="52"/>
        <v>AL130_01|MAT</v>
      </c>
    </row>
    <row r="3394" spans="1:5" x14ac:dyDescent="0.2">
      <c r="A3394" t="s">
        <v>1139</v>
      </c>
      <c r="B3394" t="s">
        <v>1140</v>
      </c>
      <c r="C3394" t="s">
        <v>438</v>
      </c>
      <c r="D3394" t="str">
        <f>VLOOKUP(C3394,'lookup table'!$A$2:$B$19,2,FALSE)</f>
        <v>ToM</v>
      </c>
      <c r="E3394" t="str">
        <f t="shared" si="52"/>
        <v>AL130_01|ToM</v>
      </c>
    </row>
    <row r="3395" spans="1:5" x14ac:dyDescent="0.2">
      <c r="A3395" t="s">
        <v>1139</v>
      </c>
      <c r="B3395" t="s">
        <v>1140</v>
      </c>
      <c r="C3395" t="s">
        <v>441</v>
      </c>
      <c r="D3395" t="str">
        <f>VLOOKUP(C3395,'lookup table'!$A$2:$B$19,2,FALSE)</f>
        <v>Partner Segment</v>
      </c>
      <c r="E3395" t="str">
        <f t="shared" ref="E3395:E3458" si="53">IF(ISNA(D3395),"",IF(A3395="","",A3395) &amp; "|" &amp; D3395)</f>
        <v>AL130_01|Partner Segment</v>
      </c>
    </row>
    <row r="3396" spans="1:5" x14ac:dyDescent="0.2">
      <c r="A3396" t="s">
        <v>1139</v>
      </c>
      <c r="B3396" t="s">
        <v>1140</v>
      </c>
      <c r="C3396" t="s">
        <v>442</v>
      </c>
      <c r="D3396" t="str">
        <f>VLOOKUP(C3396,'lookup table'!$A$2:$B$19,2,FALSE)</f>
        <v>Partner Unit</v>
      </c>
      <c r="E3396" t="str">
        <f t="shared" si="53"/>
        <v>AL130_01|Partner Unit</v>
      </c>
    </row>
    <row r="3397" spans="1:5" x14ac:dyDescent="0.2">
      <c r="A3397" t="s">
        <v>1139</v>
      </c>
      <c r="B3397" t="s">
        <v>1140</v>
      </c>
      <c r="C3397" t="s">
        <v>447</v>
      </c>
      <c r="D3397" t="str">
        <f>VLOOKUP(C3397,'lookup table'!$A$2:$B$19,2,FALSE)</f>
        <v>REX</v>
      </c>
      <c r="E3397" t="str">
        <f t="shared" si="53"/>
        <v>AL130_01|REX</v>
      </c>
    </row>
    <row r="3398" spans="1:5" x14ac:dyDescent="0.2">
      <c r="A3398" t="s">
        <v>1139</v>
      </c>
      <c r="B3398" t="s">
        <v>1140</v>
      </c>
      <c r="C3398" t="s">
        <v>449</v>
      </c>
      <c r="D3398" t="e">
        <f>VLOOKUP(C3398,'lookup table'!$A$2:$B$19,2,FALSE)</f>
        <v>#N/A</v>
      </c>
      <c r="E3398" t="str">
        <f t="shared" si="53"/>
        <v/>
      </c>
    </row>
    <row r="3399" spans="1:5" x14ac:dyDescent="0.2">
      <c r="A3399" t="s">
        <v>1139</v>
      </c>
      <c r="B3399" t="s">
        <v>1140</v>
      </c>
      <c r="C3399" t="s">
        <v>457</v>
      </c>
      <c r="D3399" t="str">
        <f>VLOOKUP(C3399,'lookup table'!$A$2:$B$19,2,FALSE)</f>
        <v>VLT</v>
      </c>
      <c r="E3399" t="str">
        <f t="shared" si="53"/>
        <v>AL130_01|VLT</v>
      </c>
    </row>
    <row r="3400" spans="1:5" x14ac:dyDescent="0.2">
      <c r="A3400" t="s">
        <v>1139</v>
      </c>
      <c r="B3400" t="s">
        <v>1140</v>
      </c>
      <c r="C3400" t="s">
        <v>458</v>
      </c>
      <c r="D3400" t="str">
        <f>VLOOKUP(C3400,'lookup table'!$A$2:$B$19,2,FALSE)</f>
        <v>VAR</v>
      </c>
      <c r="E3400" t="str">
        <f t="shared" si="53"/>
        <v>AL130_01|VAR</v>
      </c>
    </row>
    <row r="3401" spans="1:5" x14ac:dyDescent="0.2">
      <c r="A3401" t="s">
        <v>1141</v>
      </c>
      <c r="B3401" t="s">
        <v>1142</v>
      </c>
      <c r="C3401" t="s">
        <v>14</v>
      </c>
      <c r="D3401" t="str">
        <f>VLOOKUP(C3401,'lookup table'!$A$2:$B$19,2,FALSE)</f>
        <v>ALC</v>
      </c>
      <c r="E3401" t="str">
        <f t="shared" si="53"/>
        <v>AL130_02|ALC</v>
      </c>
    </row>
    <row r="3402" spans="1:5" x14ac:dyDescent="0.2">
      <c r="A3402" t="s">
        <v>1141</v>
      </c>
      <c r="B3402" t="s">
        <v>1142</v>
      </c>
      <c r="C3402" t="s">
        <v>20</v>
      </c>
      <c r="D3402" t="str">
        <f>VLOOKUP(C3402,'lookup table'!$A$2:$B$19,2,FALSE)</f>
        <v>AY</v>
      </c>
      <c r="E3402" t="str">
        <f t="shared" si="53"/>
        <v>AL130_02|AY</v>
      </c>
    </row>
    <row r="3403" spans="1:5" x14ac:dyDescent="0.2">
      <c r="A3403" t="s">
        <v>1141</v>
      </c>
      <c r="B3403" t="s">
        <v>1142</v>
      </c>
      <c r="C3403" t="s">
        <v>136</v>
      </c>
      <c r="D3403" t="str">
        <f>VLOOKUP(C3403,'lookup table'!$A$2:$B$19,2,FALSE)</f>
        <v>BBA Set</v>
      </c>
      <c r="E3403" t="str">
        <f t="shared" si="53"/>
        <v>AL130_02|BBA Set</v>
      </c>
    </row>
    <row r="3404" spans="1:5" x14ac:dyDescent="0.2">
      <c r="A3404" t="s">
        <v>1141</v>
      </c>
      <c r="B3404" t="s">
        <v>1142</v>
      </c>
      <c r="C3404" t="s">
        <v>331</v>
      </c>
      <c r="D3404" t="str">
        <f>VLOOKUP(C3404,'lookup table'!$A$2:$B$19,2,FALSE)</f>
        <v>FS Item</v>
      </c>
      <c r="E3404" t="str">
        <f t="shared" si="53"/>
        <v>AL130_02|FS Item</v>
      </c>
    </row>
    <row r="3405" spans="1:5" x14ac:dyDescent="0.2">
      <c r="A3405" t="s">
        <v>1141</v>
      </c>
      <c r="B3405" t="s">
        <v>1142</v>
      </c>
      <c r="C3405" t="s">
        <v>423</v>
      </c>
      <c r="D3405" t="str">
        <f>VLOOKUP(C3405,'lookup table'!$A$2:$B$19,2,FALSE)</f>
        <v>ignore</v>
      </c>
      <c r="E3405" t="str">
        <f t="shared" si="53"/>
        <v>AL130_02|ignore</v>
      </c>
    </row>
    <row r="3406" spans="1:5" x14ac:dyDescent="0.2">
      <c r="A3406" t="s">
        <v>1141</v>
      </c>
      <c r="B3406" t="s">
        <v>1142</v>
      </c>
      <c r="C3406" t="s">
        <v>424</v>
      </c>
      <c r="D3406" t="str">
        <f>VLOOKUP(C3406,'lookup table'!$A$2:$B$19,2,FALSE)</f>
        <v>GRC</v>
      </c>
      <c r="E3406" t="str">
        <f t="shared" si="53"/>
        <v>AL130_02|GRC</v>
      </c>
    </row>
    <row r="3407" spans="1:5" x14ac:dyDescent="0.2">
      <c r="A3407" t="s">
        <v>1141</v>
      </c>
      <c r="B3407" t="s">
        <v>1142</v>
      </c>
      <c r="C3407" t="s">
        <v>425</v>
      </c>
      <c r="D3407" t="str">
        <f>VLOOKUP(C3407,'lookup table'!$A$2:$B$19,2,FALSE)</f>
        <v>Investee Segment</v>
      </c>
      <c r="E3407" t="str">
        <f t="shared" si="53"/>
        <v>AL130_02|Investee Segment</v>
      </c>
    </row>
    <row r="3408" spans="1:5" x14ac:dyDescent="0.2">
      <c r="A3408" t="s">
        <v>1141</v>
      </c>
      <c r="B3408" t="s">
        <v>1142</v>
      </c>
      <c r="C3408" t="s">
        <v>426</v>
      </c>
      <c r="D3408" t="str">
        <f>VLOOKUP(C3408,'lookup table'!$A$2:$B$19,2,FALSE)</f>
        <v>Investee Unit</v>
      </c>
      <c r="E3408" t="str">
        <f t="shared" si="53"/>
        <v>AL130_02|Investee Unit</v>
      </c>
    </row>
    <row r="3409" spans="1:5" x14ac:dyDescent="0.2">
      <c r="A3409" t="s">
        <v>1141</v>
      </c>
      <c r="B3409" t="s">
        <v>1142</v>
      </c>
      <c r="C3409" t="s">
        <v>428</v>
      </c>
      <c r="D3409" t="str">
        <f>VLOOKUP(C3409,'lookup table'!$A$2:$B$19,2,FALSE)</f>
        <v>LoB</v>
      </c>
      <c r="E3409" t="str">
        <f t="shared" si="53"/>
        <v>AL130_02|LoB</v>
      </c>
    </row>
    <row r="3410" spans="1:5" x14ac:dyDescent="0.2">
      <c r="A3410" t="s">
        <v>1141</v>
      </c>
      <c r="B3410" t="s">
        <v>1142</v>
      </c>
      <c r="C3410" t="s">
        <v>436</v>
      </c>
      <c r="D3410" t="str">
        <f>VLOOKUP(C3410,'lookup table'!$A$2:$B$19,2,FALSE)</f>
        <v>MAT</v>
      </c>
      <c r="E3410" t="str">
        <f t="shared" si="53"/>
        <v>AL130_02|MAT</v>
      </c>
    </row>
    <row r="3411" spans="1:5" x14ac:dyDescent="0.2">
      <c r="A3411" t="s">
        <v>1141</v>
      </c>
      <c r="B3411" t="s">
        <v>1142</v>
      </c>
      <c r="C3411" t="s">
        <v>438</v>
      </c>
      <c r="D3411" t="str">
        <f>VLOOKUP(C3411,'lookup table'!$A$2:$B$19,2,FALSE)</f>
        <v>ToM</v>
      </c>
      <c r="E3411" t="str">
        <f t="shared" si="53"/>
        <v>AL130_02|ToM</v>
      </c>
    </row>
    <row r="3412" spans="1:5" x14ac:dyDescent="0.2">
      <c r="A3412" t="s">
        <v>1141</v>
      </c>
      <c r="B3412" t="s">
        <v>1142</v>
      </c>
      <c r="C3412" t="s">
        <v>441</v>
      </c>
      <c r="D3412" t="str">
        <f>VLOOKUP(C3412,'lookup table'!$A$2:$B$19,2,FALSE)</f>
        <v>Partner Segment</v>
      </c>
      <c r="E3412" t="str">
        <f t="shared" si="53"/>
        <v>AL130_02|Partner Segment</v>
      </c>
    </row>
    <row r="3413" spans="1:5" x14ac:dyDescent="0.2">
      <c r="A3413" t="s">
        <v>1141</v>
      </c>
      <c r="B3413" t="s">
        <v>1142</v>
      </c>
      <c r="C3413" t="s">
        <v>442</v>
      </c>
      <c r="D3413" t="str">
        <f>VLOOKUP(C3413,'lookup table'!$A$2:$B$19,2,FALSE)</f>
        <v>Partner Unit</v>
      </c>
      <c r="E3413" t="str">
        <f t="shared" si="53"/>
        <v>AL130_02|Partner Unit</v>
      </c>
    </row>
    <row r="3414" spans="1:5" x14ac:dyDescent="0.2">
      <c r="A3414" t="s">
        <v>1141</v>
      </c>
      <c r="B3414" t="s">
        <v>1142</v>
      </c>
      <c r="C3414" t="s">
        <v>447</v>
      </c>
      <c r="D3414" t="str">
        <f>VLOOKUP(C3414,'lookup table'!$A$2:$B$19,2,FALSE)</f>
        <v>REX</v>
      </c>
      <c r="E3414" t="str">
        <f t="shared" si="53"/>
        <v>AL130_02|REX</v>
      </c>
    </row>
    <row r="3415" spans="1:5" x14ac:dyDescent="0.2">
      <c r="A3415" t="s">
        <v>1141</v>
      </c>
      <c r="B3415" t="s">
        <v>1142</v>
      </c>
      <c r="C3415" t="s">
        <v>449</v>
      </c>
      <c r="D3415" t="e">
        <f>VLOOKUP(C3415,'lookup table'!$A$2:$B$19,2,FALSE)</f>
        <v>#N/A</v>
      </c>
      <c r="E3415" t="str">
        <f t="shared" si="53"/>
        <v/>
      </c>
    </row>
    <row r="3416" spans="1:5" x14ac:dyDescent="0.2">
      <c r="A3416" t="s">
        <v>1141</v>
      </c>
      <c r="B3416" t="s">
        <v>1142</v>
      </c>
      <c r="C3416" t="s">
        <v>457</v>
      </c>
      <c r="D3416" t="str">
        <f>VLOOKUP(C3416,'lookup table'!$A$2:$B$19,2,FALSE)</f>
        <v>VLT</v>
      </c>
      <c r="E3416" t="str">
        <f t="shared" si="53"/>
        <v>AL130_02|VLT</v>
      </c>
    </row>
    <row r="3417" spans="1:5" x14ac:dyDescent="0.2">
      <c r="A3417" t="s">
        <v>1141</v>
      </c>
      <c r="B3417" t="s">
        <v>1142</v>
      </c>
      <c r="C3417" t="s">
        <v>458</v>
      </c>
      <c r="D3417" t="str">
        <f>VLOOKUP(C3417,'lookup table'!$A$2:$B$19,2,FALSE)</f>
        <v>VAR</v>
      </c>
      <c r="E3417" t="str">
        <f t="shared" si="53"/>
        <v>AL130_02|VAR</v>
      </c>
    </row>
    <row r="3418" spans="1:5" x14ac:dyDescent="0.2">
      <c r="A3418" t="s">
        <v>1143</v>
      </c>
      <c r="B3418" t="s">
        <v>1144</v>
      </c>
      <c r="C3418" t="s">
        <v>14</v>
      </c>
      <c r="D3418" t="str">
        <f>VLOOKUP(C3418,'lookup table'!$A$2:$B$19,2,FALSE)</f>
        <v>ALC</v>
      </c>
      <c r="E3418" t="str">
        <f t="shared" si="53"/>
        <v>AL130_03|ALC</v>
      </c>
    </row>
    <row r="3419" spans="1:5" x14ac:dyDescent="0.2">
      <c r="A3419" t="s">
        <v>1143</v>
      </c>
      <c r="B3419" t="s">
        <v>1144</v>
      </c>
      <c r="C3419" t="s">
        <v>20</v>
      </c>
      <c r="D3419" t="str">
        <f>VLOOKUP(C3419,'lookup table'!$A$2:$B$19,2,FALSE)</f>
        <v>AY</v>
      </c>
      <c r="E3419" t="str">
        <f t="shared" si="53"/>
        <v>AL130_03|AY</v>
      </c>
    </row>
    <row r="3420" spans="1:5" x14ac:dyDescent="0.2">
      <c r="A3420" t="s">
        <v>1143</v>
      </c>
      <c r="B3420" t="s">
        <v>1144</v>
      </c>
      <c r="C3420" t="s">
        <v>136</v>
      </c>
      <c r="D3420" t="str">
        <f>VLOOKUP(C3420,'lookup table'!$A$2:$B$19,2,FALSE)</f>
        <v>BBA Set</v>
      </c>
      <c r="E3420" t="str">
        <f t="shared" si="53"/>
        <v>AL130_03|BBA Set</v>
      </c>
    </row>
    <row r="3421" spans="1:5" x14ac:dyDescent="0.2">
      <c r="A3421" t="s">
        <v>1143</v>
      </c>
      <c r="B3421" t="s">
        <v>1144</v>
      </c>
      <c r="C3421" t="s">
        <v>331</v>
      </c>
      <c r="D3421" t="str">
        <f>VLOOKUP(C3421,'lookup table'!$A$2:$B$19,2,FALSE)</f>
        <v>FS Item</v>
      </c>
      <c r="E3421" t="str">
        <f t="shared" si="53"/>
        <v>AL130_03|FS Item</v>
      </c>
    </row>
    <row r="3422" spans="1:5" x14ac:dyDescent="0.2">
      <c r="A3422" t="s">
        <v>1143</v>
      </c>
      <c r="B3422" t="s">
        <v>1144</v>
      </c>
      <c r="C3422" t="s">
        <v>423</v>
      </c>
      <c r="D3422" t="str">
        <f>VLOOKUP(C3422,'lookup table'!$A$2:$B$19,2,FALSE)</f>
        <v>ignore</v>
      </c>
      <c r="E3422" t="str">
        <f t="shared" si="53"/>
        <v>AL130_03|ignore</v>
      </c>
    </row>
    <row r="3423" spans="1:5" x14ac:dyDescent="0.2">
      <c r="A3423" t="s">
        <v>1143</v>
      </c>
      <c r="B3423" t="s">
        <v>1144</v>
      </c>
      <c r="C3423" t="s">
        <v>424</v>
      </c>
      <c r="D3423" t="str">
        <f>VLOOKUP(C3423,'lookup table'!$A$2:$B$19,2,FALSE)</f>
        <v>GRC</v>
      </c>
      <c r="E3423" t="str">
        <f t="shared" si="53"/>
        <v>AL130_03|GRC</v>
      </c>
    </row>
    <row r="3424" spans="1:5" x14ac:dyDescent="0.2">
      <c r="A3424" t="s">
        <v>1143</v>
      </c>
      <c r="B3424" t="s">
        <v>1144</v>
      </c>
      <c r="C3424" t="s">
        <v>425</v>
      </c>
      <c r="D3424" t="str">
        <f>VLOOKUP(C3424,'lookup table'!$A$2:$B$19,2,FALSE)</f>
        <v>Investee Segment</v>
      </c>
      <c r="E3424" t="str">
        <f t="shared" si="53"/>
        <v>AL130_03|Investee Segment</v>
      </c>
    </row>
    <row r="3425" spans="1:5" x14ac:dyDescent="0.2">
      <c r="A3425" t="s">
        <v>1143</v>
      </c>
      <c r="B3425" t="s">
        <v>1144</v>
      </c>
      <c r="C3425" t="s">
        <v>426</v>
      </c>
      <c r="D3425" t="str">
        <f>VLOOKUP(C3425,'lookup table'!$A$2:$B$19,2,FALSE)</f>
        <v>Investee Unit</v>
      </c>
      <c r="E3425" t="str">
        <f t="shared" si="53"/>
        <v>AL130_03|Investee Unit</v>
      </c>
    </row>
    <row r="3426" spans="1:5" x14ac:dyDescent="0.2">
      <c r="A3426" t="s">
        <v>1143</v>
      </c>
      <c r="B3426" t="s">
        <v>1144</v>
      </c>
      <c r="C3426" t="s">
        <v>428</v>
      </c>
      <c r="D3426" t="str">
        <f>VLOOKUP(C3426,'lookup table'!$A$2:$B$19,2,FALSE)</f>
        <v>LoB</v>
      </c>
      <c r="E3426" t="str">
        <f t="shared" si="53"/>
        <v>AL130_03|LoB</v>
      </c>
    </row>
    <row r="3427" spans="1:5" x14ac:dyDescent="0.2">
      <c r="A3427" t="s">
        <v>1143</v>
      </c>
      <c r="B3427" t="s">
        <v>1144</v>
      </c>
      <c r="C3427" t="s">
        <v>436</v>
      </c>
      <c r="D3427" t="str">
        <f>VLOOKUP(C3427,'lookup table'!$A$2:$B$19,2,FALSE)</f>
        <v>MAT</v>
      </c>
      <c r="E3427" t="str">
        <f t="shared" si="53"/>
        <v>AL130_03|MAT</v>
      </c>
    </row>
    <row r="3428" spans="1:5" x14ac:dyDescent="0.2">
      <c r="A3428" t="s">
        <v>1143</v>
      </c>
      <c r="B3428" t="s">
        <v>1144</v>
      </c>
      <c r="C3428" t="s">
        <v>438</v>
      </c>
      <c r="D3428" t="str">
        <f>VLOOKUP(C3428,'lookup table'!$A$2:$B$19,2,FALSE)</f>
        <v>ToM</v>
      </c>
      <c r="E3428" t="str">
        <f t="shared" si="53"/>
        <v>AL130_03|ToM</v>
      </c>
    </row>
    <row r="3429" spans="1:5" x14ac:dyDescent="0.2">
      <c r="A3429" t="s">
        <v>1143</v>
      </c>
      <c r="B3429" t="s">
        <v>1144</v>
      </c>
      <c r="C3429" t="s">
        <v>441</v>
      </c>
      <c r="D3429" t="str">
        <f>VLOOKUP(C3429,'lookup table'!$A$2:$B$19,2,FALSE)</f>
        <v>Partner Segment</v>
      </c>
      <c r="E3429" t="str">
        <f t="shared" si="53"/>
        <v>AL130_03|Partner Segment</v>
      </c>
    </row>
    <row r="3430" spans="1:5" x14ac:dyDescent="0.2">
      <c r="A3430" t="s">
        <v>1143</v>
      </c>
      <c r="B3430" t="s">
        <v>1144</v>
      </c>
      <c r="C3430" t="s">
        <v>442</v>
      </c>
      <c r="D3430" t="str">
        <f>VLOOKUP(C3430,'lookup table'!$A$2:$B$19,2,FALSE)</f>
        <v>Partner Unit</v>
      </c>
      <c r="E3430" t="str">
        <f t="shared" si="53"/>
        <v>AL130_03|Partner Unit</v>
      </c>
    </row>
    <row r="3431" spans="1:5" x14ac:dyDescent="0.2">
      <c r="A3431" t="s">
        <v>1143</v>
      </c>
      <c r="B3431" t="s">
        <v>1144</v>
      </c>
      <c r="C3431" t="s">
        <v>447</v>
      </c>
      <c r="D3431" t="str">
        <f>VLOOKUP(C3431,'lookup table'!$A$2:$B$19,2,FALSE)</f>
        <v>REX</v>
      </c>
      <c r="E3431" t="str">
        <f t="shared" si="53"/>
        <v>AL130_03|REX</v>
      </c>
    </row>
    <row r="3432" spans="1:5" x14ac:dyDescent="0.2">
      <c r="A3432" t="s">
        <v>1143</v>
      </c>
      <c r="B3432" t="s">
        <v>1144</v>
      </c>
      <c r="C3432" t="s">
        <v>449</v>
      </c>
      <c r="D3432" t="e">
        <f>VLOOKUP(C3432,'lookup table'!$A$2:$B$19,2,FALSE)</f>
        <v>#N/A</v>
      </c>
      <c r="E3432" t="str">
        <f t="shared" si="53"/>
        <v/>
      </c>
    </row>
    <row r="3433" spans="1:5" x14ac:dyDescent="0.2">
      <c r="A3433" t="s">
        <v>1143</v>
      </c>
      <c r="B3433" t="s">
        <v>1144</v>
      </c>
      <c r="C3433" t="s">
        <v>457</v>
      </c>
      <c r="D3433" t="str">
        <f>VLOOKUP(C3433,'lookup table'!$A$2:$B$19,2,FALSE)</f>
        <v>VLT</v>
      </c>
      <c r="E3433" t="str">
        <f t="shared" si="53"/>
        <v>AL130_03|VLT</v>
      </c>
    </row>
    <row r="3434" spans="1:5" x14ac:dyDescent="0.2">
      <c r="A3434" t="s">
        <v>1143</v>
      </c>
      <c r="B3434" t="s">
        <v>1144</v>
      </c>
      <c r="C3434" t="s">
        <v>458</v>
      </c>
      <c r="D3434" t="str">
        <f>VLOOKUP(C3434,'lookup table'!$A$2:$B$19,2,FALSE)</f>
        <v>VAR</v>
      </c>
      <c r="E3434" t="str">
        <f t="shared" si="53"/>
        <v>AL130_03|VAR</v>
      </c>
    </row>
    <row r="3435" spans="1:5" x14ac:dyDescent="0.2">
      <c r="A3435" t="s">
        <v>1145</v>
      </c>
      <c r="B3435" t="s">
        <v>1146</v>
      </c>
      <c r="C3435" t="s">
        <v>14</v>
      </c>
      <c r="D3435" t="str">
        <f>VLOOKUP(C3435,'lookup table'!$A$2:$B$19,2,FALSE)</f>
        <v>ALC</v>
      </c>
      <c r="E3435" t="str">
        <f t="shared" si="53"/>
        <v>AL130_04|ALC</v>
      </c>
    </row>
    <row r="3436" spans="1:5" x14ac:dyDescent="0.2">
      <c r="A3436" t="s">
        <v>1145</v>
      </c>
      <c r="B3436" t="s">
        <v>1146</v>
      </c>
      <c r="C3436" t="s">
        <v>20</v>
      </c>
      <c r="D3436" t="str">
        <f>VLOOKUP(C3436,'lookup table'!$A$2:$B$19,2,FALSE)</f>
        <v>AY</v>
      </c>
      <c r="E3436" t="str">
        <f t="shared" si="53"/>
        <v>AL130_04|AY</v>
      </c>
    </row>
    <row r="3437" spans="1:5" x14ac:dyDescent="0.2">
      <c r="A3437" t="s">
        <v>1145</v>
      </c>
      <c r="B3437" t="s">
        <v>1146</v>
      </c>
      <c r="C3437" t="s">
        <v>136</v>
      </c>
      <c r="D3437" t="str">
        <f>VLOOKUP(C3437,'lookup table'!$A$2:$B$19,2,FALSE)</f>
        <v>BBA Set</v>
      </c>
      <c r="E3437" t="str">
        <f t="shared" si="53"/>
        <v>AL130_04|BBA Set</v>
      </c>
    </row>
    <row r="3438" spans="1:5" x14ac:dyDescent="0.2">
      <c r="A3438" t="s">
        <v>1145</v>
      </c>
      <c r="B3438" t="s">
        <v>1146</v>
      </c>
      <c r="C3438" t="s">
        <v>331</v>
      </c>
      <c r="D3438" t="str">
        <f>VLOOKUP(C3438,'lookup table'!$A$2:$B$19,2,FALSE)</f>
        <v>FS Item</v>
      </c>
      <c r="E3438" t="str">
        <f t="shared" si="53"/>
        <v>AL130_04|FS Item</v>
      </c>
    </row>
    <row r="3439" spans="1:5" x14ac:dyDescent="0.2">
      <c r="A3439" t="s">
        <v>1145</v>
      </c>
      <c r="B3439" t="s">
        <v>1146</v>
      </c>
      <c r="C3439" t="s">
        <v>423</v>
      </c>
      <c r="D3439" t="str">
        <f>VLOOKUP(C3439,'lookup table'!$A$2:$B$19,2,FALSE)</f>
        <v>ignore</v>
      </c>
      <c r="E3439" t="str">
        <f t="shared" si="53"/>
        <v>AL130_04|ignore</v>
      </c>
    </row>
    <row r="3440" spans="1:5" x14ac:dyDescent="0.2">
      <c r="A3440" t="s">
        <v>1145</v>
      </c>
      <c r="B3440" t="s">
        <v>1146</v>
      </c>
      <c r="C3440" t="s">
        <v>424</v>
      </c>
      <c r="D3440" t="str">
        <f>VLOOKUP(C3440,'lookup table'!$A$2:$B$19,2,FALSE)</f>
        <v>GRC</v>
      </c>
      <c r="E3440" t="str">
        <f t="shared" si="53"/>
        <v>AL130_04|GRC</v>
      </c>
    </row>
    <row r="3441" spans="1:5" x14ac:dyDescent="0.2">
      <c r="A3441" t="s">
        <v>1145</v>
      </c>
      <c r="B3441" t="s">
        <v>1146</v>
      </c>
      <c r="C3441" t="s">
        <v>425</v>
      </c>
      <c r="D3441" t="str">
        <f>VLOOKUP(C3441,'lookup table'!$A$2:$B$19,2,FALSE)</f>
        <v>Investee Segment</v>
      </c>
      <c r="E3441" t="str">
        <f t="shared" si="53"/>
        <v>AL130_04|Investee Segment</v>
      </c>
    </row>
    <row r="3442" spans="1:5" x14ac:dyDescent="0.2">
      <c r="A3442" t="s">
        <v>1145</v>
      </c>
      <c r="B3442" t="s">
        <v>1146</v>
      </c>
      <c r="C3442" t="s">
        <v>426</v>
      </c>
      <c r="D3442" t="str">
        <f>VLOOKUP(C3442,'lookup table'!$A$2:$B$19,2,FALSE)</f>
        <v>Investee Unit</v>
      </c>
      <c r="E3442" t="str">
        <f t="shared" si="53"/>
        <v>AL130_04|Investee Unit</v>
      </c>
    </row>
    <row r="3443" spans="1:5" x14ac:dyDescent="0.2">
      <c r="A3443" t="s">
        <v>1145</v>
      </c>
      <c r="B3443" t="s">
        <v>1146</v>
      </c>
      <c r="C3443" t="s">
        <v>428</v>
      </c>
      <c r="D3443" t="str">
        <f>VLOOKUP(C3443,'lookup table'!$A$2:$B$19,2,FALSE)</f>
        <v>LoB</v>
      </c>
      <c r="E3443" t="str">
        <f t="shared" si="53"/>
        <v>AL130_04|LoB</v>
      </c>
    </row>
    <row r="3444" spans="1:5" x14ac:dyDescent="0.2">
      <c r="A3444" t="s">
        <v>1145</v>
      </c>
      <c r="B3444" t="s">
        <v>1146</v>
      </c>
      <c r="C3444" t="s">
        <v>436</v>
      </c>
      <c r="D3444" t="str">
        <f>VLOOKUP(C3444,'lookup table'!$A$2:$B$19,2,FALSE)</f>
        <v>MAT</v>
      </c>
      <c r="E3444" t="str">
        <f t="shared" si="53"/>
        <v>AL130_04|MAT</v>
      </c>
    </row>
    <row r="3445" spans="1:5" x14ac:dyDescent="0.2">
      <c r="A3445" t="s">
        <v>1145</v>
      </c>
      <c r="B3445" t="s">
        <v>1146</v>
      </c>
      <c r="C3445" t="s">
        <v>438</v>
      </c>
      <c r="D3445" t="str">
        <f>VLOOKUP(C3445,'lookup table'!$A$2:$B$19,2,FALSE)</f>
        <v>ToM</v>
      </c>
      <c r="E3445" t="str">
        <f t="shared" si="53"/>
        <v>AL130_04|ToM</v>
      </c>
    </row>
    <row r="3446" spans="1:5" x14ac:dyDescent="0.2">
      <c r="A3446" t="s">
        <v>1145</v>
      </c>
      <c r="B3446" t="s">
        <v>1146</v>
      </c>
      <c r="C3446" t="s">
        <v>441</v>
      </c>
      <c r="D3446" t="str">
        <f>VLOOKUP(C3446,'lookup table'!$A$2:$B$19,2,FALSE)</f>
        <v>Partner Segment</v>
      </c>
      <c r="E3446" t="str">
        <f t="shared" si="53"/>
        <v>AL130_04|Partner Segment</v>
      </c>
    </row>
    <row r="3447" spans="1:5" x14ac:dyDescent="0.2">
      <c r="A3447" t="s">
        <v>1145</v>
      </c>
      <c r="B3447" t="s">
        <v>1146</v>
      </c>
      <c r="C3447" t="s">
        <v>442</v>
      </c>
      <c r="D3447" t="str">
        <f>VLOOKUP(C3447,'lookup table'!$A$2:$B$19,2,FALSE)</f>
        <v>Partner Unit</v>
      </c>
      <c r="E3447" t="str">
        <f t="shared" si="53"/>
        <v>AL130_04|Partner Unit</v>
      </c>
    </row>
    <row r="3448" spans="1:5" x14ac:dyDescent="0.2">
      <c r="A3448" t="s">
        <v>1145</v>
      </c>
      <c r="B3448" t="s">
        <v>1146</v>
      </c>
      <c r="C3448" t="s">
        <v>447</v>
      </c>
      <c r="D3448" t="str">
        <f>VLOOKUP(C3448,'lookup table'!$A$2:$B$19,2,FALSE)</f>
        <v>REX</v>
      </c>
      <c r="E3448" t="str">
        <f t="shared" si="53"/>
        <v>AL130_04|REX</v>
      </c>
    </row>
    <row r="3449" spans="1:5" x14ac:dyDescent="0.2">
      <c r="A3449" t="s">
        <v>1145</v>
      </c>
      <c r="B3449" t="s">
        <v>1146</v>
      </c>
      <c r="C3449" t="s">
        <v>449</v>
      </c>
      <c r="D3449" t="e">
        <f>VLOOKUP(C3449,'lookup table'!$A$2:$B$19,2,FALSE)</f>
        <v>#N/A</v>
      </c>
      <c r="E3449" t="str">
        <f t="shared" si="53"/>
        <v/>
      </c>
    </row>
    <row r="3450" spans="1:5" x14ac:dyDescent="0.2">
      <c r="A3450" t="s">
        <v>1145</v>
      </c>
      <c r="B3450" t="s">
        <v>1146</v>
      </c>
      <c r="C3450" t="s">
        <v>457</v>
      </c>
      <c r="D3450" t="str">
        <f>VLOOKUP(C3450,'lookup table'!$A$2:$B$19,2,FALSE)</f>
        <v>VLT</v>
      </c>
      <c r="E3450" t="str">
        <f t="shared" si="53"/>
        <v>AL130_04|VLT</v>
      </c>
    </row>
    <row r="3451" spans="1:5" x14ac:dyDescent="0.2">
      <c r="A3451" t="s">
        <v>1145</v>
      </c>
      <c r="B3451" t="s">
        <v>1146</v>
      </c>
      <c r="C3451" t="s">
        <v>458</v>
      </c>
      <c r="D3451" t="str">
        <f>VLOOKUP(C3451,'lookup table'!$A$2:$B$19,2,FALSE)</f>
        <v>VAR</v>
      </c>
      <c r="E3451" t="str">
        <f t="shared" si="53"/>
        <v>AL130_04|VAR</v>
      </c>
    </row>
    <row r="3452" spans="1:5" x14ac:dyDescent="0.2">
      <c r="A3452" t="s">
        <v>1147</v>
      </c>
      <c r="B3452" t="s">
        <v>1148</v>
      </c>
      <c r="C3452" t="s">
        <v>14</v>
      </c>
      <c r="D3452" t="str">
        <f>VLOOKUP(C3452,'lookup table'!$A$2:$B$19,2,FALSE)</f>
        <v>ALC</v>
      </c>
      <c r="E3452" t="str">
        <f t="shared" si="53"/>
        <v>AL130_10|ALC</v>
      </c>
    </row>
    <row r="3453" spans="1:5" x14ac:dyDescent="0.2">
      <c r="A3453" t="s">
        <v>1147</v>
      </c>
      <c r="B3453" t="s">
        <v>1148</v>
      </c>
      <c r="C3453" t="s">
        <v>20</v>
      </c>
      <c r="D3453" t="str">
        <f>VLOOKUP(C3453,'lookup table'!$A$2:$B$19,2,FALSE)</f>
        <v>AY</v>
      </c>
      <c r="E3453" t="str">
        <f t="shared" si="53"/>
        <v>AL130_10|AY</v>
      </c>
    </row>
    <row r="3454" spans="1:5" x14ac:dyDescent="0.2">
      <c r="A3454" t="s">
        <v>1147</v>
      </c>
      <c r="B3454" t="s">
        <v>1148</v>
      </c>
      <c r="C3454" t="s">
        <v>136</v>
      </c>
      <c r="D3454" t="str">
        <f>VLOOKUP(C3454,'lookup table'!$A$2:$B$19,2,FALSE)</f>
        <v>BBA Set</v>
      </c>
      <c r="E3454" t="str">
        <f t="shared" si="53"/>
        <v>AL130_10|BBA Set</v>
      </c>
    </row>
    <row r="3455" spans="1:5" x14ac:dyDescent="0.2">
      <c r="A3455" t="s">
        <v>1147</v>
      </c>
      <c r="B3455" t="s">
        <v>1148</v>
      </c>
      <c r="C3455" t="s">
        <v>331</v>
      </c>
      <c r="D3455" t="str">
        <f>VLOOKUP(C3455,'lookup table'!$A$2:$B$19,2,FALSE)</f>
        <v>FS Item</v>
      </c>
      <c r="E3455" t="str">
        <f t="shared" si="53"/>
        <v>AL130_10|FS Item</v>
      </c>
    </row>
    <row r="3456" spans="1:5" x14ac:dyDescent="0.2">
      <c r="A3456" t="s">
        <v>1147</v>
      </c>
      <c r="B3456" t="s">
        <v>1148</v>
      </c>
      <c r="C3456" t="s">
        <v>423</v>
      </c>
      <c r="D3456" t="str">
        <f>VLOOKUP(C3456,'lookup table'!$A$2:$B$19,2,FALSE)</f>
        <v>ignore</v>
      </c>
      <c r="E3456" t="str">
        <f t="shared" si="53"/>
        <v>AL130_10|ignore</v>
      </c>
    </row>
    <row r="3457" spans="1:5" x14ac:dyDescent="0.2">
      <c r="A3457" t="s">
        <v>1147</v>
      </c>
      <c r="B3457" t="s">
        <v>1148</v>
      </c>
      <c r="C3457" t="s">
        <v>424</v>
      </c>
      <c r="D3457" t="str">
        <f>VLOOKUP(C3457,'lookup table'!$A$2:$B$19,2,FALSE)</f>
        <v>GRC</v>
      </c>
      <c r="E3457" t="str">
        <f t="shared" si="53"/>
        <v>AL130_10|GRC</v>
      </c>
    </row>
    <row r="3458" spans="1:5" x14ac:dyDescent="0.2">
      <c r="A3458" t="s">
        <v>1147</v>
      </c>
      <c r="B3458" t="s">
        <v>1148</v>
      </c>
      <c r="C3458" t="s">
        <v>425</v>
      </c>
      <c r="D3458" t="str">
        <f>VLOOKUP(C3458,'lookup table'!$A$2:$B$19,2,FALSE)</f>
        <v>Investee Segment</v>
      </c>
      <c r="E3458" t="str">
        <f t="shared" si="53"/>
        <v>AL130_10|Investee Segment</v>
      </c>
    </row>
    <row r="3459" spans="1:5" x14ac:dyDescent="0.2">
      <c r="A3459" t="s">
        <v>1147</v>
      </c>
      <c r="B3459" t="s">
        <v>1148</v>
      </c>
      <c r="C3459" t="s">
        <v>426</v>
      </c>
      <c r="D3459" t="str">
        <f>VLOOKUP(C3459,'lookup table'!$A$2:$B$19,2,FALSE)</f>
        <v>Investee Unit</v>
      </c>
      <c r="E3459" t="str">
        <f t="shared" ref="E3459:E3522" si="54">IF(ISNA(D3459),"",IF(A3459="","",A3459) &amp; "|" &amp; D3459)</f>
        <v>AL130_10|Investee Unit</v>
      </c>
    </row>
    <row r="3460" spans="1:5" x14ac:dyDescent="0.2">
      <c r="A3460" t="s">
        <v>1147</v>
      </c>
      <c r="B3460" t="s">
        <v>1148</v>
      </c>
      <c r="C3460" t="s">
        <v>428</v>
      </c>
      <c r="D3460" t="str">
        <f>VLOOKUP(C3460,'lookup table'!$A$2:$B$19,2,FALSE)</f>
        <v>LoB</v>
      </c>
      <c r="E3460" t="str">
        <f t="shared" si="54"/>
        <v>AL130_10|LoB</v>
      </c>
    </row>
    <row r="3461" spans="1:5" x14ac:dyDescent="0.2">
      <c r="A3461" t="s">
        <v>1147</v>
      </c>
      <c r="B3461" t="s">
        <v>1148</v>
      </c>
      <c r="C3461" t="s">
        <v>436</v>
      </c>
      <c r="D3461" t="str">
        <f>VLOOKUP(C3461,'lookup table'!$A$2:$B$19,2,FALSE)</f>
        <v>MAT</v>
      </c>
      <c r="E3461" t="str">
        <f t="shared" si="54"/>
        <v>AL130_10|MAT</v>
      </c>
    </row>
    <row r="3462" spans="1:5" x14ac:dyDescent="0.2">
      <c r="A3462" t="s">
        <v>1147</v>
      </c>
      <c r="B3462" t="s">
        <v>1148</v>
      </c>
      <c r="C3462" t="s">
        <v>438</v>
      </c>
      <c r="D3462" t="str">
        <f>VLOOKUP(C3462,'lookup table'!$A$2:$B$19,2,FALSE)</f>
        <v>ToM</v>
      </c>
      <c r="E3462" t="str">
        <f t="shared" si="54"/>
        <v>AL130_10|ToM</v>
      </c>
    </row>
    <row r="3463" spans="1:5" x14ac:dyDescent="0.2">
      <c r="A3463" t="s">
        <v>1147</v>
      </c>
      <c r="B3463" t="s">
        <v>1148</v>
      </c>
      <c r="C3463" t="s">
        <v>441</v>
      </c>
      <c r="D3463" t="str">
        <f>VLOOKUP(C3463,'lookup table'!$A$2:$B$19,2,FALSE)</f>
        <v>Partner Segment</v>
      </c>
      <c r="E3463" t="str">
        <f t="shared" si="54"/>
        <v>AL130_10|Partner Segment</v>
      </c>
    </row>
    <row r="3464" spans="1:5" x14ac:dyDescent="0.2">
      <c r="A3464" t="s">
        <v>1147</v>
      </c>
      <c r="B3464" t="s">
        <v>1148</v>
      </c>
      <c r="C3464" t="s">
        <v>442</v>
      </c>
      <c r="D3464" t="str">
        <f>VLOOKUP(C3464,'lookup table'!$A$2:$B$19,2,FALSE)</f>
        <v>Partner Unit</v>
      </c>
      <c r="E3464" t="str">
        <f t="shared" si="54"/>
        <v>AL130_10|Partner Unit</v>
      </c>
    </row>
    <row r="3465" spans="1:5" x14ac:dyDescent="0.2">
      <c r="A3465" t="s">
        <v>1147</v>
      </c>
      <c r="B3465" t="s">
        <v>1148</v>
      </c>
      <c r="C3465" t="s">
        <v>447</v>
      </c>
      <c r="D3465" t="str">
        <f>VLOOKUP(C3465,'lookup table'!$A$2:$B$19,2,FALSE)</f>
        <v>REX</v>
      </c>
      <c r="E3465" t="str">
        <f t="shared" si="54"/>
        <v>AL130_10|REX</v>
      </c>
    </row>
    <row r="3466" spans="1:5" x14ac:dyDescent="0.2">
      <c r="A3466" t="s">
        <v>1147</v>
      </c>
      <c r="B3466" t="s">
        <v>1148</v>
      </c>
      <c r="C3466" t="s">
        <v>449</v>
      </c>
      <c r="D3466" t="e">
        <f>VLOOKUP(C3466,'lookup table'!$A$2:$B$19,2,FALSE)</f>
        <v>#N/A</v>
      </c>
      <c r="E3466" t="str">
        <f t="shared" si="54"/>
        <v/>
      </c>
    </row>
    <row r="3467" spans="1:5" x14ac:dyDescent="0.2">
      <c r="A3467" t="s">
        <v>1147</v>
      </c>
      <c r="B3467" t="s">
        <v>1148</v>
      </c>
      <c r="C3467" t="s">
        <v>457</v>
      </c>
      <c r="D3467" t="str">
        <f>VLOOKUP(C3467,'lookup table'!$A$2:$B$19,2,FALSE)</f>
        <v>VLT</v>
      </c>
      <c r="E3467" t="str">
        <f t="shared" si="54"/>
        <v>AL130_10|VLT</v>
      </c>
    </row>
    <row r="3468" spans="1:5" x14ac:dyDescent="0.2">
      <c r="A3468" t="s">
        <v>1147</v>
      </c>
      <c r="B3468" t="s">
        <v>1148</v>
      </c>
      <c r="C3468" t="s">
        <v>458</v>
      </c>
      <c r="D3468" t="str">
        <f>VLOOKUP(C3468,'lookup table'!$A$2:$B$19,2,FALSE)</f>
        <v>VAR</v>
      </c>
      <c r="E3468" t="str">
        <f t="shared" si="54"/>
        <v>AL130_10|VAR</v>
      </c>
    </row>
    <row r="3469" spans="1:5" x14ac:dyDescent="0.2">
      <c r="A3469" t="s">
        <v>1149</v>
      </c>
      <c r="B3469" t="s">
        <v>1150</v>
      </c>
      <c r="C3469" t="s">
        <v>14</v>
      </c>
      <c r="D3469" t="str">
        <f>VLOOKUP(C3469,'lookup table'!$A$2:$B$19,2,FALSE)</f>
        <v>ALC</v>
      </c>
      <c r="E3469" t="str">
        <f t="shared" si="54"/>
        <v>AL130_11|ALC</v>
      </c>
    </row>
    <row r="3470" spans="1:5" x14ac:dyDescent="0.2">
      <c r="A3470" t="s">
        <v>1149</v>
      </c>
      <c r="B3470" t="s">
        <v>1150</v>
      </c>
      <c r="C3470" t="s">
        <v>20</v>
      </c>
      <c r="D3470" t="str">
        <f>VLOOKUP(C3470,'lookup table'!$A$2:$B$19,2,FALSE)</f>
        <v>AY</v>
      </c>
      <c r="E3470" t="str">
        <f t="shared" si="54"/>
        <v>AL130_11|AY</v>
      </c>
    </row>
    <row r="3471" spans="1:5" x14ac:dyDescent="0.2">
      <c r="A3471" t="s">
        <v>1149</v>
      </c>
      <c r="B3471" t="s">
        <v>1150</v>
      </c>
      <c r="C3471" t="s">
        <v>136</v>
      </c>
      <c r="D3471" t="str">
        <f>VLOOKUP(C3471,'lookup table'!$A$2:$B$19,2,FALSE)</f>
        <v>BBA Set</v>
      </c>
      <c r="E3471" t="str">
        <f t="shared" si="54"/>
        <v>AL130_11|BBA Set</v>
      </c>
    </row>
    <row r="3472" spans="1:5" x14ac:dyDescent="0.2">
      <c r="A3472" t="s">
        <v>1149</v>
      </c>
      <c r="B3472" t="s">
        <v>1150</v>
      </c>
      <c r="C3472" t="s">
        <v>331</v>
      </c>
      <c r="D3472" t="str">
        <f>VLOOKUP(C3472,'lookup table'!$A$2:$B$19,2,FALSE)</f>
        <v>FS Item</v>
      </c>
      <c r="E3472" t="str">
        <f t="shared" si="54"/>
        <v>AL130_11|FS Item</v>
      </c>
    </row>
    <row r="3473" spans="1:5" x14ac:dyDescent="0.2">
      <c r="A3473" t="s">
        <v>1149</v>
      </c>
      <c r="B3473" t="s">
        <v>1150</v>
      </c>
      <c r="C3473" t="s">
        <v>423</v>
      </c>
      <c r="D3473" t="str">
        <f>VLOOKUP(C3473,'lookup table'!$A$2:$B$19,2,FALSE)</f>
        <v>ignore</v>
      </c>
      <c r="E3473" t="str">
        <f t="shared" si="54"/>
        <v>AL130_11|ignore</v>
      </c>
    </row>
    <row r="3474" spans="1:5" x14ac:dyDescent="0.2">
      <c r="A3474" t="s">
        <v>1149</v>
      </c>
      <c r="B3474" t="s">
        <v>1150</v>
      </c>
      <c r="C3474" t="s">
        <v>424</v>
      </c>
      <c r="D3474" t="str">
        <f>VLOOKUP(C3474,'lookup table'!$A$2:$B$19,2,FALSE)</f>
        <v>GRC</v>
      </c>
      <c r="E3474" t="str">
        <f t="shared" si="54"/>
        <v>AL130_11|GRC</v>
      </c>
    </row>
    <row r="3475" spans="1:5" x14ac:dyDescent="0.2">
      <c r="A3475" t="s">
        <v>1149</v>
      </c>
      <c r="B3475" t="s">
        <v>1150</v>
      </c>
      <c r="C3475" t="s">
        <v>425</v>
      </c>
      <c r="D3475" t="str">
        <f>VLOOKUP(C3475,'lookup table'!$A$2:$B$19,2,FALSE)</f>
        <v>Investee Segment</v>
      </c>
      <c r="E3475" t="str">
        <f t="shared" si="54"/>
        <v>AL130_11|Investee Segment</v>
      </c>
    </row>
    <row r="3476" spans="1:5" x14ac:dyDescent="0.2">
      <c r="A3476" t="s">
        <v>1149</v>
      </c>
      <c r="B3476" t="s">
        <v>1150</v>
      </c>
      <c r="C3476" t="s">
        <v>426</v>
      </c>
      <c r="D3476" t="str">
        <f>VLOOKUP(C3476,'lookup table'!$A$2:$B$19,2,FALSE)</f>
        <v>Investee Unit</v>
      </c>
      <c r="E3476" t="str">
        <f t="shared" si="54"/>
        <v>AL130_11|Investee Unit</v>
      </c>
    </row>
    <row r="3477" spans="1:5" x14ac:dyDescent="0.2">
      <c r="A3477" t="s">
        <v>1149</v>
      </c>
      <c r="B3477" t="s">
        <v>1150</v>
      </c>
      <c r="C3477" t="s">
        <v>428</v>
      </c>
      <c r="D3477" t="str">
        <f>VLOOKUP(C3477,'lookup table'!$A$2:$B$19,2,FALSE)</f>
        <v>LoB</v>
      </c>
      <c r="E3477" t="str">
        <f t="shared" si="54"/>
        <v>AL130_11|LoB</v>
      </c>
    </row>
    <row r="3478" spans="1:5" x14ac:dyDescent="0.2">
      <c r="A3478" t="s">
        <v>1149</v>
      </c>
      <c r="B3478" t="s">
        <v>1150</v>
      </c>
      <c r="C3478" t="s">
        <v>436</v>
      </c>
      <c r="D3478" t="str">
        <f>VLOOKUP(C3478,'lookup table'!$A$2:$B$19,2,FALSE)</f>
        <v>MAT</v>
      </c>
      <c r="E3478" t="str">
        <f t="shared" si="54"/>
        <v>AL130_11|MAT</v>
      </c>
    </row>
    <row r="3479" spans="1:5" x14ac:dyDescent="0.2">
      <c r="A3479" t="s">
        <v>1149</v>
      </c>
      <c r="B3479" t="s">
        <v>1150</v>
      </c>
      <c r="C3479" t="s">
        <v>438</v>
      </c>
      <c r="D3479" t="str">
        <f>VLOOKUP(C3479,'lookup table'!$A$2:$B$19,2,FALSE)</f>
        <v>ToM</v>
      </c>
      <c r="E3479" t="str">
        <f t="shared" si="54"/>
        <v>AL130_11|ToM</v>
      </c>
    </row>
    <row r="3480" spans="1:5" x14ac:dyDescent="0.2">
      <c r="A3480" t="s">
        <v>1149</v>
      </c>
      <c r="B3480" t="s">
        <v>1150</v>
      </c>
      <c r="C3480" t="s">
        <v>441</v>
      </c>
      <c r="D3480" t="str">
        <f>VLOOKUP(C3480,'lookup table'!$A$2:$B$19,2,FALSE)</f>
        <v>Partner Segment</v>
      </c>
      <c r="E3480" t="str">
        <f t="shared" si="54"/>
        <v>AL130_11|Partner Segment</v>
      </c>
    </row>
    <row r="3481" spans="1:5" x14ac:dyDescent="0.2">
      <c r="A3481" t="s">
        <v>1149</v>
      </c>
      <c r="B3481" t="s">
        <v>1150</v>
      </c>
      <c r="C3481" t="s">
        <v>442</v>
      </c>
      <c r="D3481" t="str">
        <f>VLOOKUP(C3481,'lookup table'!$A$2:$B$19,2,FALSE)</f>
        <v>Partner Unit</v>
      </c>
      <c r="E3481" t="str">
        <f t="shared" si="54"/>
        <v>AL130_11|Partner Unit</v>
      </c>
    </row>
    <row r="3482" spans="1:5" x14ac:dyDescent="0.2">
      <c r="A3482" t="s">
        <v>1149</v>
      </c>
      <c r="B3482" t="s">
        <v>1150</v>
      </c>
      <c r="C3482" t="s">
        <v>447</v>
      </c>
      <c r="D3482" t="str">
        <f>VLOOKUP(C3482,'lookup table'!$A$2:$B$19,2,FALSE)</f>
        <v>REX</v>
      </c>
      <c r="E3482" t="str">
        <f t="shared" si="54"/>
        <v>AL130_11|REX</v>
      </c>
    </row>
    <row r="3483" spans="1:5" x14ac:dyDescent="0.2">
      <c r="A3483" t="s">
        <v>1149</v>
      </c>
      <c r="B3483" t="s">
        <v>1150</v>
      </c>
      <c r="C3483" t="s">
        <v>449</v>
      </c>
      <c r="D3483" t="e">
        <f>VLOOKUP(C3483,'lookup table'!$A$2:$B$19,2,FALSE)</f>
        <v>#N/A</v>
      </c>
      <c r="E3483" t="str">
        <f t="shared" si="54"/>
        <v/>
      </c>
    </row>
    <row r="3484" spans="1:5" x14ac:dyDescent="0.2">
      <c r="A3484" t="s">
        <v>1149</v>
      </c>
      <c r="B3484" t="s">
        <v>1150</v>
      </c>
      <c r="C3484" t="s">
        <v>457</v>
      </c>
      <c r="D3484" t="str">
        <f>VLOOKUP(C3484,'lookup table'!$A$2:$B$19,2,FALSE)</f>
        <v>VLT</v>
      </c>
      <c r="E3484" t="str">
        <f t="shared" si="54"/>
        <v>AL130_11|VLT</v>
      </c>
    </row>
    <row r="3485" spans="1:5" x14ac:dyDescent="0.2">
      <c r="A3485" t="s">
        <v>1149</v>
      </c>
      <c r="B3485" t="s">
        <v>1150</v>
      </c>
      <c r="C3485" t="s">
        <v>458</v>
      </c>
      <c r="D3485" t="str">
        <f>VLOOKUP(C3485,'lookup table'!$A$2:$B$19,2,FALSE)</f>
        <v>VAR</v>
      </c>
      <c r="E3485" t="str">
        <f t="shared" si="54"/>
        <v>AL130_11|VAR</v>
      </c>
    </row>
    <row r="3486" spans="1:5" x14ac:dyDescent="0.2">
      <c r="A3486" t="s">
        <v>1151</v>
      </c>
      <c r="B3486" t="s">
        <v>1152</v>
      </c>
      <c r="C3486" t="s">
        <v>14</v>
      </c>
      <c r="D3486" t="str">
        <f>VLOOKUP(C3486,'lookup table'!$A$2:$B$19,2,FALSE)</f>
        <v>ALC</v>
      </c>
      <c r="E3486" t="str">
        <f t="shared" si="54"/>
        <v>AL130_12|ALC</v>
      </c>
    </row>
    <row r="3487" spans="1:5" x14ac:dyDescent="0.2">
      <c r="A3487" t="s">
        <v>1151</v>
      </c>
      <c r="B3487" t="s">
        <v>1152</v>
      </c>
      <c r="C3487" t="s">
        <v>20</v>
      </c>
      <c r="D3487" t="str">
        <f>VLOOKUP(C3487,'lookup table'!$A$2:$B$19,2,FALSE)</f>
        <v>AY</v>
      </c>
      <c r="E3487" t="str">
        <f t="shared" si="54"/>
        <v>AL130_12|AY</v>
      </c>
    </row>
    <row r="3488" spans="1:5" x14ac:dyDescent="0.2">
      <c r="A3488" t="s">
        <v>1151</v>
      </c>
      <c r="B3488" t="s">
        <v>1152</v>
      </c>
      <c r="C3488" t="s">
        <v>136</v>
      </c>
      <c r="D3488" t="str">
        <f>VLOOKUP(C3488,'lookup table'!$A$2:$B$19,2,FALSE)</f>
        <v>BBA Set</v>
      </c>
      <c r="E3488" t="str">
        <f t="shared" si="54"/>
        <v>AL130_12|BBA Set</v>
      </c>
    </row>
    <row r="3489" spans="1:5" x14ac:dyDescent="0.2">
      <c r="A3489" t="s">
        <v>1151</v>
      </c>
      <c r="B3489" t="s">
        <v>1152</v>
      </c>
      <c r="C3489" t="s">
        <v>331</v>
      </c>
      <c r="D3489" t="str">
        <f>VLOOKUP(C3489,'lookup table'!$A$2:$B$19,2,FALSE)</f>
        <v>FS Item</v>
      </c>
      <c r="E3489" t="str">
        <f t="shared" si="54"/>
        <v>AL130_12|FS Item</v>
      </c>
    </row>
    <row r="3490" spans="1:5" x14ac:dyDescent="0.2">
      <c r="A3490" t="s">
        <v>1151</v>
      </c>
      <c r="B3490" t="s">
        <v>1152</v>
      </c>
      <c r="C3490" t="s">
        <v>423</v>
      </c>
      <c r="D3490" t="str">
        <f>VLOOKUP(C3490,'lookup table'!$A$2:$B$19,2,FALSE)</f>
        <v>ignore</v>
      </c>
      <c r="E3490" t="str">
        <f t="shared" si="54"/>
        <v>AL130_12|ignore</v>
      </c>
    </row>
    <row r="3491" spans="1:5" x14ac:dyDescent="0.2">
      <c r="A3491" t="s">
        <v>1151</v>
      </c>
      <c r="B3491" t="s">
        <v>1152</v>
      </c>
      <c r="C3491" t="s">
        <v>424</v>
      </c>
      <c r="D3491" t="str">
        <f>VLOOKUP(C3491,'lookup table'!$A$2:$B$19,2,FALSE)</f>
        <v>GRC</v>
      </c>
      <c r="E3491" t="str">
        <f t="shared" si="54"/>
        <v>AL130_12|GRC</v>
      </c>
    </row>
    <row r="3492" spans="1:5" x14ac:dyDescent="0.2">
      <c r="A3492" t="s">
        <v>1151</v>
      </c>
      <c r="B3492" t="s">
        <v>1152</v>
      </c>
      <c r="C3492" t="s">
        <v>425</v>
      </c>
      <c r="D3492" t="str">
        <f>VLOOKUP(C3492,'lookup table'!$A$2:$B$19,2,FALSE)</f>
        <v>Investee Segment</v>
      </c>
      <c r="E3492" t="str">
        <f t="shared" si="54"/>
        <v>AL130_12|Investee Segment</v>
      </c>
    </row>
    <row r="3493" spans="1:5" x14ac:dyDescent="0.2">
      <c r="A3493" t="s">
        <v>1151</v>
      </c>
      <c r="B3493" t="s">
        <v>1152</v>
      </c>
      <c r="C3493" t="s">
        <v>426</v>
      </c>
      <c r="D3493" t="str">
        <f>VLOOKUP(C3493,'lookup table'!$A$2:$B$19,2,FALSE)</f>
        <v>Investee Unit</v>
      </c>
      <c r="E3493" t="str">
        <f t="shared" si="54"/>
        <v>AL130_12|Investee Unit</v>
      </c>
    </row>
    <row r="3494" spans="1:5" x14ac:dyDescent="0.2">
      <c r="A3494" t="s">
        <v>1151</v>
      </c>
      <c r="B3494" t="s">
        <v>1152</v>
      </c>
      <c r="C3494" t="s">
        <v>428</v>
      </c>
      <c r="D3494" t="str">
        <f>VLOOKUP(C3494,'lookup table'!$A$2:$B$19,2,FALSE)</f>
        <v>LoB</v>
      </c>
      <c r="E3494" t="str">
        <f t="shared" si="54"/>
        <v>AL130_12|LoB</v>
      </c>
    </row>
    <row r="3495" spans="1:5" x14ac:dyDescent="0.2">
      <c r="A3495" t="s">
        <v>1151</v>
      </c>
      <c r="B3495" t="s">
        <v>1152</v>
      </c>
      <c r="C3495" t="s">
        <v>436</v>
      </c>
      <c r="D3495" t="str">
        <f>VLOOKUP(C3495,'lookup table'!$A$2:$B$19,2,FALSE)</f>
        <v>MAT</v>
      </c>
      <c r="E3495" t="str">
        <f t="shared" si="54"/>
        <v>AL130_12|MAT</v>
      </c>
    </row>
    <row r="3496" spans="1:5" x14ac:dyDescent="0.2">
      <c r="A3496" t="s">
        <v>1151</v>
      </c>
      <c r="B3496" t="s">
        <v>1152</v>
      </c>
      <c r="C3496" t="s">
        <v>438</v>
      </c>
      <c r="D3496" t="str">
        <f>VLOOKUP(C3496,'lookup table'!$A$2:$B$19,2,FALSE)</f>
        <v>ToM</v>
      </c>
      <c r="E3496" t="str">
        <f t="shared" si="54"/>
        <v>AL130_12|ToM</v>
      </c>
    </row>
    <row r="3497" spans="1:5" x14ac:dyDescent="0.2">
      <c r="A3497" t="s">
        <v>1151</v>
      </c>
      <c r="B3497" t="s">
        <v>1152</v>
      </c>
      <c r="C3497" t="s">
        <v>441</v>
      </c>
      <c r="D3497" t="str">
        <f>VLOOKUP(C3497,'lookup table'!$A$2:$B$19,2,FALSE)</f>
        <v>Partner Segment</v>
      </c>
      <c r="E3497" t="str">
        <f t="shared" si="54"/>
        <v>AL130_12|Partner Segment</v>
      </c>
    </row>
    <row r="3498" spans="1:5" x14ac:dyDescent="0.2">
      <c r="A3498" t="s">
        <v>1151</v>
      </c>
      <c r="B3498" t="s">
        <v>1152</v>
      </c>
      <c r="C3498" t="s">
        <v>442</v>
      </c>
      <c r="D3498" t="str">
        <f>VLOOKUP(C3498,'lookup table'!$A$2:$B$19,2,FALSE)</f>
        <v>Partner Unit</v>
      </c>
      <c r="E3498" t="str">
        <f t="shared" si="54"/>
        <v>AL130_12|Partner Unit</v>
      </c>
    </row>
    <row r="3499" spans="1:5" x14ac:dyDescent="0.2">
      <c r="A3499" t="s">
        <v>1151</v>
      </c>
      <c r="B3499" t="s">
        <v>1152</v>
      </c>
      <c r="C3499" t="s">
        <v>447</v>
      </c>
      <c r="D3499" t="str">
        <f>VLOOKUP(C3499,'lookup table'!$A$2:$B$19,2,FALSE)</f>
        <v>REX</v>
      </c>
      <c r="E3499" t="str">
        <f t="shared" si="54"/>
        <v>AL130_12|REX</v>
      </c>
    </row>
    <row r="3500" spans="1:5" x14ac:dyDescent="0.2">
      <c r="A3500" t="s">
        <v>1151</v>
      </c>
      <c r="B3500" t="s">
        <v>1152</v>
      </c>
      <c r="C3500" t="s">
        <v>449</v>
      </c>
      <c r="D3500" t="e">
        <f>VLOOKUP(C3500,'lookup table'!$A$2:$B$19,2,FALSE)</f>
        <v>#N/A</v>
      </c>
      <c r="E3500" t="str">
        <f t="shared" si="54"/>
        <v/>
      </c>
    </row>
    <row r="3501" spans="1:5" x14ac:dyDescent="0.2">
      <c r="A3501" t="s">
        <v>1151</v>
      </c>
      <c r="B3501" t="s">
        <v>1152</v>
      </c>
      <c r="C3501" t="s">
        <v>457</v>
      </c>
      <c r="D3501" t="str">
        <f>VLOOKUP(C3501,'lookup table'!$A$2:$B$19,2,FALSE)</f>
        <v>VLT</v>
      </c>
      <c r="E3501" t="str">
        <f t="shared" si="54"/>
        <v>AL130_12|VLT</v>
      </c>
    </row>
    <row r="3502" spans="1:5" x14ac:dyDescent="0.2">
      <c r="A3502" t="s">
        <v>1151</v>
      </c>
      <c r="B3502" t="s">
        <v>1152</v>
      </c>
      <c r="C3502" t="s">
        <v>458</v>
      </c>
      <c r="D3502" t="str">
        <f>VLOOKUP(C3502,'lookup table'!$A$2:$B$19,2,FALSE)</f>
        <v>VAR</v>
      </c>
      <c r="E3502" t="str">
        <f t="shared" si="54"/>
        <v>AL130_12|VAR</v>
      </c>
    </row>
    <row r="3503" spans="1:5" x14ac:dyDescent="0.2">
      <c r="A3503" t="s">
        <v>1153</v>
      </c>
      <c r="B3503" t="s">
        <v>1154</v>
      </c>
      <c r="C3503" t="s">
        <v>14</v>
      </c>
      <c r="D3503" t="str">
        <f>VLOOKUP(C3503,'lookup table'!$A$2:$B$19,2,FALSE)</f>
        <v>ALC</v>
      </c>
      <c r="E3503" t="str">
        <f t="shared" si="54"/>
        <v>AL130_13|ALC</v>
      </c>
    </row>
    <row r="3504" spans="1:5" x14ac:dyDescent="0.2">
      <c r="A3504" t="s">
        <v>1153</v>
      </c>
      <c r="B3504" t="s">
        <v>1154</v>
      </c>
      <c r="C3504" t="s">
        <v>20</v>
      </c>
      <c r="D3504" t="str">
        <f>VLOOKUP(C3504,'lookup table'!$A$2:$B$19,2,FALSE)</f>
        <v>AY</v>
      </c>
      <c r="E3504" t="str">
        <f t="shared" si="54"/>
        <v>AL130_13|AY</v>
      </c>
    </row>
    <row r="3505" spans="1:5" x14ac:dyDescent="0.2">
      <c r="A3505" t="s">
        <v>1153</v>
      </c>
      <c r="B3505" t="s">
        <v>1154</v>
      </c>
      <c r="C3505" t="s">
        <v>136</v>
      </c>
      <c r="D3505" t="str">
        <f>VLOOKUP(C3505,'lookup table'!$A$2:$B$19,2,FALSE)</f>
        <v>BBA Set</v>
      </c>
      <c r="E3505" t="str">
        <f t="shared" si="54"/>
        <v>AL130_13|BBA Set</v>
      </c>
    </row>
    <row r="3506" spans="1:5" x14ac:dyDescent="0.2">
      <c r="A3506" t="s">
        <v>1153</v>
      </c>
      <c r="B3506" t="s">
        <v>1154</v>
      </c>
      <c r="C3506" t="s">
        <v>331</v>
      </c>
      <c r="D3506" t="str">
        <f>VLOOKUP(C3506,'lookup table'!$A$2:$B$19,2,FALSE)</f>
        <v>FS Item</v>
      </c>
      <c r="E3506" t="str">
        <f t="shared" si="54"/>
        <v>AL130_13|FS Item</v>
      </c>
    </row>
    <row r="3507" spans="1:5" x14ac:dyDescent="0.2">
      <c r="A3507" t="s">
        <v>1153</v>
      </c>
      <c r="B3507" t="s">
        <v>1154</v>
      </c>
      <c r="C3507" t="s">
        <v>423</v>
      </c>
      <c r="D3507" t="str">
        <f>VLOOKUP(C3507,'lookup table'!$A$2:$B$19,2,FALSE)</f>
        <v>ignore</v>
      </c>
      <c r="E3507" t="str">
        <f t="shared" si="54"/>
        <v>AL130_13|ignore</v>
      </c>
    </row>
    <row r="3508" spans="1:5" x14ac:dyDescent="0.2">
      <c r="A3508" t="s">
        <v>1153</v>
      </c>
      <c r="B3508" t="s">
        <v>1154</v>
      </c>
      <c r="C3508" t="s">
        <v>424</v>
      </c>
      <c r="D3508" t="str">
        <f>VLOOKUP(C3508,'lookup table'!$A$2:$B$19,2,FALSE)</f>
        <v>GRC</v>
      </c>
      <c r="E3508" t="str">
        <f t="shared" si="54"/>
        <v>AL130_13|GRC</v>
      </c>
    </row>
    <row r="3509" spans="1:5" x14ac:dyDescent="0.2">
      <c r="A3509" t="s">
        <v>1153</v>
      </c>
      <c r="B3509" t="s">
        <v>1154</v>
      </c>
      <c r="C3509" t="s">
        <v>425</v>
      </c>
      <c r="D3509" t="str">
        <f>VLOOKUP(C3509,'lookup table'!$A$2:$B$19,2,FALSE)</f>
        <v>Investee Segment</v>
      </c>
      <c r="E3509" t="str">
        <f t="shared" si="54"/>
        <v>AL130_13|Investee Segment</v>
      </c>
    </row>
    <row r="3510" spans="1:5" x14ac:dyDescent="0.2">
      <c r="A3510" t="s">
        <v>1153</v>
      </c>
      <c r="B3510" t="s">
        <v>1154</v>
      </c>
      <c r="C3510" t="s">
        <v>426</v>
      </c>
      <c r="D3510" t="str">
        <f>VLOOKUP(C3510,'lookup table'!$A$2:$B$19,2,FALSE)</f>
        <v>Investee Unit</v>
      </c>
      <c r="E3510" t="str">
        <f t="shared" si="54"/>
        <v>AL130_13|Investee Unit</v>
      </c>
    </row>
    <row r="3511" spans="1:5" x14ac:dyDescent="0.2">
      <c r="A3511" t="s">
        <v>1153</v>
      </c>
      <c r="B3511" t="s">
        <v>1154</v>
      </c>
      <c r="C3511" t="s">
        <v>428</v>
      </c>
      <c r="D3511" t="str">
        <f>VLOOKUP(C3511,'lookup table'!$A$2:$B$19,2,FALSE)</f>
        <v>LoB</v>
      </c>
      <c r="E3511" t="str">
        <f t="shared" si="54"/>
        <v>AL130_13|LoB</v>
      </c>
    </row>
    <row r="3512" spans="1:5" x14ac:dyDescent="0.2">
      <c r="A3512" t="s">
        <v>1153</v>
      </c>
      <c r="B3512" t="s">
        <v>1154</v>
      </c>
      <c r="C3512" t="s">
        <v>436</v>
      </c>
      <c r="D3512" t="str">
        <f>VLOOKUP(C3512,'lookup table'!$A$2:$B$19,2,FALSE)</f>
        <v>MAT</v>
      </c>
      <c r="E3512" t="str">
        <f t="shared" si="54"/>
        <v>AL130_13|MAT</v>
      </c>
    </row>
    <row r="3513" spans="1:5" x14ac:dyDescent="0.2">
      <c r="A3513" t="s">
        <v>1153</v>
      </c>
      <c r="B3513" t="s">
        <v>1154</v>
      </c>
      <c r="C3513" t="s">
        <v>438</v>
      </c>
      <c r="D3513" t="str">
        <f>VLOOKUP(C3513,'lookup table'!$A$2:$B$19,2,FALSE)</f>
        <v>ToM</v>
      </c>
      <c r="E3513" t="str">
        <f t="shared" si="54"/>
        <v>AL130_13|ToM</v>
      </c>
    </row>
    <row r="3514" spans="1:5" x14ac:dyDescent="0.2">
      <c r="A3514" t="s">
        <v>1153</v>
      </c>
      <c r="B3514" t="s">
        <v>1154</v>
      </c>
      <c r="C3514" t="s">
        <v>441</v>
      </c>
      <c r="D3514" t="str">
        <f>VLOOKUP(C3514,'lookup table'!$A$2:$B$19,2,FALSE)</f>
        <v>Partner Segment</v>
      </c>
      <c r="E3514" t="str">
        <f t="shared" si="54"/>
        <v>AL130_13|Partner Segment</v>
      </c>
    </row>
    <row r="3515" spans="1:5" x14ac:dyDescent="0.2">
      <c r="A3515" t="s">
        <v>1153</v>
      </c>
      <c r="B3515" t="s">
        <v>1154</v>
      </c>
      <c r="C3515" t="s">
        <v>442</v>
      </c>
      <c r="D3515" t="str">
        <f>VLOOKUP(C3515,'lookup table'!$A$2:$B$19,2,FALSE)</f>
        <v>Partner Unit</v>
      </c>
      <c r="E3515" t="str">
        <f t="shared" si="54"/>
        <v>AL130_13|Partner Unit</v>
      </c>
    </row>
    <row r="3516" spans="1:5" x14ac:dyDescent="0.2">
      <c r="A3516" t="s">
        <v>1153</v>
      </c>
      <c r="B3516" t="s">
        <v>1154</v>
      </c>
      <c r="C3516" t="s">
        <v>447</v>
      </c>
      <c r="D3516" t="str">
        <f>VLOOKUP(C3516,'lookup table'!$A$2:$B$19,2,FALSE)</f>
        <v>REX</v>
      </c>
      <c r="E3516" t="str">
        <f t="shared" si="54"/>
        <v>AL130_13|REX</v>
      </c>
    </row>
    <row r="3517" spans="1:5" x14ac:dyDescent="0.2">
      <c r="A3517" t="s">
        <v>1153</v>
      </c>
      <c r="B3517" t="s">
        <v>1154</v>
      </c>
      <c r="C3517" t="s">
        <v>449</v>
      </c>
      <c r="D3517" t="e">
        <f>VLOOKUP(C3517,'lookup table'!$A$2:$B$19,2,FALSE)</f>
        <v>#N/A</v>
      </c>
      <c r="E3517" t="str">
        <f t="shared" si="54"/>
        <v/>
      </c>
    </row>
    <row r="3518" spans="1:5" x14ac:dyDescent="0.2">
      <c r="A3518" t="s">
        <v>1153</v>
      </c>
      <c r="B3518" t="s">
        <v>1154</v>
      </c>
      <c r="C3518" t="s">
        <v>457</v>
      </c>
      <c r="D3518" t="str">
        <f>VLOOKUP(C3518,'lookup table'!$A$2:$B$19,2,FALSE)</f>
        <v>VLT</v>
      </c>
      <c r="E3518" t="str">
        <f t="shared" si="54"/>
        <v>AL130_13|VLT</v>
      </c>
    </row>
    <row r="3519" spans="1:5" x14ac:dyDescent="0.2">
      <c r="A3519" t="s">
        <v>1153</v>
      </c>
      <c r="B3519" t="s">
        <v>1154</v>
      </c>
      <c r="C3519" t="s">
        <v>458</v>
      </c>
      <c r="D3519" t="str">
        <f>VLOOKUP(C3519,'lookup table'!$A$2:$B$19,2,FALSE)</f>
        <v>VAR</v>
      </c>
      <c r="E3519" t="str">
        <f t="shared" si="54"/>
        <v>AL130_13|VAR</v>
      </c>
    </row>
    <row r="3520" spans="1:5" x14ac:dyDescent="0.2">
      <c r="A3520" t="s">
        <v>1155</v>
      </c>
      <c r="B3520" t="s">
        <v>1156</v>
      </c>
      <c r="C3520" t="s">
        <v>14</v>
      </c>
      <c r="D3520" t="str">
        <f>VLOOKUP(C3520,'lookup table'!$A$2:$B$19,2,FALSE)</f>
        <v>ALC</v>
      </c>
      <c r="E3520" t="str">
        <f t="shared" si="54"/>
        <v>AL130_14|ALC</v>
      </c>
    </row>
    <row r="3521" spans="1:5" x14ac:dyDescent="0.2">
      <c r="A3521" t="s">
        <v>1155</v>
      </c>
      <c r="B3521" t="s">
        <v>1156</v>
      </c>
      <c r="C3521" t="s">
        <v>20</v>
      </c>
      <c r="D3521" t="str">
        <f>VLOOKUP(C3521,'lookup table'!$A$2:$B$19,2,FALSE)</f>
        <v>AY</v>
      </c>
      <c r="E3521" t="str">
        <f t="shared" si="54"/>
        <v>AL130_14|AY</v>
      </c>
    </row>
    <row r="3522" spans="1:5" x14ac:dyDescent="0.2">
      <c r="A3522" t="s">
        <v>1155</v>
      </c>
      <c r="B3522" t="s">
        <v>1156</v>
      </c>
      <c r="C3522" t="s">
        <v>136</v>
      </c>
      <c r="D3522" t="str">
        <f>VLOOKUP(C3522,'lookup table'!$A$2:$B$19,2,FALSE)</f>
        <v>BBA Set</v>
      </c>
      <c r="E3522" t="str">
        <f t="shared" si="54"/>
        <v>AL130_14|BBA Set</v>
      </c>
    </row>
    <row r="3523" spans="1:5" x14ac:dyDescent="0.2">
      <c r="A3523" t="s">
        <v>1155</v>
      </c>
      <c r="B3523" t="s">
        <v>1156</v>
      </c>
      <c r="C3523" t="s">
        <v>331</v>
      </c>
      <c r="D3523" t="str">
        <f>VLOOKUP(C3523,'lookup table'!$A$2:$B$19,2,FALSE)</f>
        <v>FS Item</v>
      </c>
      <c r="E3523" t="str">
        <f t="shared" ref="E3523:E3586" si="55">IF(ISNA(D3523),"",IF(A3523="","",A3523) &amp; "|" &amp; D3523)</f>
        <v>AL130_14|FS Item</v>
      </c>
    </row>
    <row r="3524" spans="1:5" x14ac:dyDescent="0.2">
      <c r="A3524" t="s">
        <v>1155</v>
      </c>
      <c r="B3524" t="s">
        <v>1156</v>
      </c>
      <c r="C3524" t="s">
        <v>423</v>
      </c>
      <c r="D3524" t="str">
        <f>VLOOKUP(C3524,'lookup table'!$A$2:$B$19,2,FALSE)</f>
        <v>ignore</v>
      </c>
      <c r="E3524" t="str">
        <f t="shared" si="55"/>
        <v>AL130_14|ignore</v>
      </c>
    </row>
    <row r="3525" spans="1:5" x14ac:dyDescent="0.2">
      <c r="A3525" t="s">
        <v>1155</v>
      </c>
      <c r="B3525" t="s">
        <v>1156</v>
      </c>
      <c r="C3525" t="s">
        <v>424</v>
      </c>
      <c r="D3525" t="str">
        <f>VLOOKUP(C3525,'lookup table'!$A$2:$B$19,2,FALSE)</f>
        <v>GRC</v>
      </c>
      <c r="E3525" t="str">
        <f t="shared" si="55"/>
        <v>AL130_14|GRC</v>
      </c>
    </row>
    <row r="3526" spans="1:5" x14ac:dyDescent="0.2">
      <c r="A3526" t="s">
        <v>1155</v>
      </c>
      <c r="B3526" t="s">
        <v>1156</v>
      </c>
      <c r="C3526" t="s">
        <v>425</v>
      </c>
      <c r="D3526" t="str">
        <f>VLOOKUP(C3526,'lookup table'!$A$2:$B$19,2,FALSE)</f>
        <v>Investee Segment</v>
      </c>
      <c r="E3526" t="str">
        <f t="shared" si="55"/>
        <v>AL130_14|Investee Segment</v>
      </c>
    </row>
    <row r="3527" spans="1:5" x14ac:dyDescent="0.2">
      <c r="A3527" t="s">
        <v>1155</v>
      </c>
      <c r="B3527" t="s">
        <v>1156</v>
      </c>
      <c r="C3527" t="s">
        <v>426</v>
      </c>
      <c r="D3527" t="str">
        <f>VLOOKUP(C3527,'lookup table'!$A$2:$B$19,2,FALSE)</f>
        <v>Investee Unit</v>
      </c>
      <c r="E3527" t="str">
        <f t="shared" si="55"/>
        <v>AL130_14|Investee Unit</v>
      </c>
    </row>
    <row r="3528" spans="1:5" x14ac:dyDescent="0.2">
      <c r="A3528" t="s">
        <v>1155</v>
      </c>
      <c r="B3528" t="s">
        <v>1156</v>
      </c>
      <c r="C3528" t="s">
        <v>428</v>
      </c>
      <c r="D3528" t="str">
        <f>VLOOKUP(C3528,'lookup table'!$A$2:$B$19,2,FALSE)</f>
        <v>LoB</v>
      </c>
      <c r="E3528" t="str">
        <f t="shared" si="55"/>
        <v>AL130_14|LoB</v>
      </c>
    </row>
    <row r="3529" spans="1:5" x14ac:dyDescent="0.2">
      <c r="A3529" t="s">
        <v>1155</v>
      </c>
      <c r="B3529" t="s">
        <v>1156</v>
      </c>
      <c r="C3529" t="s">
        <v>436</v>
      </c>
      <c r="D3529" t="str">
        <f>VLOOKUP(C3529,'lookup table'!$A$2:$B$19,2,FALSE)</f>
        <v>MAT</v>
      </c>
      <c r="E3529" t="str">
        <f t="shared" si="55"/>
        <v>AL130_14|MAT</v>
      </c>
    </row>
    <row r="3530" spans="1:5" x14ac:dyDescent="0.2">
      <c r="A3530" t="s">
        <v>1155</v>
      </c>
      <c r="B3530" t="s">
        <v>1156</v>
      </c>
      <c r="C3530" t="s">
        <v>438</v>
      </c>
      <c r="D3530" t="str">
        <f>VLOOKUP(C3530,'lookup table'!$A$2:$B$19,2,FALSE)</f>
        <v>ToM</v>
      </c>
      <c r="E3530" t="str">
        <f t="shared" si="55"/>
        <v>AL130_14|ToM</v>
      </c>
    </row>
    <row r="3531" spans="1:5" x14ac:dyDescent="0.2">
      <c r="A3531" t="s">
        <v>1155</v>
      </c>
      <c r="B3531" t="s">
        <v>1156</v>
      </c>
      <c r="C3531" t="s">
        <v>441</v>
      </c>
      <c r="D3531" t="str">
        <f>VLOOKUP(C3531,'lookup table'!$A$2:$B$19,2,FALSE)</f>
        <v>Partner Segment</v>
      </c>
      <c r="E3531" t="str">
        <f t="shared" si="55"/>
        <v>AL130_14|Partner Segment</v>
      </c>
    </row>
    <row r="3532" spans="1:5" x14ac:dyDescent="0.2">
      <c r="A3532" t="s">
        <v>1155</v>
      </c>
      <c r="B3532" t="s">
        <v>1156</v>
      </c>
      <c r="C3532" t="s">
        <v>442</v>
      </c>
      <c r="D3532" t="str">
        <f>VLOOKUP(C3532,'lookup table'!$A$2:$B$19,2,FALSE)</f>
        <v>Partner Unit</v>
      </c>
      <c r="E3532" t="str">
        <f t="shared" si="55"/>
        <v>AL130_14|Partner Unit</v>
      </c>
    </row>
    <row r="3533" spans="1:5" x14ac:dyDescent="0.2">
      <c r="A3533" t="s">
        <v>1155</v>
      </c>
      <c r="B3533" t="s">
        <v>1156</v>
      </c>
      <c r="C3533" t="s">
        <v>447</v>
      </c>
      <c r="D3533" t="str">
        <f>VLOOKUP(C3533,'lookup table'!$A$2:$B$19,2,FALSE)</f>
        <v>REX</v>
      </c>
      <c r="E3533" t="str">
        <f t="shared" si="55"/>
        <v>AL130_14|REX</v>
      </c>
    </row>
    <row r="3534" spans="1:5" x14ac:dyDescent="0.2">
      <c r="A3534" t="s">
        <v>1155</v>
      </c>
      <c r="B3534" t="s">
        <v>1156</v>
      </c>
      <c r="C3534" t="s">
        <v>449</v>
      </c>
      <c r="D3534" t="e">
        <f>VLOOKUP(C3534,'lookup table'!$A$2:$B$19,2,FALSE)</f>
        <v>#N/A</v>
      </c>
      <c r="E3534" t="str">
        <f t="shared" si="55"/>
        <v/>
      </c>
    </row>
    <row r="3535" spans="1:5" x14ac:dyDescent="0.2">
      <c r="A3535" t="s">
        <v>1155</v>
      </c>
      <c r="B3535" t="s">
        <v>1156</v>
      </c>
      <c r="C3535" t="s">
        <v>457</v>
      </c>
      <c r="D3535" t="str">
        <f>VLOOKUP(C3535,'lookup table'!$A$2:$B$19,2,FALSE)</f>
        <v>VLT</v>
      </c>
      <c r="E3535" t="str">
        <f t="shared" si="55"/>
        <v>AL130_14|VLT</v>
      </c>
    </row>
    <row r="3536" spans="1:5" x14ac:dyDescent="0.2">
      <c r="A3536" t="s">
        <v>1155</v>
      </c>
      <c r="B3536" t="s">
        <v>1156</v>
      </c>
      <c r="C3536" t="s">
        <v>458</v>
      </c>
      <c r="D3536" t="str">
        <f>VLOOKUP(C3536,'lookup table'!$A$2:$B$19,2,FALSE)</f>
        <v>VAR</v>
      </c>
      <c r="E3536" t="str">
        <f t="shared" si="55"/>
        <v>AL130_14|VAR</v>
      </c>
    </row>
    <row r="3537" spans="1:5" x14ac:dyDescent="0.2">
      <c r="A3537" t="s">
        <v>1157</v>
      </c>
      <c r="B3537" t="s">
        <v>1158</v>
      </c>
      <c r="C3537" t="s">
        <v>14</v>
      </c>
      <c r="D3537" t="str">
        <f>VLOOKUP(C3537,'lookup table'!$A$2:$B$19,2,FALSE)</f>
        <v>ALC</v>
      </c>
      <c r="E3537" t="str">
        <f t="shared" si="55"/>
        <v>AL131_00|ALC</v>
      </c>
    </row>
    <row r="3538" spans="1:5" x14ac:dyDescent="0.2">
      <c r="A3538" t="s">
        <v>1157</v>
      </c>
      <c r="B3538" t="s">
        <v>1158</v>
      </c>
      <c r="C3538" t="s">
        <v>20</v>
      </c>
      <c r="D3538" t="str">
        <f>VLOOKUP(C3538,'lookup table'!$A$2:$B$19,2,FALSE)</f>
        <v>AY</v>
      </c>
      <c r="E3538" t="str">
        <f t="shared" si="55"/>
        <v>AL131_00|AY</v>
      </c>
    </row>
    <row r="3539" spans="1:5" x14ac:dyDescent="0.2">
      <c r="A3539" t="s">
        <v>1157</v>
      </c>
      <c r="B3539" t="s">
        <v>1158</v>
      </c>
      <c r="C3539" t="s">
        <v>136</v>
      </c>
      <c r="D3539" t="str">
        <f>VLOOKUP(C3539,'lookup table'!$A$2:$B$19,2,FALSE)</f>
        <v>BBA Set</v>
      </c>
      <c r="E3539" t="str">
        <f t="shared" si="55"/>
        <v>AL131_00|BBA Set</v>
      </c>
    </row>
    <row r="3540" spans="1:5" x14ac:dyDescent="0.2">
      <c r="A3540" t="s">
        <v>1157</v>
      </c>
      <c r="B3540" t="s">
        <v>1158</v>
      </c>
      <c r="C3540" t="s">
        <v>331</v>
      </c>
      <c r="D3540" t="str">
        <f>VLOOKUP(C3540,'lookup table'!$A$2:$B$19,2,FALSE)</f>
        <v>FS Item</v>
      </c>
      <c r="E3540" t="str">
        <f t="shared" si="55"/>
        <v>AL131_00|FS Item</v>
      </c>
    </row>
    <row r="3541" spans="1:5" x14ac:dyDescent="0.2">
      <c r="A3541" t="s">
        <v>1157</v>
      </c>
      <c r="B3541" t="s">
        <v>1158</v>
      </c>
      <c r="C3541" t="s">
        <v>423</v>
      </c>
      <c r="D3541" t="str">
        <f>VLOOKUP(C3541,'lookup table'!$A$2:$B$19,2,FALSE)</f>
        <v>ignore</v>
      </c>
      <c r="E3541" t="str">
        <f t="shared" si="55"/>
        <v>AL131_00|ignore</v>
      </c>
    </row>
    <row r="3542" spans="1:5" x14ac:dyDescent="0.2">
      <c r="A3542" t="s">
        <v>1157</v>
      </c>
      <c r="B3542" t="s">
        <v>1158</v>
      </c>
      <c r="C3542" t="s">
        <v>424</v>
      </c>
      <c r="D3542" t="str">
        <f>VLOOKUP(C3542,'lookup table'!$A$2:$B$19,2,FALSE)</f>
        <v>GRC</v>
      </c>
      <c r="E3542" t="str">
        <f t="shared" si="55"/>
        <v>AL131_00|GRC</v>
      </c>
    </row>
    <row r="3543" spans="1:5" x14ac:dyDescent="0.2">
      <c r="A3543" t="s">
        <v>1157</v>
      </c>
      <c r="B3543" t="s">
        <v>1158</v>
      </c>
      <c r="C3543" t="s">
        <v>425</v>
      </c>
      <c r="D3543" t="str">
        <f>VLOOKUP(C3543,'lookup table'!$A$2:$B$19,2,FALSE)</f>
        <v>Investee Segment</v>
      </c>
      <c r="E3543" t="str">
        <f t="shared" si="55"/>
        <v>AL131_00|Investee Segment</v>
      </c>
    </row>
    <row r="3544" spans="1:5" x14ac:dyDescent="0.2">
      <c r="A3544" t="s">
        <v>1157</v>
      </c>
      <c r="B3544" t="s">
        <v>1158</v>
      </c>
      <c r="C3544" t="s">
        <v>426</v>
      </c>
      <c r="D3544" t="str">
        <f>VLOOKUP(C3544,'lookup table'!$A$2:$B$19,2,FALSE)</f>
        <v>Investee Unit</v>
      </c>
      <c r="E3544" t="str">
        <f t="shared" si="55"/>
        <v>AL131_00|Investee Unit</v>
      </c>
    </row>
    <row r="3545" spans="1:5" x14ac:dyDescent="0.2">
      <c r="A3545" t="s">
        <v>1157</v>
      </c>
      <c r="B3545" t="s">
        <v>1158</v>
      </c>
      <c r="C3545" t="s">
        <v>428</v>
      </c>
      <c r="D3545" t="str">
        <f>VLOOKUP(C3545,'lookup table'!$A$2:$B$19,2,FALSE)</f>
        <v>LoB</v>
      </c>
      <c r="E3545" t="str">
        <f t="shared" si="55"/>
        <v>AL131_00|LoB</v>
      </c>
    </row>
    <row r="3546" spans="1:5" x14ac:dyDescent="0.2">
      <c r="A3546" t="s">
        <v>1157</v>
      </c>
      <c r="B3546" t="s">
        <v>1158</v>
      </c>
      <c r="C3546" t="s">
        <v>436</v>
      </c>
      <c r="D3546" t="str">
        <f>VLOOKUP(C3546,'lookup table'!$A$2:$B$19,2,FALSE)</f>
        <v>MAT</v>
      </c>
      <c r="E3546" t="str">
        <f t="shared" si="55"/>
        <v>AL131_00|MAT</v>
      </c>
    </row>
    <row r="3547" spans="1:5" x14ac:dyDescent="0.2">
      <c r="A3547" t="s">
        <v>1157</v>
      </c>
      <c r="B3547" t="s">
        <v>1158</v>
      </c>
      <c r="C3547" t="s">
        <v>441</v>
      </c>
      <c r="D3547" t="str">
        <f>VLOOKUP(C3547,'lookup table'!$A$2:$B$19,2,FALSE)</f>
        <v>Partner Segment</v>
      </c>
      <c r="E3547" t="str">
        <f t="shared" si="55"/>
        <v>AL131_00|Partner Segment</v>
      </c>
    </row>
    <row r="3548" spans="1:5" x14ac:dyDescent="0.2">
      <c r="A3548" t="s">
        <v>1157</v>
      </c>
      <c r="B3548" t="s">
        <v>1158</v>
      </c>
      <c r="C3548" t="s">
        <v>442</v>
      </c>
      <c r="D3548" t="str">
        <f>VLOOKUP(C3548,'lookup table'!$A$2:$B$19,2,FALSE)</f>
        <v>Partner Unit</v>
      </c>
      <c r="E3548" t="str">
        <f t="shared" si="55"/>
        <v>AL131_00|Partner Unit</v>
      </c>
    </row>
    <row r="3549" spans="1:5" x14ac:dyDescent="0.2">
      <c r="A3549" t="s">
        <v>1157</v>
      </c>
      <c r="B3549" t="s">
        <v>1158</v>
      </c>
      <c r="C3549" t="s">
        <v>447</v>
      </c>
      <c r="D3549" t="str">
        <f>VLOOKUP(C3549,'lookup table'!$A$2:$B$19,2,FALSE)</f>
        <v>REX</v>
      </c>
      <c r="E3549" t="str">
        <f t="shared" si="55"/>
        <v>AL131_00|REX</v>
      </c>
    </row>
    <row r="3550" spans="1:5" x14ac:dyDescent="0.2">
      <c r="A3550" t="s">
        <v>1157</v>
      </c>
      <c r="B3550" t="s">
        <v>1158</v>
      </c>
      <c r="C3550" t="s">
        <v>457</v>
      </c>
      <c r="D3550" t="str">
        <f>VLOOKUP(C3550,'lookup table'!$A$2:$B$19,2,FALSE)</f>
        <v>VLT</v>
      </c>
      <c r="E3550" t="str">
        <f t="shared" si="55"/>
        <v>AL131_00|VLT</v>
      </c>
    </row>
    <row r="3551" spans="1:5" x14ac:dyDescent="0.2">
      <c r="A3551" t="s">
        <v>1157</v>
      </c>
      <c r="B3551" t="s">
        <v>1158</v>
      </c>
      <c r="C3551" t="s">
        <v>458</v>
      </c>
      <c r="D3551" t="str">
        <f>VLOOKUP(C3551,'lookup table'!$A$2:$B$19,2,FALSE)</f>
        <v>VAR</v>
      </c>
      <c r="E3551" t="str">
        <f t="shared" si="55"/>
        <v>AL131_00|VAR</v>
      </c>
    </row>
    <row r="3552" spans="1:5" x14ac:dyDescent="0.2">
      <c r="A3552" t="s">
        <v>1159</v>
      </c>
      <c r="B3552" t="s">
        <v>1160</v>
      </c>
      <c r="C3552" t="s">
        <v>14</v>
      </c>
      <c r="D3552" t="str">
        <f>VLOOKUP(C3552,'lookup table'!$A$2:$B$19,2,FALSE)</f>
        <v>ALC</v>
      </c>
      <c r="E3552" t="str">
        <f t="shared" si="55"/>
        <v>AL131_01|ALC</v>
      </c>
    </row>
    <row r="3553" spans="1:5" x14ac:dyDescent="0.2">
      <c r="A3553" t="s">
        <v>1159</v>
      </c>
      <c r="B3553" t="s">
        <v>1160</v>
      </c>
      <c r="C3553" t="s">
        <v>20</v>
      </c>
      <c r="D3553" t="str">
        <f>VLOOKUP(C3553,'lookup table'!$A$2:$B$19,2,FALSE)</f>
        <v>AY</v>
      </c>
      <c r="E3553" t="str">
        <f t="shared" si="55"/>
        <v>AL131_01|AY</v>
      </c>
    </row>
    <row r="3554" spans="1:5" x14ac:dyDescent="0.2">
      <c r="A3554" t="s">
        <v>1159</v>
      </c>
      <c r="B3554" t="s">
        <v>1160</v>
      </c>
      <c r="C3554" t="s">
        <v>136</v>
      </c>
      <c r="D3554" t="str">
        <f>VLOOKUP(C3554,'lookup table'!$A$2:$B$19,2,FALSE)</f>
        <v>BBA Set</v>
      </c>
      <c r="E3554" t="str">
        <f t="shared" si="55"/>
        <v>AL131_01|BBA Set</v>
      </c>
    </row>
    <row r="3555" spans="1:5" x14ac:dyDescent="0.2">
      <c r="A3555" t="s">
        <v>1159</v>
      </c>
      <c r="B3555" t="s">
        <v>1160</v>
      </c>
      <c r="C3555" t="s">
        <v>331</v>
      </c>
      <c r="D3555" t="str">
        <f>VLOOKUP(C3555,'lookup table'!$A$2:$B$19,2,FALSE)</f>
        <v>FS Item</v>
      </c>
      <c r="E3555" t="str">
        <f t="shared" si="55"/>
        <v>AL131_01|FS Item</v>
      </c>
    </row>
    <row r="3556" spans="1:5" x14ac:dyDescent="0.2">
      <c r="A3556" t="s">
        <v>1159</v>
      </c>
      <c r="B3556" t="s">
        <v>1160</v>
      </c>
      <c r="C3556" t="s">
        <v>423</v>
      </c>
      <c r="D3556" t="str">
        <f>VLOOKUP(C3556,'lookup table'!$A$2:$B$19,2,FALSE)</f>
        <v>ignore</v>
      </c>
      <c r="E3556" t="str">
        <f t="shared" si="55"/>
        <v>AL131_01|ignore</v>
      </c>
    </row>
    <row r="3557" spans="1:5" x14ac:dyDescent="0.2">
      <c r="A3557" t="s">
        <v>1159</v>
      </c>
      <c r="B3557" t="s">
        <v>1160</v>
      </c>
      <c r="C3557" t="s">
        <v>424</v>
      </c>
      <c r="D3557" t="str">
        <f>VLOOKUP(C3557,'lookup table'!$A$2:$B$19,2,FALSE)</f>
        <v>GRC</v>
      </c>
      <c r="E3557" t="str">
        <f t="shared" si="55"/>
        <v>AL131_01|GRC</v>
      </c>
    </row>
    <row r="3558" spans="1:5" x14ac:dyDescent="0.2">
      <c r="A3558" t="s">
        <v>1159</v>
      </c>
      <c r="B3558" t="s">
        <v>1160</v>
      </c>
      <c r="C3558" t="s">
        <v>425</v>
      </c>
      <c r="D3558" t="str">
        <f>VLOOKUP(C3558,'lookup table'!$A$2:$B$19,2,FALSE)</f>
        <v>Investee Segment</v>
      </c>
      <c r="E3558" t="str">
        <f t="shared" si="55"/>
        <v>AL131_01|Investee Segment</v>
      </c>
    </row>
    <row r="3559" spans="1:5" x14ac:dyDescent="0.2">
      <c r="A3559" t="s">
        <v>1159</v>
      </c>
      <c r="B3559" t="s">
        <v>1160</v>
      </c>
      <c r="C3559" t="s">
        <v>426</v>
      </c>
      <c r="D3559" t="str">
        <f>VLOOKUP(C3559,'lookup table'!$A$2:$B$19,2,FALSE)</f>
        <v>Investee Unit</v>
      </c>
      <c r="E3559" t="str">
        <f t="shared" si="55"/>
        <v>AL131_01|Investee Unit</v>
      </c>
    </row>
    <row r="3560" spans="1:5" x14ac:dyDescent="0.2">
      <c r="A3560" t="s">
        <v>1159</v>
      </c>
      <c r="B3560" t="s">
        <v>1160</v>
      </c>
      <c r="C3560" t="s">
        <v>428</v>
      </c>
      <c r="D3560" t="str">
        <f>VLOOKUP(C3560,'lookup table'!$A$2:$B$19,2,FALSE)</f>
        <v>LoB</v>
      </c>
      <c r="E3560" t="str">
        <f t="shared" si="55"/>
        <v>AL131_01|LoB</v>
      </c>
    </row>
    <row r="3561" spans="1:5" x14ac:dyDescent="0.2">
      <c r="A3561" t="s">
        <v>1159</v>
      </c>
      <c r="B3561" t="s">
        <v>1160</v>
      </c>
      <c r="C3561" t="s">
        <v>436</v>
      </c>
      <c r="D3561" t="str">
        <f>VLOOKUP(C3561,'lookup table'!$A$2:$B$19,2,FALSE)</f>
        <v>MAT</v>
      </c>
      <c r="E3561" t="str">
        <f t="shared" si="55"/>
        <v>AL131_01|MAT</v>
      </c>
    </row>
    <row r="3562" spans="1:5" x14ac:dyDescent="0.2">
      <c r="A3562" t="s">
        <v>1159</v>
      </c>
      <c r="B3562" t="s">
        <v>1160</v>
      </c>
      <c r="C3562" t="s">
        <v>441</v>
      </c>
      <c r="D3562" t="str">
        <f>VLOOKUP(C3562,'lookup table'!$A$2:$B$19,2,FALSE)</f>
        <v>Partner Segment</v>
      </c>
      <c r="E3562" t="str">
        <f t="shared" si="55"/>
        <v>AL131_01|Partner Segment</v>
      </c>
    </row>
    <row r="3563" spans="1:5" x14ac:dyDescent="0.2">
      <c r="A3563" t="s">
        <v>1159</v>
      </c>
      <c r="B3563" t="s">
        <v>1160</v>
      </c>
      <c r="C3563" t="s">
        <v>442</v>
      </c>
      <c r="D3563" t="str">
        <f>VLOOKUP(C3563,'lookup table'!$A$2:$B$19,2,FALSE)</f>
        <v>Partner Unit</v>
      </c>
      <c r="E3563" t="str">
        <f t="shared" si="55"/>
        <v>AL131_01|Partner Unit</v>
      </c>
    </row>
    <row r="3564" spans="1:5" x14ac:dyDescent="0.2">
      <c r="A3564" t="s">
        <v>1159</v>
      </c>
      <c r="B3564" t="s">
        <v>1160</v>
      </c>
      <c r="C3564" t="s">
        <v>447</v>
      </c>
      <c r="D3564" t="str">
        <f>VLOOKUP(C3564,'lookup table'!$A$2:$B$19,2,FALSE)</f>
        <v>REX</v>
      </c>
      <c r="E3564" t="str">
        <f t="shared" si="55"/>
        <v>AL131_01|REX</v>
      </c>
    </row>
    <row r="3565" spans="1:5" x14ac:dyDescent="0.2">
      <c r="A3565" t="s">
        <v>1159</v>
      </c>
      <c r="B3565" t="s">
        <v>1160</v>
      </c>
      <c r="C3565" t="s">
        <v>457</v>
      </c>
      <c r="D3565" t="str">
        <f>VLOOKUP(C3565,'lookup table'!$A$2:$B$19,2,FALSE)</f>
        <v>VLT</v>
      </c>
      <c r="E3565" t="str">
        <f t="shared" si="55"/>
        <v>AL131_01|VLT</v>
      </c>
    </row>
    <row r="3566" spans="1:5" x14ac:dyDescent="0.2">
      <c r="A3566" t="s">
        <v>1159</v>
      </c>
      <c r="B3566" t="s">
        <v>1160</v>
      </c>
      <c r="C3566" t="s">
        <v>458</v>
      </c>
      <c r="D3566" t="str">
        <f>VLOOKUP(C3566,'lookup table'!$A$2:$B$19,2,FALSE)</f>
        <v>VAR</v>
      </c>
      <c r="E3566" t="str">
        <f t="shared" si="55"/>
        <v>AL131_01|VAR</v>
      </c>
    </row>
    <row r="3567" spans="1:5" x14ac:dyDescent="0.2">
      <c r="A3567" t="s">
        <v>1161</v>
      </c>
      <c r="B3567" t="s">
        <v>1162</v>
      </c>
      <c r="C3567" t="s">
        <v>14</v>
      </c>
      <c r="D3567" t="str">
        <f>VLOOKUP(C3567,'lookup table'!$A$2:$B$19,2,FALSE)</f>
        <v>ALC</v>
      </c>
      <c r="E3567" t="str">
        <f t="shared" si="55"/>
        <v>AL131_02|ALC</v>
      </c>
    </row>
    <row r="3568" spans="1:5" x14ac:dyDescent="0.2">
      <c r="A3568" t="s">
        <v>1161</v>
      </c>
      <c r="B3568" t="s">
        <v>1162</v>
      </c>
      <c r="C3568" t="s">
        <v>20</v>
      </c>
      <c r="D3568" t="str">
        <f>VLOOKUP(C3568,'lookup table'!$A$2:$B$19,2,FALSE)</f>
        <v>AY</v>
      </c>
      <c r="E3568" t="str">
        <f t="shared" si="55"/>
        <v>AL131_02|AY</v>
      </c>
    </row>
    <row r="3569" spans="1:5" x14ac:dyDescent="0.2">
      <c r="A3569" t="s">
        <v>1161</v>
      </c>
      <c r="B3569" t="s">
        <v>1162</v>
      </c>
      <c r="C3569" t="s">
        <v>136</v>
      </c>
      <c r="D3569" t="str">
        <f>VLOOKUP(C3569,'lookup table'!$A$2:$B$19,2,FALSE)</f>
        <v>BBA Set</v>
      </c>
      <c r="E3569" t="str">
        <f t="shared" si="55"/>
        <v>AL131_02|BBA Set</v>
      </c>
    </row>
    <row r="3570" spans="1:5" x14ac:dyDescent="0.2">
      <c r="A3570" t="s">
        <v>1161</v>
      </c>
      <c r="B3570" t="s">
        <v>1162</v>
      </c>
      <c r="C3570" t="s">
        <v>331</v>
      </c>
      <c r="D3570" t="str">
        <f>VLOOKUP(C3570,'lookup table'!$A$2:$B$19,2,FALSE)</f>
        <v>FS Item</v>
      </c>
      <c r="E3570" t="str">
        <f t="shared" si="55"/>
        <v>AL131_02|FS Item</v>
      </c>
    </row>
    <row r="3571" spans="1:5" x14ac:dyDescent="0.2">
      <c r="A3571" t="s">
        <v>1161</v>
      </c>
      <c r="B3571" t="s">
        <v>1162</v>
      </c>
      <c r="C3571" t="s">
        <v>423</v>
      </c>
      <c r="D3571" t="str">
        <f>VLOOKUP(C3571,'lookup table'!$A$2:$B$19,2,FALSE)</f>
        <v>ignore</v>
      </c>
      <c r="E3571" t="str">
        <f t="shared" si="55"/>
        <v>AL131_02|ignore</v>
      </c>
    </row>
    <row r="3572" spans="1:5" x14ac:dyDescent="0.2">
      <c r="A3572" t="s">
        <v>1161</v>
      </c>
      <c r="B3572" t="s">
        <v>1162</v>
      </c>
      <c r="C3572" t="s">
        <v>424</v>
      </c>
      <c r="D3572" t="str">
        <f>VLOOKUP(C3572,'lookup table'!$A$2:$B$19,2,FALSE)</f>
        <v>GRC</v>
      </c>
      <c r="E3572" t="str">
        <f t="shared" si="55"/>
        <v>AL131_02|GRC</v>
      </c>
    </row>
    <row r="3573" spans="1:5" x14ac:dyDescent="0.2">
      <c r="A3573" t="s">
        <v>1161</v>
      </c>
      <c r="B3573" t="s">
        <v>1162</v>
      </c>
      <c r="C3573" t="s">
        <v>425</v>
      </c>
      <c r="D3573" t="str">
        <f>VLOOKUP(C3573,'lookup table'!$A$2:$B$19,2,FALSE)</f>
        <v>Investee Segment</v>
      </c>
      <c r="E3573" t="str">
        <f t="shared" si="55"/>
        <v>AL131_02|Investee Segment</v>
      </c>
    </row>
    <row r="3574" spans="1:5" x14ac:dyDescent="0.2">
      <c r="A3574" t="s">
        <v>1161</v>
      </c>
      <c r="B3574" t="s">
        <v>1162</v>
      </c>
      <c r="C3574" t="s">
        <v>426</v>
      </c>
      <c r="D3574" t="str">
        <f>VLOOKUP(C3574,'lookup table'!$A$2:$B$19,2,FALSE)</f>
        <v>Investee Unit</v>
      </c>
      <c r="E3574" t="str">
        <f t="shared" si="55"/>
        <v>AL131_02|Investee Unit</v>
      </c>
    </row>
    <row r="3575" spans="1:5" x14ac:dyDescent="0.2">
      <c r="A3575" t="s">
        <v>1161</v>
      </c>
      <c r="B3575" t="s">
        <v>1162</v>
      </c>
      <c r="C3575" t="s">
        <v>428</v>
      </c>
      <c r="D3575" t="str">
        <f>VLOOKUP(C3575,'lookup table'!$A$2:$B$19,2,FALSE)</f>
        <v>LoB</v>
      </c>
      <c r="E3575" t="str">
        <f t="shared" si="55"/>
        <v>AL131_02|LoB</v>
      </c>
    </row>
    <row r="3576" spans="1:5" x14ac:dyDescent="0.2">
      <c r="A3576" t="s">
        <v>1161</v>
      </c>
      <c r="B3576" t="s">
        <v>1162</v>
      </c>
      <c r="C3576" t="s">
        <v>436</v>
      </c>
      <c r="D3576" t="str">
        <f>VLOOKUP(C3576,'lookup table'!$A$2:$B$19,2,FALSE)</f>
        <v>MAT</v>
      </c>
      <c r="E3576" t="str">
        <f t="shared" si="55"/>
        <v>AL131_02|MAT</v>
      </c>
    </row>
    <row r="3577" spans="1:5" x14ac:dyDescent="0.2">
      <c r="A3577" t="s">
        <v>1161</v>
      </c>
      <c r="B3577" t="s">
        <v>1162</v>
      </c>
      <c r="C3577" t="s">
        <v>441</v>
      </c>
      <c r="D3577" t="str">
        <f>VLOOKUP(C3577,'lookup table'!$A$2:$B$19,2,FALSE)</f>
        <v>Partner Segment</v>
      </c>
      <c r="E3577" t="str">
        <f t="shared" si="55"/>
        <v>AL131_02|Partner Segment</v>
      </c>
    </row>
    <row r="3578" spans="1:5" x14ac:dyDescent="0.2">
      <c r="A3578" t="s">
        <v>1161</v>
      </c>
      <c r="B3578" t="s">
        <v>1162</v>
      </c>
      <c r="C3578" t="s">
        <v>442</v>
      </c>
      <c r="D3578" t="str">
        <f>VLOOKUP(C3578,'lookup table'!$A$2:$B$19,2,FALSE)</f>
        <v>Partner Unit</v>
      </c>
      <c r="E3578" t="str">
        <f t="shared" si="55"/>
        <v>AL131_02|Partner Unit</v>
      </c>
    </row>
    <row r="3579" spans="1:5" x14ac:dyDescent="0.2">
      <c r="A3579" t="s">
        <v>1161</v>
      </c>
      <c r="B3579" t="s">
        <v>1162</v>
      </c>
      <c r="C3579" t="s">
        <v>447</v>
      </c>
      <c r="D3579" t="str">
        <f>VLOOKUP(C3579,'lookup table'!$A$2:$B$19,2,FALSE)</f>
        <v>REX</v>
      </c>
      <c r="E3579" t="str">
        <f t="shared" si="55"/>
        <v>AL131_02|REX</v>
      </c>
    </row>
    <row r="3580" spans="1:5" x14ac:dyDescent="0.2">
      <c r="A3580" t="s">
        <v>1161</v>
      </c>
      <c r="B3580" t="s">
        <v>1162</v>
      </c>
      <c r="C3580" t="s">
        <v>457</v>
      </c>
      <c r="D3580" t="str">
        <f>VLOOKUP(C3580,'lookup table'!$A$2:$B$19,2,FALSE)</f>
        <v>VLT</v>
      </c>
      <c r="E3580" t="str">
        <f t="shared" si="55"/>
        <v>AL131_02|VLT</v>
      </c>
    </row>
    <row r="3581" spans="1:5" x14ac:dyDescent="0.2">
      <c r="A3581" t="s">
        <v>1161</v>
      </c>
      <c r="B3581" t="s">
        <v>1162</v>
      </c>
      <c r="C3581" t="s">
        <v>458</v>
      </c>
      <c r="D3581" t="str">
        <f>VLOOKUP(C3581,'lookup table'!$A$2:$B$19,2,FALSE)</f>
        <v>VAR</v>
      </c>
      <c r="E3581" t="str">
        <f t="shared" si="55"/>
        <v>AL131_02|VAR</v>
      </c>
    </row>
    <row r="3582" spans="1:5" x14ac:dyDescent="0.2">
      <c r="A3582" t="s">
        <v>1163</v>
      </c>
      <c r="B3582" t="s">
        <v>1164</v>
      </c>
      <c r="C3582" t="s">
        <v>14</v>
      </c>
      <c r="D3582" t="str">
        <f>VLOOKUP(C3582,'lookup table'!$A$2:$B$19,2,FALSE)</f>
        <v>ALC</v>
      </c>
      <c r="E3582" t="str">
        <f t="shared" si="55"/>
        <v>AL131_03|ALC</v>
      </c>
    </row>
    <row r="3583" spans="1:5" x14ac:dyDescent="0.2">
      <c r="A3583" t="s">
        <v>1163</v>
      </c>
      <c r="B3583" t="s">
        <v>1164</v>
      </c>
      <c r="C3583" t="s">
        <v>20</v>
      </c>
      <c r="D3583" t="str">
        <f>VLOOKUP(C3583,'lookup table'!$A$2:$B$19,2,FALSE)</f>
        <v>AY</v>
      </c>
      <c r="E3583" t="str">
        <f t="shared" si="55"/>
        <v>AL131_03|AY</v>
      </c>
    </row>
    <row r="3584" spans="1:5" x14ac:dyDescent="0.2">
      <c r="A3584" t="s">
        <v>1163</v>
      </c>
      <c r="B3584" t="s">
        <v>1164</v>
      </c>
      <c r="C3584" t="s">
        <v>136</v>
      </c>
      <c r="D3584" t="str">
        <f>VLOOKUP(C3584,'lookup table'!$A$2:$B$19,2,FALSE)</f>
        <v>BBA Set</v>
      </c>
      <c r="E3584" t="str">
        <f t="shared" si="55"/>
        <v>AL131_03|BBA Set</v>
      </c>
    </row>
    <row r="3585" spans="1:5" x14ac:dyDescent="0.2">
      <c r="A3585" t="s">
        <v>1163</v>
      </c>
      <c r="B3585" t="s">
        <v>1164</v>
      </c>
      <c r="C3585" t="s">
        <v>331</v>
      </c>
      <c r="D3585" t="str">
        <f>VLOOKUP(C3585,'lookup table'!$A$2:$B$19,2,FALSE)</f>
        <v>FS Item</v>
      </c>
      <c r="E3585" t="str">
        <f t="shared" si="55"/>
        <v>AL131_03|FS Item</v>
      </c>
    </row>
    <row r="3586" spans="1:5" x14ac:dyDescent="0.2">
      <c r="A3586" t="s">
        <v>1163</v>
      </c>
      <c r="B3586" t="s">
        <v>1164</v>
      </c>
      <c r="C3586" t="s">
        <v>423</v>
      </c>
      <c r="D3586" t="str">
        <f>VLOOKUP(C3586,'lookup table'!$A$2:$B$19,2,FALSE)</f>
        <v>ignore</v>
      </c>
      <c r="E3586" t="str">
        <f t="shared" si="55"/>
        <v>AL131_03|ignore</v>
      </c>
    </row>
    <row r="3587" spans="1:5" x14ac:dyDescent="0.2">
      <c r="A3587" t="s">
        <v>1163</v>
      </c>
      <c r="B3587" t="s">
        <v>1164</v>
      </c>
      <c r="C3587" t="s">
        <v>424</v>
      </c>
      <c r="D3587" t="str">
        <f>VLOOKUP(C3587,'lookup table'!$A$2:$B$19,2,FALSE)</f>
        <v>GRC</v>
      </c>
      <c r="E3587" t="str">
        <f t="shared" ref="E3587:E3650" si="56">IF(ISNA(D3587),"",IF(A3587="","",A3587) &amp; "|" &amp; D3587)</f>
        <v>AL131_03|GRC</v>
      </c>
    </row>
    <row r="3588" spans="1:5" x14ac:dyDescent="0.2">
      <c r="A3588" t="s">
        <v>1163</v>
      </c>
      <c r="B3588" t="s">
        <v>1164</v>
      </c>
      <c r="C3588" t="s">
        <v>425</v>
      </c>
      <c r="D3588" t="str">
        <f>VLOOKUP(C3588,'lookup table'!$A$2:$B$19,2,FALSE)</f>
        <v>Investee Segment</v>
      </c>
      <c r="E3588" t="str">
        <f t="shared" si="56"/>
        <v>AL131_03|Investee Segment</v>
      </c>
    </row>
    <row r="3589" spans="1:5" x14ac:dyDescent="0.2">
      <c r="A3589" t="s">
        <v>1163</v>
      </c>
      <c r="B3589" t="s">
        <v>1164</v>
      </c>
      <c r="C3589" t="s">
        <v>426</v>
      </c>
      <c r="D3589" t="str">
        <f>VLOOKUP(C3589,'lookup table'!$A$2:$B$19,2,FALSE)</f>
        <v>Investee Unit</v>
      </c>
      <c r="E3589" t="str">
        <f t="shared" si="56"/>
        <v>AL131_03|Investee Unit</v>
      </c>
    </row>
    <row r="3590" spans="1:5" x14ac:dyDescent="0.2">
      <c r="A3590" t="s">
        <v>1163</v>
      </c>
      <c r="B3590" t="s">
        <v>1164</v>
      </c>
      <c r="C3590" t="s">
        <v>428</v>
      </c>
      <c r="D3590" t="str">
        <f>VLOOKUP(C3590,'lookup table'!$A$2:$B$19,2,FALSE)</f>
        <v>LoB</v>
      </c>
      <c r="E3590" t="str">
        <f t="shared" si="56"/>
        <v>AL131_03|LoB</v>
      </c>
    </row>
    <row r="3591" spans="1:5" x14ac:dyDescent="0.2">
      <c r="A3591" t="s">
        <v>1163</v>
      </c>
      <c r="B3591" t="s">
        <v>1164</v>
      </c>
      <c r="C3591" t="s">
        <v>436</v>
      </c>
      <c r="D3591" t="str">
        <f>VLOOKUP(C3591,'lookup table'!$A$2:$B$19,2,FALSE)</f>
        <v>MAT</v>
      </c>
      <c r="E3591" t="str">
        <f t="shared" si="56"/>
        <v>AL131_03|MAT</v>
      </c>
    </row>
    <row r="3592" spans="1:5" x14ac:dyDescent="0.2">
      <c r="A3592" t="s">
        <v>1163</v>
      </c>
      <c r="B3592" t="s">
        <v>1164</v>
      </c>
      <c r="C3592" t="s">
        <v>441</v>
      </c>
      <c r="D3592" t="str">
        <f>VLOOKUP(C3592,'lookup table'!$A$2:$B$19,2,FALSE)</f>
        <v>Partner Segment</v>
      </c>
      <c r="E3592" t="str">
        <f t="shared" si="56"/>
        <v>AL131_03|Partner Segment</v>
      </c>
    </row>
    <row r="3593" spans="1:5" x14ac:dyDescent="0.2">
      <c r="A3593" t="s">
        <v>1163</v>
      </c>
      <c r="B3593" t="s">
        <v>1164</v>
      </c>
      <c r="C3593" t="s">
        <v>442</v>
      </c>
      <c r="D3593" t="str">
        <f>VLOOKUP(C3593,'lookup table'!$A$2:$B$19,2,FALSE)</f>
        <v>Partner Unit</v>
      </c>
      <c r="E3593" t="str">
        <f t="shared" si="56"/>
        <v>AL131_03|Partner Unit</v>
      </c>
    </row>
    <row r="3594" spans="1:5" x14ac:dyDescent="0.2">
      <c r="A3594" t="s">
        <v>1163</v>
      </c>
      <c r="B3594" t="s">
        <v>1164</v>
      </c>
      <c r="C3594" t="s">
        <v>447</v>
      </c>
      <c r="D3594" t="str">
        <f>VLOOKUP(C3594,'lookup table'!$A$2:$B$19,2,FALSE)</f>
        <v>REX</v>
      </c>
      <c r="E3594" t="str">
        <f t="shared" si="56"/>
        <v>AL131_03|REX</v>
      </c>
    </row>
    <row r="3595" spans="1:5" x14ac:dyDescent="0.2">
      <c r="A3595" t="s">
        <v>1163</v>
      </c>
      <c r="B3595" t="s">
        <v>1164</v>
      </c>
      <c r="C3595" t="s">
        <v>457</v>
      </c>
      <c r="D3595" t="str">
        <f>VLOOKUP(C3595,'lookup table'!$A$2:$B$19,2,FALSE)</f>
        <v>VLT</v>
      </c>
      <c r="E3595" t="str">
        <f t="shared" si="56"/>
        <v>AL131_03|VLT</v>
      </c>
    </row>
    <row r="3596" spans="1:5" x14ac:dyDescent="0.2">
      <c r="A3596" t="s">
        <v>1163</v>
      </c>
      <c r="B3596" t="s">
        <v>1164</v>
      </c>
      <c r="C3596" t="s">
        <v>458</v>
      </c>
      <c r="D3596" t="str">
        <f>VLOOKUP(C3596,'lookup table'!$A$2:$B$19,2,FALSE)</f>
        <v>VAR</v>
      </c>
      <c r="E3596" t="str">
        <f t="shared" si="56"/>
        <v>AL131_03|VAR</v>
      </c>
    </row>
    <row r="3597" spans="1:5" x14ac:dyDescent="0.2">
      <c r="A3597" t="s">
        <v>1165</v>
      </c>
      <c r="B3597" t="s">
        <v>1166</v>
      </c>
      <c r="C3597" t="s">
        <v>14</v>
      </c>
      <c r="D3597" t="str">
        <f>VLOOKUP(C3597,'lookup table'!$A$2:$B$19,2,FALSE)</f>
        <v>ALC</v>
      </c>
      <c r="E3597" t="str">
        <f t="shared" si="56"/>
        <v>AL131_04|ALC</v>
      </c>
    </row>
    <row r="3598" spans="1:5" x14ac:dyDescent="0.2">
      <c r="A3598" t="s">
        <v>1165</v>
      </c>
      <c r="B3598" t="s">
        <v>1166</v>
      </c>
      <c r="C3598" t="s">
        <v>20</v>
      </c>
      <c r="D3598" t="str">
        <f>VLOOKUP(C3598,'lookup table'!$A$2:$B$19,2,FALSE)</f>
        <v>AY</v>
      </c>
      <c r="E3598" t="str">
        <f t="shared" si="56"/>
        <v>AL131_04|AY</v>
      </c>
    </row>
    <row r="3599" spans="1:5" x14ac:dyDescent="0.2">
      <c r="A3599" t="s">
        <v>1165</v>
      </c>
      <c r="B3599" t="s">
        <v>1166</v>
      </c>
      <c r="C3599" t="s">
        <v>136</v>
      </c>
      <c r="D3599" t="str">
        <f>VLOOKUP(C3599,'lookup table'!$A$2:$B$19,2,FALSE)</f>
        <v>BBA Set</v>
      </c>
      <c r="E3599" t="str">
        <f t="shared" si="56"/>
        <v>AL131_04|BBA Set</v>
      </c>
    </row>
    <row r="3600" spans="1:5" x14ac:dyDescent="0.2">
      <c r="A3600" t="s">
        <v>1165</v>
      </c>
      <c r="B3600" t="s">
        <v>1166</v>
      </c>
      <c r="C3600" t="s">
        <v>331</v>
      </c>
      <c r="D3600" t="str">
        <f>VLOOKUP(C3600,'lookup table'!$A$2:$B$19,2,FALSE)</f>
        <v>FS Item</v>
      </c>
      <c r="E3600" t="str">
        <f t="shared" si="56"/>
        <v>AL131_04|FS Item</v>
      </c>
    </row>
    <row r="3601" spans="1:5" x14ac:dyDescent="0.2">
      <c r="A3601" t="s">
        <v>1165</v>
      </c>
      <c r="B3601" t="s">
        <v>1166</v>
      </c>
      <c r="C3601" t="s">
        <v>423</v>
      </c>
      <c r="D3601" t="str">
        <f>VLOOKUP(C3601,'lookup table'!$A$2:$B$19,2,FALSE)</f>
        <v>ignore</v>
      </c>
      <c r="E3601" t="str">
        <f t="shared" si="56"/>
        <v>AL131_04|ignore</v>
      </c>
    </row>
    <row r="3602" spans="1:5" x14ac:dyDescent="0.2">
      <c r="A3602" t="s">
        <v>1165</v>
      </c>
      <c r="B3602" t="s">
        <v>1166</v>
      </c>
      <c r="C3602" t="s">
        <v>424</v>
      </c>
      <c r="D3602" t="str">
        <f>VLOOKUP(C3602,'lookup table'!$A$2:$B$19,2,FALSE)</f>
        <v>GRC</v>
      </c>
      <c r="E3602" t="str">
        <f t="shared" si="56"/>
        <v>AL131_04|GRC</v>
      </c>
    </row>
    <row r="3603" spans="1:5" x14ac:dyDescent="0.2">
      <c r="A3603" t="s">
        <v>1165</v>
      </c>
      <c r="B3603" t="s">
        <v>1166</v>
      </c>
      <c r="C3603" t="s">
        <v>425</v>
      </c>
      <c r="D3603" t="str">
        <f>VLOOKUP(C3603,'lookup table'!$A$2:$B$19,2,FALSE)</f>
        <v>Investee Segment</v>
      </c>
      <c r="E3603" t="str">
        <f t="shared" si="56"/>
        <v>AL131_04|Investee Segment</v>
      </c>
    </row>
    <row r="3604" spans="1:5" x14ac:dyDescent="0.2">
      <c r="A3604" t="s">
        <v>1165</v>
      </c>
      <c r="B3604" t="s">
        <v>1166</v>
      </c>
      <c r="C3604" t="s">
        <v>426</v>
      </c>
      <c r="D3604" t="str">
        <f>VLOOKUP(C3604,'lookup table'!$A$2:$B$19,2,FALSE)</f>
        <v>Investee Unit</v>
      </c>
      <c r="E3604" t="str">
        <f t="shared" si="56"/>
        <v>AL131_04|Investee Unit</v>
      </c>
    </row>
    <row r="3605" spans="1:5" x14ac:dyDescent="0.2">
      <c r="A3605" t="s">
        <v>1165</v>
      </c>
      <c r="B3605" t="s">
        <v>1166</v>
      </c>
      <c r="C3605" t="s">
        <v>428</v>
      </c>
      <c r="D3605" t="str">
        <f>VLOOKUP(C3605,'lookup table'!$A$2:$B$19,2,FALSE)</f>
        <v>LoB</v>
      </c>
      <c r="E3605" t="str">
        <f t="shared" si="56"/>
        <v>AL131_04|LoB</v>
      </c>
    </row>
    <row r="3606" spans="1:5" x14ac:dyDescent="0.2">
      <c r="A3606" t="s">
        <v>1165</v>
      </c>
      <c r="B3606" t="s">
        <v>1166</v>
      </c>
      <c r="C3606" t="s">
        <v>436</v>
      </c>
      <c r="D3606" t="str">
        <f>VLOOKUP(C3606,'lookup table'!$A$2:$B$19,2,FALSE)</f>
        <v>MAT</v>
      </c>
      <c r="E3606" t="str">
        <f t="shared" si="56"/>
        <v>AL131_04|MAT</v>
      </c>
    </row>
    <row r="3607" spans="1:5" x14ac:dyDescent="0.2">
      <c r="A3607" t="s">
        <v>1165</v>
      </c>
      <c r="B3607" t="s">
        <v>1166</v>
      </c>
      <c r="C3607" t="s">
        <v>441</v>
      </c>
      <c r="D3607" t="str">
        <f>VLOOKUP(C3607,'lookup table'!$A$2:$B$19,2,FALSE)</f>
        <v>Partner Segment</v>
      </c>
      <c r="E3607" t="str">
        <f t="shared" si="56"/>
        <v>AL131_04|Partner Segment</v>
      </c>
    </row>
    <row r="3608" spans="1:5" x14ac:dyDescent="0.2">
      <c r="A3608" t="s">
        <v>1165</v>
      </c>
      <c r="B3608" t="s">
        <v>1166</v>
      </c>
      <c r="C3608" t="s">
        <v>442</v>
      </c>
      <c r="D3608" t="str">
        <f>VLOOKUP(C3608,'lookup table'!$A$2:$B$19,2,FALSE)</f>
        <v>Partner Unit</v>
      </c>
      <c r="E3608" t="str">
        <f t="shared" si="56"/>
        <v>AL131_04|Partner Unit</v>
      </c>
    </row>
    <row r="3609" spans="1:5" x14ac:dyDescent="0.2">
      <c r="A3609" t="s">
        <v>1165</v>
      </c>
      <c r="B3609" t="s">
        <v>1166</v>
      </c>
      <c r="C3609" t="s">
        <v>447</v>
      </c>
      <c r="D3609" t="str">
        <f>VLOOKUP(C3609,'lookup table'!$A$2:$B$19,2,FALSE)</f>
        <v>REX</v>
      </c>
      <c r="E3609" t="str">
        <f t="shared" si="56"/>
        <v>AL131_04|REX</v>
      </c>
    </row>
    <row r="3610" spans="1:5" x14ac:dyDescent="0.2">
      <c r="A3610" t="s">
        <v>1165</v>
      </c>
      <c r="B3610" t="s">
        <v>1166</v>
      </c>
      <c r="C3610" t="s">
        <v>457</v>
      </c>
      <c r="D3610" t="str">
        <f>VLOOKUP(C3610,'lookup table'!$A$2:$B$19,2,FALSE)</f>
        <v>VLT</v>
      </c>
      <c r="E3610" t="str">
        <f t="shared" si="56"/>
        <v>AL131_04|VLT</v>
      </c>
    </row>
    <row r="3611" spans="1:5" x14ac:dyDescent="0.2">
      <c r="A3611" t="s">
        <v>1165</v>
      </c>
      <c r="B3611" t="s">
        <v>1166</v>
      </c>
      <c r="C3611" t="s">
        <v>458</v>
      </c>
      <c r="D3611" t="str">
        <f>VLOOKUP(C3611,'lookup table'!$A$2:$B$19,2,FALSE)</f>
        <v>VAR</v>
      </c>
      <c r="E3611" t="str">
        <f t="shared" si="56"/>
        <v>AL131_04|VAR</v>
      </c>
    </row>
    <row r="3612" spans="1:5" x14ac:dyDescent="0.2">
      <c r="A3612" t="s">
        <v>1167</v>
      </c>
      <c r="B3612" t="s">
        <v>1168</v>
      </c>
      <c r="C3612" t="s">
        <v>14</v>
      </c>
      <c r="D3612" t="str">
        <f>VLOOKUP(C3612,'lookup table'!$A$2:$B$19,2,FALSE)</f>
        <v>ALC</v>
      </c>
      <c r="E3612" t="str">
        <f t="shared" si="56"/>
        <v>AL132_00|ALC</v>
      </c>
    </row>
    <row r="3613" spans="1:5" x14ac:dyDescent="0.2">
      <c r="A3613" t="s">
        <v>1167</v>
      </c>
      <c r="B3613" t="s">
        <v>1168</v>
      </c>
      <c r="C3613" t="s">
        <v>20</v>
      </c>
      <c r="D3613" t="str">
        <f>VLOOKUP(C3613,'lookup table'!$A$2:$B$19,2,FALSE)</f>
        <v>AY</v>
      </c>
      <c r="E3613" t="str">
        <f t="shared" si="56"/>
        <v>AL132_00|AY</v>
      </c>
    </row>
    <row r="3614" spans="1:5" x14ac:dyDescent="0.2">
      <c r="A3614" t="s">
        <v>1167</v>
      </c>
      <c r="B3614" t="s">
        <v>1168</v>
      </c>
      <c r="C3614" t="s">
        <v>136</v>
      </c>
      <c r="D3614" t="str">
        <f>VLOOKUP(C3614,'lookup table'!$A$2:$B$19,2,FALSE)</f>
        <v>BBA Set</v>
      </c>
      <c r="E3614" t="str">
        <f t="shared" si="56"/>
        <v>AL132_00|BBA Set</v>
      </c>
    </row>
    <row r="3615" spans="1:5" x14ac:dyDescent="0.2">
      <c r="A3615" t="s">
        <v>1167</v>
      </c>
      <c r="B3615" t="s">
        <v>1168</v>
      </c>
      <c r="C3615" t="s">
        <v>331</v>
      </c>
      <c r="D3615" t="str">
        <f>VLOOKUP(C3615,'lookup table'!$A$2:$B$19,2,FALSE)</f>
        <v>FS Item</v>
      </c>
      <c r="E3615" t="str">
        <f t="shared" si="56"/>
        <v>AL132_00|FS Item</v>
      </c>
    </row>
    <row r="3616" spans="1:5" x14ac:dyDescent="0.2">
      <c r="A3616" t="s">
        <v>1167</v>
      </c>
      <c r="B3616" t="s">
        <v>1168</v>
      </c>
      <c r="C3616" t="s">
        <v>423</v>
      </c>
      <c r="D3616" t="str">
        <f>VLOOKUP(C3616,'lookup table'!$A$2:$B$19,2,FALSE)</f>
        <v>ignore</v>
      </c>
      <c r="E3616" t="str">
        <f t="shared" si="56"/>
        <v>AL132_00|ignore</v>
      </c>
    </row>
    <row r="3617" spans="1:5" x14ac:dyDescent="0.2">
      <c r="A3617" t="s">
        <v>1167</v>
      </c>
      <c r="B3617" t="s">
        <v>1168</v>
      </c>
      <c r="C3617" t="s">
        <v>424</v>
      </c>
      <c r="D3617" t="str">
        <f>VLOOKUP(C3617,'lookup table'!$A$2:$B$19,2,FALSE)</f>
        <v>GRC</v>
      </c>
      <c r="E3617" t="str">
        <f t="shared" si="56"/>
        <v>AL132_00|GRC</v>
      </c>
    </row>
    <row r="3618" spans="1:5" x14ac:dyDescent="0.2">
      <c r="A3618" t="s">
        <v>1167</v>
      </c>
      <c r="B3618" t="s">
        <v>1168</v>
      </c>
      <c r="C3618" t="s">
        <v>425</v>
      </c>
      <c r="D3618" t="str">
        <f>VLOOKUP(C3618,'lookup table'!$A$2:$B$19,2,FALSE)</f>
        <v>Investee Segment</v>
      </c>
      <c r="E3618" t="str">
        <f t="shared" si="56"/>
        <v>AL132_00|Investee Segment</v>
      </c>
    </row>
    <row r="3619" spans="1:5" x14ac:dyDescent="0.2">
      <c r="A3619" t="s">
        <v>1167</v>
      </c>
      <c r="B3619" t="s">
        <v>1168</v>
      </c>
      <c r="C3619" t="s">
        <v>426</v>
      </c>
      <c r="D3619" t="str">
        <f>VLOOKUP(C3619,'lookup table'!$A$2:$B$19,2,FALSE)</f>
        <v>Investee Unit</v>
      </c>
      <c r="E3619" t="str">
        <f t="shared" si="56"/>
        <v>AL132_00|Investee Unit</v>
      </c>
    </row>
    <row r="3620" spans="1:5" x14ac:dyDescent="0.2">
      <c r="A3620" t="s">
        <v>1167</v>
      </c>
      <c r="B3620" t="s">
        <v>1168</v>
      </c>
      <c r="C3620" t="s">
        <v>428</v>
      </c>
      <c r="D3620" t="str">
        <f>VLOOKUP(C3620,'lookup table'!$A$2:$B$19,2,FALSE)</f>
        <v>LoB</v>
      </c>
      <c r="E3620" t="str">
        <f t="shared" si="56"/>
        <v>AL132_00|LoB</v>
      </c>
    </row>
    <row r="3621" spans="1:5" x14ac:dyDescent="0.2">
      <c r="A3621" t="s">
        <v>1167</v>
      </c>
      <c r="B3621" t="s">
        <v>1168</v>
      </c>
      <c r="C3621" t="s">
        <v>436</v>
      </c>
      <c r="D3621" t="str">
        <f>VLOOKUP(C3621,'lookup table'!$A$2:$B$19,2,FALSE)</f>
        <v>MAT</v>
      </c>
      <c r="E3621" t="str">
        <f t="shared" si="56"/>
        <v>AL132_00|MAT</v>
      </c>
    </row>
    <row r="3622" spans="1:5" x14ac:dyDescent="0.2">
      <c r="A3622" t="s">
        <v>1167</v>
      </c>
      <c r="B3622" t="s">
        <v>1168</v>
      </c>
      <c r="C3622" t="s">
        <v>441</v>
      </c>
      <c r="D3622" t="str">
        <f>VLOOKUP(C3622,'lookup table'!$A$2:$B$19,2,FALSE)</f>
        <v>Partner Segment</v>
      </c>
      <c r="E3622" t="str">
        <f t="shared" si="56"/>
        <v>AL132_00|Partner Segment</v>
      </c>
    </row>
    <row r="3623" spans="1:5" x14ac:dyDescent="0.2">
      <c r="A3623" t="s">
        <v>1167</v>
      </c>
      <c r="B3623" t="s">
        <v>1168</v>
      </c>
      <c r="C3623" t="s">
        <v>442</v>
      </c>
      <c r="D3623" t="str">
        <f>VLOOKUP(C3623,'lookup table'!$A$2:$B$19,2,FALSE)</f>
        <v>Partner Unit</v>
      </c>
      <c r="E3623" t="str">
        <f t="shared" si="56"/>
        <v>AL132_00|Partner Unit</v>
      </c>
    </row>
    <row r="3624" spans="1:5" x14ac:dyDescent="0.2">
      <c r="A3624" t="s">
        <v>1167</v>
      </c>
      <c r="B3624" t="s">
        <v>1168</v>
      </c>
      <c r="C3624" t="s">
        <v>447</v>
      </c>
      <c r="D3624" t="str">
        <f>VLOOKUP(C3624,'lookup table'!$A$2:$B$19,2,FALSE)</f>
        <v>REX</v>
      </c>
      <c r="E3624" t="str">
        <f t="shared" si="56"/>
        <v>AL132_00|REX</v>
      </c>
    </row>
    <row r="3625" spans="1:5" x14ac:dyDescent="0.2">
      <c r="A3625" t="s">
        <v>1167</v>
      </c>
      <c r="B3625" t="s">
        <v>1168</v>
      </c>
      <c r="C3625" t="s">
        <v>449</v>
      </c>
      <c r="D3625" t="e">
        <f>VLOOKUP(C3625,'lookup table'!$A$2:$B$19,2,FALSE)</f>
        <v>#N/A</v>
      </c>
      <c r="E3625" t="str">
        <f t="shared" si="56"/>
        <v/>
      </c>
    </row>
    <row r="3626" spans="1:5" x14ac:dyDescent="0.2">
      <c r="A3626" t="s">
        <v>1167</v>
      </c>
      <c r="B3626" t="s">
        <v>1168</v>
      </c>
      <c r="C3626" t="s">
        <v>457</v>
      </c>
      <c r="D3626" t="str">
        <f>VLOOKUP(C3626,'lookup table'!$A$2:$B$19,2,FALSE)</f>
        <v>VLT</v>
      </c>
      <c r="E3626" t="str">
        <f t="shared" si="56"/>
        <v>AL132_00|VLT</v>
      </c>
    </row>
    <row r="3627" spans="1:5" x14ac:dyDescent="0.2">
      <c r="A3627" t="s">
        <v>1167</v>
      </c>
      <c r="B3627" t="s">
        <v>1168</v>
      </c>
      <c r="C3627" t="s">
        <v>458</v>
      </c>
      <c r="D3627" t="str">
        <f>VLOOKUP(C3627,'lookup table'!$A$2:$B$19,2,FALSE)</f>
        <v>VAR</v>
      </c>
      <c r="E3627" t="str">
        <f t="shared" si="56"/>
        <v>AL132_00|VAR</v>
      </c>
    </row>
    <row r="3628" spans="1:5" x14ac:dyDescent="0.2">
      <c r="A3628" t="s">
        <v>1169</v>
      </c>
      <c r="B3628" t="s">
        <v>1170</v>
      </c>
      <c r="C3628" t="s">
        <v>14</v>
      </c>
      <c r="D3628" t="str">
        <f>VLOOKUP(C3628,'lookup table'!$A$2:$B$19,2,FALSE)</f>
        <v>ALC</v>
      </c>
      <c r="E3628" t="str">
        <f t="shared" si="56"/>
        <v>AL132_01|ALC</v>
      </c>
    </row>
    <row r="3629" spans="1:5" x14ac:dyDescent="0.2">
      <c r="A3629" t="s">
        <v>1169</v>
      </c>
      <c r="B3629" t="s">
        <v>1170</v>
      </c>
      <c r="C3629" t="s">
        <v>20</v>
      </c>
      <c r="D3629" t="str">
        <f>VLOOKUP(C3629,'lookup table'!$A$2:$B$19,2,FALSE)</f>
        <v>AY</v>
      </c>
      <c r="E3629" t="str">
        <f t="shared" si="56"/>
        <v>AL132_01|AY</v>
      </c>
    </row>
    <row r="3630" spans="1:5" x14ac:dyDescent="0.2">
      <c r="A3630" t="s">
        <v>1169</v>
      </c>
      <c r="B3630" t="s">
        <v>1170</v>
      </c>
      <c r="C3630" t="s">
        <v>136</v>
      </c>
      <c r="D3630" t="str">
        <f>VLOOKUP(C3630,'lookup table'!$A$2:$B$19,2,FALSE)</f>
        <v>BBA Set</v>
      </c>
      <c r="E3630" t="str">
        <f t="shared" si="56"/>
        <v>AL132_01|BBA Set</v>
      </c>
    </row>
    <row r="3631" spans="1:5" x14ac:dyDescent="0.2">
      <c r="A3631" t="s">
        <v>1169</v>
      </c>
      <c r="B3631" t="s">
        <v>1170</v>
      </c>
      <c r="C3631" t="s">
        <v>331</v>
      </c>
      <c r="D3631" t="str">
        <f>VLOOKUP(C3631,'lookup table'!$A$2:$B$19,2,FALSE)</f>
        <v>FS Item</v>
      </c>
      <c r="E3631" t="str">
        <f t="shared" si="56"/>
        <v>AL132_01|FS Item</v>
      </c>
    </row>
    <row r="3632" spans="1:5" x14ac:dyDescent="0.2">
      <c r="A3632" t="s">
        <v>1169</v>
      </c>
      <c r="B3632" t="s">
        <v>1170</v>
      </c>
      <c r="C3632" t="s">
        <v>423</v>
      </c>
      <c r="D3632" t="str">
        <f>VLOOKUP(C3632,'lookup table'!$A$2:$B$19,2,FALSE)</f>
        <v>ignore</v>
      </c>
      <c r="E3632" t="str">
        <f t="shared" si="56"/>
        <v>AL132_01|ignore</v>
      </c>
    </row>
    <row r="3633" spans="1:5" x14ac:dyDescent="0.2">
      <c r="A3633" t="s">
        <v>1169</v>
      </c>
      <c r="B3633" t="s">
        <v>1170</v>
      </c>
      <c r="C3633" t="s">
        <v>424</v>
      </c>
      <c r="D3633" t="str">
        <f>VLOOKUP(C3633,'lookup table'!$A$2:$B$19,2,FALSE)</f>
        <v>GRC</v>
      </c>
      <c r="E3633" t="str">
        <f t="shared" si="56"/>
        <v>AL132_01|GRC</v>
      </c>
    </row>
    <row r="3634" spans="1:5" x14ac:dyDescent="0.2">
      <c r="A3634" t="s">
        <v>1169</v>
      </c>
      <c r="B3634" t="s">
        <v>1170</v>
      </c>
      <c r="C3634" t="s">
        <v>425</v>
      </c>
      <c r="D3634" t="str">
        <f>VLOOKUP(C3634,'lookup table'!$A$2:$B$19,2,FALSE)</f>
        <v>Investee Segment</v>
      </c>
      <c r="E3634" t="str">
        <f t="shared" si="56"/>
        <v>AL132_01|Investee Segment</v>
      </c>
    </row>
    <row r="3635" spans="1:5" x14ac:dyDescent="0.2">
      <c r="A3635" t="s">
        <v>1169</v>
      </c>
      <c r="B3635" t="s">
        <v>1170</v>
      </c>
      <c r="C3635" t="s">
        <v>426</v>
      </c>
      <c r="D3635" t="str">
        <f>VLOOKUP(C3635,'lookup table'!$A$2:$B$19,2,FALSE)</f>
        <v>Investee Unit</v>
      </c>
      <c r="E3635" t="str">
        <f t="shared" si="56"/>
        <v>AL132_01|Investee Unit</v>
      </c>
    </row>
    <row r="3636" spans="1:5" x14ac:dyDescent="0.2">
      <c r="A3636" t="s">
        <v>1169</v>
      </c>
      <c r="B3636" t="s">
        <v>1170</v>
      </c>
      <c r="C3636" t="s">
        <v>428</v>
      </c>
      <c r="D3636" t="str">
        <f>VLOOKUP(C3636,'lookup table'!$A$2:$B$19,2,FALSE)</f>
        <v>LoB</v>
      </c>
      <c r="E3636" t="str">
        <f t="shared" si="56"/>
        <v>AL132_01|LoB</v>
      </c>
    </row>
    <row r="3637" spans="1:5" x14ac:dyDescent="0.2">
      <c r="A3637" t="s">
        <v>1169</v>
      </c>
      <c r="B3637" t="s">
        <v>1170</v>
      </c>
      <c r="C3637" t="s">
        <v>436</v>
      </c>
      <c r="D3637" t="str">
        <f>VLOOKUP(C3637,'lookup table'!$A$2:$B$19,2,FALSE)</f>
        <v>MAT</v>
      </c>
      <c r="E3637" t="str">
        <f t="shared" si="56"/>
        <v>AL132_01|MAT</v>
      </c>
    </row>
    <row r="3638" spans="1:5" x14ac:dyDescent="0.2">
      <c r="A3638" t="s">
        <v>1169</v>
      </c>
      <c r="B3638" t="s">
        <v>1170</v>
      </c>
      <c r="C3638" t="s">
        <v>441</v>
      </c>
      <c r="D3638" t="str">
        <f>VLOOKUP(C3638,'lookup table'!$A$2:$B$19,2,FALSE)</f>
        <v>Partner Segment</v>
      </c>
      <c r="E3638" t="str">
        <f t="shared" si="56"/>
        <v>AL132_01|Partner Segment</v>
      </c>
    </row>
    <row r="3639" spans="1:5" x14ac:dyDescent="0.2">
      <c r="A3639" t="s">
        <v>1169</v>
      </c>
      <c r="B3639" t="s">
        <v>1170</v>
      </c>
      <c r="C3639" t="s">
        <v>442</v>
      </c>
      <c r="D3639" t="str">
        <f>VLOOKUP(C3639,'lookup table'!$A$2:$B$19,2,FALSE)</f>
        <v>Partner Unit</v>
      </c>
      <c r="E3639" t="str">
        <f t="shared" si="56"/>
        <v>AL132_01|Partner Unit</v>
      </c>
    </row>
    <row r="3640" spans="1:5" x14ac:dyDescent="0.2">
      <c r="A3640" t="s">
        <v>1169</v>
      </c>
      <c r="B3640" t="s">
        <v>1170</v>
      </c>
      <c r="C3640" t="s">
        <v>447</v>
      </c>
      <c r="D3640" t="str">
        <f>VLOOKUP(C3640,'lookup table'!$A$2:$B$19,2,FALSE)</f>
        <v>REX</v>
      </c>
      <c r="E3640" t="str">
        <f t="shared" si="56"/>
        <v>AL132_01|REX</v>
      </c>
    </row>
    <row r="3641" spans="1:5" x14ac:dyDescent="0.2">
      <c r="A3641" t="s">
        <v>1169</v>
      </c>
      <c r="B3641" t="s">
        <v>1170</v>
      </c>
      <c r="C3641" t="s">
        <v>449</v>
      </c>
      <c r="D3641" t="e">
        <f>VLOOKUP(C3641,'lookup table'!$A$2:$B$19,2,FALSE)</f>
        <v>#N/A</v>
      </c>
      <c r="E3641" t="str">
        <f t="shared" si="56"/>
        <v/>
      </c>
    </row>
    <row r="3642" spans="1:5" x14ac:dyDescent="0.2">
      <c r="A3642" t="s">
        <v>1169</v>
      </c>
      <c r="B3642" t="s">
        <v>1170</v>
      </c>
      <c r="C3642" t="s">
        <v>457</v>
      </c>
      <c r="D3642" t="str">
        <f>VLOOKUP(C3642,'lookup table'!$A$2:$B$19,2,FALSE)</f>
        <v>VLT</v>
      </c>
      <c r="E3642" t="str">
        <f t="shared" si="56"/>
        <v>AL132_01|VLT</v>
      </c>
    </row>
    <row r="3643" spans="1:5" x14ac:dyDescent="0.2">
      <c r="A3643" t="s">
        <v>1169</v>
      </c>
      <c r="B3643" t="s">
        <v>1170</v>
      </c>
      <c r="C3643" t="s">
        <v>458</v>
      </c>
      <c r="D3643" t="str">
        <f>VLOOKUP(C3643,'lookup table'!$A$2:$B$19,2,FALSE)</f>
        <v>VAR</v>
      </c>
      <c r="E3643" t="str">
        <f t="shared" si="56"/>
        <v>AL132_01|VAR</v>
      </c>
    </row>
    <row r="3644" spans="1:5" x14ac:dyDescent="0.2">
      <c r="A3644" t="s">
        <v>1171</v>
      </c>
      <c r="B3644" t="s">
        <v>1172</v>
      </c>
      <c r="C3644" t="s">
        <v>14</v>
      </c>
      <c r="D3644" t="str">
        <f>VLOOKUP(C3644,'lookup table'!$A$2:$B$19,2,FALSE)</f>
        <v>ALC</v>
      </c>
      <c r="E3644" t="str">
        <f t="shared" si="56"/>
        <v>AL132_02|ALC</v>
      </c>
    </row>
    <row r="3645" spans="1:5" x14ac:dyDescent="0.2">
      <c r="A3645" t="s">
        <v>1171</v>
      </c>
      <c r="B3645" t="s">
        <v>1172</v>
      </c>
      <c r="C3645" t="s">
        <v>20</v>
      </c>
      <c r="D3645" t="str">
        <f>VLOOKUP(C3645,'lookup table'!$A$2:$B$19,2,FALSE)</f>
        <v>AY</v>
      </c>
      <c r="E3645" t="str">
        <f t="shared" si="56"/>
        <v>AL132_02|AY</v>
      </c>
    </row>
    <row r="3646" spans="1:5" x14ac:dyDescent="0.2">
      <c r="A3646" t="s">
        <v>1171</v>
      </c>
      <c r="B3646" t="s">
        <v>1172</v>
      </c>
      <c r="C3646" t="s">
        <v>136</v>
      </c>
      <c r="D3646" t="str">
        <f>VLOOKUP(C3646,'lookup table'!$A$2:$B$19,2,FALSE)</f>
        <v>BBA Set</v>
      </c>
      <c r="E3646" t="str">
        <f t="shared" si="56"/>
        <v>AL132_02|BBA Set</v>
      </c>
    </row>
    <row r="3647" spans="1:5" x14ac:dyDescent="0.2">
      <c r="A3647" t="s">
        <v>1171</v>
      </c>
      <c r="B3647" t="s">
        <v>1172</v>
      </c>
      <c r="C3647" t="s">
        <v>331</v>
      </c>
      <c r="D3647" t="str">
        <f>VLOOKUP(C3647,'lookup table'!$A$2:$B$19,2,FALSE)</f>
        <v>FS Item</v>
      </c>
      <c r="E3647" t="str">
        <f t="shared" si="56"/>
        <v>AL132_02|FS Item</v>
      </c>
    </row>
    <row r="3648" spans="1:5" x14ac:dyDescent="0.2">
      <c r="A3648" t="s">
        <v>1171</v>
      </c>
      <c r="B3648" t="s">
        <v>1172</v>
      </c>
      <c r="C3648" t="s">
        <v>423</v>
      </c>
      <c r="D3648" t="str">
        <f>VLOOKUP(C3648,'lookup table'!$A$2:$B$19,2,FALSE)</f>
        <v>ignore</v>
      </c>
      <c r="E3648" t="str">
        <f t="shared" si="56"/>
        <v>AL132_02|ignore</v>
      </c>
    </row>
    <row r="3649" spans="1:5" x14ac:dyDescent="0.2">
      <c r="A3649" t="s">
        <v>1171</v>
      </c>
      <c r="B3649" t="s">
        <v>1172</v>
      </c>
      <c r="C3649" t="s">
        <v>424</v>
      </c>
      <c r="D3649" t="str">
        <f>VLOOKUP(C3649,'lookup table'!$A$2:$B$19,2,FALSE)</f>
        <v>GRC</v>
      </c>
      <c r="E3649" t="str">
        <f t="shared" si="56"/>
        <v>AL132_02|GRC</v>
      </c>
    </row>
    <row r="3650" spans="1:5" x14ac:dyDescent="0.2">
      <c r="A3650" t="s">
        <v>1171</v>
      </c>
      <c r="B3650" t="s">
        <v>1172</v>
      </c>
      <c r="C3650" t="s">
        <v>425</v>
      </c>
      <c r="D3650" t="str">
        <f>VLOOKUP(C3650,'lookup table'!$A$2:$B$19,2,FALSE)</f>
        <v>Investee Segment</v>
      </c>
      <c r="E3650" t="str">
        <f t="shared" si="56"/>
        <v>AL132_02|Investee Segment</v>
      </c>
    </row>
    <row r="3651" spans="1:5" x14ac:dyDescent="0.2">
      <c r="A3651" t="s">
        <v>1171</v>
      </c>
      <c r="B3651" t="s">
        <v>1172</v>
      </c>
      <c r="C3651" t="s">
        <v>426</v>
      </c>
      <c r="D3651" t="str">
        <f>VLOOKUP(C3651,'lookup table'!$A$2:$B$19,2,FALSE)</f>
        <v>Investee Unit</v>
      </c>
      <c r="E3651" t="str">
        <f t="shared" ref="E3651:E3714" si="57">IF(ISNA(D3651),"",IF(A3651="","",A3651) &amp; "|" &amp; D3651)</f>
        <v>AL132_02|Investee Unit</v>
      </c>
    </row>
    <row r="3652" spans="1:5" x14ac:dyDescent="0.2">
      <c r="A3652" t="s">
        <v>1171</v>
      </c>
      <c r="B3652" t="s">
        <v>1172</v>
      </c>
      <c r="C3652" t="s">
        <v>428</v>
      </c>
      <c r="D3652" t="str">
        <f>VLOOKUP(C3652,'lookup table'!$A$2:$B$19,2,FALSE)</f>
        <v>LoB</v>
      </c>
      <c r="E3652" t="str">
        <f t="shared" si="57"/>
        <v>AL132_02|LoB</v>
      </c>
    </row>
    <row r="3653" spans="1:5" x14ac:dyDescent="0.2">
      <c r="A3653" t="s">
        <v>1171</v>
      </c>
      <c r="B3653" t="s">
        <v>1172</v>
      </c>
      <c r="C3653" t="s">
        <v>436</v>
      </c>
      <c r="D3653" t="str">
        <f>VLOOKUP(C3653,'lookup table'!$A$2:$B$19,2,FALSE)</f>
        <v>MAT</v>
      </c>
      <c r="E3653" t="str">
        <f t="shared" si="57"/>
        <v>AL132_02|MAT</v>
      </c>
    </row>
    <row r="3654" spans="1:5" x14ac:dyDescent="0.2">
      <c r="A3654" t="s">
        <v>1171</v>
      </c>
      <c r="B3654" t="s">
        <v>1172</v>
      </c>
      <c r="C3654" t="s">
        <v>441</v>
      </c>
      <c r="D3654" t="str">
        <f>VLOOKUP(C3654,'lookup table'!$A$2:$B$19,2,FALSE)</f>
        <v>Partner Segment</v>
      </c>
      <c r="E3654" t="str">
        <f t="shared" si="57"/>
        <v>AL132_02|Partner Segment</v>
      </c>
    </row>
    <row r="3655" spans="1:5" x14ac:dyDescent="0.2">
      <c r="A3655" t="s">
        <v>1171</v>
      </c>
      <c r="B3655" t="s">
        <v>1172</v>
      </c>
      <c r="C3655" t="s">
        <v>442</v>
      </c>
      <c r="D3655" t="str">
        <f>VLOOKUP(C3655,'lookup table'!$A$2:$B$19,2,FALSE)</f>
        <v>Partner Unit</v>
      </c>
      <c r="E3655" t="str">
        <f t="shared" si="57"/>
        <v>AL132_02|Partner Unit</v>
      </c>
    </row>
    <row r="3656" spans="1:5" x14ac:dyDescent="0.2">
      <c r="A3656" t="s">
        <v>1171</v>
      </c>
      <c r="B3656" t="s">
        <v>1172</v>
      </c>
      <c r="C3656" t="s">
        <v>447</v>
      </c>
      <c r="D3656" t="str">
        <f>VLOOKUP(C3656,'lookup table'!$A$2:$B$19,2,FALSE)</f>
        <v>REX</v>
      </c>
      <c r="E3656" t="str">
        <f t="shared" si="57"/>
        <v>AL132_02|REX</v>
      </c>
    </row>
    <row r="3657" spans="1:5" x14ac:dyDescent="0.2">
      <c r="A3657" t="s">
        <v>1171</v>
      </c>
      <c r="B3657" t="s">
        <v>1172</v>
      </c>
      <c r="C3657" t="s">
        <v>449</v>
      </c>
      <c r="D3657" t="e">
        <f>VLOOKUP(C3657,'lookup table'!$A$2:$B$19,2,FALSE)</f>
        <v>#N/A</v>
      </c>
      <c r="E3657" t="str">
        <f t="shared" si="57"/>
        <v/>
      </c>
    </row>
    <row r="3658" spans="1:5" x14ac:dyDescent="0.2">
      <c r="A3658" t="s">
        <v>1171</v>
      </c>
      <c r="B3658" t="s">
        <v>1172</v>
      </c>
      <c r="C3658" t="s">
        <v>457</v>
      </c>
      <c r="D3658" t="str">
        <f>VLOOKUP(C3658,'lookup table'!$A$2:$B$19,2,FALSE)</f>
        <v>VLT</v>
      </c>
      <c r="E3658" t="str">
        <f t="shared" si="57"/>
        <v>AL132_02|VLT</v>
      </c>
    </row>
    <row r="3659" spans="1:5" x14ac:dyDescent="0.2">
      <c r="A3659" t="s">
        <v>1171</v>
      </c>
      <c r="B3659" t="s">
        <v>1172</v>
      </c>
      <c r="C3659" t="s">
        <v>458</v>
      </c>
      <c r="D3659" t="str">
        <f>VLOOKUP(C3659,'lookup table'!$A$2:$B$19,2,FALSE)</f>
        <v>VAR</v>
      </c>
      <c r="E3659" t="str">
        <f t="shared" si="57"/>
        <v>AL132_02|VAR</v>
      </c>
    </row>
    <row r="3660" spans="1:5" x14ac:dyDescent="0.2">
      <c r="A3660" t="s">
        <v>1173</v>
      </c>
      <c r="B3660" t="s">
        <v>1174</v>
      </c>
      <c r="C3660" t="s">
        <v>14</v>
      </c>
      <c r="D3660" t="str">
        <f>VLOOKUP(C3660,'lookup table'!$A$2:$B$19,2,FALSE)</f>
        <v>ALC</v>
      </c>
      <c r="E3660" t="str">
        <f t="shared" si="57"/>
        <v>AL132_03|ALC</v>
      </c>
    </row>
    <row r="3661" spans="1:5" x14ac:dyDescent="0.2">
      <c r="A3661" t="s">
        <v>1173</v>
      </c>
      <c r="B3661" t="s">
        <v>1174</v>
      </c>
      <c r="C3661" t="s">
        <v>20</v>
      </c>
      <c r="D3661" t="str">
        <f>VLOOKUP(C3661,'lookup table'!$A$2:$B$19,2,FALSE)</f>
        <v>AY</v>
      </c>
      <c r="E3661" t="str">
        <f t="shared" si="57"/>
        <v>AL132_03|AY</v>
      </c>
    </row>
    <row r="3662" spans="1:5" x14ac:dyDescent="0.2">
      <c r="A3662" t="s">
        <v>1173</v>
      </c>
      <c r="B3662" t="s">
        <v>1174</v>
      </c>
      <c r="C3662" t="s">
        <v>136</v>
      </c>
      <c r="D3662" t="str">
        <f>VLOOKUP(C3662,'lookup table'!$A$2:$B$19,2,FALSE)</f>
        <v>BBA Set</v>
      </c>
      <c r="E3662" t="str">
        <f t="shared" si="57"/>
        <v>AL132_03|BBA Set</v>
      </c>
    </row>
    <row r="3663" spans="1:5" x14ac:dyDescent="0.2">
      <c r="A3663" t="s">
        <v>1173</v>
      </c>
      <c r="B3663" t="s">
        <v>1174</v>
      </c>
      <c r="C3663" t="s">
        <v>331</v>
      </c>
      <c r="D3663" t="str">
        <f>VLOOKUP(C3663,'lookup table'!$A$2:$B$19,2,FALSE)</f>
        <v>FS Item</v>
      </c>
      <c r="E3663" t="str">
        <f t="shared" si="57"/>
        <v>AL132_03|FS Item</v>
      </c>
    </row>
    <row r="3664" spans="1:5" x14ac:dyDescent="0.2">
      <c r="A3664" t="s">
        <v>1173</v>
      </c>
      <c r="B3664" t="s">
        <v>1174</v>
      </c>
      <c r="C3664" t="s">
        <v>423</v>
      </c>
      <c r="D3664" t="str">
        <f>VLOOKUP(C3664,'lookup table'!$A$2:$B$19,2,FALSE)</f>
        <v>ignore</v>
      </c>
      <c r="E3664" t="str">
        <f t="shared" si="57"/>
        <v>AL132_03|ignore</v>
      </c>
    </row>
    <row r="3665" spans="1:5" x14ac:dyDescent="0.2">
      <c r="A3665" t="s">
        <v>1173</v>
      </c>
      <c r="B3665" t="s">
        <v>1174</v>
      </c>
      <c r="C3665" t="s">
        <v>424</v>
      </c>
      <c r="D3665" t="str">
        <f>VLOOKUP(C3665,'lookup table'!$A$2:$B$19,2,FALSE)</f>
        <v>GRC</v>
      </c>
      <c r="E3665" t="str">
        <f t="shared" si="57"/>
        <v>AL132_03|GRC</v>
      </c>
    </row>
    <row r="3666" spans="1:5" x14ac:dyDescent="0.2">
      <c r="A3666" t="s">
        <v>1173</v>
      </c>
      <c r="B3666" t="s">
        <v>1174</v>
      </c>
      <c r="C3666" t="s">
        <v>425</v>
      </c>
      <c r="D3666" t="str">
        <f>VLOOKUP(C3666,'lookup table'!$A$2:$B$19,2,FALSE)</f>
        <v>Investee Segment</v>
      </c>
      <c r="E3666" t="str">
        <f t="shared" si="57"/>
        <v>AL132_03|Investee Segment</v>
      </c>
    </row>
    <row r="3667" spans="1:5" x14ac:dyDescent="0.2">
      <c r="A3667" t="s">
        <v>1173</v>
      </c>
      <c r="B3667" t="s">
        <v>1174</v>
      </c>
      <c r="C3667" t="s">
        <v>426</v>
      </c>
      <c r="D3667" t="str">
        <f>VLOOKUP(C3667,'lookup table'!$A$2:$B$19,2,FALSE)</f>
        <v>Investee Unit</v>
      </c>
      <c r="E3667" t="str">
        <f t="shared" si="57"/>
        <v>AL132_03|Investee Unit</v>
      </c>
    </row>
    <row r="3668" spans="1:5" x14ac:dyDescent="0.2">
      <c r="A3668" t="s">
        <v>1173</v>
      </c>
      <c r="B3668" t="s">
        <v>1174</v>
      </c>
      <c r="C3668" t="s">
        <v>428</v>
      </c>
      <c r="D3668" t="str">
        <f>VLOOKUP(C3668,'lookup table'!$A$2:$B$19,2,FALSE)</f>
        <v>LoB</v>
      </c>
      <c r="E3668" t="str">
        <f t="shared" si="57"/>
        <v>AL132_03|LoB</v>
      </c>
    </row>
    <row r="3669" spans="1:5" x14ac:dyDescent="0.2">
      <c r="A3669" t="s">
        <v>1173</v>
      </c>
      <c r="B3669" t="s">
        <v>1174</v>
      </c>
      <c r="C3669" t="s">
        <v>436</v>
      </c>
      <c r="D3669" t="str">
        <f>VLOOKUP(C3669,'lookup table'!$A$2:$B$19,2,FALSE)</f>
        <v>MAT</v>
      </c>
      <c r="E3669" t="str">
        <f t="shared" si="57"/>
        <v>AL132_03|MAT</v>
      </c>
    </row>
    <row r="3670" spans="1:5" x14ac:dyDescent="0.2">
      <c r="A3670" t="s">
        <v>1173</v>
      </c>
      <c r="B3670" t="s">
        <v>1174</v>
      </c>
      <c r="C3670" t="s">
        <v>441</v>
      </c>
      <c r="D3670" t="str">
        <f>VLOOKUP(C3670,'lookup table'!$A$2:$B$19,2,FALSE)</f>
        <v>Partner Segment</v>
      </c>
      <c r="E3670" t="str">
        <f t="shared" si="57"/>
        <v>AL132_03|Partner Segment</v>
      </c>
    </row>
    <row r="3671" spans="1:5" x14ac:dyDescent="0.2">
      <c r="A3671" t="s">
        <v>1173</v>
      </c>
      <c r="B3671" t="s">
        <v>1174</v>
      </c>
      <c r="C3671" t="s">
        <v>442</v>
      </c>
      <c r="D3671" t="str">
        <f>VLOOKUP(C3671,'lookup table'!$A$2:$B$19,2,FALSE)</f>
        <v>Partner Unit</v>
      </c>
      <c r="E3671" t="str">
        <f t="shared" si="57"/>
        <v>AL132_03|Partner Unit</v>
      </c>
    </row>
    <row r="3672" spans="1:5" x14ac:dyDescent="0.2">
      <c r="A3672" t="s">
        <v>1173</v>
      </c>
      <c r="B3672" t="s">
        <v>1174</v>
      </c>
      <c r="C3672" t="s">
        <v>447</v>
      </c>
      <c r="D3672" t="str">
        <f>VLOOKUP(C3672,'lookup table'!$A$2:$B$19,2,FALSE)</f>
        <v>REX</v>
      </c>
      <c r="E3672" t="str">
        <f t="shared" si="57"/>
        <v>AL132_03|REX</v>
      </c>
    </row>
    <row r="3673" spans="1:5" x14ac:dyDescent="0.2">
      <c r="A3673" t="s">
        <v>1173</v>
      </c>
      <c r="B3673" t="s">
        <v>1174</v>
      </c>
      <c r="C3673" t="s">
        <v>449</v>
      </c>
      <c r="D3673" t="e">
        <f>VLOOKUP(C3673,'lookup table'!$A$2:$B$19,2,FALSE)</f>
        <v>#N/A</v>
      </c>
      <c r="E3673" t="str">
        <f t="shared" si="57"/>
        <v/>
      </c>
    </row>
    <row r="3674" spans="1:5" x14ac:dyDescent="0.2">
      <c r="A3674" t="s">
        <v>1173</v>
      </c>
      <c r="B3674" t="s">
        <v>1174</v>
      </c>
      <c r="C3674" t="s">
        <v>457</v>
      </c>
      <c r="D3674" t="str">
        <f>VLOOKUP(C3674,'lookup table'!$A$2:$B$19,2,FALSE)</f>
        <v>VLT</v>
      </c>
      <c r="E3674" t="str">
        <f t="shared" si="57"/>
        <v>AL132_03|VLT</v>
      </c>
    </row>
    <row r="3675" spans="1:5" x14ac:dyDescent="0.2">
      <c r="A3675" t="s">
        <v>1173</v>
      </c>
      <c r="B3675" t="s">
        <v>1174</v>
      </c>
      <c r="C3675" t="s">
        <v>458</v>
      </c>
      <c r="D3675" t="str">
        <f>VLOOKUP(C3675,'lookup table'!$A$2:$B$19,2,FALSE)</f>
        <v>VAR</v>
      </c>
      <c r="E3675" t="str">
        <f t="shared" si="57"/>
        <v>AL132_03|VAR</v>
      </c>
    </row>
    <row r="3676" spans="1:5" x14ac:dyDescent="0.2">
      <c r="A3676" t="s">
        <v>1175</v>
      </c>
      <c r="B3676" t="s">
        <v>1176</v>
      </c>
      <c r="C3676" t="s">
        <v>14</v>
      </c>
      <c r="D3676" t="str">
        <f>VLOOKUP(C3676,'lookup table'!$A$2:$B$19,2,FALSE)</f>
        <v>ALC</v>
      </c>
      <c r="E3676" t="str">
        <f t="shared" si="57"/>
        <v>AL132_04|ALC</v>
      </c>
    </row>
    <row r="3677" spans="1:5" x14ac:dyDescent="0.2">
      <c r="A3677" t="s">
        <v>1175</v>
      </c>
      <c r="B3677" t="s">
        <v>1176</v>
      </c>
      <c r="C3677" t="s">
        <v>20</v>
      </c>
      <c r="D3677" t="str">
        <f>VLOOKUP(C3677,'lookup table'!$A$2:$B$19,2,FALSE)</f>
        <v>AY</v>
      </c>
      <c r="E3677" t="str">
        <f t="shared" si="57"/>
        <v>AL132_04|AY</v>
      </c>
    </row>
    <row r="3678" spans="1:5" x14ac:dyDescent="0.2">
      <c r="A3678" t="s">
        <v>1175</v>
      </c>
      <c r="B3678" t="s">
        <v>1176</v>
      </c>
      <c r="C3678" t="s">
        <v>136</v>
      </c>
      <c r="D3678" t="str">
        <f>VLOOKUP(C3678,'lookup table'!$A$2:$B$19,2,FALSE)</f>
        <v>BBA Set</v>
      </c>
      <c r="E3678" t="str">
        <f t="shared" si="57"/>
        <v>AL132_04|BBA Set</v>
      </c>
    </row>
    <row r="3679" spans="1:5" x14ac:dyDescent="0.2">
      <c r="A3679" t="s">
        <v>1175</v>
      </c>
      <c r="B3679" t="s">
        <v>1176</v>
      </c>
      <c r="C3679" t="s">
        <v>331</v>
      </c>
      <c r="D3679" t="str">
        <f>VLOOKUP(C3679,'lookup table'!$A$2:$B$19,2,FALSE)</f>
        <v>FS Item</v>
      </c>
      <c r="E3679" t="str">
        <f t="shared" si="57"/>
        <v>AL132_04|FS Item</v>
      </c>
    </row>
    <row r="3680" spans="1:5" x14ac:dyDescent="0.2">
      <c r="A3680" t="s">
        <v>1175</v>
      </c>
      <c r="B3680" t="s">
        <v>1176</v>
      </c>
      <c r="C3680" t="s">
        <v>423</v>
      </c>
      <c r="D3680" t="str">
        <f>VLOOKUP(C3680,'lookup table'!$A$2:$B$19,2,FALSE)</f>
        <v>ignore</v>
      </c>
      <c r="E3680" t="str">
        <f t="shared" si="57"/>
        <v>AL132_04|ignore</v>
      </c>
    </row>
    <row r="3681" spans="1:5" x14ac:dyDescent="0.2">
      <c r="A3681" t="s">
        <v>1175</v>
      </c>
      <c r="B3681" t="s">
        <v>1176</v>
      </c>
      <c r="C3681" t="s">
        <v>424</v>
      </c>
      <c r="D3681" t="str">
        <f>VLOOKUP(C3681,'lookup table'!$A$2:$B$19,2,FALSE)</f>
        <v>GRC</v>
      </c>
      <c r="E3681" t="str">
        <f t="shared" si="57"/>
        <v>AL132_04|GRC</v>
      </c>
    </row>
    <row r="3682" spans="1:5" x14ac:dyDescent="0.2">
      <c r="A3682" t="s">
        <v>1175</v>
      </c>
      <c r="B3682" t="s">
        <v>1176</v>
      </c>
      <c r="C3682" t="s">
        <v>425</v>
      </c>
      <c r="D3682" t="str">
        <f>VLOOKUP(C3682,'lookup table'!$A$2:$B$19,2,FALSE)</f>
        <v>Investee Segment</v>
      </c>
      <c r="E3682" t="str">
        <f t="shared" si="57"/>
        <v>AL132_04|Investee Segment</v>
      </c>
    </row>
    <row r="3683" spans="1:5" x14ac:dyDescent="0.2">
      <c r="A3683" t="s">
        <v>1175</v>
      </c>
      <c r="B3683" t="s">
        <v>1176</v>
      </c>
      <c r="C3683" t="s">
        <v>426</v>
      </c>
      <c r="D3683" t="str">
        <f>VLOOKUP(C3683,'lookup table'!$A$2:$B$19,2,FALSE)</f>
        <v>Investee Unit</v>
      </c>
      <c r="E3683" t="str">
        <f t="shared" si="57"/>
        <v>AL132_04|Investee Unit</v>
      </c>
    </row>
    <row r="3684" spans="1:5" x14ac:dyDescent="0.2">
      <c r="A3684" t="s">
        <v>1175</v>
      </c>
      <c r="B3684" t="s">
        <v>1176</v>
      </c>
      <c r="C3684" t="s">
        <v>428</v>
      </c>
      <c r="D3684" t="str">
        <f>VLOOKUP(C3684,'lookup table'!$A$2:$B$19,2,FALSE)</f>
        <v>LoB</v>
      </c>
      <c r="E3684" t="str">
        <f t="shared" si="57"/>
        <v>AL132_04|LoB</v>
      </c>
    </row>
    <row r="3685" spans="1:5" x14ac:dyDescent="0.2">
      <c r="A3685" t="s">
        <v>1175</v>
      </c>
      <c r="B3685" t="s">
        <v>1176</v>
      </c>
      <c r="C3685" t="s">
        <v>436</v>
      </c>
      <c r="D3685" t="str">
        <f>VLOOKUP(C3685,'lookup table'!$A$2:$B$19,2,FALSE)</f>
        <v>MAT</v>
      </c>
      <c r="E3685" t="str">
        <f t="shared" si="57"/>
        <v>AL132_04|MAT</v>
      </c>
    </row>
    <row r="3686" spans="1:5" x14ac:dyDescent="0.2">
      <c r="A3686" t="s">
        <v>1175</v>
      </c>
      <c r="B3686" t="s">
        <v>1176</v>
      </c>
      <c r="C3686" t="s">
        <v>441</v>
      </c>
      <c r="D3686" t="str">
        <f>VLOOKUP(C3686,'lookup table'!$A$2:$B$19,2,FALSE)</f>
        <v>Partner Segment</v>
      </c>
      <c r="E3686" t="str">
        <f t="shared" si="57"/>
        <v>AL132_04|Partner Segment</v>
      </c>
    </row>
    <row r="3687" spans="1:5" x14ac:dyDescent="0.2">
      <c r="A3687" t="s">
        <v>1175</v>
      </c>
      <c r="B3687" t="s">
        <v>1176</v>
      </c>
      <c r="C3687" t="s">
        <v>442</v>
      </c>
      <c r="D3687" t="str">
        <f>VLOOKUP(C3687,'lookup table'!$A$2:$B$19,2,FALSE)</f>
        <v>Partner Unit</v>
      </c>
      <c r="E3687" t="str">
        <f t="shared" si="57"/>
        <v>AL132_04|Partner Unit</v>
      </c>
    </row>
    <row r="3688" spans="1:5" x14ac:dyDescent="0.2">
      <c r="A3688" t="s">
        <v>1175</v>
      </c>
      <c r="B3688" t="s">
        <v>1176</v>
      </c>
      <c r="C3688" t="s">
        <v>447</v>
      </c>
      <c r="D3688" t="str">
        <f>VLOOKUP(C3688,'lookup table'!$A$2:$B$19,2,FALSE)</f>
        <v>REX</v>
      </c>
      <c r="E3688" t="str">
        <f t="shared" si="57"/>
        <v>AL132_04|REX</v>
      </c>
    </row>
    <row r="3689" spans="1:5" x14ac:dyDescent="0.2">
      <c r="A3689" t="s">
        <v>1175</v>
      </c>
      <c r="B3689" t="s">
        <v>1176</v>
      </c>
      <c r="C3689" t="s">
        <v>449</v>
      </c>
      <c r="D3689" t="e">
        <f>VLOOKUP(C3689,'lookup table'!$A$2:$B$19,2,FALSE)</f>
        <v>#N/A</v>
      </c>
      <c r="E3689" t="str">
        <f t="shared" si="57"/>
        <v/>
      </c>
    </row>
    <row r="3690" spans="1:5" x14ac:dyDescent="0.2">
      <c r="A3690" t="s">
        <v>1175</v>
      </c>
      <c r="B3690" t="s">
        <v>1176</v>
      </c>
      <c r="C3690" t="s">
        <v>457</v>
      </c>
      <c r="D3690" t="str">
        <f>VLOOKUP(C3690,'lookup table'!$A$2:$B$19,2,FALSE)</f>
        <v>VLT</v>
      </c>
      <c r="E3690" t="str">
        <f t="shared" si="57"/>
        <v>AL132_04|VLT</v>
      </c>
    </row>
    <row r="3691" spans="1:5" x14ac:dyDescent="0.2">
      <c r="A3691" t="s">
        <v>1175</v>
      </c>
      <c r="B3691" t="s">
        <v>1176</v>
      </c>
      <c r="C3691" t="s">
        <v>458</v>
      </c>
      <c r="D3691" t="str">
        <f>VLOOKUP(C3691,'lookup table'!$A$2:$B$19,2,FALSE)</f>
        <v>VAR</v>
      </c>
      <c r="E3691" t="str">
        <f t="shared" si="57"/>
        <v>AL132_04|VAR</v>
      </c>
    </row>
    <row r="3692" spans="1:5" x14ac:dyDescent="0.2">
      <c r="A3692" t="s">
        <v>1177</v>
      </c>
      <c r="B3692" t="s">
        <v>1178</v>
      </c>
      <c r="C3692" t="s">
        <v>14</v>
      </c>
      <c r="D3692" t="str">
        <f>VLOOKUP(C3692,'lookup table'!$A$2:$B$19,2,FALSE)</f>
        <v>ALC</v>
      </c>
      <c r="E3692" t="str">
        <f t="shared" si="57"/>
        <v>AL132_10|ALC</v>
      </c>
    </row>
    <row r="3693" spans="1:5" x14ac:dyDescent="0.2">
      <c r="A3693" t="s">
        <v>1177</v>
      </c>
      <c r="B3693" t="s">
        <v>1178</v>
      </c>
      <c r="C3693" t="s">
        <v>20</v>
      </c>
      <c r="D3693" t="str">
        <f>VLOOKUP(C3693,'lookup table'!$A$2:$B$19,2,FALSE)</f>
        <v>AY</v>
      </c>
      <c r="E3693" t="str">
        <f t="shared" si="57"/>
        <v>AL132_10|AY</v>
      </c>
    </row>
    <row r="3694" spans="1:5" x14ac:dyDescent="0.2">
      <c r="A3694" t="s">
        <v>1177</v>
      </c>
      <c r="B3694" t="s">
        <v>1178</v>
      </c>
      <c r="C3694" t="s">
        <v>136</v>
      </c>
      <c r="D3694" t="str">
        <f>VLOOKUP(C3694,'lookup table'!$A$2:$B$19,2,FALSE)</f>
        <v>BBA Set</v>
      </c>
      <c r="E3694" t="str">
        <f t="shared" si="57"/>
        <v>AL132_10|BBA Set</v>
      </c>
    </row>
    <row r="3695" spans="1:5" x14ac:dyDescent="0.2">
      <c r="A3695" t="s">
        <v>1177</v>
      </c>
      <c r="B3695" t="s">
        <v>1178</v>
      </c>
      <c r="C3695" t="s">
        <v>331</v>
      </c>
      <c r="D3695" t="str">
        <f>VLOOKUP(C3695,'lookup table'!$A$2:$B$19,2,FALSE)</f>
        <v>FS Item</v>
      </c>
      <c r="E3695" t="str">
        <f t="shared" si="57"/>
        <v>AL132_10|FS Item</v>
      </c>
    </row>
    <row r="3696" spans="1:5" x14ac:dyDescent="0.2">
      <c r="A3696" t="s">
        <v>1177</v>
      </c>
      <c r="B3696" t="s">
        <v>1178</v>
      </c>
      <c r="C3696" t="s">
        <v>423</v>
      </c>
      <c r="D3696" t="str">
        <f>VLOOKUP(C3696,'lookup table'!$A$2:$B$19,2,FALSE)</f>
        <v>ignore</v>
      </c>
      <c r="E3696" t="str">
        <f t="shared" si="57"/>
        <v>AL132_10|ignore</v>
      </c>
    </row>
    <row r="3697" spans="1:5" x14ac:dyDescent="0.2">
      <c r="A3697" t="s">
        <v>1177</v>
      </c>
      <c r="B3697" t="s">
        <v>1178</v>
      </c>
      <c r="C3697" t="s">
        <v>424</v>
      </c>
      <c r="D3697" t="str">
        <f>VLOOKUP(C3697,'lookup table'!$A$2:$B$19,2,FALSE)</f>
        <v>GRC</v>
      </c>
      <c r="E3697" t="str">
        <f t="shared" si="57"/>
        <v>AL132_10|GRC</v>
      </c>
    </row>
    <row r="3698" spans="1:5" x14ac:dyDescent="0.2">
      <c r="A3698" t="s">
        <v>1177</v>
      </c>
      <c r="B3698" t="s">
        <v>1178</v>
      </c>
      <c r="C3698" t="s">
        <v>425</v>
      </c>
      <c r="D3698" t="str">
        <f>VLOOKUP(C3698,'lookup table'!$A$2:$B$19,2,FALSE)</f>
        <v>Investee Segment</v>
      </c>
      <c r="E3698" t="str">
        <f t="shared" si="57"/>
        <v>AL132_10|Investee Segment</v>
      </c>
    </row>
    <row r="3699" spans="1:5" x14ac:dyDescent="0.2">
      <c r="A3699" t="s">
        <v>1177</v>
      </c>
      <c r="B3699" t="s">
        <v>1178</v>
      </c>
      <c r="C3699" t="s">
        <v>426</v>
      </c>
      <c r="D3699" t="str">
        <f>VLOOKUP(C3699,'lookup table'!$A$2:$B$19,2,FALSE)</f>
        <v>Investee Unit</v>
      </c>
      <c r="E3699" t="str">
        <f t="shared" si="57"/>
        <v>AL132_10|Investee Unit</v>
      </c>
    </row>
    <row r="3700" spans="1:5" x14ac:dyDescent="0.2">
      <c r="A3700" t="s">
        <v>1177</v>
      </c>
      <c r="B3700" t="s">
        <v>1178</v>
      </c>
      <c r="C3700" t="s">
        <v>428</v>
      </c>
      <c r="D3700" t="str">
        <f>VLOOKUP(C3700,'lookup table'!$A$2:$B$19,2,FALSE)</f>
        <v>LoB</v>
      </c>
      <c r="E3700" t="str">
        <f t="shared" si="57"/>
        <v>AL132_10|LoB</v>
      </c>
    </row>
    <row r="3701" spans="1:5" x14ac:dyDescent="0.2">
      <c r="A3701" t="s">
        <v>1177</v>
      </c>
      <c r="B3701" t="s">
        <v>1178</v>
      </c>
      <c r="C3701" t="s">
        <v>436</v>
      </c>
      <c r="D3701" t="str">
        <f>VLOOKUP(C3701,'lookup table'!$A$2:$B$19,2,FALSE)</f>
        <v>MAT</v>
      </c>
      <c r="E3701" t="str">
        <f t="shared" si="57"/>
        <v>AL132_10|MAT</v>
      </c>
    </row>
    <row r="3702" spans="1:5" x14ac:dyDescent="0.2">
      <c r="A3702" t="s">
        <v>1177</v>
      </c>
      <c r="B3702" t="s">
        <v>1178</v>
      </c>
      <c r="C3702" t="s">
        <v>441</v>
      </c>
      <c r="D3702" t="str">
        <f>VLOOKUP(C3702,'lookup table'!$A$2:$B$19,2,FALSE)</f>
        <v>Partner Segment</v>
      </c>
      <c r="E3702" t="str">
        <f t="shared" si="57"/>
        <v>AL132_10|Partner Segment</v>
      </c>
    </row>
    <row r="3703" spans="1:5" x14ac:dyDescent="0.2">
      <c r="A3703" t="s">
        <v>1177</v>
      </c>
      <c r="B3703" t="s">
        <v>1178</v>
      </c>
      <c r="C3703" t="s">
        <v>442</v>
      </c>
      <c r="D3703" t="str">
        <f>VLOOKUP(C3703,'lookup table'!$A$2:$B$19,2,FALSE)</f>
        <v>Partner Unit</v>
      </c>
      <c r="E3703" t="str">
        <f t="shared" si="57"/>
        <v>AL132_10|Partner Unit</v>
      </c>
    </row>
    <row r="3704" spans="1:5" x14ac:dyDescent="0.2">
      <c r="A3704" t="s">
        <v>1177</v>
      </c>
      <c r="B3704" t="s">
        <v>1178</v>
      </c>
      <c r="C3704" t="s">
        <v>447</v>
      </c>
      <c r="D3704" t="str">
        <f>VLOOKUP(C3704,'lookup table'!$A$2:$B$19,2,FALSE)</f>
        <v>REX</v>
      </c>
      <c r="E3704" t="str">
        <f t="shared" si="57"/>
        <v>AL132_10|REX</v>
      </c>
    </row>
    <row r="3705" spans="1:5" x14ac:dyDescent="0.2">
      <c r="A3705" t="s">
        <v>1177</v>
      </c>
      <c r="B3705" t="s">
        <v>1178</v>
      </c>
      <c r="C3705" t="s">
        <v>449</v>
      </c>
      <c r="D3705" t="e">
        <f>VLOOKUP(C3705,'lookup table'!$A$2:$B$19,2,FALSE)</f>
        <v>#N/A</v>
      </c>
      <c r="E3705" t="str">
        <f t="shared" si="57"/>
        <v/>
      </c>
    </row>
    <row r="3706" spans="1:5" x14ac:dyDescent="0.2">
      <c r="A3706" t="s">
        <v>1177</v>
      </c>
      <c r="B3706" t="s">
        <v>1178</v>
      </c>
      <c r="C3706" t="s">
        <v>457</v>
      </c>
      <c r="D3706" t="str">
        <f>VLOOKUP(C3706,'lookup table'!$A$2:$B$19,2,FALSE)</f>
        <v>VLT</v>
      </c>
      <c r="E3706" t="str">
        <f t="shared" si="57"/>
        <v>AL132_10|VLT</v>
      </c>
    </row>
    <row r="3707" spans="1:5" x14ac:dyDescent="0.2">
      <c r="A3707" t="s">
        <v>1177</v>
      </c>
      <c r="B3707" t="s">
        <v>1178</v>
      </c>
      <c r="C3707" t="s">
        <v>458</v>
      </c>
      <c r="D3707" t="str">
        <f>VLOOKUP(C3707,'lookup table'!$A$2:$B$19,2,FALSE)</f>
        <v>VAR</v>
      </c>
      <c r="E3707" t="str">
        <f t="shared" si="57"/>
        <v>AL132_10|VAR</v>
      </c>
    </row>
    <row r="3708" spans="1:5" x14ac:dyDescent="0.2">
      <c r="A3708" t="s">
        <v>1179</v>
      </c>
      <c r="B3708" t="s">
        <v>1180</v>
      </c>
      <c r="C3708" t="s">
        <v>14</v>
      </c>
      <c r="D3708" t="str">
        <f>VLOOKUP(C3708,'lookup table'!$A$2:$B$19,2,FALSE)</f>
        <v>ALC</v>
      </c>
      <c r="E3708" t="str">
        <f t="shared" si="57"/>
        <v>AL132_11|ALC</v>
      </c>
    </row>
    <row r="3709" spans="1:5" x14ac:dyDescent="0.2">
      <c r="A3709" t="s">
        <v>1179</v>
      </c>
      <c r="B3709" t="s">
        <v>1180</v>
      </c>
      <c r="C3709" t="s">
        <v>20</v>
      </c>
      <c r="D3709" t="str">
        <f>VLOOKUP(C3709,'lookup table'!$A$2:$B$19,2,FALSE)</f>
        <v>AY</v>
      </c>
      <c r="E3709" t="str">
        <f t="shared" si="57"/>
        <v>AL132_11|AY</v>
      </c>
    </row>
    <row r="3710" spans="1:5" x14ac:dyDescent="0.2">
      <c r="A3710" t="s">
        <v>1179</v>
      </c>
      <c r="B3710" t="s">
        <v>1180</v>
      </c>
      <c r="C3710" t="s">
        <v>136</v>
      </c>
      <c r="D3710" t="str">
        <f>VLOOKUP(C3710,'lookup table'!$A$2:$B$19,2,FALSE)</f>
        <v>BBA Set</v>
      </c>
      <c r="E3710" t="str">
        <f t="shared" si="57"/>
        <v>AL132_11|BBA Set</v>
      </c>
    </row>
    <row r="3711" spans="1:5" x14ac:dyDescent="0.2">
      <c r="A3711" t="s">
        <v>1179</v>
      </c>
      <c r="B3711" t="s">
        <v>1180</v>
      </c>
      <c r="C3711" t="s">
        <v>331</v>
      </c>
      <c r="D3711" t="str">
        <f>VLOOKUP(C3711,'lookup table'!$A$2:$B$19,2,FALSE)</f>
        <v>FS Item</v>
      </c>
      <c r="E3711" t="str">
        <f t="shared" si="57"/>
        <v>AL132_11|FS Item</v>
      </c>
    </row>
    <row r="3712" spans="1:5" x14ac:dyDescent="0.2">
      <c r="A3712" t="s">
        <v>1179</v>
      </c>
      <c r="B3712" t="s">
        <v>1180</v>
      </c>
      <c r="C3712" t="s">
        <v>423</v>
      </c>
      <c r="D3712" t="str">
        <f>VLOOKUP(C3712,'lookup table'!$A$2:$B$19,2,FALSE)</f>
        <v>ignore</v>
      </c>
      <c r="E3712" t="str">
        <f t="shared" si="57"/>
        <v>AL132_11|ignore</v>
      </c>
    </row>
    <row r="3713" spans="1:5" x14ac:dyDescent="0.2">
      <c r="A3713" t="s">
        <v>1179</v>
      </c>
      <c r="B3713" t="s">
        <v>1180</v>
      </c>
      <c r="C3713" t="s">
        <v>424</v>
      </c>
      <c r="D3713" t="str">
        <f>VLOOKUP(C3713,'lookup table'!$A$2:$B$19,2,FALSE)</f>
        <v>GRC</v>
      </c>
      <c r="E3713" t="str">
        <f t="shared" si="57"/>
        <v>AL132_11|GRC</v>
      </c>
    </row>
    <row r="3714" spans="1:5" x14ac:dyDescent="0.2">
      <c r="A3714" t="s">
        <v>1179</v>
      </c>
      <c r="B3714" t="s">
        <v>1180</v>
      </c>
      <c r="C3714" t="s">
        <v>425</v>
      </c>
      <c r="D3714" t="str">
        <f>VLOOKUP(C3714,'lookup table'!$A$2:$B$19,2,FALSE)</f>
        <v>Investee Segment</v>
      </c>
      <c r="E3714" t="str">
        <f t="shared" si="57"/>
        <v>AL132_11|Investee Segment</v>
      </c>
    </row>
    <row r="3715" spans="1:5" x14ac:dyDescent="0.2">
      <c r="A3715" t="s">
        <v>1179</v>
      </c>
      <c r="B3715" t="s">
        <v>1180</v>
      </c>
      <c r="C3715" t="s">
        <v>426</v>
      </c>
      <c r="D3715" t="str">
        <f>VLOOKUP(C3715,'lookup table'!$A$2:$B$19,2,FALSE)</f>
        <v>Investee Unit</v>
      </c>
      <c r="E3715" t="str">
        <f t="shared" ref="E3715:E3778" si="58">IF(ISNA(D3715),"",IF(A3715="","",A3715) &amp; "|" &amp; D3715)</f>
        <v>AL132_11|Investee Unit</v>
      </c>
    </row>
    <row r="3716" spans="1:5" x14ac:dyDescent="0.2">
      <c r="A3716" t="s">
        <v>1179</v>
      </c>
      <c r="B3716" t="s">
        <v>1180</v>
      </c>
      <c r="C3716" t="s">
        <v>428</v>
      </c>
      <c r="D3716" t="str">
        <f>VLOOKUP(C3716,'lookup table'!$A$2:$B$19,2,FALSE)</f>
        <v>LoB</v>
      </c>
      <c r="E3716" t="str">
        <f t="shared" si="58"/>
        <v>AL132_11|LoB</v>
      </c>
    </row>
    <row r="3717" spans="1:5" x14ac:dyDescent="0.2">
      <c r="A3717" t="s">
        <v>1179</v>
      </c>
      <c r="B3717" t="s">
        <v>1180</v>
      </c>
      <c r="C3717" t="s">
        <v>436</v>
      </c>
      <c r="D3717" t="str">
        <f>VLOOKUP(C3717,'lookup table'!$A$2:$B$19,2,FALSE)</f>
        <v>MAT</v>
      </c>
      <c r="E3717" t="str">
        <f t="shared" si="58"/>
        <v>AL132_11|MAT</v>
      </c>
    </row>
    <row r="3718" spans="1:5" x14ac:dyDescent="0.2">
      <c r="A3718" t="s">
        <v>1179</v>
      </c>
      <c r="B3718" t="s">
        <v>1180</v>
      </c>
      <c r="C3718" t="s">
        <v>441</v>
      </c>
      <c r="D3718" t="str">
        <f>VLOOKUP(C3718,'lookup table'!$A$2:$B$19,2,FALSE)</f>
        <v>Partner Segment</v>
      </c>
      <c r="E3718" t="str">
        <f t="shared" si="58"/>
        <v>AL132_11|Partner Segment</v>
      </c>
    </row>
    <row r="3719" spans="1:5" x14ac:dyDescent="0.2">
      <c r="A3719" t="s">
        <v>1179</v>
      </c>
      <c r="B3719" t="s">
        <v>1180</v>
      </c>
      <c r="C3719" t="s">
        <v>442</v>
      </c>
      <c r="D3719" t="str">
        <f>VLOOKUP(C3719,'lookup table'!$A$2:$B$19,2,FALSE)</f>
        <v>Partner Unit</v>
      </c>
      <c r="E3719" t="str">
        <f t="shared" si="58"/>
        <v>AL132_11|Partner Unit</v>
      </c>
    </row>
    <row r="3720" spans="1:5" x14ac:dyDescent="0.2">
      <c r="A3720" t="s">
        <v>1179</v>
      </c>
      <c r="B3720" t="s">
        <v>1180</v>
      </c>
      <c r="C3720" t="s">
        <v>447</v>
      </c>
      <c r="D3720" t="str">
        <f>VLOOKUP(C3720,'lookup table'!$A$2:$B$19,2,FALSE)</f>
        <v>REX</v>
      </c>
      <c r="E3720" t="str">
        <f t="shared" si="58"/>
        <v>AL132_11|REX</v>
      </c>
    </row>
    <row r="3721" spans="1:5" x14ac:dyDescent="0.2">
      <c r="A3721" t="s">
        <v>1179</v>
      </c>
      <c r="B3721" t="s">
        <v>1180</v>
      </c>
      <c r="C3721" t="s">
        <v>449</v>
      </c>
      <c r="D3721" t="e">
        <f>VLOOKUP(C3721,'lookup table'!$A$2:$B$19,2,FALSE)</f>
        <v>#N/A</v>
      </c>
      <c r="E3721" t="str">
        <f t="shared" si="58"/>
        <v/>
      </c>
    </row>
    <row r="3722" spans="1:5" x14ac:dyDescent="0.2">
      <c r="A3722" t="s">
        <v>1179</v>
      </c>
      <c r="B3722" t="s">
        <v>1180</v>
      </c>
      <c r="C3722" t="s">
        <v>457</v>
      </c>
      <c r="D3722" t="str">
        <f>VLOOKUP(C3722,'lookup table'!$A$2:$B$19,2,FALSE)</f>
        <v>VLT</v>
      </c>
      <c r="E3722" t="str">
        <f t="shared" si="58"/>
        <v>AL132_11|VLT</v>
      </c>
    </row>
    <row r="3723" spans="1:5" x14ac:dyDescent="0.2">
      <c r="A3723" t="s">
        <v>1179</v>
      </c>
      <c r="B3723" t="s">
        <v>1180</v>
      </c>
      <c r="C3723" t="s">
        <v>458</v>
      </c>
      <c r="D3723" t="str">
        <f>VLOOKUP(C3723,'lookup table'!$A$2:$B$19,2,FALSE)</f>
        <v>VAR</v>
      </c>
      <c r="E3723" t="str">
        <f t="shared" si="58"/>
        <v>AL132_11|VAR</v>
      </c>
    </row>
    <row r="3724" spans="1:5" x14ac:dyDescent="0.2">
      <c r="A3724" t="s">
        <v>1181</v>
      </c>
      <c r="B3724" t="s">
        <v>1182</v>
      </c>
      <c r="C3724" t="s">
        <v>14</v>
      </c>
      <c r="D3724" t="str">
        <f>VLOOKUP(C3724,'lookup table'!$A$2:$B$19,2,FALSE)</f>
        <v>ALC</v>
      </c>
      <c r="E3724" t="str">
        <f t="shared" si="58"/>
        <v>AL132_12|ALC</v>
      </c>
    </row>
    <row r="3725" spans="1:5" x14ac:dyDescent="0.2">
      <c r="A3725" t="s">
        <v>1181</v>
      </c>
      <c r="B3725" t="s">
        <v>1182</v>
      </c>
      <c r="C3725" t="s">
        <v>20</v>
      </c>
      <c r="D3725" t="str">
        <f>VLOOKUP(C3725,'lookup table'!$A$2:$B$19,2,FALSE)</f>
        <v>AY</v>
      </c>
      <c r="E3725" t="str">
        <f t="shared" si="58"/>
        <v>AL132_12|AY</v>
      </c>
    </row>
    <row r="3726" spans="1:5" x14ac:dyDescent="0.2">
      <c r="A3726" t="s">
        <v>1181</v>
      </c>
      <c r="B3726" t="s">
        <v>1182</v>
      </c>
      <c r="C3726" t="s">
        <v>136</v>
      </c>
      <c r="D3726" t="str">
        <f>VLOOKUP(C3726,'lookup table'!$A$2:$B$19,2,FALSE)</f>
        <v>BBA Set</v>
      </c>
      <c r="E3726" t="str">
        <f t="shared" si="58"/>
        <v>AL132_12|BBA Set</v>
      </c>
    </row>
    <row r="3727" spans="1:5" x14ac:dyDescent="0.2">
      <c r="A3727" t="s">
        <v>1181</v>
      </c>
      <c r="B3727" t="s">
        <v>1182</v>
      </c>
      <c r="C3727" t="s">
        <v>331</v>
      </c>
      <c r="D3727" t="str">
        <f>VLOOKUP(C3727,'lookup table'!$A$2:$B$19,2,FALSE)</f>
        <v>FS Item</v>
      </c>
      <c r="E3727" t="str">
        <f t="shared" si="58"/>
        <v>AL132_12|FS Item</v>
      </c>
    </row>
    <row r="3728" spans="1:5" x14ac:dyDescent="0.2">
      <c r="A3728" t="s">
        <v>1181</v>
      </c>
      <c r="B3728" t="s">
        <v>1182</v>
      </c>
      <c r="C3728" t="s">
        <v>423</v>
      </c>
      <c r="D3728" t="str">
        <f>VLOOKUP(C3728,'lookup table'!$A$2:$B$19,2,FALSE)</f>
        <v>ignore</v>
      </c>
      <c r="E3728" t="str">
        <f t="shared" si="58"/>
        <v>AL132_12|ignore</v>
      </c>
    </row>
    <row r="3729" spans="1:5" x14ac:dyDescent="0.2">
      <c r="A3729" t="s">
        <v>1181</v>
      </c>
      <c r="B3729" t="s">
        <v>1182</v>
      </c>
      <c r="C3729" t="s">
        <v>424</v>
      </c>
      <c r="D3729" t="str">
        <f>VLOOKUP(C3729,'lookup table'!$A$2:$B$19,2,FALSE)</f>
        <v>GRC</v>
      </c>
      <c r="E3729" t="str">
        <f t="shared" si="58"/>
        <v>AL132_12|GRC</v>
      </c>
    </row>
    <row r="3730" spans="1:5" x14ac:dyDescent="0.2">
      <c r="A3730" t="s">
        <v>1181</v>
      </c>
      <c r="B3730" t="s">
        <v>1182</v>
      </c>
      <c r="C3730" t="s">
        <v>425</v>
      </c>
      <c r="D3730" t="str">
        <f>VLOOKUP(C3730,'lookup table'!$A$2:$B$19,2,FALSE)</f>
        <v>Investee Segment</v>
      </c>
      <c r="E3730" t="str">
        <f t="shared" si="58"/>
        <v>AL132_12|Investee Segment</v>
      </c>
    </row>
    <row r="3731" spans="1:5" x14ac:dyDescent="0.2">
      <c r="A3731" t="s">
        <v>1181</v>
      </c>
      <c r="B3731" t="s">
        <v>1182</v>
      </c>
      <c r="C3731" t="s">
        <v>426</v>
      </c>
      <c r="D3731" t="str">
        <f>VLOOKUP(C3731,'lookup table'!$A$2:$B$19,2,FALSE)</f>
        <v>Investee Unit</v>
      </c>
      <c r="E3731" t="str">
        <f t="shared" si="58"/>
        <v>AL132_12|Investee Unit</v>
      </c>
    </row>
    <row r="3732" spans="1:5" x14ac:dyDescent="0.2">
      <c r="A3732" t="s">
        <v>1181</v>
      </c>
      <c r="B3732" t="s">
        <v>1182</v>
      </c>
      <c r="C3732" t="s">
        <v>428</v>
      </c>
      <c r="D3732" t="str">
        <f>VLOOKUP(C3732,'lookup table'!$A$2:$B$19,2,FALSE)</f>
        <v>LoB</v>
      </c>
      <c r="E3732" t="str">
        <f t="shared" si="58"/>
        <v>AL132_12|LoB</v>
      </c>
    </row>
    <row r="3733" spans="1:5" x14ac:dyDescent="0.2">
      <c r="A3733" t="s">
        <v>1181</v>
      </c>
      <c r="B3733" t="s">
        <v>1182</v>
      </c>
      <c r="C3733" t="s">
        <v>436</v>
      </c>
      <c r="D3733" t="str">
        <f>VLOOKUP(C3733,'lookup table'!$A$2:$B$19,2,FALSE)</f>
        <v>MAT</v>
      </c>
      <c r="E3733" t="str">
        <f t="shared" si="58"/>
        <v>AL132_12|MAT</v>
      </c>
    </row>
    <row r="3734" spans="1:5" x14ac:dyDescent="0.2">
      <c r="A3734" t="s">
        <v>1181</v>
      </c>
      <c r="B3734" t="s">
        <v>1182</v>
      </c>
      <c r="C3734" t="s">
        <v>441</v>
      </c>
      <c r="D3734" t="str">
        <f>VLOOKUP(C3734,'lookup table'!$A$2:$B$19,2,FALSE)</f>
        <v>Partner Segment</v>
      </c>
      <c r="E3734" t="str">
        <f t="shared" si="58"/>
        <v>AL132_12|Partner Segment</v>
      </c>
    </row>
    <row r="3735" spans="1:5" x14ac:dyDescent="0.2">
      <c r="A3735" t="s">
        <v>1181</v>
      </c>
      <c r="B3735" t="s">
        <v>1182</v>
      </c>
      <c r="C3735" t="s">
        <v>442</v>
      </c>
      <c r="D3735" t="str">
        <f>VLOOKUP(C3735,'lookup table'!$A$2:$B$19,2,FALSE)</f>
        <v>Partner Unit</v>
      </c>
      <c r="E3735" t="str">
        <f t="shared" si="58"/>
        <v>AL132_12|Partner Unit</v>
      </c>
    </row>
    <row r="3736" spans="1:5" x14ac:dyDescent="0.2">
      <c r="A3736" t="s">
        <v>1181</v>
      </c>
      <c r="B3736" t="s">
        <v>1182</v>
      </c>
      <c r="C3736" t="s">
        <v>447</v>
      </c>
      <c r="D3736" t="str">
        <f>VLOOKUP(C3736,'lookup table'!$A$2:$B$19,2,FALSE)</f>
        <v>REX</v>
      </c>
      <c r="E3736" t="str">
        <f t="shared" si="58"/>
        <v>AL132_12|REX</v>
      </c>
    </row>
    <row r="3737" spans="1:5" x14ac:dyDescent="0.2">
      <c r="A3737" t="s">
        <v>1181</v>
      </c>
      <c r="B3737" t="s">
        <v>1182</v>
      </c>
      <c r="C3737" t="s">
        <v>449</v>
      </c>
      <c r="D3737" t="e">
        <f>VLOOKUP(C3737,'lookup table'!$A$2:$B$19,2,FALSE)</f>
        <v>#N/A</v>
      </c>
      <c r="E3737" t="str">
        <f t="shared" si="58"/>
        <v/>
      </c>
    </row>
    <row r="3738" spans="1:5" x14ac:dyDescent="0.2">
      <c r="A3738" t="s">
        <v>1181</v>
      </c>
      <c r="B3738" t="s">
        <v>1182</v>
      </c>
      <c r="C3738" t="s">
        <v>457</v>
      </c>
      <c r="D3738" t="str">
        <f>VLOOKUP(C3738,'lookup table'!$A$2:$B$19,2,FALSE)</f>
        <v>VLT</v>
      </c>
      <c r="E3738" t="str">
        <f t="shared" si="58"/>
        <v>AL132_12|VLT</v>
      </c>
    </row>
    <row r="3739" spans="1:5" x14ac:dyDescent="0.2">
      <c r="A3739" t="s">
        <v>1181</v>
      </c>
      <c r="B3739" t="s">
        <v>1182</v>
      </c>
      <c r="C3739" t="s">
        <v>458</v>
      </c>
      <c r="D3739" t="str">
        <f>VLOOKUP(C3739,'lookup table'!$A$2:$B$19,2,FALSE)</f>
        <v>VAR</v>
      </c>
      <c r="E3739" t="str">
        <f t="shared" si="58"/>
        <v>AL132_12|VAR</v>
      </c>
    </row>
    <row r="3740" spans="1:5" x14ac:dyDescent="0.2">
      <c r="A3740" t="s">
        <v>1183</v>
      </c>
      <c r="B3740" t="s">
        <v>1184</v>
      </c>
      <c r="C3740" t="s">
        <v>14</v>
      </c>
      <c r="D3740" t="str">
        <f>VLOOKUP(C3740,'lookup table'!$A$2:$B$19,2,FALSE)</f>
        <v>ALC</v>
      </c>
      <c r="E3740" t="str">
        <f t="shared" si="58"/>
        <v>AL132_13|ALC</v>
      </c>
    </row>
    <row r="3741" spans="1:5" x14ac:dyDescent="0.2">
      <c r="A3741" t="s">
        <v>1183</v>
      </c>
      <c r="B3741" t="s">
        <v>1184</v>
      </c>
      <c r="C3741" t="s">
        <v>20</v>
      </c>
      <c r="D3741" t="str">
        <f>VLOOKUP(C3741,'lookup table'!$A$2:$B$19,2,FALSE)</f>
        <v>AY</v>
      </c>
      <c r="E3741" t="str">
        <f t="shared" si="58"/>
        <v>AL132_13|AY</v>
      </c>
    </row>
    <row r="3742" spans="1:5" x14ac:dyDescent="0.2">
      <c r="A3742" t="s">
        <v>1183</v>
      </c>
      <c r="B3742" t="s">
        <v>1184</v>
      </c>
      <c r="C3742" t="s">
        <v>136</v>
      </c>
      <c r="D3742" t="str">
        <f>VLOOKUP(C3742,'lookup table'!$A$2:$B$19,2,FALSE)</f>
        <v>BBA Set</v>
      </c>
      <c r="E3742" t="str">
        <f t="shared" si="58"/>
        <v>AL132_13|BBA Set</v>
      </c>
    </row>
    <row r="3743" spans="1:5" x14ac:dyDescent="0.2">
      <c r="A3743" t="s">
        <v>1183</v>
      </c>
      <c r="B3743" t="s">
        <v>1184</v>
      </c>
      <c r="C3743" t="s">
        <v>331</v>
      </c>
      <c r="D3743" t="str">
        <f>VLOOKUP(C3743,'lookup table'!$A$2:$B$19,2,FALSE)</f>
        <v>FS Item</v>
      </c>
      <c r="E3743" t="str">
        <f t="shared" si="58"/>
        <v>AL132_13|FS Item</v>
      </c>
    </row>
    <row r="3744" spans="1:5" x14ac:dyDescent="0.2">
      <c r="A3744" t="s">
        <v>1183</v>
      </c>
      <c r="B3744" t="s">
        <v>1184</v>
      </c>
      <c r="C3744" t="s">
        <v>423</v>
      </c>
      <c r="D3744" t="str">
        <f>VLOOKUP(C3744,'lookup table'!$A$2:$B$19,2,FALSE)</f>
        <v>ignore</v>
      </c>
      <c r="E3744" t="str">
        <f t="shared" si="58"/>
        <v>AL132_13|ignore</v>
      </c>
    </row>
    <row r="3745" spans="1:5" x14ac:dyDescent="0.2">
      <c r="A3745" t="s">
        <v>1183</v>
      </c>
      <c r="B3745" t="s">
        <v>1184</v>
      </c>
      <c r="C3745" t="s">
        <v>424</v>
      </c>
      <c r="D3745" t="str">
        <f>VLOOKUP(C3745,'lookup table'!$A$2:$B$19,2,FALSE)</f>
        <v>GRC</v>
      </c>
      <c r="E3745" t="str">
        <f t="shared" si="58"/>
        <v>AL132_13|GRC</v>
      </c>
    </row>
    <row r="3746" spans="1:5" x14ac:dyDescent="0.2">
      <c r="A3746" t="s">
        <v>1183</v>
      </c>
      <c r="B3746" t="s">
        <v>1184</v>
      </c>
      <c r="C3746" t="s">
        <v>425</v>
      </c>
      <c r="D3746" t="str">
        <f>VLOOKUP(C3746,'lookup table'!$A$2:$B$19,2,FALSE)</f>
        <v>Investee Segment</v>
      </c>
      <c r="E3746" t="str">
        <f t="shared" si="58"/>
        <v>AL132_13|Investee Segment</v>
      </c>
    </row>
    <row r="3747" spans="1:5" x14ac:dyDescent="0.2">
      <c r="A3747" t="s">
        <v>1183</v>
      </c>
      <c r="B3747" t="s">
        <v>1184</v>
      </c>
      <c r="C3747" t="s">
        <v>426</v>
      </c>
      <c r="D3747" t="str">
        <f>VLOOKUP(C3747,'lookup table'!$A$2:$B$19,2,FALSE)</f>
        <v>Investee Unit</v>
      </c>
      <c r="E3747" t="str">
        <f t="shared" si="58"/>
        <v>AL132_13|Investee Unit</v>
      </c>
    </row>
    <row r="3748" spans="1:5" x14ac:dyDescent="0.2">
      <c r="A3748" t="s">
        <v>1183</v>
      </c>
      <c r="B3748" t="s">
        <v>1184</v>
      </c>
      <c r="C3748" t="s">
        <v>428</v>
      </c>
      <c r="D3748" t="str">
        <f>VLOOKUP(C3748,'lookup table'!$A$2:$B$19,2,FALSE)</f>
        <v>LoB</v>
      </c>
      <c r="E3748" t="str">
        <f t="shared" si="58"/>
        <v>AL132_13|LoB</v>
      </c>
    </row>
    <row r="3749" spans="1:5" x14ac:dyDescent="0.2">
      <c r="A3749" t="s">
        <v>1183</v>
      </c>
      <c r="B3749" t="s">
        <v>1184</v>
      </c>
      <c r="C3749" t="s">
        <v>436</v>
      </c>
      <c r="D3749" t="str">
        <f>VLOOKUP(C3749,'lookup table'!$A$2:$B$19,2,FALSE)</f>
        <v>MAT</v>
      </c>
      <c r="E3749" t="str">
        <f t="shared" si="58"/>
        <v>AL132_13|MAT</v>
      </c>
    </row>
    <row r="3750" spans="1:5" x14ac:dyDescent="0.2">
      <c r="A3750" t="s">
        <v>1183</v>
      </c>
      <c r="B3750" t="s">
        <v>1184</v>
      </c>
      <c r="C3750" t="s">
        <v>441</v>
      </c>
      <c r="D3750" t="str">
        <f>VLOOKUP(C3750,'lookup table'!$A$2:$B$19,2,FALSE)</f>
        <v>Partner Segment</v>
      </c>
      <c r="E3750" t="str">
        <f t="shared" si="58"/>
        <v>AL132_13|Partner Segment</v>
      </c>
    </row>
    <row r="3751" spans="1:5" x14ac:dyDescent="0.2">
      <c r="A3751" t="s">
        <v>1183</v>
      </c>
      <c r="B3751" t="s">
        <v>1184</v>
      </c>
      <c r="C3751" t="s">
        <v>442</v>
      </c>
      <c r="D3751" t="str">
        <f>VLOOKUP(C3751,'lookup table'!$A$2:$B$19,2,FALSE)</f>
        <v>Partner Unit</v>
      </c>
      <c r="E3751" t="str">
        <f t="shared" si="58"/>
        <v>AL132_13|Partner Unit</v>
      </c>
    </row>
    <row r="3752" spans="1:5" x14ac:dyDescent="0.2">
      <c r="A3752" t="s">
        <v>1183</v>
      </c>
      <c r="B3752" t="s">
        <v>1184</v>
      </c>
      <c r="C3752" t="s">
        <v>447</v>
      </c>
      <c r="D3752" t="str">
        <f>VLOOKUP(C3752,'lookup table'!$A$2:$B$19,2,FALSE)</f>
        <v>REX</v>
      </c>
      <c r="E3752" t="str">
        <f t="shared" si="58"/>
        <v>AL132_13|REX</v>
      </c>
    </row>
    <row r="3753" spans="1:5" x14ac:dyDescent="0.2">
      <c r="A3753" t="s">
        <v>1183</v>
      </c>
      <c r="B3753" t="s">
        <v>1184</v>
      </c>
      <c r="C3753" t="s">
        <v>449</v>
      </c>
      <c r="D3753" t="e">
        <f>VLOOKUP(C3753,'lookup table'!$A$2:$B$19,2,FALSE)</f>
        <v>#N/A</v>
      </c>
      <c r="E3753" t="str">
        <f t="shared" si="58"/>
        <v/>
      </c>
    </row>
    <row r="3754" spans="1:5" x14ac:dyDescent="0.2">
      <c r="A3754" t="s">
        <v>1183</v>
      </c>
      <c r="B3754" t="s">
        <v>1184</v>
      </c>
      <c r="C3754" t="s">
        <v>457</v>
      </c>
      <c r="D3754" t="str">
        <f>VLOOKUP(C3754,'lookup table'!$A$2:$B$19,2,FALSE)</f>
        <v>VLT</v>
      </c>
      <c r="E3754" t="str">
        <f t="shared" si="58"/>
        <v>AL132_13|VLT</v>
      </c>
    </row>
    <row r="3755" spans="1:5" x14ac:dyDescent="0.2">
      <c r="A3755" t="s">
        <v>1183</v>
      </c>
      <c r="B3755" t="s">
        <v>1184</v>
      </c>
      <c r="C3755" t="s">
        <v>458</v>
      </c>
      <c r="D3755" t="str">
        <f>VLOOKUP(C3755,'lookup table'!$A$2:$B$19,2,FALSE)</f>
        <v>VAR</v>
      </c>
      <c r="E3755" t="str">
        <f t="shared" si="58"/>
        <v>AL132_13|VAR</v>
      </c>
    </row>
    <row r="3756" spans="1:5" x14ac:dyDescent="0.2">
      <c r="A3756" t="s">
        <v>1185</v>
      </c>
      <c r="B3756" t="s">
        <v>1186</v>
      </c>
      <c r="C3756" t="s">
        <v>14</v>
      </c>
      <c r="D3756" t="str">
        <f>VLOOKUP(C3756,'lookup table'!$A$2:$B$19,2,FALSE)</f>
        <v>ALC</v>
      </c>
      <c r="E3756" t="str">
        <f t="shared" si="58"/>
        <v>AL132_14|ALC</v>
      </c>
    </row>
    <row r="3757" spans="1:5" x14ac:dyDescent="0.2">
      <c r="A3757" t="s">
        <v>1185</v>
      </c>
      <c r="B3757" t="s">
        <v>1186</v>
      </c>
      <c r="C3757" t="s">
        <v>20</v>
      </c>
      <c r="D3757" t="str">
        <f>VLOOKUP(C3757,'lookup table'!$A$2:$B$19,2,FALSE)</f>
        <v>AY</v>
      </c>
      <c r="E3757" t="str">
        <f t="shared" si="58"/>
        <v>AL132_14|AY</v>
      </c>
    </row>
    <row r="3758" spans="1:5" x14ac:dyDescent="0.2">
      <c r="A3758" t="s">
        <v>1185</v>
      </c>
      <c r="B3758" t="s">
        <v>1186</v>
      </c>
      <c r="C3758" t="s">
        <v>136</v>
      </c>
      <c r="D3758" t="str">
        <f>VLOOKUP(C3758,'lookup table'!$A$2:$B$19,2,FALSE)</f>
        <v>BBA Set</v>
      </c>
      <c r="E3758" t="str">
        <f t="shared" si="58"/>
        <v>AL132_14|BBA Set</v>
      </c>
    </row>
    <row r="3759" spans="1:5" x14ac:dyDescent="0.2">
      <c r="A3759" t="s">
        <v>1185</v>
      </c>
      <c r="B3759" t="s">
        <v>1186</v>
      </c>
      <c r="C3759" t="s">
        <v>331</v>
      </c>
      <c r="D3759" t="str">
        <f>VLOOKUP(C3759,'lookup table'!$A$2:$B$19,2,FALSE)</f>
        <v>FS Item</v>
      </c>
      <c r="E3759" t="str">
        <f t="shared" si="58"/>
        <v>AL132_14|FS Item</v>
      </c>
    </row>
    <row r="3760" spans="1:5" x14ac:dyDescent="0.2">
      <c r="A3760" t="s">
        <v>1185</v>
      </c>
      <c r="B3760" t="s">
        <v>1186</v>
      </c>
      <c r="C3760" t="s">
        <v>423</v>
      </c>
      <c r="D3760" t="str">
        <f>VLOOKUP(C3760,'lookup table'!$A$2:$B$19,2,FALSE)</f>
        <v>ignore</v>
      </c>
      <c r="E3760" t="str">
        <f t="shared" si="58"/>
        <v>AL132_14|ignore</v>
      </c>
    </row>
    <row r="3761" spans="1:5" x14ac:dyDescent="0.2">
      <c r="A3761" t="s">
        <v>1185</v>
      </c>
      <c r="B3761" t="s">
        <v>1186</v>
      </c>
      <c r="C3761" t="s">
        <v>424</v>
      </c>
      <c r="D3761" t="str">
        <f>VLOOKUP(C3761,'lookup table'!$A$2:$B$19,2,FALSE)</f>
        <v>GRC</v>
      </c>
      <c r="E3761" t="str">
        <f t="shared" si="58"/>
        <v>AL132_14|GRC</v>
      </c>
    </row>
    <row r="3762" spans="1:5" x14ac:dyDescent="0.2">
      <c r="A3762" t="s">
        <v>1185</v>
      </c>
      <c r="B3762" t="s">
        <v>1186</v>
      </c>
      <c r="C3762" t="s">
        <v>425</v>
      </c>
      <c r="D3762" t="str">
        <f>VLOOKUP(C3762,'lookup table'!$A$2:$B$19,2,FALSE)</f>
        <v>Investee Segment</v>
      </c>
      <c r="E3762" t="str">
        <f t="shared" si="58"/>
        <v>AL132_14|Investee Segment</v>
      </c>
    </row>
    <row r="3763" spans="1:5" x14ac:dyDescent="0.2">
      <c r="A3763" t="s">
        <v>1185</v>
      </c>
      <c r="B3763" t="s">
        <v>1186</v>
      </c>
      <c r="C3763" t="s">
        <v>426</v>
      </c>
      <c r="D3763" t="str">
        <f>VLOOKUP(C3763,'lookup table'!$A$2:$B$19,2,FALSE)</f>
        <v>Investee Unit</v>
      </c>
      <c r="E3763" t="str">
        <f t="shared" si="58"/>
        <v>AL132_14|Investee Unit</v>
      </c>
    </row>
    <row r="3764" spans="1:5" x14ac:dyDescent="0.2">
      <c r="A3764" t="s">
        <v>1185</v>
      </c>
      <c r="B3764" t="s">
        <v>1186</v>
      </c>
      <c r="C3764" t="s">
        <v>428</v>
      </c>
      <c r="D3764" t="str">
        <f>VLOOKUP(C3764,'lookup table'!$A$2:$B$19,2,FALSE)</f>
        <v>LoB</v>
      </c>
      <c r="E3764" t="str">
        <f t="shared" si="58"/>
        <v>AL132_14|LoB</v>
      </c>
    </row>
    <row r="3765" spans="1:5" x14ac:dyDescent="0.2">
      <c r="A3765" t="s">
        <v>1185</v>
      </c>
      <c r="B3765" t="s">
        <v>1186</v>
      </c>
      <c r="C3765" t="s">
        <v>436</v>
      </c>
      <c r="D3765" t="str">
        <f>VLOOKUP(C3765,'lookup table'!$A$2:$B$19,2,FALSE)</f>
        <v>MAT</v>
      </c>
      <c r="E3765" t="str">
        <f t="shared" si="58"/>
        <v>AL132_14|MAT</v>
      </c>
    </row>
    <row r="3766" spans="1:5" x14ac:dyDescent="0.2">
      <c r="A3766" t="s">
        <v>1185</v>
      </c>
      <c r="B3766" t="s">
        <v>1186</v>
      </c>
      <c r="C3766" t="s">
        <v>441</v>
      </c>
      <c r="D3766" t="str">
        <f>VLOOKUP(C3766,'lookup table'!$A$2:$B$19,2,FALSE)</f>
        <v>Partner Segment</v>
      </c>
      <c r="E3766" t="str">
        <f t="shared" si="58"/>
        <v>AL132_14|Partner Segment</v>
      </c>
    </row>
    <row r="3767" spans="1:5" x14ac:dyDescent="0.2">
      <c r="A3767" t="s">
        <v>1185</v>
      </c>
      <c r="B3767" t="s">
        <v>1186</v>
      </c>
      <c r="C3767" t="s">
        <v>442</v>
      </c>
      <c r="D3767" t="str">
        <f>VLOOKUP(C3767,'lookup table'!$A$2:$B$19,2,FALSE)</f>
        <v>Partner Unit</v>
      </c>
      <c r="E3767" t="str">
        <f t="shared" si="58"/>
        <v>AL132_14|Partner Unit</v>
      </c>
    </row>
    <row r="3768" spans="1:5" x14ac:dyDescent="0.2">
      <c r="A3768" t="s">
        <v>1185</v>
      </c>
      <c r="B3768" t="s">
        <v>1186</v>
      </c>
      <c r="C3768" t="s">
        <v>447</v>
      </c>
      <c r="D3768" t="str">
        <f>VLOOKUP(C3768,'lookup table'!$A$2:$B$19,2,FALSE)</f>
        <v>REX</v>
      </c>
      <c r="E3768" t="str">
        <f t="shared" si="58"/>
        <v>AL132_14|REX</v>
      </c>
    </row>
    <row r="3769" spans="1:5" x14ac:dyDescent="0.2">
      <c r="A3769" t="s">
        <v>1185</v>
      </c>
      <c r="B3769" t="s">
        <v>1186</v>
      </c>
      <c r="C3769" t="s">
        <v>449</v>
      </c>
      <c r="D3769" t="e">
        <f>VLOOKUP(C3769,'lookup table'!$A$2:$B$19,2,FALSE)</f>
        <v>#N/A</v>
      </c>
      <c r="E3769" t="str">
        <f t="shared" si="58"/>
        <v/>
      </c>
    </row>
    <row r="3770" spans="1:5" x14ac:dyDescent="0.2">
      <c r="A3770" t="s">
        <v>1185</v>
      </c>
      <c r="B3770" t="s">
        <v>1186</v>
      </c>
      <c r="C3770" t="s">
        <v>457</v>
      </c>
      <c r="D3770" t="str">
        <f>VLOOKUP(C3770,'lookup table'!$A$2:$B$19,2,FALSE)</f>
        <v>VLT</v>
      </c>
      <c r="E3770" t="str">
        <f t="shared" si="58"/>
        <v>AL132_14|VLT</v>
      </c>
    </row>
    <row r="3771" spans="1:5" x14ac:dyDescent="0.2">
      <c r="A3771" t="s">
        <v>1185</v>
      </c>
      <c r="B3771" t="s">
        <v>1186</v>
      </c>
      <c r="C3771" t="s">
        <v>458</v>
      </c>
      <c r="D3771" t="str">
        <f>VLOOKUP(C3771,'lookup table'!$A$2:$B$19,2,FALSE)</f>
        <v>VAR</v>
      </c>
      <c r="E3771" t="str">
        <f t="shared" si="58"/>
        <v>AL132_14|VAR</v>
      </c>
    </row>
    <row r="3772" spans="1:5" x14ac:dyDescent="0.2">
      <c r="A3772" t="s">
        <v>1187</v>
      </c>
      <c r="B3772" t="s">
        <v>1188</v>
      </c>
      <c r="C3772" t="s">
        <v>14</v>
      </c>
      <c r="D3772" t="str">
        <f>VLOOKUP(C3772,'lookup table'!$A$2:$B$19,2,FALSE)</f>
        <v>ALC</v>
      </c>
      <c r="E3772" t="str">
        <f t="shared" si="58"/>
        <v>AL132_20|ALC</v>
      </c>
    </row>
    <row r="3773" spans="1:5" x14ac:dyDescent="0.2">
      <c r="A3773" t="s">
        <v>1187</v>
      </c>
      <c r="B3773" t="s">
        <v>1188</v>
      </c>
      <c r="C3773" t="s">
        <v>20</v>
      </c>
      <c r="D3773" t="str">
        <f>VLOOKUP(C3773,'lookup table'!$A$2:$B$19,2,FALSE)</f>
        <v>AY</v>
      </c>
      <c r="E3773" t="str">
        <f t="shared" si="58"/>
        <v>AL132_20|AY</v>
      </c>
    </row>
    <row r="3774" spans="1:5" x14ac:dyDescent="0.2">
      <c r="A3774" t="s">
        <v>1187</v>
      </c>
      <c r="B3774" t="s">
        <v>1188</v>
      </c>
      <c r="C3774" t="s">
        <v>136</v>
      </c>
      <c r="D3774" t="str">
        <f>VLOOKUP(C3774,'lookup table'!$A$2:$B$19,2,FALSE)</f>
        <v>BBA Set</v>
      </c>
      <c r="E3774" t="str">
        <f t="shared" si="58"/>
        <v>AL132_20|BBA Set</v>
      </c>
    </row>
    <row r="3775" spans="1:5" x14ac:dyDescent="0.2">
      <c r="A3775" t="s">
        <v>1187</v>
      </c>
      <c r="B3775" t="s">
        <v>1188</v>
      </c>
      <c r="C3775" t="s">
        <v>331</v>
      </c>
      <c r="D3775" t="str">
        <f>VLOOKUP(C3775,'lookup table'!$A$2:$B$19,2,FALSE)</f>
        <v>FS Item</v>
      </c>
      <c r="E3775" t="str">
        <f t="shared" si="58"/>
        <v>AL132_20|FS Item</v>
      </c>
    </row>
    <row r="3776" spans="1:5" x14ac:dyDescent="0.2">
      <c r="A3776" t="s">
        <v>1187</v>
      </c>
      <c r="B3776" t="s">
        <v>1188</v>
      </c>
      <c r="C3776" t="s">
        <v>423</v>
      </c>
      <c r="D3776" t="str">
        <f>VLOOKUP(C3776,'lookup table'!$A$2:$B$19,2,FALSE)</f>
        <v>ignore</v>
      </c>
      <c r="E3776" t="str">
        <f t="shared" si="58"/>
        <v>AL132_20|ignore</v>
      </c>
    </row>
    <row r="3777" spans="1:5" x14ac:dyDescent="0.2">
      <c r="A3777" t="s">
        <v>1187</v>
      </c>
      <c r="B3777" t="s">
        <v>1188</v>
      </c>
      <c r="C3777" t="s">
        <v>424</v>
      </c>
      <c r="D3777" t="str">
        <f>VLOOKUP(C3777,'lookup table'!$A$2:$B$19,2,FALSE)</f>
        <v>GRC</v>
      </c>
      <c r="E3777" t="str">
        <f t="shared" si="58"/>
        <v>AL132_20|GRC</v>
      </c>
    </row>
    <row r="3778" spans="1:5" x14ac:dyDescent="0.2">
      <c r="A3778" t="s">
        <v>1187</v>
      </c>
      <c r="B3778" t="s">
        <v>1188</v>
      </c>
      <c r="C3778" t="s">
        <v>425</v>
      </c>
      <c r="D3778" t="str">
        <f>VLOOKUP(C3778,'lookup table'!$A$2:$B$19,2,FALSE)</f>
        <v>Investee Segment</v>
      </c>
      <c r="E3778" t="str">
        <f t="shared" si="58"/>
        <v>AL132_20|Investee Segment</v>
      </c>
    </row>
    <row r="3779" spans="1:5" x14ac:dyDescent="0.2">
      <c r="A3779" t="s">
        <v>1187</v>
      </c>
      <c r="B3779" t="s">
        <v>1188</v>
      </c>
      <c r="C3779" t="s">
        <v>426</v>
      </c>
      <c r="D3779" t="str">
        <f>VLOOKUP(C3779,'lookup table'!$A$2:$B$19,2,FALSE)</f>
        <v>Investee Unit</v>
      </c>
      <c r="E3779" t="str">
        <f t="shared" ref="E3779:E3842" si="59">IF(ISNA(D3779),"",IF(A3779="","",A3779) &amp; "|" &amp; D3779)</f>
        <v>AL132_20|Investee Unit</v>
      </c>
    </row>
    <row r="3780" spans="1:5" x14ac:dyDescent="0.2">
      <c r="A3780" t="s">
        <v>1187</v>
      </c>
      <c r="B3780" t="s">
        <v>1188</v>
      </c>
      <c r="C3780" t="s">
        <v>428</v>
      </c>
      <c r="D3780" t="str">
        <f>VLOOKUP(C3780,'lookup table'!$A$2:$B$19,2,FALSE)</f>
        <v>LoB</v>
      </c>
      <c r="E3780" t="str">
        <f t="shared" si="59"/>
        <v>AL132_20|LoB</v>
      </c>
    </row>
    <row r="3781" spans="1:5" x14ac:dyDescent="0.2">
      <c r="A3781" t="s">
        <v>1187</v>
      </c>
      <c r="B3781" t="s">
        <v>1188</v>
      </c>
      <c r="C3781" t="s">
        <v>436</v>
      </c>
      <c r="D3781" t="str">
        <f>VLOOKUP(C3781,'lookup table'!$A$2:$B$19,2,FALSE)</f>
        <v>MAT</v>
      </c>
      <c r="E3781" t="str">
        <f t="shared" si="59"/>
        <v>AL132_20|MAT</v>
      </c>
    </row>
    <row r="3782" spans="1:5" x14ac:dyDescent="0.2">
      <c r="A3782" t="s">
        <v>1187</v>
      </c>
      <c r="B3782" t="s">
        <v>1188</v>
      </c>
      <c r="C3782" t="s">
        <v>441</v>
      </c>
      <c r="D3782" t="str">
        <f>VLOOKUP(C3782,'lookup table'!$A$2:$B$19,2,FALSE)</f>
        <v>Partner Segment</v>
      </c>
      <c r="E3782" t="str">
        <f t="shared" si="59"/>
        <v>AL132_20|Partner Segment</v>
      </c>
    </row>
    <row r="3783" spans="1:5" x14ac:dyDescent="0.2">
      <c r="A3783" t="s">
        <v>1187</v>
      </c>
      <c r="B3783" t="s">
        <v>1188</v>
      </c>
      <c r="C3783" t="s">
        <v>442</v>
      </c>
      <c r="D3783" t="str">
        <f>VLOOKUP(C3783,'lookup table'!$A$2:$B$19,2,FALSE)</f>
        <v>Partner Unit</v>
      </c>
      <c r="E3783" t="str">
        <f t="shared" si="59"/>
        <v>AL132_20|Partner Unit</v>
      </c>
    </row>
    <row r="3784" spans="1:5" x14ac:dyDescent="0.2">
      <c r="A3784" t="s">
        <v>1187</v>
      </c>
      <c r="B3784" t="s">
        <v>1188</v>
      </c>
      <c r="C3784" t="s">
        <v>447</v>
      </c>
      <c r="D3784" t="str">
        <f>VLOOKUP(C3784,'lookup table'!$A$2:$B$19,2,FALSE)</f>
        <v>REX</v>
      </c>
      <c r="E3784" t="str">
        <f t="shared" si="59"/>
        <v>AL132_20|REX</v>
      </c>
    </row>
    <row r="3785" spans="1:5" x14ac:dyDescent="0.2">
      <c r="A3785" t="s">
        <v>1187</v>
      </c>
      <c r="B3785" t="s">
        <v>1188</v>
      </c>
      <c r="C3785" t="s">
        <v>449</v>
      </c>
      <c r="D3785" t="e">
        <f>VLOOKUP(C3785,'lookup table'!$A$2:$B$19,2,FALSE)</f>
        <v>#N/A</v>
      </c>
      <c r="E3785" t="str">
        <f t="shared" si="59"/>
        <v/>
      </c>
    </row>
    <row r="3786" spans="1:5" x14ac:dyDescent="0.2">
      <c r="A3786" t="s">
        <v>1187</v>
      </c>
      <c r="B3786" t="s">
        <v>1188</v>
      </c>
      <c r="C3786" t="s">
        <v>457</v>
      </c>
      <c r="D3786" t="str">
        <f>VLOOKUP(C3786,'lookup table'!$A$2:$B$19,2,FALSE)</f>
        <v>VLT</v>
      </c>
      <c r="E3786" t="str">
        <f t="shared" si="59"/>
        <v>AL132_20|VLT</v>
      </c>
    </row>
    <row r="3787" spans="1:5" x14ac:dyDescent="0.2">
      <c r="A3787" t="s">
        <v>1187</v>
      </c>
      <c r="B3787" t="s">
        <v>1188</v>
      </c>
      <c r="C3787" t="s">
        <v>458</v>
      </c>
      <c r="D3787" t="str">
        <f>VLOOKUP(C3787,'lookup table'!$A$2:$B$19,2,FALSE)</f>
        <v>VAR</v>
      </c>
      <c r="E3787" t="str">
        <f t="shared" si="59"/>
        <v>AL132_20|VAR</v>
      </c>
    </row>
    <row r="3788" spans="1:5" x14ac:dyDescent="0.2">
      <c r="A3788" t="s">
        <v>1189</v>
      </c>
      <c r="B3788" t="s">
        <v>1190</v>
      </c>
      <c r="C3788" t="s">
        <v>14</v>
      </c>
      <c r="D3788" t="str">
        <f>VLOOKUP(C3788,'lookup table'!$A$2:$B$19,2,FALSE)</f>
        <v>ALC</v>
      </c>
      <c r="E3788" t="str">
        <f t="shared" si="59"/>
        <v>AL132_21|ALC</v>
      </c>
    </row>
    <row r="3789" spans="1:5" x14ac:dyDescent="0.2">
      <c r="A3789" t="s">
        <v>1189</v>
      </c>
      <c r="B3789" t="s">
        <v>1190</v>
      </c>
      <c r="C3789" t="s">
        <v>20</v>
      </c>
      <c r="D3789" t="str">
        <f>VLOOKUP(C3789,'lookup table'!$A$2:$B$19,2,FALSE)</f>
        <v>AY</v>
      </c>
      <c r="E3789" t="str">
        <f t="shared" si="59"/>
        <v>AL132_21|AY</v>
      </c>
    </row>
    <row r="3790" spans="1:5" x14ac:dyDescent="0.2">
      <c r="A3790" t="s">
        <v>1189</v>
      </c>
      <c r="B3790" t="s">
        <v>1190</v>
      </c>
      <c r="C3790" t="s">
        <v>136</v>
      </c>
      <c r="D3790" t="str">
        <f>VLOOKUP(C3790,'lookup table'!$A$2:$B$19,2,FALSE)</f>
        <v>BBA Set</v>
      </c>
      <c r="E3790" t="str">
        <f t="shared" si="59"/>
        <v>AL132_21|BBA Set</v>
      </c>
    </row>
    <row r="3791" spans="1:5" x14ac:dyDescent="0.2">
      <c r="A3791" t="s">
        <v>1189</v>
      </c>
      <c r="B3791" t="s">
        <v>1190</v>
      </c>
      <c r="C3791" t="s">
        <v>331</v>
      </c>
      <c r="D3791" t="str">
        <f>VLOOKUP(C3791,'lookup table'!$A$2:$B$19,2,FALSE)</f>
        <v>FS Item</v>
      </c>
      <c r="E3791" t="str">
        <f t="shared" si="59"/>
        <v>AL132_21|FS Item</v>
      </c>
    </row>
    <row r="3792" spans="1:5" x14ac:dyDescent="0.2">
      <c r="A3792" t="s">
        <v>1189</v>
      </c>
      <c r="B3792" t="s">
        <v>1190</v>
      </c>
      <c r="C3792" t="s">
        <v>423</v>
      </c>
      <c r="D3792" t="str">
        <f>VLOOKUP(C3792,'lookup table'!$A$2:$B$19,2,FALSE)</f>
        <v>ignore</v>
      </c>
      <c r="E3792" t="str">
        <f t="shared" si="59"/>
        <v>AL132_21|ignore</v>
      </c>
    </row>
    <row r="3793" spans="1:5" x14ac:dyDescent="0.2">
      <c r="A3793" t="s">
        <v>1189</v>
      </c>
      <c r="B3793" t="s">
        <v>1190</v>
      </c>
      <c r="C3793" t="s">
        <v>424</v>
      </c>
      <c r="D3793" t="str">
        <f>VLOOKUP(C3793,'lookup table'!$A$2:$B$19,2,FALSE)</f>
        <v>GRC</v>
      </c>
      <c r="E3793" t="str">
        <f t="shared" si="59"/>
        <v>AL132_21|GRC</v>
      </c>
    </row>
    <row r="3794" spans="1:5" x14ac:dyDescent="0.2">
      <c r="A3794" t="s">
        <v>1189</v>
      </c>
      <c r="B3794" t="s">
        <v>1190</v>
      </c>
      <c r="C3794" t="s">
        <v>425</v>
      </c>
      <c r="D3794" t="str">
        <f>VLOOKUP(C3794,'lookup table'!$A$2:$B$19,2,FALSE)</f>
        <v>Investee Segment</v>
      </c>
      <c r="E3794" t="str">
        <f t="shared" si="59"/>
        <v>AL132_21|Investee Segment</v>
      </c>
    </row>
    <row r="3795" spans="1:5" x14ac:dyDescent="0.2">
      <c r="A3795" t="s">
        <v>1189</v>
      </c>
      <c r="B3795" t="s">
        <v>1190</v>
      </c>
      <c r="C3795" t="s">
        <v>426</v>
      </c>
      <c r="D3795" t="str">
        <f>VLOOKUP(C3795,'lookup table'!$A$2:$B$19,2,FALSE)</f>
        <v>Investee Unit</v>
      </c>
      <c r="E3795" t="str">
        <f t="shared" si="59"/>
        <v>AL132_21|Investee Unit</v>
      </c>
    </row>
    <row r="3796" spans="1:5" x14ac:dyDescent="0.2">
      <c r="A3796" t="s">
        <v>1189</v>
      </c>
      <c r="B3796" t="s">
        <v>1190</v>
      </c>
      <c r="C3796" t="s">
        <v>428</v>
      </c>
      <c r="D3796" t="str">
        <f>VLOOKUP(C3796,'lookup table'!$A$2:$B$19,2,FALSE)</f>
        <v>LoB</v>
      </c>
      <c r="E3796" t="str">
        <f t="shared" si="59"/>
        <v>AL132_21|LoB</v>
      </c>
    </row>
    <row r="3797" spans="1:5" x14ac:dyDescent="0.2">
      <c r="A3797" t="s">
        <v>1189</v>
      </c>
      <c r="B3797" t="s">
        <v>1190</v>
      </c>
      <c r="C3797" t="s">
        <v>436</v>
      </c>
      <c r="D3797" t="str">
        <f>VLOOKUP(C3797,'lookup table'!$A$2:$B$19,2,FALSE)</f>
        <v>MAT</v>
      </c>
      <c r="E3797" t="str">
        <f t="shared" si="59"/>
        <v>AL132_21|MAT</v>
      </c>
    </row>
    <row r="3798" spans="1:5" x14ac:dyDescent="0.2">
      <c r="A3798" t="s">
        <v>1189</v>
      </c>
      <c r="B3798" t="s">
        <v>1190</v>
      </c>
      <c r="C3798" t="s">
        <v>441</v>
      </c>
      <c r="D3798" t="str">
        <f>VLOOKUP(C3798,'lookup table'!$A$2:$B$19,2,FALSE)</f>
        <v>Partner Segment</v>
      </c>
      <c r="E3798" t="str">
        <f t="shared" si="59"/>
        <v>AL132_21|Partner Segment</v>
      </c>
    </row>
    <row r="3799" spans="1:5" x14ac:dyDescent="0.2">
      <c r="A3799" t="s">
        <v>1189</v>
      </c>
      <c r="B3799" t="s">
        <v>1190</v>
      </c>
      <c r="C3799" t="s">
        <v>442</v>
      </c>
      <c r="D3799" t="str">
        <f>VLOOKUP(C3799,'lookup table'!$A$2:$B$19,2,FALSE)</f>
        <v>Partner Unit</v>
      </c>
      <c r="E3799" t="str">
        <f t="shared" si="59"/>
        <v>AL132_21|Partner Unit</v>
      </c>
    </row>
    <row r="3800" spans="1:5" x14ac:dyDescent="0.2">
      <c r="A3800" t="s">
        <v>1189</v>
      </c>
      <c r="B3800" t="s">
        <v>1190</v>
      </c>
      <c r="C3800" t="s">
        <v>447</v>
      </c>
      <c r="D3800" t="str">
        <f>VLOOKUP(C3800,'lookup table'!$A$2:$B$19,2,FALSE)</f>
        <v>REX</v>
      </c>
      <c r="E3800" t="str">
        <f t="shared" si="59"/>
        <v>AL132_21|REX</v>
      </c>
    </row>
    <row r="3801" spans="1:5" x14ac:dyDescent="0.2">
      <c r="A3801" t="s">
        <v>1189</v>
      </c>
      <c r="B3801" t="s">
        <v>1190</v>
      </c>
      <c r="C3801" t="s">
        <v>449</v>
      </c>
      <c r="D3801" t="e">
        <f>VLOOKUP(C3801,'lookup table'!$A$2:$B$19,2,FALSE)</f>
        <v>#N/A</v>
      </c>
      <c r="E3801" t="str">
        <f t="shared" si="59"/>
        <v/>
      </c>
    </row>
    <row r="3802" spans="1:5" x14ac:dyDescent="0.2">
      <c r="A3802" t="s">
        <v>1189</v>
      </c>
      <c r="B3802" t="s">
        <v>1190</v>
      </c>
      <c r="C3802" t="s">
        <v>457</v>
      </c>
      <c r="D3802" t="str">
        <f>VLOOKUP(C3802,'lookup table'!$A$2:$B$19,2,FALSE)</f>
        <v>VLT</v>
      </c>
      <c r="E3802" t="str">
        <f t="shared" si="59"/>
        <v>AL132_21|VLT</v>
      </c>
    </row>
    <row r="3803" spans="1:5" x14ac:dyDescent="0.2">
      <c r="A3803" t="s">
        <v>1189</v>
      </c>
      <c r="B3803" t="s">
        <v>1190</v>
      </c>
      <c r="C3803" t="s">
        <v>458</v>
      </c>
      <c r="D3803" t="str">
        <f>VLOOKUP(C3803,'lookup table'!$A$2:$B$19,2,FALSE)</f>
        <v>VAR</v>
      </c>
      <c r="E3803" t="str">
        <f t="shared" si="59"/>
        <v>AL132_21|VAR</v>
      </c>
    </row>
    <row r="3804" spans="1:5" x14ac:dyDescent="0.2">
      <c r="A3804" t="s">
        <v>1191</v>
      </c>
      <c r="B3804" t="s">
        <v>1192</v>
      </c>
      <c r="C3804" t="s">
        <v>14</v>
      </c>
      <c r="D3804" t="str">
        <f>VLOOKUP(C3804,'lookup table'!$A$2:$B$19,2,FALSE)</f>
        <v>ALC</v>
      </c>
      <c r="E3804" t="str">
        <f t="shared" si="59"/>
        <v>AL132_22|ALC</v>
      </c>
    </row>
    <row r="3805" spans="1:5" x14ac:dyDescent="0.2">
      <c r="A3805" t="s">
        <v>1191</v>
      </c>
      <c r="B3805" t="s">
        <v>1192</v>
      </c>
      <c r="C3805" t="s">
        <v>20</v>
      </c>
      <c r="D3805" t="str">
        <f>VLOOKUP(C3805,'lookup table'!$A$2:$B$19,2,FALSE)</f>
        <v>AY</v>
      </c>
      <c r="E3805" t="str">
        <f t="shared" si="59"/>
        <v>AL132_22|AY</v>
      </c>
    </row>
    <row r="3806" spans="1:5" x14ac:dyDescent="0.2">
      <c r="A3806" t="s">
        <v>1191</v>
      </c>
      <c r="B3806" t="s">
        <v>1192</v>
      </c>
      <c r="C3806" t="s">
        <v>136</v>
      </c>
      <c r="D3806" t="str">
        <f>VLOOKUP(C3806,'lookup table'!$A$2:$B$19,2,FALSE)</f>
        <v>BBA Set</v>
      </c>
      <c r="E3806" t="str">
        <f t="shared" si="59"/>
        <v>AL132_22|BBA Set</v>
      </c>
    </row>
    <row r="3807" spans="1:5" x14ac:dyDescent="0.2">
      <c r="A3807" t="s">
        <v>1191</v>
      </c>
      <c r="B3807" t="s">
        <v>1192</v>
      </c>
      <c r="C3807" t="s">
        <v>331</v>
      </c>
      <c r="D3807" t="str">
        <f>VLOOKUP(C3807,'lookup table'!$A$2:$B$19,2,FALSE)</f>
        <v>FS Item</v>
      </c>
      <c r="E3807" t="str">
        <f t="shared" si="59"/>
        <v>AL132_22|FS Item</v>
      </c>
    </row>
    <row r="3808" spans="1:5" x14ac:dyDescent="0.2">
      <c r="A3808" t="s">
        <v>1191</v>
      </c>
      <c r="B3808" t="s">
        <v>1192</v>
      </c>
      <c r="C3808" t="s">
        <v>423</v>
      </c>
      <c r="D3808" t="str">
        <f>VLOOKUP(C3808,'lookup table'!$A$2:$B$19,2,FALSE)</f>
        <v>ignore</v>
      </c>
      <c r="E3808" t="str">
        <f t="shared" si="59"/>
        <v>AL132_22|ignore</v>
      </c>
    </row>
    <row r="3809" spans="1:5" x14ac:dyDescent="0.2">
      <c r="A3809" t="s">
        <v>1191</v>
      </c>
      <c r="B3809" t="s">
        <v>1192</v>
      </c>
      <c r="C3809" t="s">
        <v>424</v>
      </c>
      <c r="D3809" t="str">
        <f>VLOOKUP(C3809,'lookup table'!$A$2:$B$19,2,FALSE)</f>
        <v>GRC</v>
      </c>
      <c r="E3809" t="str">
        <f t="shared" si="59"/>
        <v>AL132_22|GRC</v>
      </c>
    </row>
    <row r="3810" spans="1:5" x14ac:dyDescent="0.2">
      <c r="A3810" t="s">
        <v>1191</v>
      </c>
      <c r="B3810" t="s">
        <v>1192</v>
      </c>
      <c r="C3810" t="s">
        <v>425</v>
      </c>
      <c r="D3810" t="str">
        <f>VLOOKUP(C3810,'lookup table'!$A$2:$B$19,2,FALSE)</f>
        <v>Investee Segment</v>
      </c>
      <c r="E3810" t="str">
        <f t="shared" si="59"/>
        <v>AL132_22|Investee Segment</v>
      </c>
    </row>
    <row r="3811" spans="1:5" x14ac:dyDescent="0.2">
      <c r="A3811" t="s">
        <v>1191</v>
      </c>
      <c r="B3811" t="s">
        <v>1192</v>
      </c>
      <c r="C3811" t="s">
        <v>426</v>
      </c>
      <c r="D3811" t="str">
        <f>VLOOKUP(C3811,'lookup table'!$A$2:$B$19,2,FALSE)</f>
        <v>Investee Unit</v>
      </c>
      <c r="E3811" t="str">
        <f t="shared" si="59"/>
        <v>AL132_22|Investee Unit</v>
      </c>
    </row>
    <row r="3812" spans="1:5" x14ac:dyDescent="0.2">
      <c r="A3812" t="s">
        <v>1191</v>
      </c>
      <c r="B3812" t="s">
        <v>1192</v>
      </c>
      <c r="C3812" t="s">
        <v>428</v>
      </c>
      <c r="D3812" t="str">
        <f>VLOOKUP(C3812,'lookup table'!$A$2:$B$19,2,FALSE)</f>
        <v>LoB</v>
      </c>
      <c r="E3812" t="str">
        <f t="shared" si="59"/>
        <v>AL132_22|LoB</v>
      </c>
    </row>
    <row r="3813" spans="1:5" x14ac:dyDescent="0.2">
      <c r="A3813" t="s">
        <v>1191</v>
      </c>
      <c r="B3813" t="s">
        <v>1192</v>
      </c>
      <c r="C3813" t="s">
        <v>436</v>
      </c>
      <c r="D3813" t="str">
        <f>VLOOKUP(C3813,'lookup table'!$A$2:$B$19,2,FALSE)</f>
        <v>MAT</v>
      </c>
      <c r="E3813" t="str">
        <f t="shared" si="59"/>
        <v>AL132_22|MAT</v>
      </c>
    </row>
    <row r="3814" spans="1:5" x14ac:dyDescent="0.2">
      <c r="A3814" t="s">
        <v>1191</v>
      </c>
      <c r="B3814" t="s">
        <v>1192</v>
      </c>
      <c r="C3814" t="s">
        <v>441</v>
      </c>
      <c r="D3814" t="str">
        <f>VLOOKUP(C3814,'lookup table'!$A$2:$B$19,2,FALSE)</f>
        <v>Partner Segment</v>
      </c>
      <c r="E3814" t="str">
        <f t="shared" si="59"/>
        <v>AL132_22|Partner Segment</v>
      </c>
    </row>
    <row r="3815" spans="1:5" x14ac:dyDescent="0.2">
      <c r="A3815" t="s">
        <v>1191</v>
      </c>
      <c r="B3815" t="s">
        <v>1192</v>
      </c>
      <c r="C3815" t="s">
        <v>442</v>
      </c>
      <c r="D3815" t="str">
        <f>VLOOKUP(C3815,'lookup table'!$A$2:$B$19,2,FALSE)</f>
        <v>Partner Unit</v>
      </c>
      <c r="E3815" t="str">
        <f t="shared" si="59"/>
        <v>AL132_22|Partner Unit</v>
      </c>
    </row>
    <row r="3816" spans="1:5" x14ac:dyDescent="0.2">
      <c r="A3816" t="s">
        <v>1191</v>
      </c>
      <c r="B3816" t="s">
        <v>1192</v>
      </c>
      <c r="C3816" t="s">
        <v>447</v>
      </c>
      <c r="D3816" t="str">
        <f>VLOOKUP(C3816,'lookup table'!$A$2:$B$19,2,FALSE)</f>
        <v>REX</v>
      </c>
      <c r="E3816" t="str">
        <f t="shared" si="59"/>
        <v>AL132_22|REX</v>
      </c>
    </row>
    <row r="3817" spans="1:5" x14ac:dyDescent="0.2">
      <c r="A3817" t="s">
        <v>1191</v>
      </c>
      <c r="B3817" t="s">
        <v>1192</v>
      </c>
      <c r="C3817" t="s">
        <v>449</v>
      </c>
      <c r="D3817" t="e">
        <f>VLOOKUP(C3817,'lookup table'!$A$2:$B$19,2,FALSE)</f>
        <v>#N/A</v>
      </c>
      <c r="E3817" t="str">
        <f t="shared" si="59"/>
        <v/>
      </c>
    </row>
    <row r="3818" spans="1:5" x14ac:dyDescent="0.2">
      <c r="A3818" t="s">
        <v>1191</v>
      </c>
      <c r="B3818" t="s">
        <v>1192</v>
      </c>
      <c r="C3818" t="s">
        <v>457</v>
      </c>
      <c r="D3818" t="str">
        <f>VLOOKUP(C3818,'lookup table'!$A$2:$B$19,2,FALSE)</f>
        <v>VLT</v>
      </c>
      <c r="E3818" t="str">
        <f t="shared" si="59"/>
        <v>AL132_22|VLT</v>
      </c>
    </row>
    <row r="3819" spans="1:5" x14ac:dyDescent="0.2">
      <c r="A3819" t="s">
        <v>1191</v>
      </c>
      <c r="B3819" t="s">
        <v>1192</v>
      </c>
      <c r="C3819" t="s">
        <v>458</v>
      </c>
      <c r="D3819" t="str">
        <f>VLOOKUP(C3819,'lookup table'!$A$2:$B$19,2,FALSE)</f>
        <v>VAR</v>
      </c>
      <c r="E3819" t="str">
        <f t="shared" si="59"/>
        <v>AL132_22|VAR</v>
      </c>
    </row>
    <row r="3820" spans="1:5" x14ac:dyDescent="0.2">
      <c r="A3820" t="s">
        <v>1193</v>
      </c>
      <c r="B3820" t="s">
        <v>1194</v>
      </c>
      <c r="C3820" t="s">
        <v>14</v>
      </c>
      <c r="D3820" t="str">
        <f>VLOOKUP(C3820,'lookup table'!$A$2:$B$19,2,FALSE)</f>
        <v>ALC</v>
      </c>
      <c r="E3820" t="str">
        <f t="shared" si="59"/>
        <v>AL132_23|ALC</v>
      </c>
    </row>
    <row r="3821" spans="1:5" x14ac:dyDescent="0.2">
      <c r="A3821" t="s">
        <v>1193</v>
      </c>
      <c r="B3821" t="s">
        <v>1194</v>
      </c>
      <c r="C3821" t="s">
        <v>20</v>
      </c>
      <c r="D3821" t="str">
        <f>VLOOKUP(C3821,'lookup table'!$A$2:$B$19,2,FALSE)</f>
        <v>AY</v>
      </c>
      <c r="E3821" t="str">
        <f t="shared" si="59"/>
        <v>AL132_23|AY</v>
      </c>
    </row>
    <row r="3822" spans="1:5" x14ac:dyDescent="0.2">
      <c r="A3822" t="s">
        <v>1193</v>
      </c>
      <c r="B3822" t="s">
        <v>1194</v>
      </c>
      <c r="C3822" t="s">
        <v>136</v>
      </c>
      <c r="D3822" t="str">
        <f>VLOOKUP(C3822,'lookup table'!$A$2:$B$19,2,FALSE)</f>
        <v>BBA Set</v>
      </c>
      <c r="E3822" t="str">
        <f t="shared" si="59"/>
        <v>AL132_23|BBA Set</v>
      </c>
    </row>
    <row r="3823" spans="1:5" x14ac:dyDescent="0.2">
      <c r="A3823" t="s">
        <v>1193</v>
      </c>
      <c r="B3823" t="s">
        <v>1194</v>
      </c>
      <c r="C3823" t="s">
        <v>331</v>
      </c>
      <c r="D3823" t="str">
        <f>VLOOKUP(C3823,'lookup table'!$A$2:$B$19,2,FALSE)</f>
        <v>FS Item</v>
      </c>
      <c r="E3823" t="str">
        <f t="shared" si="59"/>
        <v>AL132_23|FS Item</v>
      </c>
    </row>
    <row r="3824" spans="1:5" x14ac:dyDescent="0.2">
      <c r="A3824" t="s">
        <v>1193</v>
      </c>
      <c r="B3824" t="s">
        <v>1194</v>
      </c>
      <c r="C3824" t="s">
        <v>423</v>
      </c>
      <c r="D3824" t="str">
        <f>VLOOKUP(C3824,'lookup table'!$A$2:$B$19,2,FALSE)</f>
        <v>ignore</v>
      </c>
      <c r="E3824" t="str">
        <f t="shared" si="59"/>
        <v>AL132_23|ignore</v>
      </c>
    </row>
    <row r="3825" spans="1:5" x14ac:dyDescent="0.2">
      <c r="A3825" t="s">
        <v>1193</v>
      </c>
      <c r="B3825" t="s">
        <v>1194</v>
      </c>
      <c r="C3825" t="s">
        <v>424</v>
      </c>
      <c r="D3825" t="str">
        <f>VLOOKUP(C3825,'lookup table'!$A$2:$B$19,2,FALSE)</f>
        <v>GRC</v>
      </c>
      <c r="E3825" t="str">
        <f t="shared" si="59"/>
        <v>AL132_23|GRC</v>
      </c>
    </row>
    <row r="3826" spans="1:5" x14ac:dyDescent="0.2">
      <c r="A3826" t="s">
        <v>1193</v>
      </c>
      <c r="B3826" t="s">
        <v>1194</v>
      </c>
      <c r="C3826" t="s">
        <v>425</v>
      </c>
      <c r="D3826" t="str">
        <f>VLOOKUP(C3826,'lookup table'!$A$2:$B$19,2,FALSE)</f>
        <v>Investee Segment</v>
      </c>
      <c r="E3826" t="str">
        <f t="shared" si="59"/>
        <v>AL132_23|Investee Segment</v>
      </c>
    </row>
    <row r="3827" spans="1:5" x14ac:dyDescent="0.2">
      <c r="A3827" t="s">
        <v>1193</v>
      </c>
      <c r="B3827" t="s">
        <v>1194</v>
      </c>
      <c r="C3827" t="s">
        <v>426</v>
      </c>
      <c r="D3827" t="str">
        <f>VLOOKUP(C3827,'lookup table'!$A$2:$B$19,2,FALSE)</f>
        <v>Investee Unit</v>
      </c>
      <c r="E3827" t="str">
        <f t="shared" si="59"/>
        <v>AL132_23|Investee Unit</v>
      </c>
    </row>
    <row r="3828" spans="1:5" x14ac:dyDescent="0.2">
      <c r="A3828" t="s">
        <v>1193</v>
      </c>
      <c r="B3828" t="s">
        <v>1194</v>
      </c>
      <c r="C3828" t="s">
        <v>428</v>
      </c>
      <c r="D3828" t="str">
        <f>VLOOKUP(C3828,'lookup table'!$A$2:$B$19,2,FALSE)</f>
        <v>LoB</v>
      </c>
      <c r="E3828" t="str">
        <f t="shared" si="59"/>
        <v>AL132_23|LoB</v>
      </c>
    </row>
    <row r="3829" spans="1:5" x14ac:dyDescent="0.2">
      <c r="A3829" t="s">
        <v>1193</v>
      </c>
      <c r="B3829" t="s">
        <v>1194</v>
      </c>
      <c r="C3829" t="s">
        <v>436</v>
      </c>
      <c r="D3829" t="str">
        <f>VLOOKUP(C3829,'lookup table'!$A$2:$B$19,2,FALSE)</f>
        <v>MAT</v>
      </c>
      <c r="E3829" t="str">
        <f t="shared" si="59"/>
        <v>AL132_23|MAT</v>
      </c>
    </row>
    <row r="3830" spans="1:5" x14ac:dyDescent="0.2">
      <c r="A3830" t="s">
        <v>1193</v>
      </c>
      <c r="B3830" t="s">
        <v>1194</v>
      </c>
      <c r="C3830" t="s">
        <v>441</v>
      </c>
      <c r="D3830" t="str">
        <f>VLOOKUP(C3830,'lookup table'!$A$2:$B$19,2,FALSE)</f>
        <v>Partner Segment</v>
      </c>
      <c r="E3830" t="str">
        <f t="shared" si="59"/>
        <v>AL132_23|Partner Segment</v>
      </c>
    </row>
    <row r="3831" spans="1:5" x14ac:dyDescent="0.2">
      <c r="A3831" t="s">
        <v>1193</v>
      </c>
      <c r="B3831" t="s">
        <v>1194</v>
      </c>
      <c r="C3831" t="s">
        <v>442</v>
      </c>
      <c r="D3831" t="str">
        <f>VLOOKUP(C3831,'lookup table'!$A$2:$B$19,2,FALSE)</f>
        <v>Partner Unit</v>
      </c>
      <c r="E3831" t="str">
        <f t="shared" si="59"/>
        <v>AL132_23|Partner Unit</v>
      </c>
    </row>
    <row r="3832" spans="1:5" x14ac:dyDescent="0.2">
      <c r="A3832" t="s">
        <v>1193</v>
      </c>
      <c r="B3832" t="s">
        <v>1194</v>
      </c>
      <c r="C3832" t="s">
        <v>447</v>
      </c>
      <c r="D3832" t="str">
        <f>VLOOKUP(C3832,'lookup table'!$A$2:$B$19,2,FALSE)</f>
        <v>REX</v>
      </c>
      <c r="E3832" t="str">
        <f t="shared" si="59"/>
        <v>AL132_23|REX</v>
      </c>
    </row>
    <row r="3833" spans="1:5" x14ac:dyDescent="0.2">
      <c r="A3833" t="s">
        <v>1193</v>
      </c>
      <c r="B3833" t="s">
        <v>1194</v>
      </c>
      <c r="C3833" t="s">
        <v>449</v>
      </c>
      <c r="D3833" t="e">
        <f>VLOOKUP(C3833,'lookup table'!$A$2:$B$19,2,FALSE)</f>
        <v>#N/A</v>
      </c>
      <c r="E3833" t="str">
        <f t="shared" si="59"/>
        <v/>
      </c>
    </row>
    <row r="3834" spans="1:5" x14ac:dyDescent="0.2">
      <c r="A3834" t="s">
        <v>1193</v>
      </c>
      <c r="B3834" t="s">
        <v>1194</v>
      </c>
      <c r="C3834" t="s">
        <v>457</v>
      </c>
      <c r="D3834" t="str">
        <f>VLOOKUP(C3834,'lookup table'!$A$2:$B$19,2,FALSE)</f>
        <v>VLT</v>
      </c>
      <c r="E3834" t="str">
        <f t="shared" si="59"/>
        <v>AL132_23|VLT</v>
      </c>
    </row>
    <row r="3835" spans="1:5" x14ac:dyDescent="0.2">
      <c r="A3835" t="s">
        <v>1193</v>
      </c>
      <c r="B3835" t="s">
        <v>1194</v>
      </c>
      <c r="C3835" t="s">
        <v>458</v>
      </c>
      <c r="D3835" t="str">
        <f>VLOOKUP(C3835,'lookup table'!$A$2:$B$19,2,FALSE)</f>
        <v>VAR</v>
      </c>
      <c r="E3835" t="str">
        <f t="shared" si="59"/>
        <v>AL132_23|VAR</v>
      </c>
    </row>
    <row r="3836" spans="1:5" x14ac:dyDescent="0.2">
      <c r="A3836" t="s">
        <v>1195</v>
      </c>
      <c r="B3836" t="s">
        <v>1196</v>
      </c>
      <c r="C3836" t="s">
        <v>14</v>
      </c>
      <c r="D3836" t="str">
        <f>VLOOKUP(C3836,'lookup table'!$A$2:$B$19,2,FALSE)</f>
        <v>ALC</v>
      </c>
      <c r="E3836" t="str">
        <f t="shared" si="59"/>
        <v>AL132_24|ALC</v>
      </c>
    </row>
    <row r="3837" spans="1:5" x14ac:dyDescent="0.2">
      <c r="A3837" t="s">
        <v>1195</v>
      </c>
      <c r="B3837" t="s">
        <v>1196</v>
      </c>
      <c r="C3837" t="s">
        <v>20</v>
      </c>
      <c r="D3837" t="str">
        <f>VLOOKUP(C3837,'lookup table'!$A$2:$B$19,2,FALSE)</f>
        <v>AY</v>
      </c>
      <c r="E3837" t="str">
        <f t="shared" si="59"/>
        <v>AL132_24|AY</v>
      </c>
    </row>
    <row r="3838" spans="1:5" x14ac:dyDescent="0.2">
      <c r="A3838" t="s">
        <v>1195</v>
      </c>
      <c r="B3838" t="s">
        <v>1196</v>
      </c>
      <c r="C3838" t="s">
        <v>136</v>
      </c>
      <c r="D3838" t="str">
        <f>VLOOKUP(C3838,'lookup table'!$A$2:$B$19,2,FALSE)</f>
        <v>BBA Set</v>
      </c>
      <c r="E3838" t="str">
        <f t="shared" si="59"/>
        <v>AL132_24|BBA Set</v>
      </c>
    </row>
    <row r="3839" spans="1:5" x14ac:dyDescent="0.2">
      <c r="A3839" t="s">
        <v>1195</v>
      </c>
      <c r="B3839" t="s">
        <v>1196</v>
      </c>
      <c r="C3839" t="s">
        <v>331</v>
      </c>
      <c r="D3839" t="str">
        <f>VLOOKUP(C3839,'lookup table'!$A$2:$B$19,2,FALSE)</f>
        <v>FS Item</v>
      </c>
      <c r="E3839" t="str">
        <f t="shared" si="59"/>
        <v>AL132_24|FS Item</v>
      </c>
    </row>
    <row r="3840" spans="1:5" x14ac:dyDescent="0.2">
      <c r="A3840" t="s">
        <v>1195</v>
      </c>
      <c r="B3840" t="s">
        <v>1196</v>
      </c>
      <c r="C3840" t="s">
        <v>423</v>
      </c>
      <c r="D3840" t="str">
        <f>VLOOKUP(C3840,'lookup table'!$A$2:$B$19,2,FALSE)</f>
        <v>ignore</v>
      </c>
      <c r="E3840" t="str">
        <f t="shared" si="59"/>
        <v>AL132_24|ignore</v>
      </c>
    </row>
    <row r="3841" spans="1:5" x14ac:dyDescent="0.2">
      <c r="A3841" t="s">
        <v>1195</v>
      </c>
      <c r="B3841" t="s">
        <v>1196</v>
      </c>
      <c r="C3841" t="s">
        <v>424</v>
      </c>
      <c r="D3841" t="str">
        <f>VLOOKUP(C3841,'lookup table'!$A$2:$B$19,2,FALSE)</f>
        <v>GRC</v>
      </c>
      <c r="E3841" t="str">
        <f t="shared" si="59"/>
        <v>AL132_24|GRC</v>
      </c>
    </row>
    <row r="3842" spans="1:5" x14ac:dyDescent="0.2">
      <c r="A3842" t="s">
        <v>1195</v>
      </c>
      <c r="B3842" t="s">
        <v>1196</v>
      </c>
      <c r="C3842" t="s">
        <v>425</v>
      </c>
      <c r="D3842" t="str">
        <f>VLOOKUP(C3842,'lookup table'!$A$2:$B$19,2,FALSE)</f>
        <v>Investee Segment</v>
      </c>
      <c r="E3842" t="str">
        <f t="shared" si="59"/>
        <v>AL132_24|Investee Segment</v>
      </c>
    </row>
    <row r="3843" spans="1:5" x14ac:dyDescent="0.2">
      <c r="A3843" t="s">
        <v>1195</v>
      </c>
      <c r="B3843" t="s">
        <v>1196</v>
      </c>
      <c r="C3843" t="s">
        <v>426</v>
      </c>
      <c r="D3843" t="str">
        <f>VLOOKUP(C3843,'lookup table'!$A$2:$B$19,2,FALSE)</f>
        <v>Investee Unit</v>
      </c>
      <c r="E3843" t="str">
        <f t="shared" ref="E3843:E3906" si="60">IF(ISNA(D3843),"",IF(A3843="","",A3843) &amp; "|" &amp; D3843)</f>
        <v>AL132_24|Investee Unit</v>
      </c>
    </row>
    <row r="3844" spans="1:5" x14ac:dyDescent="0.2">
      <c r="A3844" t="s">
        <v>1195</v>
      </c>
      <c r="B3844" t="s">
        <v>1196</v>
      </c>
      <c r="C3844" t="s">
        <v>428</v>
      </c>
      <c r="D3844" t="str">
        <f>VLOOKUP(C3844,'lookup table'!$A$2:$B$19,2,FALSE)</f>
        <v>LoB</v>
      </c>
      <c r="E3844" t="str">
        <f t="shared" si="60"/>
        <v>AL132_24|LoB</v>
      </c>
    </row>
    <row r="3845" spans="1:5" x14ac:dyDescent="0.2">
      <c r="A3845" t="s">
        <v>1195</v>
      </c>
      <c r="B3845" t="s">
        <v>1196</v>
      </c>
      <c r="C3845" t="s">
        <v>436</v>
      </c>
      <c r="D3845" t="str">
        <f>VLOOKUP(C3845,'lookup table'!$A$2:$B$19,2,FALSE)</f>
        <v>MAT</v>
      </c>
      <c r="E3845" t="str">
        <f t="shared" si="60"/>
        <v>AL132_24|MAT</v>
      </c>
    </row>
    <row r="3846" spans="1:5" x14ac:dyDescent="0.2">
      <c r="A3846" t="s">
        <v>1195</v>
      </c>
      <c r="B3846" t="s">
        <v>1196</v>
      </c>
      <c r="C3846" t="s">
        <v>441</v>
      </c>
      <c r="D3846" t="str">
        <f>VLOOKUP(C3846,'lookup table'!$A$2:$B$19,2,FALSE)</f>
        <v>Partner Segment</v>
      </c>
      <c r="E3846" t="str">
        <f t="shared" si="60"/>
        <v>AL132_24|Partner Segment</v>
      </c>
    </row>
    <row r="3847" spans="1:5" x14ac:dyDescent="0.2">
      <c r="A3847" t="s">
        <v>1195</v>
      </c>
      <c r="B3847" t="s">
        <v>1196</v>
      </c>
      <c r="C3847" t="s">
        <v>442</v>
      </c>
      <c r="D3847" t="str">
        <f>VLOOKUP(C3847,'lookup table'!$A$2:$B$19,2,FALSE)</f>
        <v>Partner Unit</v>
      </c>
      <c r="E3847" t="str">
        <f t="shared" si="60"/>
        <v>AL132_24|Partner Unit</v>
      </c>
    </row>
    <row r="3848" spans="1:5" x14ac:dyDescent="0.2">
      <c r="A3848" t="s">
        <v>1195</v>
      </c>
      <c r="B3848" t="s">
        <v>1196</v>
      </c>
      <c r="C3848" t="s">
        <v>447</v>
      </c>
      <c r="D3848" t="str">
        <f>VLOOKUP(C3848,'lookup table'!$A$2:$B$19,2,FALSE)</f>
        <v>REX</v>
      </c>
      <c r="E3848" t="str">
        <f t="shared" si="60"/>
        <v>AL132_24|REX</v>
      </c>
    </row>
    <row r="3849" spans="1:5" x14ac:dyDescent="0.2">
      <c r="A3849" t="s">
        <v>1195</v>
      </c>
      <c r="B3849" t="s">
        <v>1196</v>
      </c>
      <c r="C3849" t="s">
        <v>449</v>
      </c>
      <c r="D3849" t="e">
        <f>VLOOKUP(C3849,'lookup table'!$A$2:$B$19,2,FALSE)</f>
        <v>#N/A</v>
      </c>
      <c r="E3849" t="str">
        <f t="shared" si="60"/>
        <v/>
      </c>
    </row>
    <row r="3850" spans="1:5" x14ac:dyDescent="0.2">
      <c r="A3850" t="s">
        <v>1195</v>
      </c>
      <c r="B3850" t="s">
        <v>1196</v>
      </c>
      <c r="C3850" t="s">
        <v>457</v>
      </c>
      <c r="D3850" t="str">
        <f>VLOOKUP(C3850,'lookup table'!$A$2:$B$19,2,FALSE)</f>
        <v>VLT</v>
      </c>
      <c r="E3850" t="str">
        <f t="shared" si="60"/>
        <v>AL132_24|VLT</v>
      </c>
    </row>
    <row r="3851" spans="1:5" x14ac:dyDescent="0.2">
      <c r="A3851" t="s">
        <v>1195</v>
      </c>
      <c r="B3851" t="s">
        <v>1196</v>
      </c>
      <c r="C3851" t="s">
        <v>458</v>
      </c>
      <c r="D3851" t="str">
        <f>VLOOKUP(C3851,'lookup table'!$A$2:$B$19,2,FALSE)</f>
        <v>VAR</v>
      </c>
      <c r="E3851" t="str">
        <f t="shared" si="60"/>
        <v>AL132_24|VAR</v>
      </c>
    </row>
    <row r="3852" spans="1:5" x14ac:dyDescent="0.2">
      <c r="A3852" t="s">
        <v>1197</v>
      </c>
      <c r="B3852" t="s">
        <v>1198</v>
      </c>
      <c r="C3852" t="s">
        <v>20</v>
      </c>
      <c r="D3852" t="str">
        <f>VLOOKUP(C3852,'lookup table'!$A$2:$B$19,2,FALSE)</f>
        <v>AY</v>
      </c>
      <c r="E3852" t="str">
        <f t="shared" si="60"/>
        <v>AL133_00|AY</v>
      </c>
    </row>
    <row r="3853" spans="1:5" x14ac:dyDescent="0.2">
      <c r="A3853" t="s">
        <v>1197</v>
      </c>
      <c r="B3853" t="s">
        <v>1198</v>
      </c>
      <c r="C3853" t="s">
        <v>331</v>
      </c>
      <c r="D3853" t="str">
        <f>VLOOKUP(C3853,'lookup table'!$A$2:$B$19,2,FALSE)</f>
        <v>FS Item</v>
      </c>
      <c r="E3853" t="str">
        <f t="shared" si="60"/>
        <v>AL133_00|FS Item</v>
      </c>
    </row>
    <row r="3854" spans="1:5" x14ac:dyDescent="0.2">
      <c r="A3854" t="s">
        <v>1197</v>
      </c>
      <c r="B3854" t="s">
        <v>1198</v>
      </c>
      <c r="C3854" t="s">
        <v>423</v>
      </c>
      <c r="D3854" t="str">
        <f>VLOOKUP(C3854,'lookup table'!$A$2:$B$19,2,FALSE)</f>
        <v>ignore</v>
      </c>
      <c r="E3854" t="str">
        <f t="shared" si="60"/>
        <v>AL133_00|ignore</v>
      </c>
    </row>
    <row r="3855" spans="1:5" x14ac:dyDescent="0.2">
      <c r="A3855" t="s">
        <v>1197</v>
      </c>
      <c r="B3855" t="s">
        <v>1198</v>
      </c>
      <c r="C3855" t="s">
        <v>425</v>
      </c>
      <c r="D3855" t="str">
        <f>VLOOKUP(C3855,'lookup table'!$A$2:$B$19,2,FALSE)</f>
        <v>Investee Segment</v>
      </c>
      <c r="E3855" t="str">
        <f t="shared" si="60"/>
        <v>AL133_00|Investee Segment</v>
      </c>
    </row>
    <row r="3856" spans="1:5" x14ac:dyDescent="0.2">
      <c r="A3856" t="s">
        <v>1197</v>
      </c>
      <c r="B3856" t="s">
        <v>1198</v>
      </c>
      <c r="C3856" t="s">
        <v>426</v>
      </c>
      <c r="D3856" t="str">
        <f>VLOOKUP(C3856,'lookup table'!$A$2:$B$19,2,FALSE)</f>
        <v>Investee Unit</v>
      </c>
      <c r="E3856" t="str">
        <f t="shared" si="60"/>
        <v>AL133_00|Investee Unit</v>
      </c>
    </row>
    <row r="3857" spans="1:5" x14ac:dyDescent="0.2">
      <c r="A3857" t="s">
        <v>1197</v>
      </c>
      <c r="B3857" t="s">
        <v>1198</v>
      </c>
      <c r="C3857" t="s">
        <v>428</v>
      </c>
      <c r="D3857" t="str">
        <f>VLOOKUP(C3857,'lookup table'!$A$2:$B$19,2,FALSE)</f>
        <v>LoB</v>
      </c>
      <c r="E3857" t="str">
        <f t="shared" si="60"/>
        <v>AL133_00|LoB</v>
      </c>
    </row>
    <row r="3858" spans="1:5" x14ac:dyDescent="0.2">
      <c r="A3858" t="s">
        <v>1197</v>
      </c>
      <c r="B3858" t="s">
        <v>1198</v>
      </c>
      <c r="C3858" t="s">
        <v>441</v>
      </c>
      <c r="D3858" t="str">
        <f>VLOOKUP(C3858,'lookup table'!$A$2:$B$19,2,FALSE)</f>
        <v>Partner Segment</v>
      </c>
      <c r="E3858" t="str">
        <f t="shared" si="60"/>
        <v>AL133_00|Partner Segment</v>
      </c>
    </row>
    <row r="3859" spans="1:5" x14ac:dyDescent="0.2">
      <c r="A3859" t="s">
        <v>1197</v>
      </c>
      <c r="B3859" t="s">
        <v>1198</v>
      </c>
      <c r="C3859" t="s">
        <v>442</v>
      </c>
      <c r="D3859" t="str">
        <f>VLOOKUP(C3859,'lookup table'!$A$2:$B$19,2,FALSE)</f>
        <v>Partner Unit</v>
      </c>
      <c r="E3859" t="str">
        <f t="shared" si="60"/>
        <v>AL133_00|Partner Unit</v>
      </c>
    </row>
    <row r="3860" spans="1:5" x14ac:dyDescent="0.2">
      <c r="A3860" t="s">
        <v>1199</v>
      </c>
      <c r="B3860" t="s">
        <v>439</v>
      </c>
      <c r="C3860" t="s">
        <v>438</v>
      </c>
      <c r="D3860" t="str">
        <f>VLOOKUP(C3860,'lookup table'!$A$2:$B$19,2,FALSE)</f>
        <v>ToM</v>
      </c>
      <c r="E3860" t="str">
        <f t="shared" si="60"/>
        <v>AL136_00|ToM</v>
      </c>
    </row>
    <row r="3861" spans="1:5" x14ac:dyDescent="0.2">
      <c r="A3861" t="s">
        <v>1200</v>
      </c>
      <c r="B3861" t="s">
        <v>1201</v>
      </c>
      <c r="C3861" t="s">
        <v>428</v>
      </c>
      <c r="D3861" t="str">
        <f>VLOOKUP(C3861,'lookup table'!$A$2:$B$19,2,FALSE)</f>
        <v>LoB</v>
      </c>
      <c r="E3861" t="str">
        <f t="shared" si="60"/>
        <v>AL138_00|LoB</v>
      </c>
    </row>
    <row r="3862" spans="1:5" x14ac:dyDescent="0.2">
      <c r="A3862" t="s">
        <v>1202</v>
      </c>
      <c r="B3862" t="s">
        <v>1203</v>
      </c>
      <c r="C3862" t="s">
        <v>428</v>
      </c>
      <c r="D3862" t="str">
        <f>VLOOKUP(C3862,'lookup table'!$A$2:$B$19,2,FALSE)</f>
        <v>LoB</v>
      </c>
      <c r="E3862" t="str">
        <f t="shared" si="60"/>
        <v>AL138_05|LoB</v>
      </c>
    </row>
    <row r="3863" spans="1:5" x14ac:dyDescent="0.2">
      <c r="A3863" t="s">
        <v>1204</v>
      </c>
      <c r="B3863" t="s">
        <v>1205</v>
      </c>
      <c r="C3863" t="s">
        <v>14</v>
      </c>
      <c r="D3863" t="str">
        <f>VLOOKUP(C3863,'lookup table'!$A$2:$B$19,2,FALSE)</f>
        <v>ALC</v>
      </c>
      <c r="E3863" t="str">
        <f t="shared" si="60"/>
        <v>AL140_00|ALC</v>
      </c>
    </row>
    <row r="3864" spans="1:5" x14ac:dyDescent="0.2">
      <c r="A3864" t="s">
        <v>1204</v>
      </c>
      <c r="B3864" t="s">
        <v>1205</v>
      </c>
      <c r="C3864" t="s">
        <v>20</v>
      </c>
      <c r="D3864" t="str">
        <f>VLOOKUP(C3864,'lookup table'!$A$2:$B$19,2,FALSE)</f>
        <v>AY</v>
      </c>
      <c r="E3864" t="str">
        <f t="shared" si="60"/>
        <v>AL140_00|AY</v>
      </c>
    </row>
    <row r="3865" spans="1:5" x14ac:dyDescent="0.2">
      <c r="A3865" t="s">
        <v>1204</v>
      </c>
      <c r="B3865" t="s">
        <v>1205</v>
      </c>
      <c r="C3865" t="s">
        <v>331</v>
      </c>
      <c r="D3865" t="str">
        <f>VLOOKUP(C3865,'lookup table'!$A$2:$B$19,2,FALSE)</f>
        <v>FS Item</v>
      </c>
      <c r="E3865" t="str">
        <f t="shared" si="60"/>
        <v>AL140_00|FS Item</v>
      </c>
    </row>
    <row r="3866" spans="1:5" x14ac:dyDescent="0.2">
      <c r="A3866" t="s">
        <v>1204</v>
      </c>
      <c r="B3866" t="s">
        <v>1205</v>
      </c>
      <c r="C3866" t="s">
        <v>423</v>
      </c>
      <c r="D3866" t="str">
        <f>VLOOKUP(C3866,'lookup table'!$A$2:$B$19,2,FALSE)</f>
        <v>ignore</v>
      </c>
      <c r="E3866" t="str">
        <f t="shared" si="60"/>
        <v>AL140_00|ignore</v>
      </c>
    </row>
    <row r="3867" spans="1:5" x14ac:dyDescent="0.2">
      <c r="A3867" t="s">
        <v>1204</v>
      </c>
      <c r="B3867" t="s">
        <v>1205</v>
      </c>
      <c r="C3867" t="s">
        <v>424</v>
      </c>
      <c r="D3867" t="str">
        <f>VLOOKUP(C3867,'lookup table'!$A$2:$B$19,2,FALSE)</f>
        <v>GRC</v>
      </c>
      <c r="E3867" t="str">
        <f t="shared" si="60"/>
        <v>AL140_00|GRC</v>
      </c>
    </row>
    <row r="3868" spans="1:5" x14ac:dyDescent="0.2">
      <c r="A3868" t="s">
        <v>1204</v>
      </c>
      <c r="B3868" t="s">
        <v>1205</v>
      </c>
      <c r="C3868" t="s">
        <v>425</v>
      </c>
      <c r="D3868" t="str">
        <f>VLOOKUP(C3868,'lookup table'!$A$2:$B$19,2,FALSE)</f>
        <v>Investee Segment</v>
      </c>
      <c r="E3868" t="str">
        <f t="shared" si="60"/>
        <v>AL140_00|Investee Segment</v>
      </c>
    </row>
    <row r="3869" spans="1:5" x14ac:dyDescent="0.2">
      <c r="A3869" t="s">
        <v>1204</v>
      </c>
      <c r="B3869" t="s">
        <v>1205</v>
      </c>
      <c r="C3869" t="s">
        <v>426</v>
      </c>
      <c r="D3869" t="str">
        <f>VLOOKUP(C3869,'lookup table'!$A$2:$B$19,2,FALSE)</f>
        <v>Investee Unit</v>
      </c>
      <c r="E3869" t="str">
        <f t="shared" si="60"/>
        <v>AL140_00|Investee Unit</v>
      </c>
    </row>
    <row r="3870" spans="1:5" x14ac:dyDescent="0.2">
      <c r="A3870" t="s">
        <v>1204</v>
      </c>
      <c r="B3870" t="s">
        <v>1205</v>
      </c>
      <c r="C3870" t="s">
        <v>428</v>
      </c>
      <c r="D3870" t="str">
        <f>VLOOKUP(C3870,'lookup table'!$A$2:$B$19,2,FALSE)</f>
        <v>LoB</v>
      </c>
      <c r="E3870" t="str">
        <f t="shared" si="60"/>
        <v>AL140_00|LoB</v>
      </c>
    </row>
    <row r="3871" spans="1:5" x14ac:dyDescent="0.2">
      <c r="A3871" t="s">
        <v>1204</v>
      </c>
      <c r="B3871" t="s">
        <v>1205</v>
      </c>
      <c r="C3871" t="s">
        <v>436</v>
      </c>
      <c r="D3871" t="str">
        <f>VLOOKUP(C3871,'lookup table'!$A$2:$B$19,2,FALSE)</f>
        <v>MAT</v>
      </c>
      <c r="E3871" t="str">
        <f t="shared" si="60"/>
        <v>AL140_00|MAT</v>
      </c>
    </row>
    <row r="3872" spans="1:5" x14ac:dyDescent="0.2">
      <c r="A3872" t="s">
        <v>1204</v>
      </c>
      <c r="B3872" t="s">
        <v>1205</v>
      </c>
      <c r="C3872" t="s">
        <v>438</v>
      </c>
      <c r="D3872" t="str">
        <f>VLOOKUP(C3872,'lookup table'!$A$2:$B$19,2,FALSE)</f>
        <v>ToM</v>
      </c>
      <c r="E3872" t="str">
        <f t="shared" si="60"/>
        <v>AL140_00|ToM</v>
      </c>
    </row>
    <row r="3873" spans="1:5" x14ac:dyDescent="0.2">
      <c r="A3873" t="s">
        <v>1204</v>
      </c>
      <c r="B3873" t="s">
        <v>1205</v>
      </c>
      <c r="C3873" t="s">
        <v>441</v>
      </c>
      <c r="D3873" t="str">
        <f>VLOOKUP(C3873,'lookup table'!$A$2:$B$19,2,FALSE)</f>
        <v>Partner Segment</v>
      </c>
      <c r="E3873" t="str">
        <f t="shared" si="60"/>
        <v>AL140_00|Partner Segment</v>
      </c>
    </row>
    <row r="3874" spans="1:5" x14ac:dyDescent="0.2">
      <c r="A3874" t="s">
        <v>1204</v>
      </c>
      <c r="B3874" t="s">
        <v>1205</v>
      </c>
      <c r="C3874" t="s">
        <v>442</v>
      </c>
      <c r="D3874" t="str">
        <f>VLOOKUP(C3874,'lookup table'!$A$2:$B$19,2,FALSE)</f>
        <v>Partner Unit</v>
      </c>
      <c r="E3874" t="str">
        <f t="shared" si="60"/>
        <v>AL140_00|Partner Unit</v>
      </c>
    </row>
    <row r="3875" spans="1:5" x14ac:dyDescent="0.2">
      <c r="A3875" t="s">
        <v>1204</v>
      </c>
      <c r="B3875" t="s">
        <v>1205</v>
      </c>
      <c r="C3875" t="s">
        <v>447</v>
      </c>
      <c r="D3875" t="str">
        <f>VLOOKUP(C3875,'lookup table'!$A$2:$B$19,2,FALSE)</f>
        <v>REX</v>
      </c>
      <c r="E3875" t="str">
        <f t="shared" si="60"/>
        <v>AL140_00|REX</v>
      </c>
    </row>
    <row r="3876" spans="1:5" x14ac:dyDescent="0.2">
      <c r="A3876" t="s">
        <v>1204</v>
      </c>
      <c r="B3876" t="s">
        <v>1205</v>
      </c>
      <c r="C3876" t="s">
        <v>457</v>
      </c>
      <c r="D3876" t="str">
        <f>VLOOKUP(C3876,'lookup table'!$A$2:$B$19,2,FALSE)</f>
        <v>VLT</v>
      </c>
      <c r="E3876" t="str">
        <f t="shared" si="60"/>
        <v>AL140_00|VLT</v>
      </c>
    </row>
    <row r="3877" spans="1:5" x14ac:dyDescent="0.2">
      <c r="A3877" t="s">
        <v>1204</v>
      </c>
      <c r="B3877" t="s">
        <v>1205</v>
      </c>
      <c r="C3877" t="s">
        <v>458</v>
      </c>
      <c r="D3877" t="str">
        <f>VLOOKUP(C3877,'lookup table'!$A$2:$B$19,2,FALSE)</f>
        <v>VAR</v>
      </c>
      <c r="E3877" t="str">
        <f t="shared" si="60"/>
        <v>AL140_00|VAR</v>
      </c>
    </row>
    <row r="3878" spans="1:5" x14ac:dyDescent="0.2">
      <c r="A3878" t="s">
        <v>1206</v>
      </c>
      <c r="B3878" t="s">
        <v>15</v>
      </c>
      <c r="C3878" t="s">
        <v>14</v>
      </c>
      <c r="D3878" t="str">
        <f>VLOOKUP(C3878,'lookup table'!$A$2:$B$19,2,FALSE)</f>
        <v>ALC</v>
      </c>
      <c r="E3878" t="str">
        <f t="shared" si="60"/>
        <v>AL141_00|ALC</v>
      </c>
    </row>
    <row r="3879" spans="1:5" x14ac:dyDescent="0.2">
      <c r="A3879" t="s">
        <v>1206</v>
      </c>
      <c r="B3879" t="s">
        <v>15</v>
      </c>
      <c r="C3879" t="s">
        <v>20</v>
      </c>
      <c r="D3879" t="str">
        <f>VLOOKUP(C3879,'lookup table'!$A$2:$B$19,2,FALSE)</f>
        <v>AY</v>
      </c>
      <c r="E3879" t="str">
        <f t="shared" si="60"/>
        <v>AL141_00|AY</v>
      </c>
    </row>
    <row r="3880" spans="1:5" x14ac:dyDescent="0.2">
      <c r="A3880" t="s">
        <v>1206</v>
      </c>
      <c r="B3880" t="s">
        <v>15</v>
      </c>
      <c r="C3880" t="s">
        <v>331</v>
      </c>
      <c r="D3880" t="str">
        <f>VLOOKUP(C3880,'lookup table'!$A$2:$B$19,2,FALSE)</f>
        <v>FS Item</v>
      </c>
      <c r="E3880" t="str">
        <f t="shared" si="60"/>
        <v>AL141_00|FS Item</v>
      </c>
    </row>
    <row r="3881" spans="1:5" x14ac:dyDescent="0.2">
      <c r="A3881" t="s">
        <v>1206</v>
      </c>
      <c r="B3881" t="s">
        <v>15</v>
      </c>
      <c r="C3881" t="s">
        <v>423</v>
      </c>
      <c r="D3881" t="str">
        <f>VLOOKUP(C3881,'lookup table'!$A$2:$B$19,2,FALSE)</f>
        <v>ignore</v>
      </c>
      <c r="E3881" t="str">
        <f t="shared" si="60"/>
        <v>AL141_00|ignore</v>
      </c>
    </row>
    <row r="3882" spans="1:5" x14ac:dyDescent="0.2">
      <c r="A3882" t="s">
        <v>1206</v>
      </c>
      <c r="B3882" t="s">
        <v>15</v>
      </c>
      <c r="C3882" t="s">
        <v>424</v>
      </c>
      <c r="D3882" t="str">
        <f>VLOOKUP(C3882,'lookup table'!$A$2:$B$19,2,FALSE)</f>
        <v>GRC</v>
      </c>
      <c r="E3882" t="str">
        <f t="shared" si="60"/>
        <v>AL141_00|GRC</v>
      </c>
    </row>
    <row r="3883" spans="1:5" x14ac:dyDescent="0.2">
      <c r="A3883" t="s">
        <v>1206</v>
      </c>
      <c r="B3883" t="s">
        <v>15</v>
      </c>
      <c r="C3883" t="s">
        <v>425</v>
      </c>
      <c r="D3883" t="str">
        <f>VLOOKUP(C3883,'lookup table'!$A$2:$B$19,2,FALSE)</f>
        <v>Investee Segment</v>
      </c>
      <c r="E3883" t="str">
        <f t="shared" si="60"/>
        <v>AL141_00|Investee Segment</v>
      </c>
    </row>
    <row r="3884" spans="1:5" x14ac:dyDescent="0.2">
      <c r="A3884" t="s">
        <v>1206</v>
      </c>
      <c r="B3884" t="s">
        <v>15</v>
      </c>
      <c r="C3884" t="s">
        <v>426</v>
      </c>
      <c r="D3884" t="str">
        <f>VLOOKUP(C3884,'lookup table'!$A$2:$B$19,2,FALSE)</f>
        <v>Investee Unit</v>
      </c>
      <c r="E3884" t="str">
        <f t="shared" si="60"/>
        <v>AL141_00|Investee Unit</v>
      </c>
    </row>
    <row r="3885" spans="1:5" x14ac:dyDescent="0.2">
      <c r="A3885" t="s">
        <v>1206</v>
      </c>
      <c r="B3885" t="s">
        <v>15</v>
      </c>
      <c r="C3885" t="s">
        <v>428</v>
      </c>
      <c r="D3885" t="str">
        <f>VLOOKUP(C3885,'lookup table'!$A$2:$B$19,2,FALSE)</f>
        <v>LoB</v>
      </c>
      <c r="E3885" t="str">
        <f t="shared" si="60"/>
        <v>AL141_00|LoB</v>
      </c>
    </row>
    <row r="3886" spans="1:5" x14ac:dyDescent="0.2">
      <c r="A3886" t="s">
        <v>1206</v>
      </c>
      <c r="B3886" t="s">
        <v>15</v>
      </c>
      <c r="C3886" t="s">
        <v>436</v>
      </c>
      <c r="D3886" t="str">
        <f>VLOOKUP(C3886,'lookup table'!$A$2:$B$19,2,FALSE)</f>
        <v>MAT</v>
      </c>
      <c r="E3886" t="str">
        <f t="shared" si="60"/>
        <v>AL141_00|MAT</v>
      </c>
    </row>
    <row r="3887" spans="1:5" x14ac:dyDescent="0.2">
      <c r="A3887" t="s">
        <v>1206</v>
      </c>
      <c r="B3887" t="s">
        <v>15</v>
      </c>
      <c r="C3887" t="s">
        <v>438</v>
      </c>
      <c r="D3887" t="str">
        <f>VLOOKUP(C3887,'lookup table'!$A$2:$B$19,2,FALSE)</f>
        <v>ToM</v>
      </c>
      <c r="E3887" t="str">
        <f t="shared" si="60"/>
        <v>AL141_00|ToM</v>
      </c>
    </row>
    <row r="3888" spans="1:5" x14ac:dyDescent="0.2">
      <c r="A3888" t="s">
        <v>1206</v>
      </c>
      <c r="B3888" t="s">
        <v>15</v>
      </c>
      <c r="C3888" t="s">
        <v>441</v>
      </c>
      <c r="D3888" t="str">
        <f>VLOOKUP(C3888,'lookup table'!$A$2:$B$19,2,FALSE)</f>
        <v>Partner Segment</v>
      </c>
      <c r="E3888" t="str">
        <f t="shared" si="60"/>
        <v>AL141_00|Partner Segment</v>
      </c>
    </row>
    <row r="3889" spans="1:5" x14ac:dyDescent="0.2">
      <c r="A3889" t="s">
        <v>1206</v>
      </c>
      <c r="B3889" t="s">
        <v>15</v>
      </c>
      <c r="C3889" t="s">
        <v>442</v>
      </c>
      <c r="D3889" t="str">
        <f>VLOOKUP(C3889,'lookup table'!$A$2:$B$19,2,FALSE)</f>
        <v>Partner Unit</v>
      </c>
      <c r="E3889" t="str">
        <f t="shared" si="60"/>
        <v>AL141_00|Partner Unit</v>
      </c>
    </row>
    <row r="3890" spans="1:5" x14ac:dyDescent="0.2">
      <c r="A3890" t="s">
        <v>1206</v>
      </c>
      <c r="B3890" t="s">
        <v>15</v>
      </c>
      <c r="C3890" t="s">
        <v>447</v>
      </c>
      <c r="D3890" t="str">
        <f>VLOOKUP(C3890,'lookup table'!$A$2:$B$19,2,FALSE)</f>
        <v>REX</v>
      </c>
      <c r="E3890" t="str">
        <f t="shared" si="60"/>
        <v>AL141_00|REX</v>
      </c>
    </row>
    <row r="3891" spans="1:5" x14ac:dyDescent="0.2">
      <c r="A3891" t="s">
        <v>1206</v>
      </c>
      <c r="B3891" t="s">
        <v>15</v>
      </c>
      <c r="C3891" t="s">
        <v>449</v>
      </c>
      <c r="D3891" t="e">
        <f>VLOOKUP(C3891,'lookup table'!$A$2:$B$19,2,FALSE)</f>
        <v>#N/A</v>
      </c>
      <c r="E3891" t="str">
        <f t="shared" si="60"/>
        <v/>
      </c>
    </row>
    <row r="3892" spans="1:5" x14ac:dyDescent="0.2">
      <c r="A3892" t="s">
        <v>1206</v>
      </c>
      <c r="B3892" t="s">
        <v>15</v>
      </c>
      <c r="C3892" t="s">
        <v>457</v>
      </c>
      <c r="D3892" t="str">
        <f>VLOOKUP(C3892,'lookup table'!$A$2:$B$19,2,FALSE)</f>
        <v>VLT</v>
      </c>
      <c r="E3892" t="str">
        <f t="shared" si="60"/>
        <v>AL141_00|VLT</v>
      </c>
    </row>
    <row r="3893" spans="1:5" x14ac:dyDescent="0.2">
      <c r="A3893" t="s">
        <v>1206</v>
      </c>
      <c r="B3893" t="s">
        <v>15</v>
      </c>
      <c r="C3893" t="s">
        <v>458</v>
      </c>
      <c r="D3893" t="str">
        <f>VLOOKUP(C3893,'lookup table'!$A$2:$B$19,2,FALSE)</f>
        <v>VAR</v>
      </c>
      <c r="E3893" t="str">
        <f t="shared" si="60"/>
        <v>AL141_00|VAR</v>
      </c>
    </row>
    <row r="3894" spans="1:5" x14ac:dyDescent="0.2">
      <c r="A3894" t="s">
        <v>1207</v>
      </c>
      <c r="B3894" t="s">
        <v>1208</v>
      </c>
      <c r="C3894" t="s">
        <v>20</v>
      </c>
      <c r="D3894" t="str">
        <f>VLOOKUP(C3894,'lookup table'!$A$2:$B$19,2,FALSE)</f>
        <v>AY</v>
      </c>
      <c r="E3894" t="str">
        <f t="shared" si="60"/>
        <v>AL156_00|AY</v>
      </c>
    </row>
    <row r="3895" spans="1:5" x14ac:dyDescent="0.2">
      <c r="A3895" t="s">
        <v>1207</v>
      </c>
      <c r="B3895" t="s">
        <v>1208</v>
      </c>
      <c r="C3895" t="s">
        <v>331</v>
      </c>
      <c r="D3895" t="str">
        <f>VLOOKUP(C3895,'lookup table'!$A$2:$B$19,2,FALSE)</f>
        <v>FS Item</v>
      </c>
      <c r="E3895" t="str">
        <f t="shared" si="60"/>
        <v>AL156_00|FS Item</v>
      </c>
    </row>
    <row r="3896" spans="1:5" x14ac:dyDescent="0.2">
      <c r="A3896" t="s">
        <v>1207</v>
      </c>
      <c r="B3896" t="s">
        <v>1208</v>
      </c>
      <c r="C3896" t="s">
        <v>423</v>
      </c>
      <c r="D3896" t="str">
        <f>VLOOKUP(C3896,'lookup table'!$A$2:$B$19,2,FALSE)</f>
        <v>ignore</v>
      </c>
      <c r="E3896" t="str">
        <f t="shared" si="60"/>
        <v>AL156_00|ignore</v>
      </c>
    </row>
    <row r="3897" spans="1:5" x14ac:dyDescent="0.2">
      <c r="A3897" t="s">
        <v>1207</v>
      </c>
      <c r="B3897" t="s">
        <v>1208</v>
      </c>
      <c r="C3897" t="s">
        <v>428</v>
      </c>
      <c r="D3897" t="str">
        <f>VLOOKUP(C3897,'lookup table'!$A$2:$B$19,2,FALSE)</f>
        <v>LoB</v>
      </c>
      <c r="E3897" t="str">
        <f t="shared" si="60"/>
        <v>AL156_00|LoB</v>
      </c>
    </row>
    <row r="3898" spans="1:5" x14ac:dyDescent="0.2">
      <c r="A3898" t="s">
        <v>1207</v>
      </c>
      <c r="B3898" t="s">
        <v>1208</v>
      </c>
      <c r="C3898" t="s">
        <v>438</v>
      </c>
      <c r="D3898" t="str">
        <f>VLOOKUP(C3898,'lookup table'!$A$2:$B$19,2,FALSE)</f>
        <v>ToM</v>
      </c>
      <c r="E3898" t="str">
        <f t="shared" si="60"/>
        <v>AL156_00|ToM</v>
      </c>
    </row>
    <row r="3899" spans="1:5" x14ac:dyDescent="0.2">
      <c r="A3899" t="s">
        <v>1207</v>
      </c>
      <c r="B3899" t="s">
        <v>1208</v>
      </c>
      <c r="C3899" t="s">
        <v>441</v>
      </c>
      <c r="D3899" t="str">
        <f>VLOOKUP(C3899,'lookup table'!$A$2:$B$19,2,FALSE)</f>
        <v>Partner Segment</v>
      </c>
      <c r="E3899" t="str">
        <f t="shared" si="60"/>
        <v>AL156_00|Partner Segment</v>
      </c>
    </row>
    <row r="3900" spans="1:5" x14ac:dyDescent="0.2">
      <c r="A3900" t="s">
        <v>1207</v>
      </c>
      <c r="B3900" t="s">
        <v>1208</v>
      </c>
      <c r="C3900" t="s">
        <v>442</v>
      </c>
      <c r="D3900" t="str">
        <f>VLOOKUP(C3900,'lookup table'!$A$2:$B$19,2,FALSE)</f>
        <v>Partner Unit</v>
      </c>
      <c r="E3900" t="str">
        <f t="shared" si="60"/>
        <v>AL156_00|Partner Unit</v>
      </c>
    </row>
    <row r="3901" spans="1:5" x14ac:dyDescent="0.2">
      <c r="A3901" t="s">
        <v>1209</v>
      </c>
      <c r="B3901" t="s">
        <v>1210</v>
      </c>
      <c r="C3901" t="s">
        <v>20</v>
      </c>
      <c r="D3901" t="str">
        <f>VLOOKUP(C3901,'lookup table'!$A$2:$B$19,2,FALSE)</f>
        <v>AY</v>
      </c>
      <c r="E3901" t="str">
        <f t="shared" si="60"/>
        <v>AL158_17|AY</v>
      </c>
    </row>
    <row r="3902" spans="1:5" x14ac:dyDescent="0.2">
      <c r="A3902" t="s">
        <v>1209</v>
      </c>
      <c r="B3902" t="s">
        <v>1210</v>
      </c>
      <c r="C3902" t="s">
        <v>331</v>
      </c>
      <c r="D3902" t="str">
        <f>VLOOKUP(C3902,'lookup table'!$A$2:$B$19,2,FALSE)</f>
        <v>FS Item</v>
      </c>
      <c r="E3902" t="str">
        <f t="shared" si="60"/>
        <v>AL158_17|FS Item</v>
      </c>
    </row>
    <row r="3903" spans="1:5" x14ac:dyDescent="0.2">
      <c r="A3903" t="s">
        <v>1209</v>
      </c>
      <c r="B3903" t="s">
        <v>1210</v>
      </c>
      <c r="C3903" t="s">
        <v>428</v>
      </c>
      <c r="D3903" t="str">
        <f>VLOOKUP(C3903,'lookup table'!$A$2:$B$19,2,FALSE)</f>
        <v>LoB</v>
      </c>
      <c r="E3903" t="str">
        <f t="shared" si="60"/>
        <v>AL158_17|LoB</v>
      </c>
    </row>
    <row r="3904" spans="1:5" x14ac:dyDescent="0.2">
      <c r="A3904" t="s">
        <v>1209</v>
      </c>
      <c r="B3904" t="s">
        <v>1210</v>
      </c>
      <c r="C3904" t="s">
        <v>438</v>
      </c>
      <c r="D3904" t="str">
        <f>VLOOKUP(C3904,'lookup table'!$A$2:$B$19,2,FALSE)</f>
        <v>ToM</v>
      </c>
      <c r="E3904" t="str">
        <f t="shared" si="60"/>
        <v>AL158_17|ToM</v>
      </c>
    </row>
    <row r="3905" spans="1:5" x14ac:dyDescent="0.2">
      <c r="A3905" t="s">
        <v>1209</v>
      </c>
      <c r="B3905" t="s">
        <v>1210</v>
      </c>
      <c r="C3905" t="s">
        <v>441</v>
      </c>
      <c r="D3905" t="str">
        <f>VLOOKUP(C3905,'lookup table'!$A$2:$B$19,2,FALSE)</f>
        <v>Partner Segment</v>
      </c>
      <c r="E3905" t="str">
        <f t="shared" si="60"/>
        <v>AL158_17|Partner Segment</v>
      </c>
    </row>
    <row r="3906" spans="1:5" x14ac:dyDescent="0.2">
      <c r="A3906" t="s">
        <v>1209</v>
      </c>
      <c r="B3906" t="s">
        <v>1210</v>
      </c>
      <c r="C3906" t="s">
        <v>442</v>
      </c>
      <c r="D3906" t="str">
        <f>VLOOKUP(C3906,'lookup table'!$A$2:$B$19,2,FALSE)</f>
        <v>Partner Unit</v>
      </c>
      <c r="E3906" t="str">
        <f t="shared" si="60"/>
        <v>AL158_17|Partner Unit</v>
      </c>
    </row>
    <row r="3907" spans="1:5" x14ac:dyDescent="0.2">
      <c r="A3907" t="s">
        <v>1209</v>
      </c>
      <c r="B3907" t="s">
        <v>1210</v>
      </c>
      <c r="C3907" t="s">
        <v>451</v>
      </c>
      <c r="D3907" t="str">
        <f>VLOOKUP(C3907,'lookup table'!$A$2:$B$19,2,FALSE)</f>
        <v>Segment</v>
      </c>
      <c r="E3907" t="str">
        <f t="shared" ref="E3907:E3970" si="61">IF(ISNA(D3907),"",IF(A3907="","",A3907) &amp; "|" &amp; D3907)</f>
        <v>AL158_17|Segment</v>
      </c>
    </row>
    <row r="3908" spans="1:5" x14ac:dyDescent="0.2">
      <c r="A3908" t="s">
        <v>1211</v>
      </c>
      <c r="B3908" t="s">
        <v>1212</v>
      </c>
      <c r="C3908" t="s">
        <v>20</v>
      </c>
      <c r="D3908" t="str">
        <f>VLOOKUP(C3908,'lookup table'!$A$2:$B$19,2,FALSE)</f>
        <v>AY</v>
      </c>
      <c r="E3908" t="str">
        <f t="shared" si="61"/>
        <v>AL159_17|AY</v>
      </c>
    </row>
    <row r="3909" spans="1:5" x14ac:dyDescent="0.2">
      <c r="A3909" t="s">
        <v>1211</v>
      </c>
      <c r="B3909" t="s">
        <v>1212</v>
      </c>
      <c r="C3909" t="s">
        <v>331</v>
      </c>
      <c r="D3909" t="str">
        <f>VLOOKUP(C3909,'lookup table'!$A$2:$B$19,2,FALSE)</f>
        <v>FS Item</v>
      </c>
      <c r="E3909" t="str">
        <f t="shared" si="61"/>
        <v>AL159_17|FS Item</v>
      </c>
    </row>
    <row r="3910" spans="1:5" x14ac:dyDescent="0.2">
      <c r="A3910" t="s">
        <v>1211</v>
      </c>
      <c r="B3910" t="s">
        <v>1212</v>
      </c>
      <c r="C3910" t="s">
        <v>438</v>
      </c>
      <c r="D3910" t="str">
        <f>VLOOKUP(C3910,'lookup table'!$A$2:$B$19,2,FALSE)</f>
        <v>ToM</v>
      </c>
      <c r="E3910" t="str">
        <f t="shared" si="61"/>
        <v>AL159_17|ToM</v>
      </c>
    </row>
    <row r="3911" spans="1:5" x14ac:dyDescent="0.2">
      <c r="A3911" t="s">
        <v>1211</v>
      </c>
      <c r="B3911" t="s">
        <v>1212</v>
      </c>
      <c r="C3911" t="s">
        <v>441</v>
      </c>
      <c r="D3911" t="str">
        <f>VLOOKUP(C3911,'lookup table'!$A$2:$B$19,2,FALSE)</f>
        <v>Partner Segment</v>
      </c>
      <c r="E3911" t="str">
        <f t="shared" si="61"/>
        <v>AL159_17|Partner Segment</v>
      </c>
    </row>
    <row r="3912" spans="1:5" x14ac:dyDescent="0.2">
      <c r="A3912" t="s">
        <v>1211</v>
      </c>
      <c r="B3912" t="s">
        <v>1212</v>
      </c>
      <c r="C3912" t="s">
        <v>442</v>
      </c>
      <c r="D3912" t="str">
        <f>VLOOKUP(C3912,'lookup table'!$A$2:$B$19,2,FALSE)</f>
        <v>Partner Unit</v>
      </c>
      <c r="E3912" t="str">
        <f t="shared" si="61"/>
        <v>AL159_17|Partner Unit</v>
      </c>
    </row>
    <row r="3913" spans="1:5" x14ac:dyDescent="0.2">
      <c r="A3913" t="s">
        <v>1211</v>
      </c>
      <c r="B3913" t="s">
        <v>1212</v>
      </c>
      <c r="C3913" t="s">
        <v>451</v>
      </c>
      <c r="D3913" t="str">
        <f>VLOOKUP(C3913,'lookup table'!$A$2:$B$19,2,FALSE)</f>
        <v>Segment</v>
      </c>
      <c r="E3913" t="str">
        <f t="shared" si="61"/>
        <v>AL159_17|Segment</v>
      </c>
    </row>
    <row r="3914" spans="1:5" x14ac:dyDescent="0.2">
      <c r="A3914" t="s">
        <v>1213</v>
      </c>
      <c r="B3914" t="s">
        <v>1214</v>
      </c>
      <c r="C3914" t="s">
        <v>20</v>
      </c>
      <c r="D3914" t="str">
        <f>VLOOKUP(C3914,'lookup table'!$A$2:$B$19,2,FALSE)</f>
        <v>AY</v>
      </c>
      <c r="E3914" t="str">
        <f t="shared" si="61"/>
        <v>AL160_17|AY</v>
      </c>
    </row>
    <row r="3915" spans="1:5" x14ac:dyDescent="0.2">
      <c r="A3915" t="s">
        <v>1213</v>
      </c>
      <c r="B3915" t="s">
        <v>1214</v>
      </c>
      <c r="C3915" t="s">
        <v>331</v>
      </c>
      <c r="D3915" t="str">
        <f>VLOOKUP(C3915,'lookup table'!$A$2:$B$19,2,FALSE)</f>
        <v>FS Item</v>
      </c>
      <c r="E3915" t="str">
        <f t="shared" si="61"/>
        <v>AL160_17|FS Item</v>
      </c>
    </row>
    <row r="3916" spans="1:5" x14ac:dyDescent="0.2">
      <c r="A3916" t="s">
        <v>1213</v>
      </c>
      <c r="B3916" t="s">
        <v>1214</v>
      </c>
      <c r="C3916" t="s">
        <v>428</v>
      </c>
      <c r="D3916" t="str">
        <f>VLOOKUP(C3916,'lookup table'!$A$2:$B$19,2,FALSE)</f>
        <v>LoB</v>
      </c>
      <c r="E3916" t="str">
        <f t="shared" si="61"/>
        <v>AL160_17|LoB</v>
      </c>
    </row>
    <row r="3917" spans="1:5" x14ac:dyDescent="0.2">
      <c r="A3917" t="s">
        <v>1213</v>
      </c>
      <c r="B3917" t="s">
        <v>1214</v>
      </c>
      <c r="C3917" t="s">
        <v>438</v>
      </c>
      <c r="D3917" t="str">
        <f>VLOOKUP(C3917,'lookup table'!$A$2:$B$19,2,FALSE)</f>
        <v>ToM</v>
      </c>
      <c r="E3917" t="str">
        <f t="shared" si="61"/>
        <v>AL160_17|ToM</v>
      </c>
    </row>
    <row r="3918" spans="1:5" x14ac:dyDescent="0.2">
      <c r="A3918" t="s">
        <v>1213</v>
      </c>
      <c r="B3918" t="s">
        <v>1214</v>
      </c>
      <c r="C3918" t="s">
        <v>441</v>
      </c>
      <c r="D3918" t="str">
        <f>VLOOKUP(C3918,'lookup table'!$A$2:$B$19,2,FALSE)</f>
        <v>Partner Segment</v>
      </c>
      <c r="E3918" t="str">
        <f t="shared" si="61"/>
        <v>AL160_17|Partner Segment</v>
      </c>
    </row>
    <row r="3919" spans="1:5" x14ac:dyDescent="0.2">
      <c r="A3919" t="s">
        <v>1213</v>
      </c>
      <c r="B3919" t="s">
        <v>1214</v>
      </c>
      <c r="C3919" t="s">
        <v>442</v>
      </c>
      <c r="D3919" t="str">
        <f>VLOOKUP(C3919,'lookup table'!$A$2:$B$19,2,FALSE)</f>
        <v>Partner Unit</v>
      </c>
      <c r="E3919" t="str">
        <f t="shared" si="61"/>
        <v>AL160_17|Partner Unit</v>
      </c>
    </row>
    <row r="3920" spans="1:5" x14ac:dyDescent="0.2">
      <c r="A3920" t="s">
        <v>1213</v>
      </c>
      <c r="B3920" t="s">
        <v>1214</v>
      </c>
      <c r="C3920" t="s">
        <v>451</v>
      </c>
      <c r="D3920" t="str">
        <f>VLOOKUP(C3920,'lookup table'!$A$2:$B$19,2,FALSE)</f>
        <v>Segment</v>
      </c>
      <c r="E3920" t="str">
        <f t="shared" si="61"/>
        <v>AL160_17|Segment</v>
      </c>
    </row>
    <row r="3921" spans="1:5" x14ac:dyDescent="0.2">
      <c r="A3921" t="s">
        <v>1215</v>
      </c>
      <c r="B3921" t="s">
        <v>1216</v>
      </c>
      <c r="C3921" t="s">
        <v>20</v>
      </c>
      <c r="D3921" t="str">
        <f>VLOOKUP(C3921,'lookup table'!$A$2:$B$19,2,FALSE)</f>
        <v>AY</v>
      </c>
      <c r="E3921" t="str">
        <f t="shared" si="61"/>
        <v>AL160_70|AY</v>
      </c>
    </row>
    <row r="3922" spans="1:5" x14ac:dyDescent="0.2">
      <c r="A3922" t="s">
        <v>1215</v>
      </c>
      <c r="B3922" t="s">
        <v>1216</v>
      </c>
      <c r="C3922" t="s">
        <v>331</v>
      </c>
      <c r="D3922" t="str">
        <f>VLOOKUP(C3922,'lookup table'!$A$2:$B$19,2,FALSE)</f>
        <v>FS Item</v>
      </c>
      <c r="E3922" t="str">
        <f t="shared" si="61"/>
        <v>AL160_70|FS Item</v>
      </c>
    </row>
    <row r="3923" spans="1:5" x14ac:dyDescent="0.2">
      <c r="A3923" t="s">
        <v>1215</v>
      </c>
      <c r="B3923" t="s">
        <v>1216</v>
      </c>
      <c r="C3923" t="s">
        <v>423</v>
      </c>
      <c r="D3923" t="str">
        <f>VLOOKUP(C3923,'lookup table'!$A$2:$B$19,2,FALSE)</f>
        <v>ignore</v>
      </c>
      <c r="E3923" t="str">
        <f t="shared" si="61"/>
        <v>AL160_70|ignore</v>
      </c>
    </row>
    <row r="3924" spans="1:5" x14ac:dyDescent="0.2">
      <c r="A3924" t="s">
        <v>1215</v>
      </c>
      <c r="B3924" t="s">
        <v>1216</v>
      </c>
      <c r="C3924" t="s">
        <v>428</v>
      </c>
      <c r="D3924" t="str">
        <f>VLOOKUP(C3924,'lookup table'!$A$2:$B$19,2,FALSE)</f>
        <v>LoB</v>
      </c>
      <c r="E3924" t="str">
        <f t="shared" si="61"/>
        <v>AL160_70|LoB</v>
      </c>
    </row>
    <row r="3925" spans="1:5" x14ac:dyDescent="0.2">
      <c r="A3925" t="s">
        <v>1215</v>
      </c>
      <c r="B3925" t="s">
        <v>1216</v>
      </c>
      <c r="C3925" t="s">
        <v>438</v>
      </c>
      <c r="D3925" t="str">
        <f>VLOOKUP(C3925,'lookup table'!$A$2:$B$19,2,FALSE)</f>
        <v>ToM</v>
      </c>
      <c r="E3925" t="str">
        <f t="shared" si="61"/>
        <v>AL160_70|ToM</v>
      </c>
    </row>
    <row r="3926" spans="1:5" x14ac:dyDescent="0.2">
      <c r="A3926" t="s">
        <v>1215</v>
      </c>
      <c r="B3926" t="s">
        <v>1216</v>
      </c>
      <c r="C3926" t="s">
        <v>441</v>
      </c>
      <c r="D3926" t="str">
        <f>VLOOKUP(C3926,'lookup table'!$A$2:$B$19,2,FALSE)</f>
        <v>Partner Segment</v>
      </c>
      <c r="E3926" t="str">
        <f t="shared" si="61"/>
        <v>AL160_70|Partner Segment</v>
      </c>
    </row>
    <row r="3927" spans="1:5" x14ac:dyDescent="0.2">
      <c r="A3927" t="s">
        <v>1215</v>
      </c>
      <c r="B3927" t="s">
        <v>1216</v>
      </c>
      <c r="C3927" t="s">
        <v>442</v>
      </c>
      <c r="D3927" t="str">
        <f>VLOOKUP(C3927,'lookup table'!$A$2:$B$19,2,FALSE)</f>
        <v>Partner Unit</v>
      </c>
      <c r="E3927" t="str">
        <f t="shared" si="61"/>
        <v>AL160_70|Partner Unit</v>
      </c>
    </row>
    <row r="3928" spans="1:5" x14ac:dyDescent="0.2">
      <c r="A3928" t="s">
        <v>1215</v>
      </c>
      <c r="B3928" t="s">
        <v>1216</v>
      </c>
      <c r="C3928" t="s">
        <v>451</v>
      </c>
      <c r="D3928" t="str">
        <f>VLOOKUP(C3928,'lookup table'!$A$2:$B$19,2,FALSE)</f>
        <v>Segment</v>
      </c>
      <c r="E3928" t="str">
        <f t="shared" si="61"/>
        <v>AL160_70|Segment</v>
      </c>
    </row>
    <row r="3929" spans="1:5" x14ac:dyDescent="0.2">
      <c r="A3929" t="s">
        <v>1217</v>
      </c>
      <c r="B3929" t="s">
        <v>1218</v>
      </c>
      <c r="C3929" t="s">
        <v>20</v>
      </c>
      <c r="D3929" t="str">
        <f>VLOOKUP(C3929,'lookup table'!$A$2:$B$19,2,FALSE)</f>
        <v>AY</v>
      </c>
      <c r="E3929" t="str">
        <f t="shared" si="61"/>
        <v>AL161_17|AY</v>
      </c>
    </row>
    <row r="3930" spans="1:5" x14ac:dyDescent="0.2">
      <c r="A3930" t="s">
        <v>1217</v>
      </c>
      <c r="B3930" t="s">
        <v>1218</v>
      </c>
      <c r="C3930" t="s">
        <v>331</v>
      </c>
      <c r="D3930" t="str">
        <f>VLOOKUP(C3930,'lookup table'!$A$2:$B$19,2,FALSE)</f>
        <v>FS Item</v>
      </c>
      <c r="E3930" t="str">
        <f t="shared" si="61"/>
        <v>AL161_17|FS Item</v>
      </c>
    </row>
    <row r="3931" spans="1:5" x14ac:dyDescent="0.2">
      <c r="A3931" t="s">
        <v>1217</v>
      </c>
      <c r="B3931" t="s">
        <v>1218</v>
      </c>
      <c r="C3931" t="s">
        <v>428</v>
      </c>
      <c r="D3931" t="str">
        <f>VLOOKUP(C3931,'lookup table'!$A$2:$B$19,2,FALSE)</f>
        <v>LoB</v>
      </c>
      <c r="E3931" t="str">
        <f t="shared" si="61"/>
        <v>AL161_17|LoB</v>
      </c>
    </row>
    <row r="3932" spans="1:5" x14ac:dyDescent="0.2">
      <c r="A3932" t="s">
        <v>1217</v>
      </c>
      <c r="B3932" t="s">
        <v>1218</v>
      </c>
      <c r="C3932" t="s">
        <v>438</v>
      </c>
      <c r="D3932" t="str">
        <f>VLOOKUP(C3932,'lookup table'!$A$2:$B$19,2,FALSE)</f>
        <v>ToM</v>
      </c>
      <c r="E3932" t="str">
        <f t="shared" si="61"/>
        <v>AL161_17|ToM</v>
      </c>
    </row>
    <row r="3933" spans="1:5" x14ac:dyDescent="0.2">
      <c r="A3933" t="s">
        <v>1217</v>
      </c>
      <c r="B3933" t="s">
        <v>1218</v>
      </c>
      <c r="C3933" t="s">
        <v>441</v>
      </c>
      <c r="D3933" t="str">
        <f>VLOOKUP(C3933,'lookup table'!$A$2:$B$19,2,FALSE)</f>
        <v>Partner Segment</v>
      </c>
      <c r="E3933" t="str">
        <f t="shared" si="61"/>
        <v>AL161_17|Partner Segment</v>
      </c>
    </row>
    <row r="3934" spans="1:5" x14ac:dyDescent="0.2">
      <c r="A3934" t="s">
        <v>1217</v>
      </c>
      <c r="B3934" t="s">
        <v>1218</v>
      </c>
      <c r="C3934" t="s">
        <v>442</v>
      </c>
      <c r="D3934" t="str">
        <f>VLOOKUP(C3934,'lookup table'!$A$2:$B$19,2,FALSE)</f>
        <v>Partner Unit</v>
      </c>
      <c r="E3934" t="str">
        <f t="shared" si="61"/>
        <v>AL161_17|Partner Unit</v>
      </c>
    </row>
    <row r="3935" spans="1:5" x14ac:dyDescent="0.2">
      <c r="A3935" t="s">
        <v>1217</v>
      </c>
      <c r="B3935" t="s">
        <v>1218</v>
      </c>
      <c r="C3935" t="s">
        <v>451</v>
      </c>
      <c r="D3935" t="str">
        <f>VLOOKUP(C3935,'lookup table'!$A$2:$B$19,2,FALSE)</f>
        <v>Segment</v>
      </c>
      <c r="E3935" t="str">
        <f t="shared" si="61"/>
        <v>AL161_17|Segment</v>
      </c>
    </row>
    <row r="3936" spans="1:5" x14ac:dyDescent="0.2">
      <c r="A3936" t="s">
        <v>1219</v>
      </c>
      <c r="B3936" t="s">
        <v>1220</v>
      </c>
      <c r="C3936" t="s">
        <v>20</v>
      </c>
      <c r="D3936" t="str">
        <f>VLOOKUP(C3936,'lookup table'!$A$2:$B$19,2,FALSE)</f>
        <v>AY</v>
      </c>
      <c r="E3936" t="str">
        <f t="shared" si="61"/>
        <v>AL162_17|AY</v>
      </c>
    </row>
    <row r="3937" spans="1:5" x14ac:dyDescent="0.2">
      <c r="A3937" t="s">
        <v>1219</v>
      </c>
      <c r="B3937" t="s">
        <v>1220</v>
      </c>
      <c r="C3937" t="s">
        <v>331</v>
      </c>
      <c r="D3937" t="str">
        <f>VLOOKUP(C3937,'lookup table'!$A$2:$B$19,2,FALSE)</f>
        <v>FS Item</v>
      </c>
      <c r="E3937" t="str">
        <f t="shared" si="61"/>
        <v>AL162_17|FS Item</v>
      </c>
    </row>
    <row r="3938" spans="1:5" x14ac:dyDescent="0.2">
      <c r="A3938" t="s">
        <v>1219</v>
      </c>
      <c r="B3938" t="s">
        <v>1220</v>
      </c>
      <c r="C3938" t="s">
        <v>438</v>
      </c>
      <c r="D3938" t="str">
        <f>VLOOKUP(C3938,'lookup table'!$A$2:$B$19,2,FALSE)</f>
        <v>ToM</v>
      </c>
      <c r="E3938" t="str">
        <f t="shared" si="61"/>
        <v>AL162_17|ToM</v>
      </c>
    </row>
    <row r="3939" spans="1:5" x14ac:dyDescent="0.2">
      <c r="A3939" t="s">
        <v>1219</v>
      </c>
      <c r="B3939" t="s">
        <v>1220</v>
      </c>
      <c r="C3939" t="s">
        <v>441</v>
      </c>
      <c r="D3939" t="str">
        <f>VLOOKUP(C3939,'lookup table'!$A$2:$B$19,2,FALSE)</f>
        <v>Partner Segment</v>
      </c>
      <c r="E3939" t="str">
        <f t="shared" si="61"/>
        <v>AL162_17|Partner Segment</v>
      </c>
    </row>
    <row r="3940" spans="1:5" x14ac:dyDescent="0.2">
      <c r="A3940" t="s">
        <v>1219</v>
      </c>
      <c r="B3940" t="s">
        <v>1220</v>
      </c>
      <c r="C3940" t="s">
        <v>442</v>
      </c>
      <c r="D3940" t="str">
        <f>VLOOKUP(C3940,'lookup table'!$A$2:$B$19,2,FALSE)</f>
        <v>Partner Unit</v>
      </c>
      <c r="E3940" t="str">
        <f t="shared" si="61"/>
        <v>AL162_17|Partner Unit</v>
      </c>
    </row>
    <row r="3941" spans="1:5" x14ac:dyDescent="0.2">
      <c r="A3941" t="s">
        <v>1219</v>
      </c>
      <c r="B3941" t="s">
        <v>1220</v>
      </c>
      <c r="C3941" t="s">
        <v>451</v>
      </c>
      <c r="D3941" t="str">
        <f>VLOOKUP(C3941,'lookup table'!$A$2:$B$19,2,FALSE)</f>
        <v>Segment</v>
      </c>
      <c r="E3941" t="str">
        <f t="shared" si="61"/>
        <v>AL162_17|Segment</v>
      </c>
    </row>
    <row r="3942" spans="1:5" x14ac:dyDescent="0.2">
      <c r="A3942" t="s">
        <v>1221</v>
      </c>
      <c r="B3942" t="s">
        <v>1222</v>
      </c>
      <c r="C3942" t="s">
        <v>20</v>
      </c>
      <c r="D3942" t="str">
        <f>VLOOKUP(C3942,'lookup table'!$A$2:$B$19,2,FALSE)</f>
        <v>AY</v>
      </c>
      <c r="E3942" t="str">
        <f t="shared" si="61"/>
        <v>AL163_17|AY</v>
      </c>
    </row>
    <row r="3943" spans="1:5" x14ac:dyDescent="0.2">
      <c r="A3943" t="s">
        <v>1221</v>
      </c>
      <c r="B3943" t="s">
        <v>1222</v>
      </c>
      <c r="C3943" t="s">
        <v>331</v>
      </c>
      <c r="D3943" t="str">
        <f>VLOOKUP(C3943,'lookup table'!$A$2:$B$19,2,FALSE)</f>
        <v>FS Item</v>
      </c>
      <c r="E3943" t="str">
        <f t="shared" si="61"/>
        <v>AL163_17|FS Item</v>
      </c>
    </row>
    <row r="3944" spans="1:5" x14ac:dyDescent="0.2">
      <c r="A3944" t="s">
        <v>1221</v>
      </c>
      <c r="B3944" t="s">
        <v>1222</v>
      </c>
      <c r="C3944" t="s">
        <v>428</v>
      </c>
      <c r="D3944" t="str">
        <f>VLOOKUP(C3944,'lookup table'!$A$2:$B$19,2,FALSE)</f>
        <v>LoB</v>
      </c>
      <c r="E3944" t="str">
        <f t="shared" si="61"/>
        <v>AL163_17|LoB</v>
      </c>
    </row>
    <row r="3945" spans="1:5" x14ac:dyDescent="0.2">
      <c r="A3945" t="s">
        <v>1221</v>
      </c>
      <c r="B3945" t="s">
        <v>1222</v>
      </c>
      <c r="C3945" t="s">
        <v>438</v>
      </c>
      <c r="D3945" t="str">
        <f>VLOOKUP(C3945,'lookup table'!$A$2:$B$19,2,FALSE)</f>
        <v>ToM</v>
      </c>
      <c r="E3945" t="str">
        <f t="shared" si="61"/>
        <v>AL163_17|ToM</v>
      </c>
    </row>
    <row r="3946" spans="1:5" x14ac:dyDescent="0.2">
      <c r="A3946" t="s">
        <v>1221</v>
      </c>
      <c r="B3946" t="s">
        <v>1222</v>
      </c>
      <c r="C3946" t="s">
        <v>441</v>
      </c>
      <c r="D3946" t="str">
        <f>VLOOKUP(C3946,'lookup table'!$A$2:$B$19,2,FALSE)</f>
        <v>Partner Segment</v>
      </c>
      <c r="E3946" t="str">
        <f t="shared" si="61"/>
        <v>AL163_17|Partner Segment</v>
      </c>
    </row>
    <row r="3947" spans="1:5" x14ac:dyDescent="0.2">
      <c r="A3947" t="s">
        <v>1221</v>
      </c>
      <c r="B3947" t="s">
        <v>1222</v>
      </c>
      <c r="C3947" t="s">
        <v>442</v>
      </c>
      <c r="D3947" t="str">
        <f>VLOOKUP(C3947,'lookup table'!$A$2:$B$19,2,FALSE)</f>
        <v>Partner Unit</v>
      </c>
      <c r="E3947" t="str">
        <f t="shared" si="61"/>
        <v>AL163_17|Partner Unit</v>
      </c>
    </row>
    <row r="3948" spans="1:5" x14ac:dyDescent="0.2">
      <c r="A3948" t="s">
        <v>1221</v>
      </c>
      <c r="B3948" t="s">
        <v>1222</v>
      </c>
      <c r="C3948" t="s">
        <v>451</v>
      </c>
      <c r="D3948" t="str">
        <f>VLOOKUP(C3948,'lookup table'!$A$2:$B$19,2,FALSE)</f>
        <v>Segment</v>
      </c>
      <c r="E3948" t="str">
        <f t="shared" si="61"/>
        <v>AL163_17|Segment</v>
      </c>
    </row>
    <row r="3949" spans="1:5" x14ac:dyDescent="0.2">
      <c r="A3949" t="s">
        <v>1223</v>
      </c>
      <c r="B3949" t="s">
        <v>1224</v>
      </c>
      <c r="C3949" t="s">
        <v>331</v>
      </c>
      <c r="D3949" t="str">
        <f>VLOOKUP(C3949,'lookup table'!$A$2:$B$19,2,FALSE)</f>
        <v>FS Item</v>
      </c>
      <c r="E3949" t="str">
        <f t="shared" si="61"/>
        <v>AL166_00|FS Item</v>
      </c>
    </row>
    <row r="3950" spans="1:5" x14ac:dyDescent="0.2">
      <c r="A3950" t="s">
        <v>1223</v>
      </c>
      <c r="B3950" t="s">
        <v>1224</v>
      </c>
      <c r="C3950" t="s">
        <v>423</v>
      </c>
      <c r="D3950" t="str">
        <f>VLOOKUP(C3950,'lookup table'!$A$2:$B$19,2,FALSE)</f>
        <v>ignore</v>
      </c>
      <c r="E3950" t="str">
        <f t="shared" si="61"/>
        <v>AL166_00|ignore</v>
      </c>
    </row>
    <row r="3951" spans="1:5" x14ac:dyDescent="0.2">
      <c r="A3951" t="s">
        <v>1225</v>
      </c>
      <c r="B3951" t="s">
        <v>1226</v>
      </c>
      <c r="C3951" t="s">
        <v>20</v>
      </c>
      <c r="D3951" t="str">
        <f>VLOOKUP(C3951,'lookup table'!$A$2:$B$19,2,FALSE)</f>
        <v>AY</v>
      </c>
      <c r="E3951" t="str">
        <f t="shared" si="61"/>
        <v>AL180_17|AY</v>
      </c>
    </row>
    <row r="3952" spans="1:5" x14ac:dyDescent="0.2">
      <c r="A3952" t="s">
        <v>1225</v>
      </c>
      <c r="B3952" t="s">
        <v>1226</v>
      </c>
      <c r="C3952" t="s">
        <v>136</v>
      </c>
      <c r="D3952" t="str">
        <f>VLOOKUP(C3952,'lookup table'!$A$2:$B$19,2,FALSE)</f>
        <v>BBA Set</v>
      </c>
      <c r="E3952" t="str">
        <f t="shared" si="61"/>
        <v>AL180_17|BBA Set</v>
      </c>
    </row>
    <row r="3953" spans="1:5" x14ac:dyDescent="0.2">
      <c r="A3953" t="s">
        <v>1225</v>
      </c>
      <c r="B3953" t="s">
        <v>1226</v>
      </c>
      <c r="C3953" t="s">
        <v>331</v>
      </c>
      <c r="D3953" t="str">
        <f>VLOOKUP(C3953,'lookup table'!$A$2:$B$19,2,FALSE)</f>
        <v>FS Item</v>
      </c>
      <c r="E3953" t="str">
        <f t="shared" si="61"/>
        <v>AL180_17|FS Item</v>
      </c>
    </row>
    <row r="3954" spans="1:5" x14ac:dyDescent="0.2">
      <c r="A3954" t="s">
        <v>1225</v>
      </c>
      <c r="B3954" t="s">
        <v>1226</v>
      </c>
      <c r="C3954" t="s">
        <v>423</v>
      </c>
      <c r="D3954" t="str">
        <f>VLOOKUP(C3954,'lookup table'!$A$2:$B$19,2,FALSE)</f>
        <v>ignore</v>
      </c>
      <c r="E3954" t="str">
        <f t="shared" si="61"/>
        <v>AL180_17|ignore</v>
      </c>
    </row>
    <row r="3955" spans="1:5" x14ac:dyDescent="0.2">
      <c r="A3955" t="s">
        <v>1225</v>
      </c>
      <c r="B3955" t="s">
        <v>1226</v>
      </c>
      <c r="C3955" t="s">
        <v>428</v>
      </c>
      <c r="D3955" t="str">
        <f>VLOOKUP(C3955,'lookup table'!$A$2:$B$19,2,FALSE)</f>
        <v>LoB</v>
      </c>
      <c r="E3955" t="str">
        <f t="shared" si="61"/>
        <v>AL180_17|LoB</v>
      </c>
    </row>
    <row r="3956" spans="1:5" x14ac:dyDescent="0.2">
      <c r="A3956" t="s">
        <v>1225</v>
      </c>
      <c r="B3956" t="s">
        <v>1226</v>
      </c>
      <c r="C3956" t="s">
        <v>442</v>
      </c>
      <c r="D3956" t="str">
        <f>VLOOKUP(C3956,'lookup table'!$A$2:$B$19,2,FALSE)</f>
        <v>Partner Unit</v>
      </c>
      <c r="E3956" t="str">
        <f t="shared" si="61"/>
        <v>AL180_17|Partner Unit</v>
      </c>
    </row>
    <row r="3957" spans="1:5" x14ac:dyDescent="0.2">
      <c r="A3957" t="s">
        <v>1227</v>
      </c>
      <c r="B3957" t="s">
        <v>406</v>
      </c>
      <c r="C3957" t="s">
        <v>331</v>
      </c>
      <c r="D3957" t="str">
        <f>VLOOKUP(C3957,'lookup table'!$A$2:$B$19,2,FALSE)</f>
        <v>FS Item</v>
      </c>
      <c r="E3957" t="str">
        <f t="shared" si="61"/>
        <v>AL330_17|FS Item</v>
      </c>
    </row>
    <row r="3958" spans="1:5" x14ac:dyDescent="0.2">
      <c r="A3958" t="s">
        <v>1227</v>
      </c>
      <c r="B3958" t="s">
        <v>406</v>
      </c>
      <c r="C3958" t="s">
        <v>423</v>
      </c>
      <c r="D3958" t="str">
        <f>VLOOKUP(C3958,'lookup table'!$A$2:$B$19,2,FALSE)</f>
        <v>ignore</v>
      </c>
      <c r="E3958" t="str">
        <f t="shared" si="61"/>
        <v>AL330_17|ignore</v>
      </c>
    </row>
    <row r="3959" spans="1:5" x14ac:dyDescent="0.2">
      <c r="A3959" t="s">
        <v>1227</v>
      </c>
      <c r="B3959" t="s">
        <v>406</v>
      </c>
      <c r="C3959" t="s">
        <v>438</v>
      </c>
      <c r="D3959" t="str">
        <f>VLOOKUP(C3959,'lookup table'!$A$2:$B$19,2,FALSE)</f>
        <v>ToM</v>
      </c>
      <c r="E3959" t="str">
        <f t="shared" si="61"/>
        <v>AL330_17|ToM</v>
      </c>
    </row>
    <row r="3960" spans="1:5" x14ac:dyDescent="0.2">
      <c r="A3960" t="s">
        <v>1228</v>
      </c>
      <c r="B3960" t="s">
        <v>1229</v>
      </c>
      <c r="C3960" t="s">
        <v>331</v>
      </c>
      <c r="D3960" t="str">
        <f>VLOOKUP(C3960,'lookup table'!$A$2:$B$19,2,FALSE)</f>
        <v>FS Item</v>
      </c>
      <c r="E3960" t="str">
        <f t="shared" si="61"/>
        <v>AL601_60|FS Item</v>
      </c>
    </row>
    <row r="3961" spans="1:5" x14ac:dyDescent="0.2">
      <c r="A3961" t="s">
        <v>1228</v>
      </c>
      <c r="B3961" t="s">
        <v>1229</v>
      </c>
      <c r="C3961" t="s">
        <v>423</v>
      </c>
      <c r="D3961" t="str">
        <f>VLOOKUP(C3961,'lookup table'!$A$2:$B$19,2,FALSE)</f>
        <v>ignore</v>
      </c>
      <c r="E3961" t="str">
        <f t="shared" si="61"/>
        <v>AL601_60|ignore</v>
      </c>
    </row>
    <row r="3962" spans="1:5" x14ac:dyDescent="0.2">
      <c r="A3962" t="s">
        <v>1230</v>
      </c>
      <c r="B3962" t="s">
        <v>1231</v>
      </c>
      <c r="C3962" t="s">
        <v>331</v>
      </c>
      <c r="D3962" t="str">
        <f>VLOOKUP(C3962,'lookup table'!$A$2:$B$19,2,FALSE)</f>
        <v>FS Item</v>
      </c>
      <c r="E3962" t="str">
        <f t="shared" si="61"/>
        <v>AL602_60|FS Item</v>
      </c>
    </row>
    <row r="3963" spans="1:5" x14ac:dyDescent="0.2">
      <c r="A3963" t="s">
        <v>1230</v>
      </c>
      <c r="B3963" t="s">
        <v>1231</v>
      </c>
      <c r="C3963" t="s">
        <v>423</v>
      </c>
      <c r="D3963" t="str">
        <f>VLOOKUP(C3963,'lookup table'!$A$2:$B$19,2,FALSE)</f>
        <v>ignore</v>
      </c>
      <c r="E3963" t="str">
        <f t="shared" si="61"/>
        <v>AL602_60|ignore</v>
      </c>
    </row>
    <row r="3964" spans="1:5" x14ac:dyDescent="0.2">
      <c r="A3964" t="s">
        <v>1232</v>
      </c>
      <c r="B3964" t="s">
        <v>1233</v>
      </c>
      <c r="C3964" t="s">
        <v>20</v>
      </c>
      <c r="D3964" t="str">
        <f>VLOOKUP(C3964,'lookup table'!$A$2:$B$19,2,FALSE)</f>
        <v>AY</v>
      </c>
      <c r="E3964" t="str">
        <f t="shared" si="61"/>
        <v>AL702_00|AY</v>
      </c>
    </row>
    <row r="3965" spans="1:5" x14ac:dyDescent="0.2">
      <c r="A3965" t="s">
        <v>1232</v>
      </c>
      <c r="B3965" t="s">
        <v>1233</v>
      </c>
      <c r="C3965" t="s">
        <v>331</v>
      </c>
      <c r="D3965" t="str">
        <f>VLOOKUP(C3965,'lookup table'!$A$2:$B$19,2,FALSE)</f>
        <v>FS Item</v>
      </c>
      <c r="E3965" t="str">
        <f t="shared" si="61"/>
        <v>AL702_00|FS Item</v>
      </c>
    </row>
    <row r="3966" spans="1:5" x14ac:dyDescent="0.2">
      <c r="A3966" t="s">
        <v>1232</v>
      </c>
      <c r="B3966" t="s">
        <v>1233</v>
      </c>
      <c r="C3966" t="s">
        <v>423</v>
      </c>
      <c r="D3966" t="str">
        <f>VLOOKUP(C3966,'lookup table'!$A$2:$B$19,2,FALSE)</f>
        <v>ignore</v>
      </c>
      <c r="E3966" t="str">
        <f t="shared" si="61"/>
        <v>AL702_00|ignore</v>
      </c>
    </row>
    <row r="3967" spans="1:5" x14ac:dyDescent="0.2">
      <c r="A3967" t="s">
        <v>1232</v>
      </c>
      <c r="B3967" t="s">
        <v>1233</v>
      </c>
      <c r="C3967" t="s">
        <v>428</v>
      </c>
      <c r="D3967" t="str">
        <f>VLOOKUP(C3967,'lookup table'!$A$2:$B$19,2,FALSE)</f>
        <v>LoB</v>
      </c>
      <c r="E3967" t="str">
        <f t="shared" si="61"/>
        <v>AL702_00|LoB</v>
      </c>
    </row>
    <row r="3968" spans="1:5" x14ac:dyDescent="0.2">
      <c r="A3968" t="s">
        <v>1232</v>
      </c>
      <c r="B3968" t="s">
        <v>1233</v>
      </c>
      <c r="C3968" t="s">
        <v>441</v>
      </c>
      <c r="D3968" t="str">
        <f>VLOOKUP(C3968,'lookup table'!$A$2:$B$19,2,FALSE)</f>
        <v>Partner Segment</v>
      </c>
      <c r="E3968" t="str">
        <f t="shared" si="61"/>
        <v>AL702_00|Partner Segment</v>
      </c>
    </row>
    <row r="3969" spans="1:5" x14ac:dyDescent="0.2">
      <c r="A3969" t="s">
        <v>1232</v>
      </c>
      <c r="B3969" t="s">
        <v>1233</v>
      </c>
      <c r="C3969" t="s">
        <v>442</v>
      </c>
      <c r="D3969" t="str">
        <f>VLOOKUP(C3969,'lookup table'!$A$2:$B$19,2,FALSE)</f>
        <v>Partner Unit</v>
      </c>
      <c r="E3969" t="str">
        <f t="shared" si="61"/>
        <v>AL702_00|Partner Unit</v>
      </c>
    </row>
    <row r="3970" spans="1:5" x14ac:dyDescent="0.2">
      <c r="A3970" t="s">
        <v>1234</v>
      </c>
      <c r="B3970" t="s">
        <v>1235</v>
      </c>
      <c r="C3970" t="s">
        <v>331</v>
      </c>
      <c r="D3970" t="str">
        <f>VLOOKUP(C3970,'lookup table'!$A$2:$B$19,2,FALSE)</f>
        <v>FS Item</v>
      </c>
      <c r="E3970" t="str">
        <f t="shared" si="61"/>
        <v>AL800_00|FS Item</v>
      </c>
    </row>
    <row r="3971" spans="1:5" x14ac:dyDescent="0.2">
      <c r="A3971" t="s">
        <v>1234</v>
      </c>
      <c r="B3971" t="s">
        <v>1235</v>
      </c>
      <c r="C3971" t="s">
        <v>441</v>
      </c>
      <c r="D3971" t="str">
        <f>VLOOKUP(C3971,'lookup table'!$A$2:$B$19,2,FALSE)</f>
        <v>Partner Segment</v>
      </c>
      <c r="E3971" t="str">
        <f t="shared" ref="E3971:E4034" si="62">IF(ISNA(D3971),"",IF(A3971="","",A3971) &amp; "|" &amp; D3971)</f>
        <v>AL800_00|Partner Segment</v>
      </c>
    </row>
    <row r="3972" spans="1:5" x14ac:dyDescent="0.2">
      <c r="A3972" t="s">
        <v>1234</v>
      </c>
      <c r="B3972" t="s">
        <v>1235</v>
      </c>
      <c r="C3972" t="s">
        <v>442</v>
      </c>
      <c r="D3972" t="str">
        <f>VLOOKUP(C3972,'lookup table'!$A$2:$B$19,2,FALSE)</f>
        <v>Partner Unit</v>
      </c>
      <c r="E3972" t="str">
        <f t="shared" si="62"/>
        <v>AL800_00|Partner Unit</v>
      </c>
    </row>
    <row r="3973" spans="1:5" x14ac:dyDescent="0.2">
      <c r="A3973" t="s">
        <v>1236</v>
      </c>
      <c r="B3973" t="s">
        <v>1237</v>
      </c>
      <c r="C3973" t="s">
        <v>331</v>
      </c>
      <c r="D3973" t="str">
        <f>VLOOKUP(C3973,'lookup table'!$A$2:$B$19,2,FALSE)</f>
        <v>FS Item</v>
      </c>
      <c r="E3973" t="str">
        <f t="shared" si="62"/>
        <v>AL801_00|FS Item</v>
      </c>
    </row>
    <row r="3974" spans="1:5" x14ac:dyDescent="0.2">
      <c r="A3974" t="s">
        <v>1236</v>
      </c>
      <c r="B3974" t="s">
        <v>1237</v>
      </c>
      <c r="C3974" t="s">
        <v>438</v>
      </c>
      <c r="D3974" t="str">
        <f>VLOOKUP(C3974,'lookup table'!$A$2:$B$19,2,FALSE)</f>
        <v>ToM</v>
      </c>
      <c r="E3974" t="str">
        <f t="shared" si="62"/>
        <v>AL801_00|ToM</v>
      </c>
    </row>
    <row r="3975" spans="1:5" x14ac:dyDescent="0.2">
      <c r="A3975" t="s">
        <v>1236</v>
      </c>
      <c r="B3975" t="s">
        <v>1237</v>
      </c>
      <c r="C3975" t="s">
        <v>441</v>
      </c>
      <c r="D3975" t="str">
        <f>VLOOKUP(C3975,'lookup table'!$A$2:$B$19,2,FALSE)</f>
        <v>Partner Segment</v>
      </c>
      <c r="E3975" t="str">
        <f t="shared" si="62"/>
        <v>AL801_00|Partner Segment</v>
      </c>
    </row>
    <row r="3976" spans="1:5" x14ac:dyDescent="0.2">
      <c r="A3976" t="s">
        <v>1236</v>
      </c>
      <c r="B3976" t="s">
        <v>1237</v>
      </c>
      <c r="C3976" t="s">
        <v>442</v>
      </c>
      <c r="D3976" t="str">
        <f>VLOOKUP(C3976,'lookup table'!$A$2:$B$19,2,FALSE)</f>
        <v>Partner Unit</v>
      </c>
      <c r="E3976" t="str">
        <f t="shared" si="62"/>
        <v>AL801_00|Partner Unit</v>
      </c>
    </row>
    <row r="3977" spans="1:5" x14ac:dyDescent="0.2">
      <c r="A3977" t="s">
        <v>1238</v>
      </c>
      <c r="B3977" t="s">
        <v>1239</v>
      </c>
      <c r="C3977" t="s">
        <v>20</v>
      </c>
      <c r="D3977" t="str">
        <f>VLOOKUP(C3977,'lookup table'!$A$2:$B$19,2,FALSE)</f>
        <v>AY</v>
      </c>
      <c r="E3977" t="str">
        <f t="shared" si="62"/>
        <v>AL802_00|AY</v>
      </c>
    </row>
    <row r="3978" spans="1:5" x14ac:dyDescent="0.2">
      <c r="A3978" t="s">
        <v>1238</v>
      </c>
      <c r="B3978" t="s">
        <v>1239</v>
      </c>
      <c r="C3978" t="s">
        <v>331</v>
      </c>
      <c r="D3978" t="str">
        <f>VLOOKUP(C3978,'lookup table'!$A$2:$B$19,2,FALSE)</f>
        <v>FS Item</v>
      </c>
      <c r="E3978" t="str">
        <f t="shared" si="62"/>
        <v>AL802_00|FS Item</v>
      </c>
    </row>
    <row r="3979" spans="1:5" x14ac:dyDescent="0.2">
      <c r="A3979" t="s">
        <v>1238</v>
      </c>
      <c r="B3979" t="s">
        <v>1239</v>
      </c>
      <c r="C3979" t="s">
        <v>423</v>
      </c>
      <c r="D3979" t="str">
        <f>VLOOKUP(C3979,'lookup table'!$A$2:$B$19,2,FALSE)</f>
        <v>ignore</v>
      </c>
      <c r="E3979" t="str">
        <f t="shared" si="62"/>
        <v>AL802_00|ignore</v>
      </c>
    </row>
    <row r="3980" spans="1:5" x14ac:dyDescent="0.2">
      <c r="A3980" t="s">
        <v>1238</v>
      </c>
      <c r="B3980" t="s">
        <v>1239</v>
      </c>
      <c r="C3980" t="s">
        <v>428</v>
      </c>
      <c r="D3980" t="str">
        <f>VLOOKUP(C3980,'lookup table'!$A$2:$B$19,2,FALSE)</f>
        <v>LoB</v>
      </c>
      <c r="E3980" t="str">
        <f t="shared" si="62"/>
        <v>AL802_00|LoB</v>
      </c>
    </row>
    <row r="3981" spans="1:5" x14ac:dyDescent="0.2">
      <c r="A3981" t="s">
        <v>1238</v>
      </c>
      <c r="B3981" t="s">
        <v>1239</v>
      </c>
      <c r="C3981" t="s">
        <v>442</v>
      </c>
      <c r="D3981" t="str">
        <f>VLOOKUP(C3981,'lookup table'!$A$2:$B$19,2,FALSE)</f>
        <v>Partner Unit</v>
      </c>
      <c r="E3981" t="str">
        <f t="shared" si="62"/>
        <v>AL802_00|Partner Unit</v>
      </c>
    </row>
    <row r="3982" spans="1:5" x14ac:dyDescent="0.2">
      <c r="A3982" t="s">
        <v>1238</v>
      </c>
      <c r="B3982" t="s">
        <v>1239</v>
      </c>
      <c r="C3982" t="s">
        <v>451</v>
      </c>
      <c r="D3982" t="str">
        <f>VLOOKUP(C3982,'lookup table'!$A$2:$B$19,2,FALSE)</f>
        <v>Segment</v>
      </c>
      <c r="E3982" t="str">
        <f t="shared" si="62"/>
        <v>AL802_00|Segment</v>
      </c>
    </row>
    <row r="3983" spans="1:5" x14ac:dyDescent="0.2">
      <c r="A3983" t="s">
        <v>1240</v>
      </c>
      <c r="B3983" t="s">
        <v>1241</v>
      </c>
      <c r="C3983" t="s">
        <v>331</v>
      </c>
      <c r="D3983" t="str">
        <f>VLOOKUP(C3983,'lookup table'!$A$2:$B$19,2,FALSE)</f>
        <v>FS Item</v>
      </c>
      <c r="E3983" t="str">
        <f t="shared" si="62"/>
        <v>AL852_00|FS Item</v>
      </c>
    </row>
    <row r="3984" spans="1:5" x14ac:dyDescent="0.2">
      <c r="A3984" t="s">
        <v>1240</v>
      </c>
      <c r="B3984" t="s">
        <v>1241</v>
      </c>
      <c r="C3984" t="s">
        <v>423</v>
      </c>
      <c r="D3984" t="str">
        <f>VLOOKUP(C3984,'lookup table'!$A$2:$B$19,2,FALSE)</f>
        <v>ignore</v>
      </c>
      <c r="E3984" t="str">
        <f t="shared" si="62"/>
        <v>AL852_00|ignore</v>
      </c>
    </row>
    <row r="3985" spans="1:5" x14ac:dyDescent="0.2">
      <c r="A3985" t="s">
        <v>1242</v>
      </c>
      <c r="B3985" t="s">
        <v>1243</v>
      </c>
      <c r="C3985" t="s">
        <v>331</v>
      </c>
      <c r="D3985" t="str">
        <f>VLOOKUP(C3985,'lookup table'!$A$2:$B$19,2,FALSE)</f>
        <v>FS Item</v>
      </c>
      <c r="E3985" t="str">
        <f t="shared" si="62"/>
        <v>AL853_00|FS Item</v>
      </c>
    </row>
    <row r="3986" spans="1:5" x14ac:dyDescent="0.2">
      <c r="A3986" t="s">
        <v>1242</v>
      </c>
      <c r="B3986" t="s">
        <v>1243</v>
      </c>
      <c r="C3986" t="s">
        <v>423</v>
      </c>
      <c r="D3986" t="str">
        <f>VLOOKUP(C3986,'lookup table'!$A$2:$B$19,2,FALSE)</f>
        <v>ignore</v>
      </c>
      <c r="E3986" t="str">
        <f t="shared" si="62"/>
        <v>AL853_00|ignore</v>
      </c>
    </row>
    <row r="3987" spans="1:5" x14ac:dyDescent="0.2">
      <c r="A3987" t="s">
        <v>1242</v>
      </c>
      <c r="B3987" t="s">
        <v>1243</v>
      </c>
      <c r="C3987" t="s">
        <v>426</v>
      </c>
      <c r="D3987" t="str">
        <f>VLOOKUP(C3987,'lookup table'!$A$2:$B$19,2,FALSE)</f>
        <v>Investee Unit</v>
      </c>
      <c r="E3987" t="str">
        <f t="shared" si="62"/>
        <v>AL853_00|Investee Unit</v>
      </c>
    </row>
    <row r="3988" spans="1:5" x14ac:dyDescent="0.2">
      <c r="A3988" t="s">
        <v>1242</v>
      </c>
      <c r="B3988" t="s">
        <v>1243</v>
      </c>
      <c r="C3988" t="s">
        <v>442</v>
      </c>
      <c r="D3988" t="str">
        <f>VLOOKUP(C3988,'lookup table'!$A$2:$B$19,2,FALSE)</f>
        <v>Partner Unit</v>
      </c>
      <c r="E3988" t="str">
        <f t="shared" si="62"/>
        <v>AL853_00|Partner Unit</v>
      </c>
    </row>
    <row r="3989" spans="1:5" x14ac:dyDescent="0.2">
      <c r="A3989" t="s">
        <v>1244</v>
      </c>
      <c r="B3989" t="s">
        <v>1245</v>
      </c>
      <c r="C3989" t="s">
        <v>331</v>
      </c>
      <c r="D3989" t="str">
        <f>VLOOKUP(C3989,'lookup table'!$A$2:$B$19,2,FALSE)</f>
        <v>FS Item</v>
      </c>
      <c r="E3989" t="str">
        <f t="shared" si="62"/>
        <v>AL854_00|FS Item</v>
      </c>
    </row>
    <row r="3990" spans="1:5" x14ac:dyDescent="0.2">
      <c r="A3990" t="s">
        <v>1244</v>
      </c>
      <c r="B3990" t="s">
        <v>1245</v>
      </c>
      <c r="C3990" t="s">
        <v>423</v>
      </c>
      <c r="D3990" t="str">
        <f>VLOOKUP(C3990,'lookup table'!$A$2:$B$19,2,FALSE)</f>
        <v>ignore</v>
      </c>
      <c r="E3990" t="str">
        <f t="shared" si="62"/>
        <v>AL854_00|ignore</v>
      </c>
    </row>
    <row r="3991" spans="1:5" x14ac:dyDescent="0.2">
      <c r="A3991" t="s">
        <v>1244</v>
      </c>
      <c r="B3991" t="s">
        <v>1245</v>
      </c>
      <c r="C3991" t="s">
        <v>426</v>
      </c>
      <c r="D3991" t="str">
        <f>VLOOKUP(C3991,'lookup table'!$A$2:$B$19,2,FALSE)</f>
        <v>Investee Unit</v>
      </c>
      <c r="E3991" t="str">
        <f t="shared" si="62"/>
        <v>AL854_00|Investee Unit</v>
      </c>
    </row>
    <row r="3992" spans="1:5" x14ac:dyDescent="0.2">
      <c r="A3992" t="s">
        <v>1244</v>
      </c>
      <c r="B3992" t="s">
        <v>1245</v>
      </c>
      <c r="C3992" t="s">
        <v>442</v>
      </c>
      <c r="D3992" t="str">
        <f>VLOOKUP(C3992,'lookup table'!$A$2:$B$19,2,FALSE)</f>
        <v>Partner Unit</v>
      </c>
      <c r="E3992" t="str">
        <f t="shared" si="62"/>
        <v>AL854_00|Partner Unit</v>
      </c>
    </row>
    <row r="3993" spans="1:5" x14ac:dyDescent="0.2">
      <c r="A3993" t="s">
        <v>1246</v>
      </c>
      <c r="B3993" t="s">
        <v>1247</v>
      </c>
      <c r="C3993" t="s">
        <v>331</v>
      </c>
      <c r="D3993" t="str">
        <f>VLOOKUP(C3993,'lookup table'!$A$2:$B$19,2,FALSE)</f>
        <v>FS Item</v>
      </c>
      <c r="E3993" t="str">
        <f t="shared" si="62"/>
        <v>AL856_00|FS Item</v>
      </c>
    </row>
    <row r="3994" spans="1:5" x14ac:dyDescent="0.2">
      <c r="A3994" t="s">
        <v>1246</v>
      </c>
      <c r="B3994" t="s">
        <v>1247</v>
      </c>
      <c r="C3994" t="s">
        <v>441</v>
      </c>
      <c r="D3994" t="str">
        <f>VLOOKUP(C3994,'lookup table'!$A$2:$B$19,2,FALSE)</f>
        <v>Partner Segment</v>
      </c>
      <c r="E3994" t="str">
        <f t="shared" si="62"/>
        <v>AL856_00|Partner Segment</v>
      </c>
    </row>
    <row r="3995" spans="1:5" x14ac:dyDescent="0.2">
      <c r="A3995" t="s">
        <v>1246</v>
      </c>
      <c r="B3995" t="s">
        <v>1247</v>
      </c>
      <c r="C3995" t="s">
        <v>442</v>
      </c>
      <c r="D3995" t="str">
        <f>VLOOKUP(C3995,'lookup table'!$A$2:$B$19,2,FALSE)</f>
        <v>Partner Unit</v>
      </c>
      <c r="E3995" t="str">
        <f t="shared" si="62"/>
        <v>AL856_00|Partner Unit</v>
      </c>
    </row>
    <row r="3996" spans="1:5" x14ac:dyDescent="0.2">
      <c r="A3996" t="s">
        <v>1248</v>
      </c>
      <c r="B3996" t="s">
        <v>1249</v>
      </c>
      <c r="C3996" t="s">
        <v>136</v>
      </c>
      <c r="D3996" t="str">
        <f>VLOOKUP(C3996,'lookup table'!$A$2:$B$19,2,FALSE)</f>
        <v>BBA Set</v>
      </c>
      <c r="E3996" t="str">
        <f t="shared" si="62"/>
        <v>ALZF7_00|BBA Set</v>
      </c>
    </row>
    <row r="3997" spans="1:5" x14ac:dyDescent="0.2">
      <c r="A3997" t="s">
        <v>1248</v>
      </c>
      <c r="B3997" t="s">
        <v>1249</v>
      </c>
      <c r="C3997" t="s">
        <v>331</v>
      </c>
      <c r="D3997" t="str">
        <f>VLOOKUP(C3997,'lookup table'!$A$2:$B$19,2,FALSE)</f>
        <v>FS Item</v>
      </c>
      <c r="E3997" t="str">
        <f t="shared" si="62"/>
        <v>ALZF7_00|FS Item</v>
      </c>
    </row>
    <row r="3998" spans="1:5" x14ac:dyDescent="0.2">
      <c r="A3998" t="s">
        <v>1248</v>
      </c>
      <c r="B3998" t="s">
        <v>1249</v>
      </c>
      <c r="C3998" t="s">
        <v>423</v>
      </c>
      <c r="D3998" t="str">
        <f>VLOOKUP(C3998,'lookup table'!$A$2:$B$19,2,FALSE)</f>
        <v>ignore</v>
      </c>
      <c r="E3998" t="str">
        <f t="shared" si="62"/>
        <v>ALZF7_00|ignore</v>
      </c>
    </row>
    <row r="3999" spans="1:5" x14ac:dyDescent="0.2">
      <c r="A3999" t="s">
        <v>1248</v>
      </c>
      <c r="B3999" t="s">
        <v>1249</v>
      </c>
      <c r="C3999" t="s">
        <v>428</v>
      </c>
      <c r="D3999" t="str">
        <f>VLOOKUP(C3999,'lookup table'!$A$2:$B$19,2,FALSE)</f>
        <v>LoB</v>
      </c>
      <c r="E3999" t="str">
        <f t="shared" si="62"/>
        <v>ALZF7_00|LoB</v>
      </c>
    </row>
    <row r="4000" spans="1:5" x14ac:dyDescent="0.2">
      <c r="A4000" t="s">
        <v>1248</v>
      </c>
      <c r="B4000" t="s">
        <v>1249</v>
      </c>
      <c r="C4000" t="s">
        <v>438</v>
      </c>
      <c r="D4000" t="str">
        <f>VLOOKUP(C4000,'lookup table'!$A$2:$B$19,2,FALSE)</f>
        <v>ToM</v>
      </c>
      <c r="E4000" t="str">
        <f t="shared" si="62"/>
        <v>ALZF7_00|ToM</v>
      </c>
    </row>
    <row r="4001" spans="1:5" x14ac:dyDescent="0.2">
      <c r="A4001" t="s">
        <v>1248</v>
      </c>
      <c r="B4001" t="s">
        <v>1249</v>
      </c>
      <c r="C4001" t="s">
        <v>441</v>
      </c>
      <c r="D4001" t="str">
        <f>VLOOKUP(C4001,'lookup table'!$A$2:$B$19,2,FALSE)</f>
        <v>Partner Segment</v>
      </c>
      <c r="E4001" t="str">
        <f t="shared" si="62"/>
        <v>ALZF7_00|Partner Segment</v>
      </c>
    </row>
    <row r="4002" spans="1:5" x14ac:dyDescent="0.2">
      <c r="A4002" t="s">
        <v>1248</v>
      </c>
      <c r="B4002" t="s">
        <v>1249</v>
      </c>
      <c r="C4002" t="s">
        <v>442</v>
      </c>
      <c r="D4002" t="str">
        <f>VLOOKUP(C4002,'lookup table'!$A$2:$B$19,2,FALSE)</f>
        <v>Partner Unit</v>
      </c>
      <c r="E4002" t="str">
        <f t="shared" si="62"/>
        <v>ALZF7_00|Partner Unit</v>
      </c>
    </row>
    <row r="4003" spans="1:5" x14ac:dyDescent="0.2">
      <c r="A4003" t="s">
        <v>1248</v>
      </c>
      <c r="B4003" t="s">
        <v>1249</v>
      </c>
      <c r="C4003" t="s">
        <v>451</v>
      </c>
      <c r="D4003" t="str">
        <f>VLOOKUP(C4003,'lookup table'!$A$2:$B$19,2,FALSE)</f>
        <v>Segment</v>
      </c>
      <c r="E4003" t="str">
        <f t="shared" si="62"/>
        <v>ALZF7_00|Segment</v>
      </c>
    </row>
    <row r="4004" spans="1:5" x14ac:dyDescent="0.2">
      <c r="A4004" t="s">
        <v>1250</v>
      </c>
      <c r="B4004" t="s">
        <v>1251</v>
      </c>
      <c r="C4004" t="s">
        <v>438</v>
      </c>
      <c r="D4004" t="str">
        <f>VLOOKUP(C4004,'lookup table'!$A$2:$B$19,2,FALSE)</f>
        <v>ToM</v>
      </c>
      <c r="E4004" t="str">
        <f t="shared" si="62"/>
        <v>AS003_17|ToM</v>
      </c>
    </row>
    <row r="4005" spans="1:5" x14ac:dyDescent="0.2">
      <c r="A4005" t="s">
        <v>1252</v>
      </c>
      <c r="B4005" t="s">
        <v>1253</v>
      </c>
      <c r="C4005" t="s">
        <v>136</v>
      </c>
      <c r="D4005" t="str">
        <f>VLOOKUP(C4005,'lookup table'!$A$2:$B$19,2,FALSE)</f>
        <v>BBA Set</v>
      </c>
      <c r="E4005" t="str">
        <f t="shared" si="62"/>
        <v>AS004_17|BBA Set</v>
      </c>
    </row>
    <row r="4006" spans="1:5" x14ac:dyDescent="0.2">
      <c r="A4006" t="s">
        <v>1254</v>
      </c>
      <c r="B4006" t="s">
        <v>1255</v>
      </c>
      <c r="C4006" t="s">
        <v>426</v>
      </c>
      <c r="D4006" t="str">
        <f>VLOOKUP(C4006,'lookup table'!$A$2:$B$19,2,FALSE)</f>
        <v>Investee Unit</v>
      </c>
      <c r="E4006" t="str">
        <f t="shared" si="62"/>
        <v>AS075_00|Investee Unit</v>
      </c>
    </row>
    <row r="4007" spans="1:5" x14ac:dyDescent="0.2">
      <c r="A4007" t="s">
        <v>1256</v>
      </c>
      <c r="B4007" t="s">
        <v>1257</v>
      </c>
      <c r="C4007" t="s">
        <v>426</v>
      </c>
      <c r="D4007" t="str">
        <f>VLOOKUP(C4007,'lookup table'!$A$2:$B$19,2,FALSE)</f>
        <v>Investee Unit</v>
      </c>
      <c r="E4007" t="str">
        <f t="shared" si="62"/>
        <v>AS075_10|Investee Unit</v>
      </c>
    </row>
    <row r="4008" spans="1:5" x14ac:dyDescent="0.2">
      <c r="A4008" t="s">
        <v>1258</v>
      </c>
      <c r="B4008" t="s">
        <v>1259</v>
      </c>
      <c r="C4008" t="s">
        <v>442</v>
      </c>
      <c r="D4008" t="str">
        <f>VLOOKUP(C4008,'lookup table'!$A$2:$B$19,2,FALSE)</f>
        <v>Partner Unit</v>
      </c>
      <c r="E4008" t="str">
        <f t="shared" si="62"/>
        <v>AS202_00|Partner Unit</v>
      </c>
    </row>
    <row r="4009" spans="1:5" x14ac:dyDescent="0.2">
      <c r="A4009" t="s">
        <v>1260</v>
      </c>
      <c r="B4009" t="s">
        <v>1261</v>
      </c>
      <c r="C4009" t="s">
        <v>426</v>
      </c>
      <c r="D4009" t="str">
        <f>VLOOKUP(C4009,'lookup table'!$A$2:$B$19,2,FALSE)</f>
        <v>Investee Unit</v>
      </c>
      <c r="E4009" t="str">
        <f t="shared" si="62"/>
        <v>AS217_00|Investee Unit</v>
      </c>
    </row>
    <row r="4010" spans="1:5" x14ac:dyDescent="0.2">
      <c r="A4010" t="s">
        <v>1262</v>
      </c>
      <c r="B4010" t="s">
        <v>1263</v>
      </c>
      <c r="C4010" t="s">
        <v>331</v>
      </c>
      <c r="D4010" t="str">
        <f>VLOOKUP(C4010,'lookup table'!$A$2:$B$19,2,FALSE)</f>
        <v>FS Item</v>
      </c>
      <c r="E4010" t="str">
        <f t="shared" si="62"/>
        <v>AS219_17|FS Item</v>
      </c>
    </row>
    <row r="4011" spans="1:5" x14ac:dyDescent="0.2">
      <c r="A4011" t="s">
        <v>1264</v>
      </c>
      <c r="B4011" t="s">
        <v>1265</v>
      </c>
      <c r="C4011" t="s">
        <v>331</v>
      </c>
      <c r="D4011" t="str">
        <f>VLOOKUP(C4011,'lookup table'!$A$2:$B$19,2,FALSE)</f>
        <v>FS Item</v>
      </c>
      <c r="E4011" t="str">
        <f t="shared" si="62"/>
        <v>AS221_17|FS Item</v>
      </c>
    </row>
    <row r="4012" spans="1:5" x14ac:dyDescent="0.2">
      <c r="A4012" t="s">
        <v>1266</v>
      </c>
      <c r="B4012" t="s">
        <v>1267</v>
      </c>
      <c r="C4012" t="s">
        <v>426</v>
      </c>
      <c r="D4012" t="str">
        <f>VLOOKUP(C4012,'lookup table'!$A$2:$B$19,2,FALSE)</f>
        <v>Investee Unit</v>
      </c>
      <c r="E4012" t="str">
        <f t="shared" si="62"/>
        <v>AS601_00|Investee Unit</v>
      </c>
    </row>
    <row r="4013" spans="1:5" x14ac:dyDescent="0.2">
      <c r="A4013" t="s">
        <v>1268</v>
      </c>
      <c r="B4013" t="s">
        <v>1269</v>
      </c>
      <c r="C4013" t="s">
        <v>426</v>
      </c>
      <c r="D4013" t="str">
        <f>VLOOKUP(C4013,'lookup table'!$A$2:$B$19,2,FALSE)</f>
        <v>Investee Unit</v>
      </c>
      <c r="E4013" t="str">
        <f t="shared" si="62"/>
        <v>AS602_00|Investee Unit</v>
      </c>
    </row>
    <row r="4014" spans="1:5" x14ac:dyDescent="0.2">
      <c r="A4014" t="s">
        <v>1270</v>
      </c>
      <c r="B4014" t="s">
        <v>1271</v>
      </c>
      <c r="C4014" t="s">
        <v>442</v>
      </c>
      <c r="D4014" t="str">
        <f>VLOOKUP(C4014,'lookup table'!$A$2:$B$19,2,FALSE)</f>
        <v>Partner Unit</v>
      </c>
      <c r="E4014" t="str">
        <f t="shared" si="62"/>
        <v>AS801_00|Partner Unit</v>
      </c>
    </row>
    <row r="4015" spans="1:5" x14ac:dyDescent="0.2">
      <c r="A4015" t="s">
        <v>1272</v>
      </c>
      <c r="B4015" t="s">
        <v>1273</v>
      </c>
      <c r="C4015" t="s">
        <v>6</v>
      </c>
      <c r="D4015" t="e">
        <f>VLOOKUP(C4015,'lookup table'!$A$2:$B$19,2,FALSE)</f>
        <v>#N/A</v>
      </c>
      <c r="E4015" t="str">
        <f t="shared" si="62"/>
        <v/>
      </c>
    </row>
    <row r="4016" spans="1:5" x14ac:dyDescent="0.2">
      <c r="A4016" t="s">
        <v>1272</v>
      </c>
      <c r="B4016" t="s">
        <v>1273</v>
      </c>
      <c r="C4016" t="s">
        <v>9</v>
      </c>
      <c r="D4016" t="e">
        <f>VLOOKUP(C4016,'lookup table'!$A$2:$B$19,2,FALSE)</f>
        <v>#N/A</v>
      </c>
      <c r="E4016" t="str">
        <f t="shared" si="62"/>
        <v/>
      </c>
    </row>
    <row r="4017" spans="1:5" x14ac:dyDescent="0.2">
      <c r="A4017" t="s">
        <v>1272</v>
      </c>
      <c r="B4017" t="s">
        <v>1273</v>
      </c>
      <c r="C4017" t="s">
        <v>10</v>
      </c>
      <c r="D4017" t="e">
        <f>VLOOKUP(C4017,'lookup table'!$A$2:$B$19,2,FALSE)</f>
        <v>#N/A</v>
      </c>
      <c r="E4017" t="str">
        <f t="shared" si="62"/>
        <v/>
      </c>
    </row>
    <row r="4018" spans="1:5" x14ac:dyDescent="0.2">
      <c r="A4018" t="s">
        <v>1272</v>
      </c>
      <c r="B4018" t="s">
        <v>1273</v>
      </c>
      <c r="C4018" t="s">
        <v>11</v>
      </c>
      <c r="D4018" t="e">
        <f>VLOOKUP(C4018,'lookup table'!$A$2:$B$19,2,FALSE)</f>
        <v>#N/A</v>
      </c>
      <c r="E4018" t="str">
        <f t="shared" si="62"/>
        <v/>
      </c>
    </row>
    <row r="4019" spans="1:5" x14ac:dyDescent="0.2">
      <c r="A4019" t="s">
        <v>1272</v>
      </c>
      <c r="B4019" t="s">
        <v>1273</v>
      </c>
      <c r="C4019" t="s">
        <v>12</v>
      </c>
      <c r="D4019" t="e">
        <f>VLOOKUP(C4019,'lookup table'!$A$2:$B$19,2,FALSE)</f>
        <v>#N/A</v>
      </c>
      <c r="E4019" t="str">
        <f t="shared" si="62"/>
        <v/>
      </c>
    </row>
    <row r="4020" spans="1:5" x14ac:dyDescent="0.2">
      <c r="A4020" t="s">
        <v>1272</v>
      </c>
      <c r="B4020" t="s">
        <v>1273</v>
      </c>
      <c r="C4020" t="s">
        <v>14</v>
      </c>
      <c r="D4020" t="str">
        <f>VLOOKUP(C4020,'lookup table'!$A$2:$B$19,2,FALSE)</f>
        <v>ALC</v>
      </c>
      <c r="E4020" t="str">
        <f t="shared" si="62"/>
        <v>BL_ACA_00|ALC</v>
      </c>
    </row>
    <row r="4021" spans="1:5" x14ac:dyDescent="0.2">
      <c r="A4021" t="s">
        <v>1272</v>
      </c>
      <c r="B4021" t="s">
        <v>1273</v>
      </c>
      <c r="C4021" t="s">
        <v>20</v>
      </c>
      <c r="D4021" t="str">
        <f>VLOOKUP(C4021,'lookup table'!$A$2:$B$19,2,FALSE)</f>
        <v>AY</v>
      </c>
      <c r="E4021" t="str">
        <f t="shared" si="62"/>
        <v>BL_ACA_00|AY</v>
      </c>
    </row>
    <row r="4022" spans="1:5" x14ac:dyDescent="0.2">
      <c r="A4022" t="s">
        <v>1272</v>
      </c>
      <c r="B4022" t="s">
        <v>1273</v>
      </c>
      <c r="C4022" t="s">
        <v>136</v>
      </c>
      <c r="D4022" t="str">
        <f>VLOOKUP(C4022,'lookup table'!$A$2:$B$19,2,FALSE)</f>
        <v>BBA Set</v>
      </c>
      <c r="E4022" t="str">
        <f t="shared" si="62"/>
        <v>BL_ACA_00|BBA Set</v>
      </c>
    </row>
    <row r="4023" spans="1:5" x14ac:dyDescent="0.2">
      <c r="A4023" t="s">
        <v>1272</v>
      </c>
      <c r="B4023" t="s">
        <v>1273</v>
      </c>
      <c r="C4023" t="s">
        <v>324</v>
      </c>
      <c r="D4023" t="e">
        <f>VLOOKUP(C4023,'lookup table'!$A$2:$B$19,2,FALSE)</f>
        <v>#N/A</v>
      </c>
      <c r="E4023" t="str">
        <f t="shared" si="62"/>
        <v/>
      </c>
    </row>
    <row r="4024" spans="1:5" x14ac:dyDescent="0.2">
      <c r="A4024" t="s">
        <v>1272</v>
      </c>
      <c r="B4024" t="s">
        <v>1273</v>
      </c>
      <c r="C4024" t="s">
        <v>325</v>
      </c>
      <c r="D4024" t="e">
        <f>VLOOKUP(C4024,'lookup table'!$A$2:$B$19,2,FALSE)</f>
        <v>#N/A</v>
      </c>
      <c r="E4024" t="str">
        <f t="shared" si="62"/>
        <v/>
      </c>
    </row>
    <row r="4025" spans="1:5" x14ac:dyDescent="0.2">
      <c r="A4025" t="s">
        <v>1272</v>
      </c>
      <c r="B4025" t="s">
        <v>1273</v>
      </c>
      <c r="C4025" t="s">
        <v>326</v>
      </c>
      <c r="D4025" t="e">
        <f>VLOOKUP(C4025,'lookup table'!$A$2:$B$19,2,FALSE)</f>
        <v>#N/A</v>
      </c>
      <c r="E4025" t="str">
        <f t="shared" si="62"/>
        <v/>
      </c>
    </row>
    <row r="4026" spans="1:5" x14ac:dyDescent="0.2">
      <c r="A4026" t="s">
        <v>1272</v>
      </c>
      <c r="B4026" t="s">
        <v>1273</v>
      </c>
      <c r="C4026" t="s">
        <v>327</v>
      </c>
      <c r="D4026" t="e">
        <f>VLOOKUP(C4026,'lookup table'!$A$2:$B$19,2,FALSE)</f>
        <v>#N/A</v>
      </c>
      <c r="E4026" t="str">
        <f t="shared" si="62"/>
        <v/>
      </c>
    </row>
    <row r="4027" spans="1:5" x14ac:dyDescent="0.2">
      <c r="A4027" t="s">
        <v>1272</v>
      </c>
      <c r="B4027" t="s">
        <v>1273</v>
      </c>
      <c r="C4027" t="s">
        <v>328</v>
      </c>
      <c r="D4027" t="e">
        <f>VLOOKUP(C4027,'lookup table'!$A$2:$B$19,2,FALSE)</f>
        <v>#N/A</v>
      </c>
      <c r="E4027" t="str">
        <f t="shared" si="62"/>
        <v/>
      </c>
    </row>
    <row r="4028" spans="1:5" x14ac:dyDescent="0.2">
      <c r="A4028" t="s">
        <v>1272</v>
      </c>
      <c r="B4028" t="s">
        <v>1273</v>
      </c>
      <c r="C4028" t="s">
        <v>329</v>
      </c>
      <c r="D4028" t="e">
        <f>VLOOKUP(C4028,'lookup table'!$A$2:$B$19,2,FALSE)</f>
        <v>#N/A</v>
      </c>
      <c r="E4028" t="str">
        <f t="shared" si="62"/>
        <v/>
      </c>
    </row>
    <row r="4029" spans="1:5" x14ac:dyDescent="0.2">
      <c r="A4029" t="s">
        <v>1272</v>
      </c>
      <c r="B4029" t="s">
        <v>1273</v>
      </c>
      <c r="C4029" t="s">
        <v>331</v>
      </c>
      <c r="D4029" t="str">
        <f>VLOOKUP(C4029,'lookup table'!$A$2:$B$19,2,FALSE)</f>
        <v>FS Item</v>
      </c>
      <c r="E4029" t="str">
        <f t="shared" si="62"/>
        <v>BL_ACA_00|FS Item</v>
      </c>
    </row>
    <row r="4030" spans="1:5" x14ac:dyDescent="0.2">
      <c r="A4030" t="s">
        <v>1272</v>
      </c>
      <c r="B4030" t="s">
        <v>1273</v>
      </c>
      <c r="C4030" t="s">
        <v>423</v>
      </c>
      <c r="D4030" t="str">
        <f>VLOOKUP(C4030,'lookup table'!$A$2:$B$19,2,FALSE)</f>
        <v>ignore</v>
      </c>
      <c r="E4030" t="str">
        <f t="shared" si="62"/>
        <v>BL_ACA_00|ignore</v>
      </c>
    </row>
    <row r="4031" spans="1:5" x14ac:dyDescent="0.2">
      <c r="A4031" t="s">
        <v>1272</v>
      </c>
      <c r="B4031" t="s">
        <v>1273</v>
      </c>
      <c r="C4031" t="s">
        <v>424</v>
      </c>
      <c r="D4031" t="str">
        <f>VLOOKUP(C4031,'lookup table'!$A$2:$B$19,2,FALSE)</f>
        <v>GRC</v>
      </c>
      <c r="E4031" t="str">
        <f t="shared" si="62"/>
        <v>BL_ACA_00|GRC</v>
      </c>
    </row>
    <row r="4032" spans="1:5" x14ac:dyDescent="0.2">
      <c r="A4032" t="s">
        <v>1272</v>
      </c>
      <c r="B4032" t="s">
        <v>1273</v>
      </c>
      <c r="C4032" t="s">
        <v>425</v>
      </c>
      <c r="D4032" t="str">
        <f>VLOOKUP(C4032,'lookup table'!$A$2:$B$19,2,FALSE)</f>
        <v>Investee Segment</v>
      </c>
      <c r="E4032" t="str">
        <f t="shared" si="62"/>
        <v>BL_ACA_00|Investee Segment</v>
      </c>
    </row>
    <row r="4033" spans="1:5" x14ac:dyDescent="0.2">
      <c r="A4033" t="s">
        <v>1272</v>
      </c>
      <c r="B4033" t="s">
        <v>1273</v>
      </c>
      <c r="C4033" t="s">
        <v>426</v>
      </c>
      <c r="D4033" t="str">
        <f>VLOOKUP(C4033,'lookup table'!$A$2:$B$19,2,FALSE)</f>
        <v>Investee Unit</v>
      </c>
      <c r="E4033" t="str">
        <f t="shared" si="62"/>
        <v>BL_ACA_00|Investee Unit</v>
      </c>
    </row>
    <row r="4034" spans="1:5" x14ac:dyDescent="0.2">
      <c r="A4034" t="s">
        <v>1272</v>
      </c>
      <c r="B4034" t="s">
        <v>1273</v>
      </c>
      <c r="C4034" t="s">
        <v>428</v>
      </c>
      <c r="D4034" t="str">
        <f>VLOOKUP(C4034,'lookup table'!$A$2:$B$19,2,FALSE)</f>
        <v>LoB</v>
      </c>
      <c r="E4034" t="str">
        <f t="shared" si="62"/>
        <v>BL_ACA_00|LoB</v>
      </c>
    </row>
    <row r="4035" spans="1:5" x14ac:dyDescent="0.2">
      <c r="A4035" t="s">
        <v>1272</v>
      </c>
      <c r="B4035" t="s">
        <v>1273</v>
      </c>
      <c r="C4035" t="s">
        <v>436</v>
      </c>
      <c r="D4035" t="str">
        <f>VLOOKUP(C4035,'lookup table'!$A$2:$B$19,2,FALSE)</f>
        <v>MAT</v>
      </c>
      <c r="E4035" t="str">
        <f t="shared" ref="E4035:E4098" si="63">IF(ISNA(D4035),"",IF(A4035="","",A4035) &amp; "|" &amp; D4035)</f>
        <v>BL_ACA_00|MAT</v>
      </c>
    </row>
    <row r="4036" spans="1:5" x14ac:dyDescent="0.2">
      <c r="A4036" t="s">
        <v>1272</v>
      </c>
      <c r="B4036" t="s">
        <v>1273</v>
      </c>
      <c r="C4036" t="s">
        <v>438</v>
      </c>
      <c r="D4036" t="str">
        <f>VLOOKUP(C4036,'lookup table'!$A$2:$B$19,2,FALSE)</f>
        <v>ToM</v>
      </c>
      <c r="E4036" t="str">
        <f t="shared" si="63"/>
        <v>BL_ACA_00|ToM</v>
      </c>
    </row>
    <row r="4037" spans="1:5" x14ac:dyDescent="0.2">
      <c r="A4037" t="s">
        <v>1272</v>
      </c>
      <c r="B4037" t="s">
        <v>1273</v>
      </c>
      <c r="C4037" t="s">
        <v>441</v>
      </c>
      <c r="D4037" t="str">
        <f>VLOOKUP(C4037,'lookup table'!$A$2:$B$19,2,FALSE)</f>
        <v>Partner Segment</v>
      </c>
      <c r="E4037" t="str">
        <f t="shared" si="63"/>
        <v>BL_ACA_00|Partner Segment</v>
      </c>
    </row>
    <row r="4038" spans="1:5" x14ac:dyDescent="0.2">
      <c r="A4038" t="s">
        <v>1272</v>
      </c>
      <c r="B4038" t="s">
        <v>1273</v>
      </c>
      <c r="C4038" t="s">
        <v>442</v>
      </c>
      <c r="D4038" t="str">
        <f>VLOOKUP(C4038,'lookup table'!$A$2:$B$19,2,FALSE)</f>
        <v>Partner Unit</v>
      </c>
      <c r="E4038" t="str">
        <f t="shared" si="63"/>
        <v>BL_ACA_00|Partner Unit</v>
      </c>
    </row>
    <row r="4039" spans="1:5" x14ac:dyDescent="0.2">
      <c r="A4039" t="s">
        <v>1272</v>
      </c>
      <c r="B4039" t="s">
        <v>1273</v>
      </c>
      <c r="C4039" t="s">
        <v>447</v>
      </c>
      <c r="D4039" t="str">
        <f>VLOOKUP(C4039,'lookup table'!$A$2:$B$19,2,FALSE)</f>
        <v>REX</v>
      </c>
      <c r="E4039" t="str">
        <f t="shared" si="63"/>
        <v>BL_ACA_00|REX</v>
      </c>
    </row>
    <row r="4040" spans="1:5" x14ac:dyDescent="0.2">
      <c r="A4040" t="s">
        <v>1272</v>
      </c>
      <c r="B4040" t="s">
        <v>1273</v>
      </c>
      <c r="C4040" t="s">
        <v>448</v>
      </c>
      <c r="D4040" t="e">
        <f>VLOOKUP(C4040,'lookup table'!$A$2:$B$19,2,FALSE)</f>
        <v>#N/A</v>
      </c>
      <c r="E4040" t="str">
        <f t="shared" si="63"/>
        <v/>
      </c>
    </row>
    <row r="4041" spans="1:5" x14ac:dyDescent="0.2">
      <c r="A4041" t="s">
        <v>1272</v>
      </c>
      <c r="B4041" t="s">
        <v>1273</v>
      </c>
      <c r="C4041" t="s">
        <v>451</v>
      </c>
      <c r="D4041" t="str">
        <f>VLOOKUP(C4041,'lookup table'!$A$2:$B$19,2,FALSE)</f>
        <v>Segment</v>
      </c>
      <c r="E4041" t="str">
        <f t="shared" si="63"/>
        <v>BL_ACA_00|Segment</v>
      </c>
    </row>
    <row r="4042" spans="1:5" x14ac:dyDescent="0.2">
      <c r="A4042" t="s">
        <v>1272</v>
      </c>
      <c r="B4042" t="s">
        <v>1273</v>
      </c>
      <c r="C4042" t="s">
        <v>455</v>
      </c>
      <c r="D4042" t="e">
        <f>VLOOKUP(C4042,'lookup table'!$A$2:$B$19,2,FALSE)</f>
        <v>#N/A</v>
      </c>
      <c r="E4042" t="str">
        <f t="shared" si="63"/>
        <v/>
      </c>
    </row>
    <row r="4043" spans="1:5" x14ac:dyDescent="0.2">
      <c r="A4043" t="s">
        <v>1272</v>
      </c>
      <c r="B4043" t="s">
        <v>1273</v>
      </c>
      <c r="C4043" t="s">
        <v>456</v>
      </c>
      <c r="D4043" t="e">
        <f>VLOOKUP(C4043,'lookup table'!$A$2:$B$19,2,FALSE)</f>
        <v>#N/A</v>
      </c>
      <c r="E4043" t="str">
        <f t="shared" si="63"/>
        <v/>
      </c>
    </row>
    <row r="4044" spans="1:5" x14ac:dyDescent="0.2">
      <c r="A4044" t="s">
        <v>1272</v>
      </c>
      <c r="B4044" t="s">
        <v>1273</v>
      </c>
      <c r="C4044" t="s">
        <v>457</v>
      </c>
      <c r="D4044" t="str">
        <f>VLOOKUP(C4044,'lookup table'!$A$2:$B$19,2,FALSE)</f>
        <v>VLT</v>
      </c>
      <c r="E4044" t="str">
        <f t="shared" si="63"/>
        <v>BL_ACA_00|VLT</v>
      </c>
    </row>
    <row r="4045" spans="1:5" x14ac:dyDescent="0.2">
      <c r="A4045" t="s">
        <v>1272</v>
      </c>
      <c r="B4045" t="s">
        <v>1273</v>
      </c>
      <c r="C4045" t="s">
        <v>458</v>
      </c>
      <c r="D4045" t="str">
        <f>VLOOKUP(C4045,'lookup table'!$A$2:$B$19,2,FALSE)</f>
        <v>VAR</v>
      </c>
      <c r="E4045" t="str">
        <f t="shared" si="63"/>
        <v>BL_ACA_00|VAR</v>
      </c>
    </row>
    <row r="4046" spans="1:5" x14ac:dyDescent="0.2">
      <c r="A4046" t="s">
        <v>1272</v>
      </c>
      <c r="B4046" t="s">
        <v>1273</v>
      </c>
      <c r="C4046" t="s">
        <v>460</v>
      </c>
      <c r="D4046" t="e">
        <f>VLOOKUP(C4046,'lookup table'!$A$2:$B$19,2,FALSE)</f>
        <v>#N/A</v>
      </c>
      <c r="E4046" t="str">
        <f t="shared" si="63"/>
        <v/>
      </c>
    </row>
    <row r="4047" spans="1:5" x14ac:dyDescent="0.2">
      <c r="A4047" t="s">
        <v>1272</v>
      </c>
      <c r="B4047" t="s">
        <v>1273</v>
      </c>
      <c r="C4047" t="s">
        <v>461</v>
      </c>
      <c r="D4047" t="str">
        <f>VLOOKUP(C4047,'lookup table'!$A$2:$B$19,2,FALSE)</f>
        <v>Posting Level</v>
      </c>
      <c r="E4047" t="str">
        <f t="shared" si="63"/>
        <v>BL_ACA_00|Posting Level</v>
      </c>
    </row>
    <row r="4048" spans="1:5" x14ac:dyDescent="0.2">
      <c r="A4048" t="s">
        <v>1272</v>
      </c>
      <c r="B4048" t="s">
        <v>1273</v>
      </c>
      <c r="C4048" t="s">
        <v>465</v>
      </c>
      <c r="D4048" t="e">
        <f>VLOOKUP(C4048,'lookup table'!$A$2:$B$19,2,FALSE)</f>
        <v>#N/A</v>
      </c>
      <c r="E4048" t="str">
        <f t="shared" si="63"/>
        <v/>
      </c>
    </row>
    <row r="4049" spans="1:5" x14ac:dyDescent="0.2">
      <c r="A4049" t="s">
        <v>1274</v>
      </c>
      <c r="B4049" t="s">
        <v>8</v>
      </c>
      <c r="C4049" t="s">
        <v>6</v>
      </c>
      <c r="D4049" t="e">
        <f>VLOOKUP(C4049,'lookup table'!$A$2:$B$19,2,FALSE)</f>
        <v>#N/A</v>
      </c>
      <c r="E4049" t="str">
        <f t="shared" si="63"/>
        <v/>
      </c>
    </row>
    <row r="4050" spans="1:5" x14ac:dyDescent="0.2">
      <c r="A4050" t="s">
        <v>1274</v>
      </c>
      <c r="B4050" t="s">
        <v>8</v>
      </c>
      <c r="C4050" t="s">
        <v>9</v>
      </c>
      <c r="D4050" t="e">
        <f>VLOOKUP(C4050,'lookup table'!$A$2:$B$19,2,FALSE)</f>
        <v>#N/A</v>
      </c>
      <c r="E4050" t="str">
        <f t="shared" si="63"/>
        <v/>
      </c>
    </row>
    <row r="4051" spans="1:5" x14ac:dyDescent="0.2">
      <c r="A4051" t="s">
        <v>1274</v>
      </c>
      <c r="B4051" t="s">
        <v>8</v>
      </c>
      <c r="C4051" t="s">
        <v>10</v>
      </c>
      <c r="D4051" t="e">
        <f>VLOOKUP(C4051,'lookup table'!$A$2:$B$19,2,FALSE)</f>
        <v>#N/A</v>
      </c>
      <c r="E4051" t="str">
        <f t="shared" si="63"/>
        <v/>
      </c>
    </row>
    <row r="4052" spans="1:5" x14ac:dyDescent="0.2">
      <c r="A4052" t="s">
        <v>1274</v>
      </c>
      <c r="B4052" t="s">
        <v>8</v>
      </c>
      <c r="C4052" t="s">
        <v>11</v>
      </c>
      <c r="D4052" t="e">
        <f>VLOOKUP(C4052,'lookup table'!$A$2:$B$19,2,FALSE)</f>
        <v>#N/A</v>
      </c>
      <c r="E4052" t="str">
        <f t="shared" si="63"/>
        <v/>
      </c>
    </row>
    <row r="4053" spans="1:5" x14ac:dyDescent="0.2">
      <c r="A4053" t="s">
        <v>1274</v>
      </c>
      <c r="B4053" t="s">
        <v>8</v>
      </c>
      <c r="C4053" t="s">
        <v>12</v>
      </c>
      <c r="D4053" t="e">
        <f>VLOOKUP(C4053,'lookup table'!$A$2:$B$19,2,FALSE)</f>
        <v>#N/A</v>
      </c>
      <c r="E4053" t="str">
        <f t="shared" si="63"/>
        <v/>
      </c>
    </row>
    <row r="4054" spans="1:5" x14ac:dyDescent="0.2">
      <c r="A4054" t="s">
        <v>1274</v>
      </c>
      <c r="B4054" t="s">
        <v>8</v>
      </c>
      <c r="C4054" t="s">
        <v>14</v>
      </c>
      <c r="D4054" t="str">
        <f>VLOOKUP(C4054,'lookup table'!$A$2:$B$19,2,FALSE)</f>
        <v>ALC</v>
      </c>
      <c r="E4054" t="str">
        <f t="shared" si="63"/>
        <v>BL_ALC_00|ALC</v>
      </c>
    </row>
    <row r="4055" spans="1:5" x14ac:dyDescent="0.2">
      <c r="A4055" t="s">
        <v>1274</v>
      </c>
      <c r="B4055" t="s">
        <v>8</v>
      </c>
      <c r="C4055" t="s">
        <v>20</v>
      </c>
      <c r="D4055" t="str">
        <f>VLOOKUP(C4055,'lookup table'!$A$2:$B$19,2,FALSE)</f>
        <v>AY</v>
      </c>
      <c r="E4055" t="str">
        <f t="shared" si="63"/>
        <v>BL_ALC_00|AY</v>
      </c>
    </row>
    <row r="4056" spans="1:5" x14ac:dyDescent="0.2">
      <c r="A4056" t="s">
        <v>1274</v>
      </c>
      <c r="B4056" t="s">
        <v>8</v>
      </c>
      <c r="C4056" t="s">
        <v>136</v>
      </c>
      <c r="D4056" t="str">
        <f>VLOOKUP(C4056,'lookup table'!$A$2:$B$19,2,FALSE)</f>
        <v>BBA Set</v>
      </c>
      <c r="E4056" t="str">
        <f t="shared" si="63"/>
        <v>BL_ALC_00|BBA Set</v>
      </c>
    </row>
    <row r="4057" spans="1:5" x14ac:dyDescent="0.2">
      <c r="A4057" t="s">
        <v>1274</v>
      </c>
      <c r="B4057" t="s">
        <v>8</v>
      </c>
      <c r="C4057" t="s">
        <v>324</v>
      </c>
      <c r="D4057" t="e">
        <f>VLOOKUP(C4057,'lookup table'!$A$2:$B$19,2,FALSE)</f>
        <v>#N/A</v>
      </c>
      <c r="E4057" t="str">
        <f t="shared" si="63"/>
        <v/>
      </c>
    </row>
    <row r="4058" spans="1:5" x14ac:dyDescent="0.2">
      <c r="A4058" t="s">
        <v>1274</v>
      </c>
      <c r="B4058" t="s">
        <v>8</v>
      </c>
      <c r="C4058" t="s">
        <v>325</v>
      </c>
      <c r="D4058" t="e">
        <f>VLOOKUP(C4058,'lookup table'!$A$2:$B$19,2,FALSE)</f>
        <v>#N/A</v>
      </c>
      <c r="E4058" t="str">
        <f t="shared" si="63"/>
        <v/>
      </c>
    </row>
    <row r="4059" spans="1:5" x14ac:dyDescent="0.2">
      <c r="A4059" t="s">
        <v>1274</v>
      </c>
      <c r="B4059" t="s">
        <v>8</v>
      </c>
      <c r="C4059" t="s">
        <v>326</v>
      </c>
      <c r="D4059" t="e">
        <f>VLOOKUP(C4059,'lookup table'!$A$2:$B$19,2,FALSE)</f>
        <v>#N/A</v>
      </c>
      <c r="E4059" t="str">
        <f t="shared" si="63"/>
        <v/>
      </c>
    </row>
    <row r="4060" spans="1:5" x14ac:dyDescent="0.2">
      <c r="A4060" t="s">
        <v>1274</v>
      </c>
      <c r="B4060" t="s">
        <v>8</v>
      </c>
      <c r="C4060" t="s">
        <v>327</v>
      </c>
      <c r="D4060" t="e">
        <f>VLOOKUP(C4060,'lookup table'!$A$2:$B$19,2,FALSE)</f>
        <v>#N/A</v>
      </c>
      <c r="E4060" t="str">
        <f t="shared" si="63"/>
        <v/>
      </c>
    </row>
    <row r="4061" spans="1:5" x14ac:dyDescent="0.2">
      <c r="A4061" t="s">
        <v>1274</v>
      </c>
      <c r="B4061" t="s">
        <v>8</v>
      </c>
      <c r="C4061" t="s">
        <v>328</v>
      </c>
      <c r="D4061" t="e">
        <f>VLOOKUP(C4061,'lookup table'!$A$2:$B$19,2,FALSE)</f>
        <v>#N/A</v>
      </c>
      <c r="E4061" t="str">
        <f t="shared" si="63"/>
        <v/>
      </c>
    </row>
    <row r="4062" spans="1:5" x14ac:dyDescent="0.2">
      <c r="A4062" t="s">
        <v>1274</v>
      </c>
      <c r="B4062" t="s">
        <v>8</v>
      </c>
      <c r="C4062" t="s">
        <v>329</v>
      </c>
      <c r="D4062" t="e">
        <f>VLOOKUP(C4062,'lookup table'!$A$2:$B$19,2,FALSE)</f>
        <v>#N/A</v>
      </c>
      <c r="E4062" t="str">
        <f t="shared" si="63"/>
        <v/>
      </c>
    </row>
    <row r="4063" spans="1:5" x14ac:dyDescent="0.2">
      <c r="A4063" t="s">
        <v>1274</v>
      </c>
      <c r="B4063" t="s">
        <v>8</v>
      </c>
      <c r="C4063" t="s">
        <v>331</v>
      </c>
      <c r="D4063" t="str">
        <f>VLOOKUP(C4063,'lookup table'!$A$2:$B$19,2,FALSE)</f>
        <v>FS Item</v>
      </c>
      <c r="E4063" t="str">
        <f t="shared" si="63"/>
        <v>BL_ALC_00|FS Item</v>
      </c>
    </row>
    <row r="4064" spans="1:5" x14ac:dyDescent="0.2">
      <c r="A4064" t="s">
        <v>1274</v>
      </c>
      <c r="B4064" t="s">
        <v>8</v>
      </c>
      <c r="C4064" t="s">
        <v>423</v>
      </c>
      <c r="D4064" t="str">
        <f>VLOOKUP(C4064,'lookup table'!$A$2:$B$19,2,FALSE)</f>
        <v>ignore</v>
      </c>
      <c r="E4064" t="str">
        <f t="shared" si="63"/>
        <v>BL_ALC_00|ignore</v>
      </c>
    </row>
    <row r="4065" spans="1:5" x14ac:dyDescent="0.2">
      <c r="A4065" t="s">
        <v>1274</v>
      </c>
      <c r="B4065" t="s">
        <v>8</v>
      </c>
      <c r="C4065" t="s">
        <v>424</v>
      </c>
      <c r="D4065" t="str">
        <f>VLOOKUP(C4065,'lookup table'!$A$2:$B$19,2,FALSE)</f>
        <v>GRC</v>
      </c>
      <c r="E4065" t="str">
        <f t="shared" si="63"/>
        <v>BL_ALC_00|GRC</v>
      </c>
    </row>
    <row r="4066" spans="1:5" x14ac:dyDescent="0.2">
      <c r="A4066" t="s">
        <v>1274</v>
      </c>
      <c r="B4066" t="s">
        <v>8</v>
      </c>
      <c r="C4066" t="s">
        <v>425</v>
      </c>
      <c r="D4066" t="str">
        <f>VLOOKUP(C4066,'lookup table'!$A$2:$B$19,2,FALSE)</f>
        <v>Investee Segment</v>
      </c>
      <c r="E4066" t="str">
        <f t="shared" si="63"/>
        <v>BL_ALC_00|Investee Segment</v>
      </c>
    </row>
    <row r="4067" spans="1:5" x14ac:dyDescent="0.2">
      <c r="A4067" t="s">
        <v>1274</v>
      </c>
      <c r="B4067" t="s">
        <v>8</v>
      </c>
      <c r="C4067" t="s">
        <v>426</v>
      </c>
      <c r="D4067" t="str">
        <f>VLOOKUP(C4067,'lookup table'!$A$2:$B$19,2,FALSE)</f>
        <v>Investee Unit</v>
      </c>
      <c r="E4067" t="str">
        <f t="shared" si="63"/>
        <v>BL_ALC_00|Investee Unit</v>
      </c>
    </row>
    <row r="4068" spans="1:5" x14ac:dyDescent="0.2">
      <c r="A4068" t="s">
        <v>1274</v>
      </c>
      <c r="B4068" t="s">
        <v>8</v>
      </c>
      <c r="C4068" t="s">
        <v>428</v>
      </c>
      <c r="D4068" t="str">
        <f>VLOOKUP(C4068,'lookup table'!$A$2:$B$19,2,FALSE)</f>
        <v>LoB</v>
      </c>
      <c r="E4068" t="str">
        <f t="shared" si="63"/>
        <v>BL_ALC_00|LoB</v>
      </c>
    </row>
    <row r="4069" spans="1:5" x14ac:dyDescent="0.2">
      <c r="A4069" t="s">
        <v>1274</v>
      </c>
      <c r="B4069" t="s">
        <v>8</v>
      </c>
      <c r="C4069" t="s">
        <v>436</v>
      </c>
      <c r="D4069" t="str">
        <f>VLOOKUP(C4069,'lookup table'!$A$2:$B$19,2,FALSE)</f>
        <v>MAT</v>
      </c>
      <c r="E4069" t="str">
        <f t="shared" si="63"/>
        <v>BL_ALC_00|MAT</v>
      </c>
    </row>
    <row r="4070" spans="1:5" x14ac:dyDescent="0.2">
      <c r="A4070" t="s">
        <v>1274</v>
      </c>
      <c r="B4070" t="s">
        <v>8</v>
      </c>
      <c r="C4070" t="s">
        <v>438</v>
      </c>
      <c r="D4070" t="str">
        <f>VLOOKUP(C4070,'lookup table'!$A$2:$B$19,2,FALSE)</f>
        <v>ToM</v>
      </c>
      <c r="E4070" t="str">
        <f t="shared" si="63"/>
        <v>BL_ALC_00|ToM</v>
      </c>
    </row>
    <row r="4071" spans="1:5" x14ac:dyDescent="0.2">
      <c r="A4071" t="s">
        <v>1274</v>
      </c>
      <c r="B4071" t="s">
        <v>8</v>
      </c>
      <c r="C4071" t="s">
        <v>441</v>
      </c>
      <c r="D4071" t="str">
        <f>VLOOKUP(C4071,'lookup table'!$A$2:$B$19,2,FALSE)</f>
        <v>Partner Segment</v>
      </c>
      <c r="E4071" t="str">
        <f t="shared" si="63"/>
        <v>BL_ALC_00|Partner Segment</v>
      </c>
    </row>
    <row r="4072" spans="1:5" x14ac:dyDescent="0.2">
      <c r="A4072" t="s">
        <v>1274</v>
      </c>
      <c r="B4072" t="s">
        <v>8</v>
      </c>
      <c r="C4072" t="s">
        <v>442</v>
      </c>
      <c r="D4072" t="str">
        <f>VLOOKUP(C4072,'lookup table'!$A$2:$B$19,2,FALSE)</f>
        <v>Partner Unit</v>
      </c>
      <c r="E4072" t="str">
        <f t="shared" si="63"/>
        <v>BL_ALC_00|Partner Unit</v>
      </c>
    </row>
    <row r="4073" spans="1:5" x14ac:dyDescent="0.2">
      <c r="A4073" t="s">
        <v>1274</v>
      </c>
      <c r="B4073" t="s">
        <v>8</v>
      </c>
      <c r="C4073" t="s">
        <v>447</v>
      </c>
      <c r="D4073" t="str">
        <f>VLOOKUP(C4073,'lookup table'!$A$2:$B$19,2,FALSE)</f>
        <v>REX</v>
      </c>
      <c r="E4073" t="str">
        <f t="shared" si="63"/>
        <v>BL_ALC_00|REX</v>
      </c>
    </row>
    <row r="4074" spans="1:5" x14ac:dyDescent="0.2">
      <c r="A4074" t="s">
        <v>1274</v>
      </c>
      <c r="B4074" t="s">
        <v>8</v>
      </c>
      <c r="C4074" t="s">
        <v>448</v>
      </c>
      <c r="D4074" t="e">
        <f>VLOOKUP(C4074,'lookup table'!$A$2:$B$19,2,FALSE)</f>
        <v>#N/A</v>
      </c>
      <c r="E4074" t="str">
        <f t="shared" si="63"/>
        <v/>
      </c>
    </row>
    <row r="4075" spans="1:5" x14ac:dyDescent="0.2">
      <c r="A4075" t="s">
        <v>1274</v>
      </c>
      <c r="B4075" t="s">
        <v>8</v>
      </c>
      <c r="C4075" t="s">
        <v>451</v>
      </c>
      <c r="D4075" t="str">
        <f>VLOOKUP(C4075,'lookup table'!$A$2:$B$19,2,FALSE)</f>
        <v>Segment</v>
      </c>
      <c r="E4075" t="str">
        <f t="shared" si="63"/>
        <v>BL_ALC_00|Segment</v>
      </c>
    </row>
    <row r="4076" spans="1:5" x14ac:dyDescent="0.2">
      <c r="A4076" t="s">
        <v>1274</v>
      </c>
      <c r="B4076" t="s">
        <v>8</v>
      </c>
      <c r="C4076" t="s">
        <v>455</v>
      </c>
      <c r="D4076" t="e">
        <f>VLOOKUP(C4076,'lookup table'!$A$2:$B$19,2,FALSE)</f>
        <v>#N/A</v>
      </c>
      <c r="E4076" t="str">
        <f t="shared" si="63"/>
        <v/>
      </c>
    </row>
    <row r="4077" spans="1:5" x14ac:dyDescent="0.2">
      <c r="A4077" t="s">
        <v>1274</v>
      </c>
      <c r="B4077" t="s">
        <v>8</v>
      </c>
      <c r="C4077" t="s">
        <v>456</v>
      </c>
      <c r="D4077" t="e">
        <f>VLOOKUP(C4077,'lookup table'!$A$2:$B$19,2,FALSE)</f>
        <v>#N/A</v>
      </c>
      <c r="E4077" t="str">
        <f t="shared" si="63"/>
        <v/>
      </c>
    </row>
    <row r="4078" spans="1:5" x14ac:dyDescent="0.2">
      <c r="A4078" t="s">
        <v>1274</v>
      </c>
      <c r="B4078" t="s">
        <v>8</v>
      </c>
      <c r="C4078" t="s">
        <v>457</v>
      </c>
      <c r="D4078" t="str">
        <f>VLOOKUP(C4078,'lookup table'!$A$2:$B$19,2,FALSE)</f>
        <v>VLT</v>
      </c>
      <c r="E4078" t="str">
        <f t="shared" si="63"/>
        <v>BL_ALC_00|VLT</v>
      </c>
    </row>
    <row r="4079" spans="1:5" x14ac:dyDescent="0.2">
      <c r="A4079" t="s">
        <v>1274</v>
      </c>
      <c r="B4079" t="s">
        <v>8</v>
      </c>
      <c r="C4079" t="s">
        <v>458</v>
      </c>
      <c r="D4079" t="str">
        <f>VLOOKUP(C4079,'lookup table'!$A$2:$B$19,2,FALSE)</f>
        <v>VAR</v>
      </c>
      <c r="E4079" t="str">
        <f t="shared" si="63"/>
        <v>BL_ALC_00|VAR</v>
      </c>
    </row>
    <row r="4080" spans="1:5" x14ac:dyDescent="0.2">
      <c r="A4080" t="s">
        <v>1274</v>
      </c>
      <c r="B4080" t="s">
        <v>8</v>
      </c>
      <c r="C4080" t="s">
        <v>460</v>
      </c>
      <c r="D4080" t="e">
        <f>VLOOKUP(C4080,'lookup table'!$A$2:$B$19,2,FALSE)</f>
        <v>#N/A</v>
      </c>
      <c r="E4080" t="str">
        <f t="shared" si="63"/>
        <v/>
      </c>
    </row>
    <row r="4081" spans="1:5" x14ac:dyDescent="0.2">
      <c r="A4081" t="s">
        <v>1274</v>
      </c>
      <c r="B4081" t="s">
        <v>8</v>
      </c>
      <c r="C4081" t="s">
        <v>461</v>
      </c>
      <c r="D4081" t="str">
        <f>VLOOKUP(C4081,'lookup table'!$A$2:$B$19,2,FALSE)</f>
        <v>Posting Level</v>
      </c>
      <c r="E4081" t="str">
        <f t="shared" si="63"/>
        <v>BL_ALC_00|Posting Level</v>
      </c>
    </row>
    <row r="4082" spans="1:5" x14ac:dyDescent="0.2">
      <c r="A4082" t="s">
        <v>1274</v>
      </c>
      <c r="B4082" t="s">
        <v>8</v>
      </c>
      <c r="C4082" t="s">
        <v>465</v>
      </c>
      <c r="D4082" t="e">
        <f>VLOOKUP(C4082,'lookup table'!$A$2:$B$19,2,FALSE)</f>
        <v>#N/A</v>
      </c>
      <c r="E4082" t="str">
        <f t="shared" si="63"/>
        <v/>
      </c>
    </row>
    <row r="4083" spans="1:5" x14ac:dyDescent="0.2">
      <c r="A4083" t="s">
        <v>1275</v>
      </c>
      <c r="B4083" t="s">
        <v>7</v>
      </c>
      <c r="C4083" t="s">
        <v>6</v>
      </c>
      <c r="D4083" t="e">
        <f>VLOOKUP(C4083,'lookup table'!$A$2:$B$19,2,FALSE)</f>
        <v>#N/A</v>
      </c>
      <c r="E4083" t="str">
        <f t="shared" si="63"/>
        <v/>
      </c>
    </row>
    <row r="4084" spans="1:5" x14ac:dyDescent="0.2">
      <c r="A4084" t="s">
        <v>1275</v>
      </c>
      <c r="B4084" t="s">
        <v>7</v>
      </c>
      <c r="C4084" t="s">
        <v>9</v>
      </c>
      <c r="D4084" t="e">
        <f>VLOOKUP(C4084,'lookup table'!$A$2:$B$19,2,FALSE)</f>
        <v>#N/A</v>
      </c>
      <c r="E4084" t="str">
        <f t="shared" si="63"/>
        <v/>
      </c>
    </row>
    <row r="4085" spans="1:5" x14ac:dyDescent="0.2">
      <c r="A4085" t="s">
        <v>1275</v>
      </c>
      <c r="B4085" t="s">
        <v>7</v>
      </c>
      <c r="C4085" t="s">
        <v>10</v>
      </c>
      <c r="D4085" t="e">
        <f>VLOOKUP(C4085,'lookup table'!$A$2:$B$19,2,FALSE)</f>
        <v>#N/A</v>
      </c>
      <c r="E4085" t="str">
        <f t="shared" si="63"/>
        <v/>
      </c>
    </row>
    <row r="4086" spans="1:5" x14ac:dyDescent="0.2">
      <c r="A4086" t="s">
        <v>1275</v>
      </c>
      <c r="B4086" t="s">
        <v>7</v>
      </c>
      <c r="C4086" t="s">
        <v>11</v>
      </c>
      <c r="D4086" t="e">
        <f>VLOOKUP(C4086,'lookup table'!$A$2:$B$19,2,FALSE)</f>
        <v>#N/A</v>
      </c>
      <c r="E4086" t="str">
        <f t="shared" si="63"/>
        <v/>
      </c>
    </row>
    <row r="4087" spans="1:5" x14ac:dyDescent="0.2">
      <c r="A4087" t="s">
        <v>1275</v>
      </c>
      <c r="B4087" t="s">
        <v>7</v>
      </c>
      <c r="C4087" t="s">
        <v>12</v>
      </c>
      <c r="D4087" t="e">
        <f>VLOOKUP(C4087,'lookup table'!$A$2:$B$19,2,FALSE)</f>
        <v>#N/A</v>
      </c>
      <c r="E4087" t="str">
        <f t="shared" si="63"/>
        <v/>
      </c>
    </row>
    <row r="4088" spans="1:5" x14ac:dyDescent="0.2">
      <c r="A4088" t="s">
        <v>1275</v>
      </c>
      <c r="B4088" t="s">
        <v>7</v>
      </c>
      <c r="C4088" t="s">
        <v>14</v>
      </c>
      <c r="D4088" t="str">
        <f>VLOOKUP(C4088,'lookup table'!$A$2:$B$19,2,FALSE)</f>
        <v>ALC</v>
      </c>
      <c r="E4088" t="str">
        <f t="shared" si="63"/>
        <v>BL_MAT_00|ALC</v>
      </c>
    </row>
    <row r="4089" spans="1:5" x14ac:dyDescent="0.2">
      <c r="A4089" t="s">
        <v>1275</v>
      </c>
      <c r="B4089" t="s">
        <v>7</v>
      </c>
      <c r="C4089" t="s">
        <v>20</v>
      </c>
      <c r="D4089" t="str">
        <f>VLOOKUP(C4089,'lookup table'!$A$2:$B$19,2,FALSE)</f>
        <v>AY</v>
      </c>
      <c r="E4089" t="str">
        <f t="shared" si="63"/>
        <v>BL_MAT_00|AY</v>
      </c>
    </row>
    <row r="4090" spans="1:5" x14ac:dyDescent="0.2">
      <c r="A4090" t="s">
        <v>1275</v>
      </c>
      <c r="B4090" t="s">
        <v>7</v>
      </c>
      <c r="C4090" t="s">
        <v>136</v>
      </c>
      <c r="D4090" t="str">
        <f>VLOOKUP(C4090,'lookup table'!$A$2:$B$19,2,FALSE)</f>
        <v>BBA Set</v>
      </c>
      <c r="E4090" t="str">
        <f t="shared" si="63"/>
        <v>BL_MAT_00|BBA Set</v>
      </c>
    </row>
    <row r="4091" spans="1:5" x14ac:dyDescent="0.2">
      <c r="A4091" t="s">
        <v>1275</v>
      </c>
      <c r="B4091" t="s">
        <v>7</v>
      </c>
      <c r="C4091" t="s">
        <v>324</v>
      </c>
      <c r="D4091" t="e">
        <f>VLOOKUP(C4091,'lookup table'!$A$2:$B$19,2,FALSE)</f>
        <v>#N/A</v>
      </c>
      <c r="E4091" t="str">
        <f t="shared" si="63"/>
        <v/>
      </c>
    </row>
    <row r="4092" spans="1:5" x14ac:dyDescent="0.2">
      <c r="A4092" t="s">
        <v>1275</v>
      </c>
      <c r="B4092" t="s">
        <v>7</v>
      </c>
      <c r="C4092" t="s">
        <v>325</v>
      </c>
      <c r="D4092" t="e">
        <f>VLOOKUP(C4092,'lookup table'!$A$2:$B$19,2,FALSE)</f>
        <v>#N/A</v>
      </c>
      <c r="E4092" t="str">
        <f t="shared" si="63"/>
        <v/>
      </c>
    </row>
    <row r="4093" spans="1:5" x14ac:dyDescent="0.2">
      <c r="A4093" t="s">
        <v>1275</v>
      </c>
      <c r="B4093" t="s">
        <v>7</v>
      </c>
      <c r="C4093" t="s">
        <v>326</v>
      </c>
      <c r="D4093" t="e">
        <f>VLOOKUP(C4093,'lookup table'!$A$2:$B$19,2,FALSE)</f>
        <v>#N/A</v>
      </c>
      <c r="E4093" t="str">
        <f t="shared" si="63"/>
        <v/>
      </c>
    </row>
    <row r="4094" spans="1:5" x14ac:dyDescent="0.2">
      <c r="A4094" t="s">
        <v>1275</v>
      </c>
      <c r="B4094" t="s">
        <v>7</v>
      </c>
      <c r="C4094" t="s">
        <v>327</v>
      </c>
      <c r="D4094" t="e">
        <f>VLOOKUP(C4094,'lookup table'!$A$2:$B$19,2,FALSE)</f>
        <v>#N/A</v>
      </c>
      <c r="E4094" t="str">
        <f t="shared" si="63"/>
        <v/>
      </c>
    </row>
    <row r="4095" spans="1:5" x14ac:dyDescent="0.2">
      <c r="A4095" t="s">
        <v>1275</v>
      </c>
      <c r="B4095" t="s">
        <v>7</v>
      </c>
      <c r="C4095" t="s">
        <v>328</v>
      </c>
      <c r="D4095" t="e">
        <f>VLOOKUP(C4095,'lookup table'!$A$2:$B$19,2,FALSE)</f>
        <v>#N/A</v>
      </c>
      <c r="E4095" t="str">
        <f t="shared" si="63"/>
        <v/>
      </c>
    </row>
    <row r="4096" spans="1:5" x14ac:dyDescent="0.2">
      <c r="A4096" t="s">
        <v>1275</v>
      </c>
      <c r="B4096" t="s">
        <v>7</v>
      </c>
      <c r="C4096" t="s">
        <v>329</v>
      </c>
      <c r="D4096" t="e">
        <f>VLOOKUP(C4096,'lookup table'!$A$2:$B$19,2,FALSE)</f>
        <v>#N/A</v>
      </c>
      <c r="E4096" t="str">
        <f t="shared" si="63"/>
        <v/>
      </c>
    </row>
    <row r="4097" spans="1:5" x14ac:dyDescent="0.2">
      <c r="A4097" t="s">
        <v>1275</v>
      </c>
      <c r="B4097" t="s">
        <v>7</v>
      </c>
      <c r="C4097" t="s">
        <v>331</v>
      </c>
      <c r="D4097" t="str">
        <f>VLOOKUP(C4097,'lookup table'!$A$2:$B$19,2,FALSE)</f>
        <v>FS Item</v>
      </c>
      <c r="E4097" t="str">
        <f t="shared" si="63"/>
        <v>BL_MAT_00|FS Item</v>
      </c>
    </row>
    <row r="4098" spans="1:5" x14ac:dyDescent="0.2">
      <c r="A4098" t="s">
        <v>1275</v>
      </c>
      <c r="B4098" t="s">
        <v>7</v>
      </c>
      <c r="C4098" t="s">
        <v>423</v>
      </c>
      <c r="D4098" t="str">
        <f>VLOOKUP(C4098,'lookup table'!$A$2:$B$19,2,FALSE)</f>
        <v>ignore</v>
      </c>
      <c r="E4098" t="str">
        <f t="shared" si="63"/>
        <v>BL_MAT_00|ignore</v>
      </c>
    </row>
    <row r="4099" spans="1:5" x14ac:dyDescent="0.2">
      <c r="A4099" t="s">
        <v>1275</v>
      </c>
      <c r="B4099" t="s">
        <v>7</v>
      </c>
      <c r="C4099" t="s">
        <v>424</v>
      </c>
      <c r="D4099" t="str">
        <f>VLOOKUP(C4099,'lookup table'!$A$2:$B$19,2,FALSE)</f>
        <v>GRC</v>
      </c>
      <c r="E4099" t="str">
        <f t="shared" ref="E4099:E4162" si="64">IF(ISNA(D4099),"",IF(A4099="","",A4099) &amp; "|" &amp; D4099)</f>
        <v>BL_MAT_00|GRC</v>
      </c>
    </row>
    <row r="4100" spans="1:5" x14ac:dyDescent="0.2">
      <c r="A4100" t="s">
        <v>1275</v>
      </c>
      <c r="B4100" t="s">
        <v>7</v>
      </c>
      <c r="C4100" t="s">
        <v>425</v>
      </c>
      <c r="D4100" t="str">
        <f>VLOOKUP(C4100,'lookup table'!$A$2:$B$19,2,FALSE)</f>
        <v>Investee Segment</v>
      </c>
      <c r="E4100" t="str">
        <f t="shared" si="64"/>
        <v>BL_MAT_00|Investee Segment</v>
      </c>
    </row>
    <row r="4101" spans="1:5" x14ac:dyDescent="0.2">
      <c r="A4101" t="s">
        <v>1275</v>
      </c>
      <c r="B4101" t="s">
        <v>7</v>
      </c>
      <c r="C4101" t="s">
        <v>426</v>
      </c>
      <c r="D4101" t="str">
        <f>VLOOKUP(C4101,'lookup table'!$A$2:$B$19,2,FALSE)</f>
        <v>Investee Unit</v>
      </c>
      <c r="E4101" t="str">
        <f t="shared" si="64"/>
        <v>BL_MAT_00|Investee Unit</v>
      </c>
    </row>
    <row r="4102" spans="1:5" x14ac:dyDescent="0.2">
      <c r="A4102" t="s">
        <v>1275</v>
      </c>
      <c r="B4102" t="s">
        <v>7</v>
      </c>
      <c r="C4102" t="s">
        <v>428</v>
      </c>
      <c r="D4102" t="str">
        <f>VLOOKUP(C4102,'lookup table'!$A$2:$B$19,2,FALSE)</f>
        <v>LoB</v>
      </c>
      <c r="E4102" t="str">
        <f t="shared" si="64"/>
        <v>BL_MAT_00|LoB</v>
      </c>
    </row>
    <row r="4103" spans="1:5" x14ac:dyDescent="0.2">
      <c r="A4103" t="s">
        <v>1275</v>
      </c>
      <c r="B4103" t="s">
        <v>7</v>
      </c>
      <c r="C4103" t="s">
        <v>436</v>
      </c>
      <c r="D4103" t="str">
        <f>VLOOKUP(C4103,'lookup table'!$A$2:$B$19,2,FALSE)</f>
        <v>MAT</v>
      </c>
      <c r="E4103" t="str">
        <f t="shared" si="64"/>
        <v>BL_MAT_00|MAT</v>
      </c>
    </row>
    <row r="4104" spans="1:5" x14ac:dyDescent="0.2">
      <c r="A4104" t="s">
        <v>1275</v>
      </c>
      <c r="B4104" t="s">
        <v>7</v>
      </c>
      <c r="C4104" t="s">
        <v>438</v>
      </c>
      <c r="D4104" t="str">
        <f>VLOOKUP(C4104,'lookup table'!$A$2:$B$19,2,FALSE)</f>
        <v>ToM</v>
      </c>
      <c r="E4104" t="str">
        <f t="shared" si="64"/>
        <v>BL_MAT_00|ToM</v>
      </c>
    </row>
    <row r="4105" spans="1:5" x14ac:dyDescent="0.2">
      <c r="A4105" t="s">
        <v>1275</v>
      </c>
      <c r="B4105" t="s">
        <v>7</v>
      </c>
      <c r="C4105" t="s">
        <v>441</v>
      </c>
      <c r="D4105" t="str">
        <f>VLOOKUP(C4105,'lookup table'!$A$2:$B$19,2,FALSE)</f>
        <v>Partner Segment</v>
      </c>
      <c r="E4105" t="str">
        <f t="shared" si="64"/>
        <v>BL_MAT_00|Partner Segment</v>
      </c>
    </row>
    <row r="4106" spans="1:5" x14ac:dyDescent="0.2">
      <c r="A4106" t="s">
        <v>1275</v>
      </c>
      <c r="B4106" t="s">
        <v>7</v>
      </c>
      <c r="C4106" t="s">
        <v>442</v>
      </c>
      <c r="D4106" t="str">
        <f>VLOOKUP(C4106,'lookup table'!$A$2:$B$19,2,FALSE)</f>
        <v>Partner Unit</v>
      </c>
      <c r="E4106" t="str">
        <f t="shared" si="64"/>
        <v>BL_MAT_00|Partner Unit</v>
      </c>
    </row>
    <row r="4107" spans="1:5" x14ac:dyDescent="0.2">
      <c r="A4107" t="s">
        <v>1275</v>
      </c>
      <c r="B4107" t="s">
        <v>7</v>
      </c>
      <c r="C4107" t="s">
        <v>447</v>
      </c>
      <c r="D4107" t="str">
        <f>VLOOKUP(C4107,'lookup table'!$A$2:$B$19,2,FALSE)</f>
        <v>REX</v>
      </c>
      <c r="E4107" t="str">
        <f t="shared" si="64"/>
        <v>BL_MAT_00|REX</v>
      </c>
    </row>
    <row r="4108" spans="1:5" x14ac:dyDescent="0.2">
      <c r="A4108" t="s">
        <v>1275</v>
      </c>
      <c r="B4108" t="s">
        <v>7</v>
      </c>
      <c r="C4108" t="s">
        <v>448</v>
      </c>
      <c r="D4108" t="e">
        <f>VLOOKUP(C4108,'lookup table'!$A$2:$B$19,2,FALSE)</f>
        <v>#N/A</v>
      </c>
      <c r="E4108" t="str">
        <f t="shared" si="64"/>
        <v/>
      </c>
    </row>
    <row r="4109" spans="1:5" x14ac:dyDescent="0.2">
      <c r="A4109" t="s">
        <v>1275</v>
      </c>
      <c r="B4109" t="s">
        <v>7</v>
      </c>
      <c r="C4109" t="s">
        <v>451</v>
      </c>
      <c r="D4109" t="str">
        <f>VLOOKUP(C4109,'lookup table'!$A$2:$B$19,2,FALSE)</f>
        <v>Segment</v>
      </c>
      <c r="E4109" t="str">
        <f t="shared" si="64"/>
        <v>BL_MAT_00|Segment</v>
      </c>
    </row>
    <row r="4110" spans="1:5" x14ac:dyDescent="0.2">
      <c r="A4110" t="s">
        <v>1275</v>
      </c>
      <c r="B4110" t="s">
        <v>7</v>
      </c>
      <c r="C4110" t="s">
        <v>455</v>
      </c>
      <c r="D4110" t="e">
        <f>VLOOKUP(C4110,'lookup table'!$A$2:$B$19,2,FALSE)</f>
        <v>#N/A</v>
      </c>
      <c r="E4110" t="str">
        <f t="shared" si="64"/>
        <v/>
      </c>
    </row>
    <row r="4111" spans="1:5" x14ac:dyDescent="0.2">
      <c r="A4111" t="s">
        <v>1275</v>
      </c>
      <c r="B4111" t="s">
        <v>7</v>
      </c>
      <c r="C4111" t="s">
        <v>456</v>
      </c>
      <c r="D4111" t="e">
        <f>VLOOKUP(C4111,'lookup table'!$A$2:$B$19,2,FALSE)</f>
        <v>#N/A</v>
      </c>
      <c r="E4111" t="str">
        <f t="shared" si="64"/>
        <v/>
      </c>
    </row>
    <row r="4112" spans="1:5" x14ac:dyDescent="0.2">
      <c r="A4112" t="s">
        <v>1275</v>
      </c>
      <c r="B4112" t="s">
        <v>7</v>
      </c>
      <c r="C4112" t="s">
        <v>457</v>
      </c>
      <c r="D4112" t="str">
        <f>VLOOKUP(C4112,'lookup table'!$A$2:$B$19,2,FALSE)</f>
        <v>VLT</v>
      </c>
      <c r="E4112" t="str">
        <f t="shared" si="64"/>
        <v>BL_MAT_00|VLT</v>
      </c>
    </row>
    <row r="4113" spans="1:5" x14ac:dyDescent="0.2">
      <c r="A4113" t="s">
        <v>1275</v>
      </c>
      <c r="B4113" t="s">
        <v>7</v>
      </c>
      <c r="C4113" t="s">
        <v>458</v>
      </c>
      <c r="D4113" t="str">
        <f>VLOOKUP(C4113,'lookup table'!$A$2:$B$19,2,FALSE)</f>
        <v>VAR</v>
      </c>
      <c r="E4113" t="str">
        <f t="shared" si="64"/>
        <v>BL_MAT_00|VAR</v>
      </c>
    </row>
    <row r="4114" spans="1:5" x14ac:dyDescent="0.2">
      <c r="A4114" t="s">
        <v>1275</v>
      </c>
      <c r="B4114" t="s">
        <v>7</v>
      </c>
      <c r="C4114" t="s">
        <v>460</v>
      </c>
      <c r="D4114" t="e">
        <f>VLOOKUP(C4114,'lookup table'!$A$2:$B$19,2,FALSE)</f>
        <v>#N/A</v>
      </c>
      <c r="E4114" t="str">
        <f t="shared" si="64"/>
        <v/>
      </c>
    </row>
    <row r="4115" spans="1:5" x14ac:dyDescent="0.2">
      <c r="A4115" t="s">
        <v>1275</v>
      </c>
      <c r="B4115" t="s">
        <v>7</v>
      </c>
      <c r="C4115" t="s">
        <v>461</v>
      </c>
      <c r="D4115" t="str">
        <f>VLOOKUP(C4115,'lookup table'!$A$2:$B$19,2,FALSE)</f>
        <v>Posting Level</v>
      </c>
      <c r="E4115" t="str">
        <f t="shared" si="64"/>
        <v>BL_MAT_00|Posting Level</v>
      </c>
    </row>
    <row r="4116" spans="1:5" x14ac:dyDescent="0.2">
      <c r="A4116" t="s">
        <v>1275</v>
      </c>
      <c r="B4116" t="s">
        <v>7</v>
      </c>
      <c r="C4116" t="s">
        <v>465</v>
      </c>
      <c r="D4116" t="e">
        <f>VLOOKUP(C4116,'lookup table'!$A$2:$B$19,2,FALSE)</f>
        <v>#N/A</v>
      </c>
      <c r="E4116" t="str">
        <f t="shared" si="64"/>
        <v/>
      </c>
    </row>
    <row r="4117" spans="1:5" x14ac:dyDescent="0.2">
      <c r="A4117" t="s">
        <v>1276</v>
      </c>
      <c r="B4117" t="s">
        <v>1277</v>
      </c>
      <c r="C4117" t="s">
        <v>331</v>
      </c>
      <c r="D4117" t="str">
        <f>VLOOKUP(C4117,'lookup table'!$A$2:$B$19,2,FALSE)</f>
        <v>FS Item</v>
      </c>
      <c r="E4117" t="str">
        <f t="shared" si="64"/>
        <v>BL_PL01_00|FS Item</v>
      </c>
    </row>
    <row r="4118" spans="1:5" x14ac:dyDescent="0.2">
      <c r="A4118" t="s">
        <v>1276</v>
      </c>
      <c r="B4118" t="s">
        <v>1277</v>
      </c>
      <c r="C4118" t="s">
        <v>423</v>
      </c>
      <c r="D4118" t="str">
        <f>VLOOKUP(C4118,'lookup table'!$A$2:$B$19,2,FALSE)</f>
        <v>ignore</v>
      </c>
      <c r="E4118" t="str">
        <f t="shared" si="64"/>
        <v>BL_PL01_00|ignore</v>
      </c>
    </row>
    <row r="4119" spans="1:5" x14ac:dyDescent="0.2">
      <c r="A4119" t="s">
        <v>1276</v>
      </c>
      <c r="B4119" t="s">
        <v>1277</v>
      </c>
      <c r="C4119" t="s">
        <v>438</v>
      </c>
      <c r="D4119" t="str">
        <f>VLOOKUP(C4119,'lookup table'!$A$2:$B$19,2,FALSE)</f>
        <v>ToM</v>
      </c>
      <c r="E4119" t="str">
        <f t="shared" si="64"/>
        <v>BL_PL01_00|ToM</v>
      </c>
    </row>
    <row r="4120" spans="1:5" x14ac:dyDescent="0.2">
      <c r="A4120" t="s">
        <v>1278</v>
      </c>
      <c r="B4120" t="s">
        <v>1279</v>
      </c>
      <c r="C4120" t="s">
        <v>331</v>
      </c>
      <c r="D4120" t="str">
        <f>VLOOKUP(C4120,'lookup table'!$A$2:$B$19,2,FALSE)</f>
        <v>FS Item</v>
      </c>
      <c r="E4120" t="str">
        <f t="shared" si="64"/>
        <v>BL_PL01_01|FS Item</v>
      </c>
    </row>
    <row r="4121" spans="1:5" x14ac:dyDescent="0.2">
      <c r="A4121" t="s">
        <v>1278</v>
      </c>
      <c r="B4121" t="s">
        <v>1279</v>
      </c>
      <c r="C4121" t="s">
        <v>423</v>
      </c>
      <c r="D4121" t="str">
        <f>VLOOKUP(C4121,'lookup table'!$A$2:$B$19,2,FALSE)</f>
        <v>ignore</v>
      </c>
      <c r="E4121" t="str">
        <f t="shared" si="64"/>
        <v>BL_PL01_01|ignore</v>
      </c>
    </row>
    <row r="4122" spans="1:5" x14ac:dyDescent="0.2">
      <c r="A4122" t="s">
        <v>1278</v>
      </c>
      <c r="B4122" t="s">
        <v>1279</v>
      </c>
      <c r="C4122" t="s">
        <v>438</v>
      </c>
      <c r="D4122" t="str">
        <f>VLOOKUP(C4122,'lookup table'!$A$2:$B$19,2,FALSE)</f>
        <v>ToM</v>
      </c>
      <c r="E4122" t="str">
        <f t="shared" si="64"/>
        <v>BL_PL01_01|ToM</v>
      </c>
    </row>
    <row r="4123" spans="1:5" x14ac:dyDescent="0.2">
      <c r="A4123" t="s">
        <v>1280</v>
      </c>
      <c r="B4123" t="s">
        <v>1281</v>
      </c>
      <c r="C4123" t="s">
        <v>6</v>
      </c>
      <c r="D4123" t="e">
        <f>VLOOKUP(C4123,'lookup table'!$A$2:$B$19,2,FALSE)</f>
        <v>#N/A</v>
      </c>
      <c r="E4123" t="str">
        <f t="shared" si="64"/>
        <v/>
      </c>
    </row>
    <row r="4124" spans="1:5" x14ac:dyDescent="0.2">
      <c r="A4124" t="s">
        <v>1280</v>
      </c>
      <c r="B4124" t="s">
        <v>1281</v>
      </c>
      <c r="C4124" t="s">
        <v>9</v>
      </c>
      <c r="D4124" t="e">
        <f>VLOOKUP(C4124,'lookup table'!$A$2:$B$19,2,FALSE)</f>
        <v>#N/A</v>
      </c>
      <c r="E4124" t="str">
        <f t="shared" si="64"/>
        <v/>
      </c>
    </row>
    <row r="4125" spans="1:5" x14ac:dyDescent="0.2">
      <c r="A4125" t="s">
        <v>1280</v>
      </c>
      <c r="B4125" t="s">
        <v>1281</v>
      </c>
      <c r="C4125" t="s">
        <v>10</v>
      </c>
      <c r="D4125" t="e">
        <f>VLOOKUP(C4125,'lookup table'!$A$2:$B$19,2,FALSE)</f>
        <v>#N/A</v>
      </c>
      <c r="E4125" t="str">
        <f t="shared" si="64"/>
        <v/>
      </c>
    </row>
    <row r="4126" spans="1:5" x14ac:dyDescent="0.2">
      <c r="A4126" t="s">
        <v>1280</v>
      </c>
      <c r="B4126" t="s">
        <v>1281</v>
      </c>
      <c r="C4126" t="s">
        <v>11</v>
      </c>
      <c r="D4126" t="e">
        <f>VLOOKUP(C4126,'lookup table'!$A$2:$B$19,2,FALSE)</f>
        <v>#N/A</v>
      </c>
      <c r="E4126" t="str">
        <f t="shared" si="64"/>
        <v/>
      </c>
    </row>
    <row r="4127" spans="1:5" x14ac:dyDescent="0.2">
      <c r="A4127" t="s">
        <v>1280</v>
      </c>
      <c r="B4127" t="s">
        <v>1281</v>
      </c>
      <c r="C4127" t="s">
        <v>12</v>
      </c>
      <c r="D4127" t="e">
        <f>VLOOKUP(C4127,'lookup table'!$A$2:$B$19,2,FALSE)</f>
        <v>#N/A</v>
      </c>
      <c r="E4127" t="str">
        <f t="shared" si="64"/>
        <v/>
      </c>
    </row>
    <row r="4128" spans="1:5" x14ac:dyDescent="0.2">
      <c r="A4128" t="s">
        <v>1280</v>
      </c>
      <c r="B4128" t="s">
        <v>1281</v>
      </c>
      <c r="C4128" t="s">
        <v>14</v>
      </c>
      <c r="D4128" t="str">
        <f>VLOOKUP(C4128,'lookup table'!$A$2:$B$19,2,FALSE)</f>
        <v>ALC</v>
      </c>
      <c r="E4128" t="str">
        <f t="shared" si="64"/>
        <v>BL_REX_00|ALC</v>
      </c>
    </row>
    <row r="4129" spans="1:5" x14ac:dyDescent="0.2">
      <c r="A4129" t="s">
        <v>1280</v>
      </c>
      <c r="B4129" t="s">
        <v>1281</v>
      </c>
      <c r="C4129" t="s">
        <v>20</v>
      </c>
      <c r="D4129" t="str">
        <f>VLOOKUP(C4129,'lookup table'!$A$2:$B$19,2,FALSE)</f>
        <v>AY</v>
      </c>
      <c r="E4129" t="str">
        <f t="shared" si="64"/>
        <v>BL_REX_00|AY</v>
      </c>
    </row>
    <row r="4130" spans="1:5" x14ac:dyDescent="0.2">
      <c r="A4130" t="s">
        <v>1280</v>
      </c>
      <c r="B4130" t="s">
        <v>1281</v>
      </c>
      <c r="C4130" t="s">
        <v>136</v>
      </c>
      <c r="D4130" t="str">
        <f>VLOOKUP(C4130,'lookup table'!$A$2:$B$19,2,FALSE)</f>
        <v>BBA Set</v>
      </c>
      <c r="E4130" t="str">
        <f t="shared" si="64"/>
        <v>BL_REX_00|BBA Set</v>
      </c>
    </row>
    <row r="4131" spans="1:5" x14ac:dyDescent="0.2">
      <c r="A4131" t="s">
        <v>1280</v>
      </c>
      <c r="B4131" t="s">
        <v>1281</v>
      </c>
      <c r="C4131" t="s">
        <v>324</v>
      </c>
      <c r="D4131" t="e">
        <f>VLOOKUP(C4131,'lookup table'!$A$2:$B$19,2,FALSE)</f>
        <v>#N/A</v>
      </c>
      <c r="E4131" t="str">
        <f t="shared" si="64"/>
        <v/>
      </c>
    </row>
    <row r="4132" spans="1:5" x14ac:dyDescent="0.2">
      <c r="A4132" t="s">
        <v>1280</v>
      </c>
      <c r="B4132" t="s">
        <v>1281</v>
      </c>
      <c r="C4132" t="s">
        <v>325</v>
      </c>
      <c r="D4132" t="e">
        <f>VLOOKUP(C4132,'lookup table'!$A$2:$B$19,2,FALSE)</f>
        <v>#N/A</v>
      </c>
      <c r="E4132" t="str">
        <f t="shared" si="64"/>
        <v/>
      </c>
    </row>
    <row r="4133" spans="1:5" x14ac:dyDescent="0.2">
      <c r="A4133" t="s">
        <v>1280</v>
      </c>
      <c r="B4133" t="s">
        <v>1281</v>
      </c>
      <c r="C4133" t="s">
        <v>326</v>
      </c>
      <c r="D4133" t="e">
        <f>VLOOKUP(C4133,'lookup table'!$A$2:$B$19,2,FALSE)</f>
        <v>#N/A</v>
      </c>
      <c r="E4133" t="str">
        <f t="shared" si="64"/>
        <v/>
      </c>
    </row>
    <row r="4134" spans="1:5" x14ac:dyDescent="0.2">
      <c r="A4134" t="s">
        <v>1280</v>
      </c>
      <c r="B4134" t="s">
        <v>1281</v>
      </c>
      <c r="C4134" t="s">
        <v>327</v>
      </c>
      <c r="D4134" t="e">
        <f>VLOOKUP(C4134,'lookup table'!$A$2:$B$19,2,FALSE)</f>
        <v>#N/A</v>
      </c>
      <c r="E4134" t="str">
        <f t="shared" si="64"/>
        <v/>
      </c>
    </row>
    <row r="4135" spans="1:5" x14ac:dyDescent="0.2">
      <c r="A4135" t="s">
        <v>1280</v>
      </c>
      <c r="B4135" t="s">
        <v>1281</v>
      </c>
      <c r="C4135" t="s">
        <v>328</v>
      </c>
      <c r="D4135" t="e">
        <f>VLOOKUP(C4135,'lookup table'!$A$2:$B$19,2,FALSE)</f>
        <v>#N/A</v>
      </c>
      <c r="E4135" t="str">
        <f t="shared" si="64"/>
        <v/>
      </c>
    </row>
    <row r="4136" spans="1:5" x14ac:dyDescent="0.2">
      <c r="A4136" t="s">
        <v>1280</v>
      </c>
      <c r="B4136" t="s">
        <v>1281</v>
      </c>
      <c r="C4136" t="s">
        <v>329</v>
      </c>
      <c r="D4136" t="e">
        <f>VLOOKUP(C4136,'lookup table'!$A$2:$B$19,2,FALSE)</f>
        <v>#N/A</v>
      </c>
      <c r="E4136" t="str">
        <f t="shared" si="64"/>
        <v/>
      </c>
    </row>
    <row r="4137" spans="1:5" x14ac:dyDescent="0.2">
      <c r="A4137" t="s">
        <v>1280</v>
      </c>
      <c r="B4137" t="s">
        <v>1281</v>
      </c>
      <c r="C4137" t="s">
        <v>331</v>
      </c>
      <c r="D4137" t="str">
        <f>VLOOKUP(C4137,'lookup table'!$A$2:$B$19,2,FALSE)</f>
        <v>FS Item</v>
      </c>
      <c r="E4137" t="str">
        <f t="shared" si="64"/>
        <v>BL_REX_00|FS Item</v>
      </c>
    </row>
    <row r="4138" spans="1:5" x14ac:dyDescent="0.2">
      <c r="A4138" t="s">
        <v>1280</v>
      </c>
      <c r="B4138" t="s">
        <v>1281</v>
      </c>
      <c r="C4138" t="s">
        <v>423</v>
      </c>
      <c r="D4138" t="str">
        <f>VLOOKUP(C4138,'lookup table'!$A$2:$B$19,2,FALSE)</f>
        <v>ignore</v>
      </c>
      <c r="E4138" t="str">
        <f t="shared" si="64"/>
        <v>BL_REX_00|ignore</v>
      </c>
    </row>
    <row r="4139" spans="1:5" x14ac:dyDescent="0.2">
      <c r="A4139" t="s">
        <v>1280</v>
      </c>
      <c r="B4139" t="s">
        <v>1281</v>
      </c>
      <c r="C4139" t="s">
        <v>424</v>
      </c>
      <c r="D4139" t="str">
        <f>VLOOKUP(C4139,'lookup table'!$A$2:$B$19,2,FALSE)</f>
        <v>GRC</v>
      </c>
      <c r="E4139" t="str">
        <f t="shared" si="64"/>
        <v>BL_REX_00|GRC</v>
      </c>
    </row>
    <row r="4140" spans="1:5" x14ac:dyDescent="0.2">
      <c r="A4140" t="s">
        <v>1280</v>
      </c>
      <c r="B4140" t="s">
        <v>1281</v>
      </c>
      <c r="C4140" t="s">
        <v>425</v>
      </c>
      <c r="D4140" t="str">
        <f>VLOOKUP(C4140,'lookup table'!$A$2:$B$19,2,FALSE)</f>
        <v>Investee Segment</v>
      </c>
      <c r="E4140" t="str">
        <f t="shared" si="64"/>
        <v>BL_REX_00|Investee Segment</v>
      </c>
    </row>
    <row r="4141" spans="1:5" x14ac:dyDescent="0.2">
      <c r="A4141" t="s">
        <v>1280</v>
      </c>
      <c r="B4141" t="s">
        <v>1281</v>
      </c>
      <c r="C4141" t="s">
        <v>426</v>
      </c>
      <c r="D4141" t="str">
        <f>VLOOKUP(C4141,'lookup table'!$A$2:$B$19,2,FALSE)</f>
        <v>Investee Unit</v>
      </c>
      <c r="E4141" t="str">
        <f t="shared" si="64"/>
        <v>BL_REX_00|Investee Unit</v>
      </c>
    </row>
    <row r="4142" spans="1:5" x14ac:dyDescent="0.2">
      <c r="A4142" t="s">
        <v>1280</v>
      </c>
      <c r="B4142" t="s">
        <v>1281</v>
      </c>
      <c r="C4142" t="s">
        <v>428</v>
      </c>
      <c r="D4142" t="str">
        <f>VLOOKUP(C4142,'lookup table'!$A$2:$B$19,2,FALSE)</f>
        <v>LoB</v>
      </c>
      <c r="E4142" t="str">
        <f t="shared" si="64"/>
        <v>BL_REX_00|LoB</v>
      </c>
    </row>
    <row r="4143" spans="1:5" x14ac:dyDescent="0.2">
      <c r="A4143" t="s">
        <v>1280</v>
      </c>
      <c r="B4143" t="s">
        <v>1281</v>
      </c>
      <c r="C4143" t="s">
        <v>436</v>
      </c>
      <c r="D4143" t="str">
        <f>VLOOKUP(C4143,'lookup table'!$A$2:$B$19,2,FALSE)</f>
        <v>MAT</v>
      </c>
      <c r="E4143" t="str">
        <f t="shared" si="64"/>
        <v>BL_REX_00|MAT</v>
      </c>
    </row>
    <row r="4144" spans="1:5" x14ac:dyDescent="0.2">
      <c r="A4144" t="s">
        <v>1280</v>
      </c>
      <c r="B4144" t="s">
        <v>1281</v>
      </c>
      <c r="C4144" t="s">
        <v>438</v>
      </c>
      <c r="D4144" t="str">
        <f>VLOOKUP(C4144,'lookup table'!$A$2:$B$19,2,FALSE)</f>
        <v>ToM</v>
      </c>
      <c r="E4144" t="str">
        <f t="shared" si="64"/>
        <v>BL_REX_00|ToM</v>
      </c>
    </row>
    <row r="4145" spans="1:5" x14ac:dyDescent="0.2">
      <c r="A4145" t="s">
        <v>1280</v>
      </c>
      <c r="B4145" t="s">
        <v>1281</v>
      </c>
      <c r="C4145" t="s">
        <v>441</v>
      </c>
      <c r="D4145" t="str">
        <f>VLOOKUP(C4145,'lookup table'!$A$2:$B$19,2,FALSE)</f>
        <v>Partner Segment</v>
      </c>
      <c r="E4145" t="str">
        <f t="shared" si="64"/>
        <v>BL_REX_00|Partner Segment</v>
      </c>
    </row>
    <row r="4146" spans="1:5" x14ac:dyDescent="0.2">
      <c r="A4146" t="s">
        <v>1280</v>
      </c>
      <c r="B4146" t="s">
        <v>1281</v>
      </c>
      <c r="C4146" t="s">
        <v>442</v>
      </c>
      <c r="D4146" t="str">
        <f>VLOOKUP(C4146,'lookup table'!$A$2:$B$19,2,FALSE)</f>
        <v>Partner Unit</v>
      </c>
      <c r="E4146" t="str">
        <f t="shared" si="64"/>
        <v>BL_REX_00|Partner Unit</v>
      </c>
    </row>
    <row r="4147" spans="1:5" x14ac:dyDescent="0.2">
      <c r="A4147" t="s">
        <v>1280</v>
      </c>
      <c r="B4147" t="s">
        <v>1281</v>
      </c>
      <c r="C4147" t="s">
        <v>447</v>
      </c>
      <c r="D4147" t="str">
        <f>VLOOKUP(C4147,'lookup table'!$A$2:$B$19,2,FALSE)</f>
        <v>REX</v>
      </c>
      <c r="E4147" t="str">
        <f t="shared" si="64"/>
        <v>BL_REX_00|REX</v>
      </c>
    </row>
    <row r="4148" spans="1:5" x14ac:dyDescent="0.2">
      <c r="A4148" t="s">
        <v>1280</v>
      </c>
      <c r="B4148" t="s">
        <v>1281</v>
      </c>
      <c r="C4148" t="s">
        <v>448</v>
      </c>
      <c r="D4148" t="e">
        <f>VLOOKUP(C4148,'lookup table'!$A$2:$B$19,2,FALSE)</f>
        <v>#N/A</v>
      </c>
      <c r="E4148" t="str">
        <f t="shared" si="64"/>
        <v/>
      </c>
    </row>
    <row r="4149" spans="1:5" x14ac:dyDescent="0.2">
      <c r="A4149" t="s">
        <v>1280</v>
      </c>
      <c r="B4149" t="s">
        <v>1281</v>
      </c>
      <c r="C4149" t="s">
        <v>451</v>
      </c>
      <c r="D4149" t="str">
        <f>VLOOKUP(C4149,'lookup table'!$A$2:$B$19,2,FALSE)</f>
        <v>Segment</v>
      </c>
      <c r="E4149" t="str">
        <f t="shared" si="64"/>
        <v>BL_REX_00|Segment</v>
      </c>
    </row>
    <row r="4150" spans="1:5" x14ac:dyDescent="0.2">
      <c r="A4150" t="s">
        <v>1280</v>
      </c>
      <c r="B4150" t="s">
        <v>1281</v>
      </c>
      <c r="C4150" t="s">
        <v>455</v>
      </c>
      <c r="D4150" t="e">
        <f>VLOOKUP(C4150,'lookup table'!$A$2:$B$19,2,FALSE)</f>
        <v>#N/A</v>
      </c>
      <c r="E4150" t="str">
        <f t="shared" si="64"/>
        <v/>
      </c>
    </row>
    <row r="4151" spans="1:5" x14ac:dyDescent="0.2">
      <c r="A4151" t="s">
        <v>1280</v>
      </c>
      <c r="B4151" t="s">
        <v>1281</v>
      </c>
      <c r="C4151" t="s">
        <v>456</v>
      </c>
      <c r="D4151" t="e">
        <f>VLOOKUP(C4151,'lookup table'!$A$2:$B$19,2,FALSE)</f>
        <v>#N/A</v>
      </c>
      <c r="E4151" t="str">
        <f t="shared" si="64"/>
        <v/>
      </c>
    </row>
    <row r="4152" spans="1:5" x14ac:dyDescent="0.2">
      <c r="A4152" t="s">
        <v>1280</v>
      </c>
      <c r="B4152" t="s">
        <v>1281</v>
      </c>
      <c r="C4152" t="s">
        <v>457</v>
      </c>
      <c r="D4152" t="str">
        <f>VLOOKUP(C4152,'lookup table'!$A$2:$B$19,2,FALSE)</f>
        <v>VLT</v>
      </c>
      <c r="E4152" t="str">
        <f t="shared" si="64"/>
        <v>BL_REX_00|VLT</v>
      </c>
    </row>
    <row r="4153" spans="1:5" x14ac:dyDescent="0.2">
      <c r="A4153" t="s">
        <v>1280</v>
      </c>
      <c r="B4153" t="s">
        <v>1281</v>
      </c>
      <c r="C4153" t="s">
        <v>458</v>
      </c>
      <c r="D4153" t="str">
        <f>VLOOKUP(C4153,'lookup table'!$A$2:$B$19,2,FALSE)</f>
        <v>VAR</v>
      </c>
      <c r="E4153" t="str">
        <f t="shared" si="64"/>
        <v>BL_REX_00|VAR</v>
      </c>
    </row>
    <row r="4154" spans="1:5" x14ac:dyDescent="0.2">
      <c r="A4154" t="s">
        <v>1280</v>
      </c>
      <c r="B4154" t="s">
        <v>1281</v>
      </c>
      <c r="C4154" t="s">
        <v>460</v>
      </c>
      <c r="D4154" t="e">
        <f>VLOOKUP(C4154,'lookup table'!$A$2:$B$19,2,FALSE)</f>
        <v>#N/A</v>
      </c>
      <c r="E4154" t="str">
        <f t="shared" si="64"/>
        <v/>
      </c>
    </row>
    <row r="4155" spans="1:5" x14ac:dyDescent="0.2">
      <c r="A4155" t="s">
        <v>1280</v>
      </c>
      <c r="B4155" t="s">
        <v>1281</v>
      </c>
      <c r="C4155" t="s">
        <v>461</v>
      </c>
      <c r="D4155" t="str">
        <f>VLOOKUP(C4155,'lookup table'!$A$2:$B$19,2,FALSE)</f>
        <v>Posting Level</v>
      </c>
      <c r="E4155" t="str">
        <f t="shared" si="64"/>
        <v>BL_REX_00|Posting Level</v>
      </c>
    </row>
    <row r="4156" spans="1:5" x14ac:dyDescent="0.2">
      <c r="A4156" t="s">
        <v>1280</v>
      </c>
      <c r="B4156" t="s">
        <v>1281</v>
      </c>
      <c r="C4156" t="s">
        <v>465</v>
      </c>
      <c r="D4156" t="e">
        <f>VLOOKUP(C4156,'lookup table'!$A$2:$B$19,2,FALSE)</f>
        <v>#N/A</v>
      </c>
      <c r="E4156" t="str">
        <f t="shared" si="64"/>
        <v/>
      </c>
    </row>
    <row r="4157" spans="1:5" x14ac:dyDescent="0.2">
      <c r="A4157" t="s">
        <v>1282</v>
      </c>
      <c r="B4157" t="s">
        <v>1281</v>
      </c>
      <c r="C4157" t="s">
        <v>6</v>
      </c>
      <c r="D4157" t="e">
        <f>VLOOKUP(C4157,'lookup table'!$A$2:$B$19,2,FALSE)</f>
        <v>#N/A</v>
      </c>
      <c r="E4157" t="str">
        <f t="shared" si="64"/>
        <v/>
      </c>
    </row>
    <row r="4158" spans="1:5" x14ac:dyDescent="0.2">
      <c r="A4158" t="s">
        <v>1282</v>
      </c>
      <c r="B4158" t="s">
        <v>1281</v>
      </c>
      <c r="C4158" t="s">
        <v>9</v>
      </c>
      <c r="D4158" t="e">
        <f>VLOOKUP(C4158,'lookup table'!$A$2:$B$19,2,FALSE)</f>
        <v>#N/A</v>
      </c>
      <c r="E4158" t="str">
        <f t="shared" si="64"/>
        <v/>
      </c>
    </row>
    <row r="4159" spans="1:5" x14ac:dyDescent="0.2">
      <c r="A4159" t="s">
        <v>1282</v>
      </c>
      <c r="B4159" t="s">
        <v>1281</v>
      </c>
      <c r="C4159" t="s">
        <v>10</v>
      </c>
      <c r="D4159" t="e">
        <f>VLOOKUP(C4159,'lookup table'!$A$2:$B$19,2,FALSE)</f>
        <v>#N/A</v>
      </c>
      <c r="E4159" t="str">
        <f t="shared" si="64"/>
        <v/>
      </c>
    </row>
    <row r="4160" spans="1:5" x14ac:dyDescent="0.2">
      <c r="A4160" t="s">
        <v>1282</v>
      </c>
      <c r="B4160" t="s">
        <v>1281</v>
      </c>
      <c r="C4160" t="s">
        <v>11</v>
      </c>
      <c r="D4160" t="e">
        <f>VLOOKUP(C4160,'lookup table'!$A$2:$B$19,2,FALSE)</f>
        <v>#N/A</v>
      </c>
      <c r="E4160" t="str">
        <f t="shared" si="64"/>
        <v/>
      </c>
    </row>
    <row r="4161" spans="1:5" x14ac:dyDescent="0.2">
      <c r="A4161" t="s">
        <v>1282</v>
      </c>
      <c r="B4161" t="s">
        <v>1281</v>
      </c>
      <c r="C4161" t="s">
        <v>12</v>
      </c>
      <c r="D4161" t="e">
        <f>VLOOKUP(C4161,'lookup table'!$A$2:$B$19,2,FALSE)</f>
        <v>#N/A</v>
      </c>
      <c r="E4161" t="str">
        <f t="shared" si="64"/>
        <v/>
      </c>
    </row>
    <row r="4162" spans="1:5" x14ac:dyDescent="0.2">
      <c r="A4162" t="s">
        <v>1282</v>
      </c>
      <c r="B4162" t="s">
        <v>1281</v>
      </c>
      <c r="C4162" t="s">
        <v>14</v>
      </c>
      <c r="D4162" t="str">
        <f>VLOOKUP(C4162,'lookup table'!$A$2:$B$19,2,FALSE)</f>
        <v>ALC</v>
      </c>
      <c r="E4162" t="str">
        <f t="shared" si="64"/>
        <v>BL_REX_17|ALC</v>
      </c>
    </row>
    <row r="4163" spans="1:5" x14ac:dyDescent="0.2">
      <c r="A4163" t="s">
        <v>1282</v>
      </c>
      <c r="B4163" t="s">
        <v>1281</v>
      </c>
      <c r="C4163" t="s">
        <v>20</v>
      </c>
      <c r="D4163" t="str">
        <f>VLOOKUP(C4163,'lookup table'!$A$2:$B$19,2,FALSE)</f>
        <v>AY</v>
      </c>
      <c r="E4163" t="str">
        <f t="shared" ref="E4163:E4226" si="65">IF(ISNA(D4163),"",IF(A4163="","",A4163) &amp; "|" &amp; D4163)</f>
        <v>BL_REX_17|AY</v>
      </c>
    </row>
    <row r="4164" spans="1:5" x14ac:dyDescent="0.2">
      <c r="A4164" t="s">
        <v>1282</v>
      </c>
      <c r="B4164" t="s">
        <v>1281</v>
      </c>
      <c r="C4164" t="s">
        <v>136</v>
      </c>
      <c r="D4164" t="str">
        <f>VLOOKUP(C4164,'lookup table'!$A$2:$B$19,2,FALSE)</f>
        <v>BBA Set</v>
      </c>
      <c r="E4164" t="str">
        <f t="shared" si="65"/>
        <v>BL_REX_17|BBA Set</v>
      </c>
    </row>
    <row r="4165" spans="1:5" x14ac:dyDescent="0.2">
      <c r="A4165" t="s">
        <v>1282</v>
      </c>
      <c r="B4165" t="s">
        <v>1281</v>
      </c>
      <c r="C4165" t="s">
        <v>324</v>
      </c>
      <c r="D4165" t="e">
        <f>VLOOKUP(C4165,'lookup table'!$A$2:$B$19,2,FALSE)</f>
        <v>#N/A</v>
      </c>
      <c r="E4165" t="str">
        <f t="shared" si="65"/>
        <v/>
      </c>
    </row>
    <row r="4166" spans="1:5" x14ac:dyDescent="0.2">
      <c r="A4166" t="s">
        <v>1282</v>
      </c>
      <c r="B4166" t="s">
        <v>1281</v>
      </c>
      <c r="C4166" t="s">
        <v>325</v>
      </c>
      <c r="D4166" t="e">
        <f>VLOOKUP(C4166,'lookup table'!$A$2:$B$19,2,FALSE)</f>
        <v>#N/A</v>
      </c>
      <c r="E4166" t="str">
        <f t="shared" si="65"/>
        <v/>
      </c>
    </row>
    <row r="4167" spans="1:5" x14ac:dyDescent="0.2">
      <c r="A4167" t="s">
        <v>1282</v>
      </c>
      <c r="B4167" t="s">
        <v>1281</v>
      </c>
      <c r="C4167" t="s">
        <v>326</v>
      </c>
      <c r="D4167" t="e">
        <f>VLOOKUP(C4167,'lookup table'!$A$2:$B$19,2,FALSE)</f>
        <v>#N/A</v>
      </c>
      <c r="E4167" t="str">
        <f t="shared" si="65"/>
        <v/>
      </c>
    </row>
    <row r="4168" spans="1:5" x14ac:dyDescent="0.2">
      <c r="A4168" t="s">
        <v>1282</v>
      </c>
      <c r="B4168" t="s">
        <v>1281</v>
      </c>
      <c r="C4168" t="s">
        <v>327</v>
      </c>
      <c r="D4168" t="e">
        <f>VLOOKUP(C4168,'lookup table'!$A$2:$B$19,2,FALSE)</f>
        <v>#N/A</v>
      </c>
      <c r="E4168" t="str">
        <f t="shared" si="65"/>
        <v/>
      </c>
    </row>
    <row r="4169" spans="1:5" x14ac:dyDescent="0.2">
      <c r="A4169" t="s">
        <v>1282</v>
      </c>
      <c r="B4169" t="s">
        <v>1281</v>
      </c>
      <c r="C4169" t="s">
        <v>328</v>
      </c>
      <c r="D4169" t="e">
        <f>VLOOKUP(C4169,'lookup table'!$A$2:$B$19,2,FALSE)</f>
        <v>#N/A</v>
      </c>
      <c r="E4169" t="str">
        <f t="shared" si="65"/>
        <v/>
      </c>
    </row>
    <row r="4170" spans="1:5" x14ac:dyDescent="0.2">
      <c r="A4170" t="s">
        <v>1282</v>
      </c>
      <c r="B4170" t="s">
        <v>1281</v>
      </c>
      <c r="C4170" t="s">
        <v>329</v>
      </c>
      <c r="D4170" t="e">
        <f>VLOOKUP(C4170,'lookup table'!$A$2:$B$19,2,FALSE)</f>
        <v>#N/A</v>
      </c>
      <c r="E4170" t="str">
        <f t="shared" si="65"/>
        <v/>
      </c>
    </row>
    <row r="4171" spans="1:5" x14ac:dyDescent="0.2">
      <c r="A4171" t="s">
        <v>1282</v>
      </c>
      <c r="B4171" t="s">
        <v>1281</v>
      </c>
      <c r="C4171" t="s">
        <v>331</v>
      </c>
      <c r="D4171" t="str">
        <f>VLOOKUP(C4171,'lookup table'!$A$2:$B$19,2,FALSE)</f>
        <v>FS Item</v>
      </c>
      <c r="E4171" t="str">
        <f t="shared" si="65"/>
        <v>BL_REX_17|FS Item</v>
      </c>
    </row>
    <row r="4172" spans="1:5" x14ac:dyDescent="0.2">
      <c r="A4172" t="s">
        <v>1282</v>
      </c>
      <c r="B4172" t="s">
        <v>1281</v>
      </c>
      <c r="C4172" t="s">
        <v>423</v>
      </c>
      <c r="D4172" t="str">
        <f>VLOOKUP(C4172,'lookup table'!$A$2:$B$19,2,FALSE)</f>
        <v>ignore</v>
      </c>
      <c r="E4172" t="str">
        <f t="shared" si="65"/>
        <v>BL_REX_17|ignore</v>
      </c>
    </row>
    <row r="4173" spans="1:5" x14ac:dyDescent="0.2">
      <c r="A4173" t="s">
        <v>1282</v>
      </c>
      <c r="B4173" t="s">
        <v>1281</v>
      </c>
      <c r="C4173" t="s">
        <v>424</v>
      </c>
      <c r="D4173" t="str">
        <f>VLOOKUP(C4173,'lookup table'!$A$2:$B$19,2,FALSE)</f>
        <v>GRC</v>
      </c>
      <c r="E4173" t="str">
        <f t="shared" si="65"/>
        <v>BL_REX_17|GRC</v>
      </c>
    </row>
    <row r="4174" spans="1:5" x14ac:dyDescent="0.2">
      <c r="A4174" t="s">
        <v>1282</v>
      </c>
      <c r="B4174" t="s">
        <v>1281</v>
      </c>
      <c r="C4174" t="s">
        <v>425</v>
      </c>
      <c r="D4174" t="str">
        <f>VLOOKUP(C4174,'lookup table'!$A$2:$B$19,2,FALSE)</f>
        <v>Investee Segment</v>
      </c>
      <c r="E4174" t="str">
        <f t="shared" si="65"/>
        <v>BL_REX_17|Investee Segment</v>
      </c>
    </row>
    <row r="4175" spans="1:5" x14ac:dyDescent="0.2">
      <c r="A4175" t="s">
        <v>1282</v>
      </c>
      <c r="B4175" t="s">
        <v>1281</v>
      </c>
      <c r="C4175" t="s">
        <v>426</v>
      </c>
      <c r="D4175" t="str">
        <f>VLOOKUP(C4175,'lookup table'!$A$2:$B$19,2,FALSE)</f>
        <v>Investee Unit</v>
      </c>
      <c r="E4175" t="str">
        <f t="shared" si="65"/>
        <v>BL_REX_17|Investee Unit</v>
      </c>
    </row>
    <row r="4176" spans="1:5" x14ac:dyDescent="0.2">
      <c r="A4176" t="s">
        <v>1282</v>
      </c>
      <c r="B4176" t="s">
        <v>1281</v>
      </c>
      <c r="C4176" t="s">
        <v>428</v>
      </c>
      <c r="D4176" t="str">
        <f>VLOOKUP(C4176,'lookup table'!$A$2:$B$19,2,FALSE)</f>
        <v>LoB</v>
      </c>
      <c r="E4176" t="str">
        <f t="shared" si="65"/>
        <v>BL_REX_17|LoB</v>
      </c>
    </row>
    <row r="4177" spans="1:5" x14ac:dyDescent="0.2">
      <c r="A4177" t="s">
        <v>1282</v>
      </c>
      <c r="B4177" t="s">
        <v>1281</v>
      </c>
      <c r="C4177" t="s">
        <v>436</v>
      </c>
      <c r="D4177" t="str">
        <f>VLOOKUP(C4177,'lookup table'!$A$2:$B$19,2,FALSE)</f>
        <v>MAT</v>
      </c>
      <c r="E4177" t="str">
        <f t="shared" si="65"/>
        <v>BL_REX_17|MAT</v>
      </c>
    </row>
    <row r="4178" spans="1:5" x14ac:dyDescent="0.2">
      <c r="A4178" t="s">
        <v>1282</v>
      </c>
      <c r="B4178" t="s">
        <v>1281</v>
      </c>
      <c r="C4178" t="s">
        <v>438</v>
      </c>
      <c r="D4178" t="str">
        <f>VLOOKUP(C4178,'lookup table'!$A$2:$B$19,2,FALSE)</f>
        <v>ToM</v>
      </c>
      <c r="E4178" t="str">
        <f t="shared" si="65"/>
        <v>BL_REX_17|ToM</v>
      </c>
    </row>
    <row r="4179" spans="1:5" x14ac:dyDescent="0.2">
      <c r="A4179" t="s">
        <v>1282</v>
      </c>
      <c r="B4179" t="s">
        <v>1281</v>
      </c>
      <c r="C4179" t="s">
        <v>441</v>
      </c>
      <c r="D4179" t="str">
        <f>VLOOKUP(C4179,'lookup table'!$A$2:$B$19,2,FALSE)</f>
        <v>Partner Segment</v>
      </c>
      <c r="E4179" t="str">
        <f t="shared" si="65"/>
        <v>BL_REX_17|Partner Segment</v>
      </c>
    </row>
    <row r="4180" spans="1:5" x14ac:dyDescent="0.2">
      <c r="A4180" t="s">
        <v>1282</v>
      </c>
      <c r="B4180" t="s">
        <v>1281</v>
      </c>
      <c r="C4180" t="s">
        <v>442</v>
      </c>
      <c r="D4180" t="str">
        <f>VLOOKUP(C4180,'lookup table'!$A$2:$B$19,2,FALSE)</f>
        <v>Partner Unit</v>
      </c>
      <c r="E4180" t="str">
        <f t="shared" si="65"/>
        <v>BL_REX_17|Partner Unit</v>
      </c>
    </row>
    <row r="4181" spans="1:5" x14ac:dyDescent="0.2">
      <c r="A4181" t="s">
        <v>1282</v>
      </c>
      <c r="B4181" t="s">
        <v>1281</v>
      </c>
      <c r="C4181" t="s">
        <v>447</v>
      </c>
      <c r="D4181" t="str">
        <f>VLOOKUP(C4181,'lookup table'!$A$2:$B$19,2,FALSE)</f>
        <v>REX</v>
      </c>
      <c r="E4181" t="str">
        <f t="shared" si="65"/>
        <v>BL_REX_17|REX</v>
      </c>
    </row>
    <row r="4182" spans="1:5" x14ac:dyDescent="0.2">
      <c r="A4182" t="s">
        <v>1282</v>
      </c>
      <c r="B4182" t="s">
        <v>1281</v>
      </c>
      <c r="C4182" t="s">
        <v>448</v>
      </c>
      <c r="D4182" t="e">
        <f>VLOOKUP(C4182,'lookup table'!$A$2:$B$19,2,FALSE)</f>
        <v>#N/A</v>
      </c>
      <c r="E4182" t="str">
        <f t="shared" si="65"/>
        <v/>
      </c>
    </row>
    <row r="4183" spans="1:5" x14ac:dyDescent="0.2">
      <c r="A4183" t="s">
        <v>1282</v>
      </c>
      <c r="B4183" t="s">
        <v>1281</v>
      </c>
      <c r="C4183" t="s">
        <v>451</v>
      </c>
      <c r="D4183" t="str">
        <f>VLOOKUP(C4183,'lookup table'!$A$2:$B$19,2,FALSE)</f>
        <v>Segment</v>
      </c>
      <c r="E4183" t="str">
        <f t="shared" si="65"/>
        <v>BL_REX_17|Segment</v>
      </c>
    </row>
    <row r="4184" spans="1:5" x14ac:dyDescent="0.2">
      <c r="A4184" t="s">
        <v>1282</v>
      </c>
      <c r="B4184" t="s">
        <v>1281</v>
      </c>
      <c r="C4184" t="s">
        <v>455</v>
      </c>
      <c r="D4184" t="e">
        <f>VLOOKUP(C4184,'lookup table'!$A$2:$B$19,2,FALSE)</f>
        <v>#N/A</v>
      </c>
      <c r="E4184" t="str">
        <f t="shared" si="65"/>
        <v/>
      </c>
    </row>
    <row r="4185" spans="1:5" x14ac:dyDescent="0.2">
      <c r="A4185" t="s">
        <v>1282</v>
      </c>
      <c r="B4185" t="s">
        <v>1281</v>
      </c>
      <c r="C4185" t="s">
        <v>456</v>
      </c>
      <c r="D4185" t="e">
        <f>VLOOKUP(C4185,'lookup table'!$A$2:$B$19,2,FALSE)</f>
        <v>#N/A</v>
      </c>
      <c r="E4185" t="str">
        <f t="shared" si="65"/>
        <v/>
      </c>
    </row>
    <row r="4186" spans="1:5" x14ac:dyDescent="0.2">
      <c r="A4186" t="s">
        <v>1282</v>
      </c>
      <c r="B4186" t="s">
        <v>1281</v>
      </c>
      <c r="C4186" t="s">
        <v>457</v>
      </c>
      <c r="D4186" t="str">
        <f>VLOOKUP(C4186,'lookup table'!$A$2:$B$19,2,FALSE)</f>
        <v>VLT</v>
      </c>
      <c r="E4186" t="str">
        <f t="shared" si="65"/>
        <v>BL_REX_17|VLT</v>
      </c>
    </row>
    <row r="4187" spans="1:5" x14ac:dyDescent="0.2">
      <c r="A4187" t="s">
        <v>1282</v>
      </c>
      <c r="B4187" t="s">
        <v>1281</v>
      </c>
      <c r="C4187" t="s">
        <v>458</v>
      </c>
      <c r="D4187" t="str">
        <f>VLOOKUP(C4187,'lookup table'!$A$2:$B$19,2,FALSE)</f>
        <v>VAR</v>
      </c>
      <c r="E4187" t="str">
        <f t="shared" si="65"/>
        <v>BL_REX_17|VAR</v>
      </c>
    </row>
    <row r="4188" spans="1:5" x14ac:dyDescent="0.2">
      <c r="A4188" t="s">
        <v>1282</v>
      </c>
      <c r="B4188" t="s">
        <v>1281</v>
      </c>
      <c r="C4188" t="s">
        <v>460</v>
      </c>
      <c r="D4188" t="e">
        <f>VLOOKUP(C4188,'lookup table'!$A$2:$B$19,2,FALSE)</f>
        <v>#N/A</v>
      </c>
      <c r="E4188" t="str">
        <f t="shared" si="65"/>
        <v/>
      </c>
    </row>
    <row r="4189" spans="1:5" x14ac:dyDescent="0.2">
      <c r="A4189" t="s">
        <v>1282</v>
      </c>
      <c r="B4189" t="s">
        <v>1281</v>
      </c>
      <c r="C4189" t="s">
        <v>461</v>
      </c>
      <c r="D4189" t="str">
        <f>VLOOKUP(C4189,'lookup table'!$A$2:$B$19,2,FALSE)</f>
        <v>Posting Level</v>
      </c>
      <c r="E4189" t="str">
        <f t="shared" si="65"/>
        <v>BL_REX_17|Posting Level</v>
      </c>
    </row>
    <row r="4190" spans="1:5" x14ac:dyDescent="0.2">
      <c r="A4190" t="s">
        <v>1282</v>
      </c>
      <c r="B4190" t="s">
        <v>1281</v>
      </c>
      <c r="C4190" t="s">
        <v>465</v>
      </c>
      <c r="D4190" t="e">
        <f>VLOOKUP(C4190,'lookup table'!$A$2:$B$19,2,FALSE)</f>
        <v>#N/A</v>
      </c>
      <c r="E4190" t="str">
        <f t="shared" si="65"/>
        <v/>
      </c>
    </row>
    <row r="4191" spans="1:5" x14ac:dyDescent="0.2">
      <c r="A4191" t="s">
        <v>1283</v>
      </c>
      <c r="B4191" t="s">
        <v>1284</v>
      </c>
      <c r="C4191" t="s">
        <v>6</v>
      </c>
      <c r="D4191" t="e">
        <f>VLOOKUP(C4191,'lookup table'!$A$2:$B$19,2,FALSE)</f>
        <v>#N/A</v>
      </c>
      <c r="E4191" t="str">
        <f t="shared" si="65"/>
        <v/>
      </c>
    </row>
    <row r="4192" spans="1:5" x14ac:dyDescent="0.2">
      <c r="A4192" t="s">
        <v>1283</v>
      </c>
      <c r="B4192" t="s">
        <v>1284</v>
      </c>
      <c r="C4192" t="s">
        <v>9</v>
      </c>
      <c r="D4192" t="e">
        <f>VLOOKUP(C4192,'lookup table'!$A$2:$B$19,2,FALSE)</f>
        <v>#N/A</v>
      </c>
      <c r="E4192" t="str">
        <f t="shared" si="65"/>
        <v/>
      </c>
    </row>
    <row r="4193" spans="1:5" x14ac:dyDescent="0.2">
      <c r="A4193" t="s">
        <v>1283</v>
      </c>
      <c r="B4193" t="s">
        <v>1284</v>
      </c>
      <c r="C4193" t="s">
        <v>10</v>
      </c>
      <c r="D4193" t="e">
        <f>VLOOKUP(C4193,'lookup table'!$A$2:$B$19,2,FALSE)</f>
        <v>#N/A</v>
      </c>
      <c r="E4193" t="str">
        <f t="shared" si="65"/>
        <v/>
      </c>
    </row>
    <row r="4194" spans="1:5" x14ac:dyDescent="0.2">
      <c r="A4194" t="s">
        <v>1283</v>
      </c>
      <c r="B4194" t="s">
        <v>1284</v>
      </c>
      <c r="C4194" t="s">
        <v>11</v>
      </c>
      <c r="D4194" t="e">
        <f>VLOOKUP(C4194,'lookup table'!$A$2:$B$19,2,FALSE)</f>
        <v>#N/A</v>
      </c>
      <c r="E4194" t="str">
        <f t="shared" si="65"/>
        <v/>
      </c>
    </row>
    <row r="4195" spans="1:5" x14ac:dyDescent="0.2">
      <c r="A4195" t="s">
        <v>1283</v>
      </c>
      <c r="B4195" t="s">
        <v>1284</v>
      </c>
      <c r="C4195" t="s">
        <v>12</v>
      </c>
      <c r="D4195" t="e">
        <f>VLOOKUP(C4195,'lookup table'!$A$2:$B$19,2,FALSE)</f>
        <v>#N/A</v>
      </c>
      <c r="E4195" t="str">
        <f t="shared" si="65"/>
        <v/>
      </c>
    </row>
    <row r="4196" spans="1:5" x14ac:dyDescent="0.2">
      <c r="A4196" t="s">
        <v>1283</v>
      </c>
      <c r="B4196" t="s">
        <v>1284</v>
      </c>
      <c r="C4196" t="s">
        <v>14</v>
      </c>
      <c r="D4196" t="str">
        <f>VLOOKUP(C4196,'lookup table'!$A$2:$B$19,2,FALSE)</f>
        <v>ALC</v>
      </c>
      <c r="E4196" t="str">
        <f t="shared" si="65"/>
        <v>BL_TOM_00|ALC</v>
      </c>
    </row>
    <row r="4197" spans="1:5" x14ac:dyDescent="0.2">
      <c r="A4197" t="s">
        <v>1283</v>
      </c>
      <c r="B4197" t="s">
        <v>1284</v>
      </c>
      <c r="C4197" t="s">
        <v>20</v>
      </c>
      <c r="D4197" t="str">
        <f>VLOOKUP(C4197,'lookup table'!$A$2:$B$19,2,FALSE)</f>
        <v>AY</v>
      </c>
      <c r="E4197" t="str">
        <f t="shared" si="65"/>
        <v>BL_TOM_00|AY</v>
      </c>
    </row>
    <row r="4198" spans="1:5" x14ac:dyDescent="0.2">
      <c r="A4198" t="s">
        <v>1283</v>
      </c>
      <c r="B4198" t="s">
        <v>1284</v>
      </c>
      <c r="C4198" t="s">
        <v>136</v>
      </c>
      <c r="D4198" t="str">
        <f>VLOOKUP(C4198,'lookup table'!$A$2:$B$19,2,FALSE)</f>
        <v>BBA Set</v>
      </c>
      <c r="E4198" t="str">
        <f t="shared" si="65"/>
        <v>BL_TOM_00|BBA Set</v>
      </c>
    </row>
    <row r="4199" spans="1:5" x14ac:dyDescent="0.2">
      <c r="A4199" t="s">
        <v>1283</v>
      </c>
      <c r="B4199" t="s">
        <v>1284</v>
      </c>
      <c r="C4199" t="s">
        <v>324</v>
      </c>
      <c r="D4199" t="e">
        <f>VLOOKUP(C4199,'lookup table'!$A$2:$B$19,2,FALSE)</f>
        <v>#N/A</v>
      </c>
      <c r="E4199" t="str">
        <f t="shared" si="65"/>
        <v/>
      </c>
    </row>
    <row r="4200" spans="1:5" x14ac:dyDescent="0.2">
      <c r="A4200" t="s">
        <v>1283</v>
      </c>
      <c r="B4200" t="s">
        <v>1284</v>
      </c>
      <c r="C4200" t="s">
        <v>325</v>
      </c>
      <c r="D4200" t="e">
        <f>VLOOKUP(C4200,'lookup table'!$A$2:$B$19,2,FALSE)</f>
        <v>#N/A</v>
      </c>
      <c r="E4200" t="str">
        <f t="shared" si="65"/>
        <v/>
      </c>
    </row>
    <row r="4201" spans="1:5" x14ac:dyDescent="0.2">
      <c r="A4201" t="s">
        <v>1283</v>
      </c>
      <c r="B4201" t="s">
        <v>1284</v>
      </c>
      <c r="C4201" t="s">
        <v>326</v>
      </c>
      <c r="D4201" t="e">
        <f>VLOOKUP(C4201,'lookup table'!$A$2:$B$19,2,FALSE)</f>
        <v>#N/A</v>
      </c>
      <c r="E4201" t="str">
        <f t="shared" si="65"/>
        <v/>
      </c>
    </row>
    <row r="4202" spans="1:5" x14ac:dyDescent="0.2">
      <c r="A4202" t="s">
        <v>1283</v>
      </c>
      <c r="B4202" t="s">
        <v>1284</v>
      </c>
      <c r="C4202" t="s">
        <v>327</v>
      </c>
      <c r="D4202" t="e">
        <f>VLOOKUP(C4202,'lookup table'!$A$2:$B$19,2,FALSE)</f>
        <v>#N/A</v>
      </c>
      <c r="E4202" t="str">
        <f t="shared" si="65"/>
        <v/>
      </c>
    </row>
    <row r="4203" spans="1:5" x14ac:dyDescent="0.2">
      <c r="A4203" t="s">
        <v>1283</v>
      </c>
      <c r="B4203" t="s">
        <v>1284</v>
      </c>
      <c r="C4203" t="s">
        <v>328</v>
      </c>
      <c r="D4203" t="e">
        <f>VLOOKUP(C4203,'lookup table'!$A$2:$B$19,2,FALSE)</f>
        <v>#N/A</v>
      </c>
      <c r="E4203" t="str">
        <f t="shared" si="65"/>
        <v/>
      </c>
    </row>
    <row r="4204" spans="1:5" x14ac:dyDescent="0.2">
      <c r="A4204" t="s">
        <v>1283</v>
      </c>
      <c r="B4204" t="s">
        <v>1284</v>
      </c>
      <c r="C4204" t="s">
        <v>329</v>
      </c>
      <c r="D4204" t="e">
        <f>VLOOKUP(C4204,'lookup table'!$A$2:$B$19,2,FALSE)</f>
        <v>#N/A</v>
      </c>
      <c r="E4204" t="str">
        <f t="shared" si="65"/>
        <v/>
      </c>
    </row>
    <row r="4205" spans="1:5" x14ac:dyDescent="0.2">
      <c r="A4205" t="s">
        <v>1283</v>
      </c>
      <c r="B4205" t="s">
        <v>1284</v>
      </c>
      <c r="C4205" t="s">
        <v>331</v>
      </c>
      <c r="D4205" t="str">
        <f>VLOOKUP(C4205,'lookup table'!$A$2:$B$19,2,FALSE)</f>
        <v>FS Item</v>
      </c>
      <c r="E4205" t="str">
        <f t="shared" si="65"/>
        <v>BL_TOM_00|FS Item</v>
      </c>
    </row>
    <row r="4206" spans="1:5" x14ac:dyDescent="0.2">
      <c r="A4206" t="s">
        <v>1283</v>
      </c>
      <c r="B4206" t="s">
        <v>1284</v>
      </c>
      <c r="C4206" t="s">
        <v>423</v>
      </c>
      <c r="D4206" t="str">
        <f>VLOOKUP(C4206,'lookup table'!$A$2:$B$19,2,FALSE)</f>
        <v>ignore</v>
      </c>
      <c r="E4206" t="str">
        <f t="shared" si="65"/>
        <v>BL_TOM_00|ignore</v>
      </c>
    </row>
    <row r="4207" spans="1:5" x14ac:dyDescent="0.2">
      <c r="A4207" t="s">
        <v>1283</v>
      </c>
      <c r="B4207" t="s">
        <v>1284</v>
      </c>
      <c r="C4207" t="s">
        <v>424</v>
      </c>
      <c r="D4207" t="str">
        <f>VLOOKUP(C4207,'lookup table'!$A$2:$B$19,2,FALSE)</f>
        <v>GRC</v>
      </c>
      <c r="E4207" t="str">
        <f t="shared" si="65"/>
        <v>BL_TOM_00|GRC</v>
      </c>
    </row>
    <row r="4208" spans="1:5" x14ac:dyDescent="0.2">
      <c r="A4208" t="s">
        <v>1283</v>
      </c>
      <c r="B4208" t="s">
        <v>1284</v>
      </c>
      <c r="C4208" t="s">
        <v>425</v>
      </c>
      <c r="D4208" t="str">
        <f>VLOOKUP(C4208,'lookup table'!$A$2:$B$19,2,FALSE)</f>
        <v>Investee Segment</v>
      </c>
      <c r="E4208" t="str">
        <f t="shared" si="65"/>
        <v>BL_TOM_00|Investee Segment</v>
      </c>
    </row>
    <row r="4209" spans="1:5" x14ac:dyDescent="0.2">
      <c r="A4209" t="s">
        <v>1283</v>
      </c>
      <c r="B4209" t="s">
        <v>1284</v>
      </c>
      <c r="C4209" t="s">
        <v>426</v>
      </c>
      <c r="D4209" t="str">
        <f>VLOOKUP(C4209,'lookup table'!$A$2:$B$19,2,FALSE)</f>
        <v>Investee Unit</v>
      </c>
      <c r="E4209" t="str">
        <f t="shared" si="65"/>
        <v>BL_TOM_00|Investee Unit</v>
      </c>
    </row>
    <row r="4210" spans="1:5" x14ac:dyDescent="0.2">
      <c r="A4210" t="s">
        <v>1283</v>
      </c>
      <c r="B4210" t="s">
        <v>1284</v>
      </c>
      <c r="C4210" t="s">
        <v>428</v>
      </c>
      <c r="D4210" t="str">
        <f>VLOOKUP(C4210,'lookup table'!$A$2:$B$19,2,FALSE)</f>
        <v>LoB</v>
      </c>
      <c r="E4210" t="str">
        <f t="shared" si="65"/>
        <v>BL_TOM_00|LoB</v>
      </c>
    </row>
    <row r="4211" spans="1:5" x14ac:dyDescent="0.2">
      <c r="A4211" t="s">
        <v>1283</v>
      </c>
      <c r="B4211" t="s">
        <v>1284</v>
      </c>
      <c r="C4211" t="s">
        <v>436</v>
      </c>
      <c r="D4211" t="str">
        <f>VLOOKUP(C4211,'lookup table'!$A$2:$B$19,2,FALSE)</f>
        <v>MAT</v>
      </c>
      <c r="E4211" t="str">
        <f t="shared" si="65"/>
        <v>BL_TOM_00|MAT</v>
      </c>
    </row>
    <row r="4212" spans="1:5" x14ac:dyDescent="0.2">
      <c r="A4212" t="s">
        <v>1283</v>
      </c>
      <c r="B4212" t="s">
        <v>1284</v>
      </c>
      <c r="C4212" t="s">
        <v>438</v>
      </c>
      <c r="D4212" t="str">
        <f>VLOOKUP(C4212,'lookup table'!$A$2:$B$19,2,FALSE)</f>
        <v>ToM</v>
      </c>
      <c r="E4212" t="str">
        <f t="shared" si="65"/>
        <v>BL_TOM_00|ToM</v>
      </c>
    </row>
    <row r="4213" spans="1:5" x14ac:dyDescent="0.2">
      <c r="A4213" t="s">
        <v>1283</v>
      </c>
      <c r="B4213" t="s">
        <v>1284</v>
      </c>
      <c r="C4213" t="s">
        <v>441</v>
      </c>
      <c r="D4213" t="str">
        <f>VLOOKUP(C4213,'lookup table'!$A$2:$B$19,2,FALSE)</f>
        <v>Partner Segment</v>
      </c>
      <c r="E4213" t="str">
        <f t="shared" si="65"/>
        <v>BL_TOM_00|Partner Segment</v>
      </c>
    </row>
    <row r="4214" spans="1:5" x14ac:dyDescent="0.2">
      <c r="A4214" t="s">
        <v>1283</v>
      </c>
      <c r="B4214" t="s">
        <v>1284</v>
      </c>
      <c r="C4214" t="s">
        <v>442</v>
      </c>
      <c r="D4214" t="str">
        <f>VLOOKUP(C4214,'lookup table'!$A$2:$B$19,2,FALSE)</f>
        <v>Partner Unit</v>
      </c>
      <c r="E4214" t="str">
        <f t="shared" si="65"/>
        <v>BL_TOM_00|Partner Unit</v>
      </c>
    </row>
    <row r="4215" spans="1:5" x14ac:dyDescent="0.2">
      <c r="A4215" t="s">
        <v>1283</v>
      </c>
      <c r="B4215" t="s">
        <v>1284</v>
      </c>
      <c r="C4215" t="s">
        <v>447</v>
      </c>
      <c r="D4215" t="str">
        <f>VLOOKUP(C4215,'lookup table'!$A$2:$B$19,2,FALSE)</f>
        <v>REX</v>
      </c>
      <c r="E4215" t="str">
        <f t="shared" si="65"/>
        <v>BL_TOM_00|REX</v>
      </c>
    </row>
    <row r="4216" spans="1:5" x14ac:dyDescent="0.2">
      <c r="A4216" t="s">
        <v>1283</v>
      </c>
      <c r="B4216" t="s">
        <v>1284</v>
      </c>
      <c r="C4216" t="s">
        <v>448</v>
      </c>
      <c r="D4216" t="e">
        <f>VLOOKUP(C4216,'lookup table'!$A$2:$B$19,2,FALSE)</f>
        <v>#N/A</v>
      </c>
      <c r="E4216" t="str">
        <f t="shared" si="65"/>
        <v/>
      </c>
    </row>
    <row r="4217" spans="1:5" x14ac:dyDescent="0.2">
      <c r="A4217" t="s">
        <v>1283</v>
      </c>
      <c r="B4217" t="s">
        <v>1284</v>
      </c>
      <c r="C4217" t="s">
        <v>451</v>
      </c>
      <c r="D4217" t="str">
        <f>VLOOKUP(C4217,'lookup table'!$A$2:$B$19,2,FALSE)</f>
        <v>Segment</v>
      </c>
      <c r="E4217" t="str">
        <f t="shared" si="65"/>
        <v>BL_TOM_00|Segment</v>
      </c>
    </row>
    <row r="4218" spans="1:5" x14ac:dyDescent="0.2">
      <c r="A4218" t="s">
        <v>1283</v>
      </c>
      <c r="B4218" t="s">
        <v>1284</v>
      </c>
      <c r="C4218" t="s">
        <v>455</v>
      </c>
      <c r="D4218" t="e">
        <f>VLOOKUP(C4218,'lookup table'!$A$2:$B$19,2,FALSE)</f>
        <v>#N/A</v>
      </c>
      <c r="E4218" t="str">
        <f t="shared" si="65"/>
        <v/>
      </c>
    </row>
    <row r="4219" spans="1:5" x14ac:dyDescent="0.2">
      <c r="A4219" t="s">
        <v>1283</v>
      </c>
      <c r="B4219" t="s">
        <v>1284</v>
      </c>
      <c r="C4219" t="s">
        <v>456</v>
      </c>
      <c r="D4219" t="e">
        <f>VLOOKUP(C4219,'lookup table'!$A$2:$B$19,2,FALSE)</f>
        <v>#N/A</v>
      </c>
      <c r="E4219" t="str">
        <f t="shared" si="65"/>
        <v/>
      </c>
    </row>
    <row r="4220" spans="1:5" x14ac:dyDescent="0.2">
      <c r="A4220" t="s">
        <v>1283</v>
      </c>
      <c r="B4220" t="s">
        <v>1284</v>
      </c>
      <c r="C4220" t="s">
        <v>457</v>
      </c>
      <c r="D4220" t="str">
        <f>VLOOKUP(C4220,'lookup table'!$A$2:$B$19,2,FALSE)</f>
        <v>VLT</v>
      </c>
      <c r="E4220" t="str">
        <f t="shared" si="65"/>
        <v>BL_TOM_00|VLT</v>
      </c>
    </row>
    <row r="4221" spans="1:5" x14ac:dyDescent="0.2">
      <c r="A4221" t="s">
        <v>1283</v>
      </c>
      <c r="B4221" t="s">
        <v>1284</v>
      </c>
      <c r="C4221" t="s">
        <v>458</v>
      </c>
      <c r="D4221" t="str">
        <f>VLOOKUP(C4221,'lookup table'!$A$2:$B$19,2,FALSE)</f>
        <v>VAR</v>
      </c>
      <c r="E4221" t="str">
        <f t="shared" si="65"/>
        <v>BL_TOM_00|VAR</v>
      </c>
    </row>
    <row r="4222" spans="1:5" x14ac:dyDescent="0.2">
      <c r="A4222" t="s">
        <v>1283</v>
      </c>
      <c r="B4222" t="s">
        <v>1284</v>
      </c>
      <c r="C4222" t="s">
        <v>460</v>
      </c>
      <c r="D4222" t="e">
        <f>VLOOKUP(C4222,'lookup table'!$A$2:$B$19,2,FALSE)</f>
        <v>#N/A</v>
      </c>
      <c r="E4222" t="str">
        <f t="shared" si="65"/>
        <v/>
      </c>
    </row>
    <row r="4223" spans="1:5" x14ac:dyDescent="0.2">
      <c r="A4223" t="s">
        <v>1283</v>
      </c>
      <c r="B4223" t="s">
        <v>1284</v>
      </c>
      <c r="C4223" t="s">
        <v>461</v>
      </c>
      <c r="D4223" t="str">
        <f>VLOOKUP(C4223,'lookup table'!$A$2:$B$19,2,FALSE)</f>
        <v>Posting Level</v>
      </c>
      <c r="E4223" t="str">
        <f t="shared" si="65"/>
        <v>BL_TOM_00|Posting Level</v>
      </c>
    </row>
    <row r="4224" spans="1:5" x14ac:dyDescent="0.2">
      <c r="A4224" t="s">
        <v>1283</v>
      </c>
      <c r="B4224" t="s">
        <v>1284</v>
      </c>
      <c r="C4224" t="s">
        <v>465</v>
      </c>
      <c r="D4224" t="e">
        <f>VLOOKUP(C4224,'lookup table'!$A$2:$B$19,2,FALSE)</f>
        <v>#N/A</v>
      </c>
      <c r="E4224" t="str">
        <f t="shared" si="65"/>
        <v/>
      </c>
    </row>
    <row r="4225" spans="1:5" x14ac:dyDescent="0.2">
      <c r="A4225" t="s">
        <v>1285</v>
      </c>
      <c r="B4225" t="s">
        <v>1286</v>
      </c>
      <c r="C4225" t="s">
        <v>6</v>
      </c>
      <c r="D4225" t="e">
        <f>VLOOKUP(C4225,'lookup table'!$A$2:$B$19,2,FALSE)</f>
        <v>#N/A</v>
      </c>
      <c r="E4225" t="str">
        <f t="shared" si="65"/>
        <v/>
      </c>
    </row>
    <row r="4226" spans="1:5" x14ac:dyDescent="0.2">
      <c r="A4226" t="s">
        <v>1285</v>
      </c>
      <c r="B4226" t="s">
        <v>1286</v>
      </c>
      <c r="C4226" t="s">
        <v>9</v>
      </c>
      <c r="D4226" t="e">
        <f>VLOOKUP(C4226,'lookup table'!$A$2:$B$19,2,FALSE)</f>
        <v>#N/A</v>
      </c>
      <c r="E4226" t="str">
        <f t="shared" si="65"/>
        <v/>
      </c>
    </row>
    <row r="4227" spans="1:5" x14ac:dyDescent="0.2">
      <c r="A4227" t="s">
        <v>1285</v>
      </c>
      <c r="B4227" t="s">
        <v>1286</v>
      </c>
      <c r="C4227" t="s">
        <v>10</v>
      </c>
      <c r="D4227" t="e">
        <f>VLOOKUP(C4227,'lookup table'!$A$2:$B$19,2,FALSE)</f>
        <v>#N/A</v>
      </c>
      <c r="E4227" t="str">
        <f t="shared" ref="E4227:E4290" si="66">IF(ISNA(D4227),"",IF(A4227="","",A4227) &amp; "|" &amp; D4227)</f>
        <v/>
      </c>
    </row>
    <row r="4228" spans="1:5" x14ac:dyDescent="0.2">
      <c r="A4228" t="s">
        <v>1285</v>
      </c>
      <c r="B4228" t="s">
        <v>1286</v>
      </c>
      <c r="C4228" t="s">
        <v>11</v>
      </c>
      <c r="D4228" t="e">
        <f>VLOOKUP(C4228,'lookup table'!$A$2:$B$19,2,FALSE)</f>
        <v>#N/A</v>
      </c>
      <c r="E4228" t="str">
        <f t="shared" si="66"/>
        <v/>
      </c>
    </row>
    <row r="4229" spans="1:5" x14ac:dyDescent="0.2">
      <c r="A4229" t="s">
        <v>1285</v>
      </c>
      <c r="B4229" t="s">
        <v>1286</v>
      </c>
      <c r="C4229" t="s">
        <v>12</v>
      </c>
      <c r="D4229" t="e">
        <f>VLOOKUP(C4229,'lookup table'!$A$2:$B$19,2,FALSE)</f>
        <v>#N/A</v>
      </c>
      <c r="E4229" t="str">
        <f t="shared" si="66"/>
        <v/>
      </c>
    </row>
    <row r="4230" spans="1:5" x14ac:dyDescent="0.2">
      <c r="A4230" t="s">
        <v>1285</v>
      </c>
      <c r="B4230" t="s">
        <v>1286</v>
      </c>
      <c r="C4230" t="s">
        <v>14</v>
      </c>
      <c r="D4230" t="str">
        <f>VLOOKUP(C4230,'lookup table'!$A$2:$B$19,2,FALSE)</f>
        <v>ALC</v>
      </c>
      <c r="E4230" t="str">
        <f t="shared" si="66"/>
        <v>BL_TOM_14|ALC</v>
      </c>
    </row>
    <row r="4231" spans="1:5" x14ac:dyDescent="0.2">
      <c r="A4231" t="s">
        <v>1285</v>
      </c>
      <c r="B4231" t="s">
        <v>1286</v>
      </c>
      <c r="C4231" t="s">
        <v>20</v>
      </c>
      <c r="D4231" t="str">
        <f>VLOOKUP(C4231,'lookup table'!$A$2:$B$19,2,FALSE)</f>
        <v>AY</v>
      </c>
      <c r="E4231" t="str">
        <f t="shared" si="66"/>
        <v>BL_TOM_14|AY</v>
      </c>
    </row>
    <row r="4232" spans="1:5" x14ac:dyDescent="0.2">
      <c r="A4232" t="s">
        <v>1285</v>
      </c>
      <c r="B4232" t="s">
        <v>1286</v>
      </c>
      <c r="C4232" t="s">
        <v>136</v>
      </c>
      <c r="D4232" t="str">
        <f>VLOOKUP(C4232,'lookup table'!$A$2:$B$19,2,FALSE)</f>
        <v>BBA Set</v>
      </c>
      <c r="E4232" t="str">
        <f t="shared" si="66"/>
        <v>BL_TOM_14|BBA Set</v>
      </c>
    </row>
    <row r="4233" spans="1:5" x14ac:dyDescent="0.2">
      <c r="A4233" t="s">
        <v>1285</v>
      </c>
      <c r="B4233" t="s">
        <v>1286</v>
      </c>
      <c r="C4233" t="s">
        <v>324</v>
      </c>
      <c r="D4233" t="e">
        <f>VLOOKUP(C4233,'lookup table'!$A$2:$B$19,2,FALSE)</f>
        <v>#N/A</v>
      </c>
      <c r="E4233" t="str">
        <f t="shared" si="66"/>
        <v/>
      </c>
    </row>
    <row r="4234" spans="1:5" x14ac:dyDescent="0.2">
      <c r="A4234" t="s">
        <v>1285</v>
      </c>
      <c r="B4234" t="s">
        <v>1286</v>
      </c>
      <c r="C4234" t="s">
        <v>325</v>
      </c>
      <c r="D4234" t="e">
        <f>VLOOKUP(C4234,'lookup table'!$A$2:$B$19,2,FALSE)</f>
        <v>#N/A</v>
      </c>
      <c r="E4234" t="str">
        <f t="shared" si="66"/>
        <v/>
      </c>
    </row>
    <row r="4235" spans="1:5" x14ac:dyDescent="0.2">
      <c r="A4235" t="s">
        <v>1285</v>
      </c>
      <c r="B4235" t="s">
        <v>1286</v>
      </c>
      <c r="C4235" t="s">
        <v>326</v>
      </c>
      <c r="D4235" t="e">
        <f>VLOOKUP(C4235,'lookup table'!$A$2:$B$19,2,FALSE)</f>
        <v>#N/A</v>
      </c>
      <c r="E4235" t="str">
        <f t="shared" si="66"/>
        <v/>
      </c>
    </row>
    <row r="4236" spans="1:5" x14ac:dyDescent="0.2">
      <c r="A4236" t="s">
        <v>1285</v>
      </c>
      <c r="B4236" t="s">
        <v>1286</v>
      </c>
      <c r="C4236" t="s">
        <v>327</v>
      </c>
      <c r="D4236" t="e">
        <f>VLOOKUP(C4236,'lookup table'!$A$2:$B$19,2,FALSE)</f>
        <v>#N/A</v>
      </c>
      <c r="E4236" t="str">
        <f t="shared" si="66"/>
        <v/>
      </c>
    </row>
    <row r="4237" spans="1:5" x14ac:dyDescent="0.2">
      <c r="A4237" t="s">
        <v>1285</v>
      </c>
      <c r="B4237" t="s">
        <v>1286</v>
      </c>
      <c r="C4237" t="s">
        <v>328</v>
      </c>
      <c r="D4237" t="e">
        <f>VLOOKUP(C4237,'lookup table'!$A$2:$B$19,2,FALSE)</f>
        <v>#N/A</v>
      </c>
      <c r="E4237" t="str">
        <f t="shared" si="66"/>
        <v/>
      </c>
    </row>
    <row r="4238" spans="1:5" x14ac:dyDescent="0.2">
      <c r="A4238" t="s">
        <v>1285</v>
      </c>
      <c r="B4238" t="s">
        <v>1286</v>
      </c>
      <c r="C4238" t="s">
        <v>329</v>
      </c>
      <c r="D4238" t="e">
        <f>VLOOKUP(C4238,'lookup table'!$A$2:$B$19,2,FALSE)</f>
        <v>#N/A</v>
      </c>
      <c r="E4238" t="str">
        <f t="shared" si="66"/>
        <v/>
      </c>
    </row>
    <row r="4239" spans="1:5" x14ac:dyDescent="0.2">
      <c r="A4239" t="s">
        <v>1285</v>
      </c>
      <c r="B4239" t="s">
        <v>1286</v>
      </c>
      <c r="C4239" t="s">
        <v>331</v>
      </c>
      <c r="D4239" t="str">
        <f>VLOOKUP(C4239,'lookup table'!$A$2:$B$19,2,FALSE)</f>
        <v>FS Item</v>
      </c>
      <c r="E4239" t="str">
        <f t="shared" si="66"/>
        <v>BL_TOM_14|FS Item</v>
      </c>
    </row>
    <row r="4240" spans="1:5" x14ac:dyDescent="0.2">
      <c r="A4240" t="s">
        <v>1285</v>
      </c>
      <c r="B4240" t="s">
        <v>1286</v>
      </c>
      <c r="C4240" t="s">
        <v>423</v>
      </c>
      <c r="D4240" t="str">
        <f>VLOOKUP(C4240,'lookup table'!$A$2:$B$19,2,FALSE)</f>
        <v>ignore</v>
      </c>
      <c r="E4240" t="str">
        <f t="shared" si="66"/>
        <v>BL_TOM_14|ignore</v>
      </c>
    </row>
    <row r="4241" spans="1:5" x14ac:dyDescent="0.2">
      <c r="A4241" t="s">
        <v>1285</v>
      </c>
      <c r="B4241" t="s">
        <v>1286</v>
      </c>
      <c r="C4241" t="s">
        <v>424</v>
      </c>
      <c r="D4241" t="str">
        <f>VLOOKUP(C4241,'lookup table'!$A$2:$B$19,2,FALSE)</f>
        <v>GRC</v>
      </c>
      <c r="E4241" t="str">
        <f t="shared" si="66"/>
        <v>BL_TOM_14|GRC</v>
      </c>
    </row>
    <row r="4242" spans="1:5" x14ac:dyDescent="0.2">
      <c r="A4242" t="s">
        <v>1285</v>
      </c>
      <c r="B4242" t="s">
        <v>1286</v>
      </c>
      <c r="C4242" t="s">
        <v>425</v>
      </c>
      <c r="D4242" t="str">
        <f>VLOOKUP(C4242,'lookup table'!$A$2:$B$19,2,FALSE)</f>
        <v>Investee Segment</v>
      </c>
      <c r="E4242" t="str">
        <f t="shared" si="66"/>
        <v>BL_TOM_14|Investee Segment</v>
      </c>
    </row>
    <row r="4243" spans="1:5" x14ac:dyDescent="0.2">
      <c r="A4243" t="s">
        <v>1285</v>
      </c>
      <c r="B4243" t="s">
        <v>1286</v>
      </c>
      <c r="C4243" t="s">
        <v>426</v>
      </c>
      <c r="D4243" t="str">
        <f>VLOOKUP(C4243,'lookup table'!$A$2:$B$19,2,FALSE)</f>
        <v>Investee Unit</v>
      </c>
      <c r="E4243" t="str">
        <f t="shared" si="66"/>
        <v>BL_TOM_14|Investee Unit</v>
      </c>
    </row>
    <row r="4244" spans="1:5" x14ac:dyDescent="0.2">
      <c r="A4244" t="s">
        <v>1285</v>
      </c>
      <c r="B4244" t="s">
        <v>1286</v>
      </c>
      <c r="C4244" t="s">
        <v>428</v>
      </c>
      <c r="D4244" t="str">
        <f>VLOOKUP(C4244,'lookup table'!$A$2:$B$19,2,FALSE)</f>
        <v>LoB</v>
      </c>
      <c r="E4244" t="str">
        <f t="shared" si="66"/>
        <v>BL_TOM_14|LoB</v>
      </c>
    </row>
    <row r="4245" spans="1:5" x14ac:dyDescent="0.2">
      <c r="A4245" t="s">
        <v>1285</v>
      </c>
      <c r="B4245" t="s">
        <v>1286</v>
      </c>
      <c r="C4245" t="s">
        <v>436</v>
      </c>
      <c r="D4245" t="str">
        <f>VLOOKUP(C4245,'lookup table'!$A$2:$B$19,2,FALSE)</f>
        <v>MAT</v>
      </c>
      <c r="E4245" t="str">
        <f t="shared" si="66"/>
        <v>BL_TOM_14|MAT</v>
      </c>
    </row>
    <row r="4246" spans="1:5" x14ac:dyDescent="0.2">
      <c r="A4246" t="s">
        <v>1285</v>
      </c>
      <c r="B4246" t="s">
        <v>1286</v>
      </c>
      <c r="C4246" t="s">
        <v>438</v>
      </c>
      <c r="D4246" t="str">
        <f>VLOOKUP(C4246,'lookup table'!$A$2:$B$19,2,FALSE)</f>
        <v>ToM</v>
      </c>
      <c r="E4246" t="str">
        <f t="shared" si="66"/>
        <v>BL_TOM_14|ToM</v>
      </c>
    </row>
    <row r="4247" spans="1:5" x14ac:dyDescent="0.2">
      <c r="A4247" t="s">
        <v>1285</v>
      </c>
      <c r="B4247" t="s">
        <v>1286</v>
      </c>
      <c r="C4247" t="s">
        <v>441</v>
      </c>
      <c r="D4247" t="str">
        <f>VLOOKUP(C4247,'lookup table'!$A$2:$B$19,2,FALSE)</f>
        <v>Partner Segment</v>
      </c>
      <c r="E4247" t="str">
        <f t="shared" si="66"/>
        <v>BL_TOM_14|Partner Segment</v>
      </c>
    </row>
    <row r="4248" spans="1:5" x14ac:dyDescent="0.2">
      <c r="A4248" t="s">
        <v>1285</v>
      </c>
      <c r="B4248" t="s">
        <v>1286</v>
      </c>
      <c r="C4248" t="s">
        <v>442</v>
      </c>
      <c r="D4248" t="str">
        <f>VLOOKUP(C4248,'lookup table'!$A$2:$B$19,2,FALSE)</f>
        <v>Partner Unit</v>
      </c>
      <c r="E4248" t="str">
        <f t="shared" si="66"/>
        <v>BL_TOM_14|Partner Unit</v>
      </c>
    </row>
    <row r="4249" spans="1:5" x14ac:dyDescent="0.2">
      <c r="A4249" t="s">
        <v>1285</v>
      </c>
      <c r="B4249" t="s">
        <v>1286</v>
      </c>
      <c r="C4249" t="s">
        <v>447</v>
      </c>
      <c r="D4249" t="str">
        <f>VLOOKUP(C4249,'lookup table'!$A$2:$B$19,2,FALSE)</f>
        <v>REX</v>
      </c>
      <c r="E4249" t="str">
        <f t="shared" si="66"/>
        <v>BL_TOM_14|REX</v>
      </c>
    </row>
    <row r="4250" spans="1:5" x14ac:dyDescent="0.2">
      <c r="A4250" t="s">
        <v>1285</v>
      </c>
      <c r="B4250" t="s">
        <v>1286</v>
      </c>
      <c r="C4250" t="s">
        <v>448</v>
      </c>
      <c r="D4250" t="e">
        <f>VLOOKUP(C4250,'lookup table'!$A$2:$B$19,2,FALSE)</f>
        <v>#N/A</v>
      </c>
      <c r="E4250" t="str">
        <f t="shared" si="66"/>
        <v/>
      </c>
    </row>
    <row r="4251" spans="1:5" x14ac:dyDescent="0.2">
      <c r="A4251" t="s">
        <v>1285</v>
      </c>
      <c r="B4251" t="s">
        <v>1286</v>
      </c>
      <c r="C4251" t="s">
        <v>451</v>
      </c>
      <c r="D4251" t="str">
        <f>VLOOKUP(C4251,'lookup table'!$A$2:$B$19,2,FALSE)</f>
        <v>Segment</v>
      </c>
      <c r="E4251" t="str">
        <f t="shared" si="66"/>
        <v>BL_TOM_14|Segment</v>
      </c>
    </row>
    <row r="4252" spans="1:5" x14ac:dyDescent="0.2">
      <c r="A4252" t="s">
        <v>1285</v>
      </c>
      <c r="B4252" t="s">
        <v>1286</v>
      </c>
      <c r="C4252" t="s">
        <v>455</v>
      </c>
      <c r="D4252" t="e">
        <f>VLOOKUP(C4252,'lookup table'!$A$2:$B$19,2,FALSE)</f>
        <v>#N/A</v>
      </c>
      <c r="E4252" t="str">
        <f t="shared" si="66"/>
        <v/>
      </c>
    </row>
    <row r="4253" spans="1:5" x14ac:dyDescent="0.2">
      <c r="A4253" t="s">
        <v>1285</v>
      </c>
      <c r="B4253" t="s">
        <v>1286</v>
      </c>
      <c r="C4253" t="s">
        <v>456</v>
      </c>
      <c r="D4253" t="e">
        <f>VLOOKUP(C4253,'lookup table'!$A$2:$B$19,2,FALSE)</f>
        <v>#N/A</v>
      </c>
      <c r="E4253" t="str">
        <f t="shared" si="66"/>
        <v/>
      </c>
    </row>
    <row r="4254" spans="1:5" x14ac:dyDescent="0.2">
      <c r="A4254" t="s">
        <v>1285</v>
      </c>
      <c r="B4254" t="s">
        <v>1286</v>
      </c>
      <c r="C4254" t="s">
        <v>457</v>
      </c>
      <c r="D4254" t="str">
        <f>VLOOKUP(C4254,'lookup table'!$A$2:$B$19,2,FALSE)</f>
        <v>VLT</v>
      </c>
      <c r="E4254" t="str">
        <f t="shared" si="66"/>
        <v>BL_TOM_14|VLT</v>
      </c>
    </row>
    <row r="4255" spans="1:5" x14ac:dyDescent="0.2">
      <c r="A4255" t="s">
        <v>1285</v>
      </c>
      <c r="B4255" t="s">
        <v>1286</v>
      </c>
      <c r="C4255" t="s">
        <v>458</v>
      </c>
      <c r="D4255" t="str">
        <f>VLOOKUP(C4255,'lookup table'!$A$2:$B$19,2,FALSE)</f>
        <v>VAR</v>
      </c>
      <c r="E4255" t="str">
        <f t="shared" si="66"/>
        <v>BL_TOM_14|VAR</v>
      </c>
    </row>
    <row r="4256" spans="1:5" x14ac:dyDescent="0.2">
      <c r="A4256" t="s">
        <v>1285</v>
      </c>
      <c r="B4256" t="s">
        <v>1286</v>
      </c>
      <c r="C4256" t="s">
        <v>460</v>
      </c>
      <c r="D4256" t="e">
        <f>VLOOKUP(C4256,'lookup table'!$A$2:$B$19,2,FALSE)</f>
        <v>#N/A</v>
      </c>
      <c r="E4256" t="str">
        <f t="shared" si="66"/>
        <v/>
      </c>
    </row>
    <row r="4257" spans="1:5" x14ac:dyDescent="0.2">
      <c r="A4257" t="s">
        <v>1285</v>
      </c>
      <c r="B4257" t="s">
        <v>1286</v>
      </c>
      <c r="C4257" t="s">
        <v>461</v>
      </c>
      <c r="D4257" t="str">
        <f>VLOOKUP(C4257,'lookup table'!$A$2:$B$19,2,FALSE)</f>
        <v>Posting Level</v>
      </c>
      <c r="E4257" t="str">
        <f t="shared" si="66"/>
        <v>BL_TOM_14|Posting Level</v>
      </c>
    </row>
    <row r="4258" spans="1:5" x14ac:dyDescent="0.2">
      <c r="A4258" t="s">
        <v>1285</v>
      </c>
      <c r="B4258" t="s">
        <v>1286</v>
      </c>
      <c r="C4258" t="s">
        <v>465</v>
      </c>
      <c r="D4258" t="e">
        <f>VLOOKUP(C4258,'lookup table'!$A$2:$B$19,2,FALSE)</f>
        <v>#N/A</v>
      </c>
      <c r="E4258" t="str">
        <f t="shared" si="66"/>
        <v/>
      </c>
    </row>
    <row r="4259" spans="1:5" x14ac:dyDescent="0.2">
      <c r="A4259" t="s">
        <v>1287</v>
      </c>
      <c r="B4259" t="s">
        <v>1286</v>
      </c>
      <c r="C4259" t="s">
        <v>6</v>
      </c>
      <c r="D4259" t="e">
        <f>VLOOKUP(C4259,'lookup table'!$A$2:$B$19,2,FALSE)</f>
        <v>#N/A</v>
      </c>
      <c r="E4259" t="str">
        <f t="shared" si="66"/>
        <v/>
      </c>
    </row>
    <row r="4260" spans="1:5" x14ac:dyDescent="0.2">
      <c r="A4260" t="s">
        <v>1287</v>
      </c>
      <c r="B4260" t="s">
        <v>1286</v>
      </c>
      <c r="C4260" t="s">
        <v>9</v>
      </c>
      <c r="D4260" t="e">
        <f>VLOOKUP(C4260,'lookup table'!$A$2:$B$19,2,FALSE)</f>
        <v>#N/A</v>
      </c>
      <c r="E4260" t="str">
        <f t="shared" si="66"/>
        <v/>
      </c>
    </row>
    <row r="4261" spans="1:5" x14ac:dyDescent="0.2">
      <c r="A4261" t="s">
        <v>1287</v>
      </c>
      <c r="B4261" t="s">
        <v>1286</v>
      </c>
      <c r="C4261" t="s">
        <v>10</v>
      </c>
      <c r="D4261" t="e">
        <f>VLOOKUP(C4261,'lookup table'!$A$2:$B$19,2,FALSE)</f>
        <v>#N/A</v>
      </c>
      <c r="E4261" t="str">
        <f t="shared" si="66"/>
        <v/>
      </c>
    </row>
    <row r="4262" spans="1:5" x14ac:dyDescent="0.2">
      <c r="A4262" t="s">
        <v>1287</v>
      </c>
      <c r="B4262" t="s">
        <v>1286</v>
      </c>
      <c r="C4262" t="s">
        <v>11</v>
      </c>
      <c r="D4262" t="e">
        <f>VLOOKUP(C4262,'lookup table'!$A$2:$B$19,2,FALSE)</f>
        <v>#N/A</v>
      </c>
      <c r="E4262" t="str">
        <f t="shared" si="66"/>
        <v/>
      </c>
    </row>
    <row r="4263" spans="1:5" x14ac:dyDescent="0.2">
      <c r="A4263" t="s">
        <v>1287</v>
      </c>
      <c r="B4263" t="s">
        <v>1286</v>
      </c>
      <c r="C4263" t="s">
        <v>12</v>
      </c>
      <c r="D4263" t="e">
        <f>VLOOKUP(C4263,'lookup table'!$A$2:$B$19,2,FALSE)</f>
        <v>#N/A</v>
      </c>
      <c r="E4263" t="str">
        <f t="shared" si="66"/>
        <v/>
      </c>
    </row>
    <row r="4264" spans="1:5" x14ac:dyDescent="0.2">
      <c r="A4264" t="s">
        <v>1287</v>
      </c>
      <c r="B4264" t="s">
        <v>1286</v>
      </c>
      <c r="C4264" t="s">
        <v>14</v>
      </c>
      <c r="D4264" t="str">
        <f>VLOOKUP(C4264,'lookup table'!$A$2:$B$19,2,FALSE)</f>
        <v>ALC</v>
      </c>
      <c r="E4264" t="str">
        <f t="shared" si="66"/>
        <v>BL_TOM_14A|ALC</v>
      </c>
    </row>
    <row r="4265" spans="1:5" x14ac:dyDescent="0.2">
      <c r="A4265" t="s">
        <v>1287</v>
      </c>
      <c r="B4265" t="s">
        <v>1286</v>
      </c>
      <c r="C4265" t="s">
        <v>20</v>
      </c>
      <c r="D4265" t="str">
        <f>VLOOKUP(C4265,'lookup table'!$A$2:$B$19,2,FALSE)</f>
        <v>AY</v>
      </c>
      <c r="E4265" t="str">
        <f t="shared" si="66"/>
        <v>BL_TOM_14A|AY</v>
      </c>
    </row>
    <row r="4266" spans="1:5" x14ac:dyDescent="0.2">
      <c r="A4266" t="s">
        <v>1287</v>
      </c>
      <c r="B4266" t="s">
        <v>1286</v>
      </c>
      <c r="C4266" t="s">
        <v>136</v>
      </c>
      <c r="D4266" t="str">
        <f>VLOOKUP(C4266,'lookup table'!$A$2:$B$19,2,FALSE)</f>
        <v>BBA Set</v>
      </c>
      <c r="E4266" t="str">
        <f t="shared" si="66"/>
        <v>BL_TOM_14A|BBA Set</v>
      </c>
    </row>
    <row r="4267" spans="1:5" x14ac:dyDescent="0.2">
      <c r="A4267" t="s">
        <v>1287</v>
      </c>
      <c r="B4267" t="s">
        <v>1286</v>
      </c>
      <c r="C4267" t="s">
        <v>324</v>
      </c>
      <c r="D4267" t="e">
        <f>VLOOKUP(C4267,'lookup table'!$A$2:$B$19,2,FALSE)</f>
        <v>#N/A</v>
      </c>
      <c r="E4267" t="str">
        <f t="shared" si="66"/>
        <v/>
      </c>
    </row>
    <row r="4268" spans="1:5" x14ac:dyDescent="0.2">
      <c r="A4268" t="s">
        <v>1287</v>
      </c>
      <c r="B4268" t="s">
        <v>1286</v>
      </c>
      <c r="C4268" t="s">
        <v>325</v>
      </c>
      <c r="D4268" t="e">
        <f>VLOOKUP(C4268,'lookup table'!$A$2:$B$19,2,FALSE)</f>
        <v>#N/A</v>
      </c>
      <c r="E4268" t="str">
        <f t="shared" si="66"/>
        <v/>
      </c>
    </row>
    <row r="4269" spans="1:5" x14ac:dyDescent="0.2">
      <c r="A4269" t="s">
        <v>1287</v>
      </c>
      <c r="B4269" t="s">
        <v>1286</v>
      </c>
      <c r="C4269" t="s">
        <v>326</v>
      </c>
      <c r="D4269" t="e">
        <f>VLOOKUP(C4269,'lookup table'!$A$2:$B$19,2,FALSE)</f>
        <v>#N/A</v>
      </c>
      <c r="E4269" t="str">
        <f t="shared" si="66"/>
        <v/>
      </c>
    </row>
    <row r="4270" spans="1:5" x14ac:dyDescent="0.2">
      <c r="A4270" t="s">
        <v>1287</v>
      </c>
      <c r="B4270" t="s">
        <v>1286</v>
      </c>
      <c r="C4270" t="s">
        <v>327</v>
      </c>
      <c r="D4270" t="e">
        <f>VLOOKUP(C4270,'lookup table'!$A$2:$B$19,2,FALSE)</f>
        <v>#N/A</v>
      </c>
      <c r="E4270" t="str">
        <f t="shared" si="66"/>
        <v/>
      </c>
    </row>
    <row r="4271" spans="1:5" x14ac:dyDescent="0.2">
      <c r="A4271" t="s">
        <v>1287</v>
      </c>
      <c r="B4271" t="s">
        <v>1286</v>
      </c>
      <c r="C4271" t="s">
        <v>328</v>
      </c>
      <c r="D4271" t="e">
        <f>VLOOKUP(C4271,'lookup table'!$A$2:$B$19,2,FALSE)</f>
        <v>#N/A</v>
      </c>
      <c r="E4271" t="str">
        <f t="shared" si="66"/>
        <v/>
      </c>
    </row>
    <row r="4272" spans="1:5" x14ac:dyDescent="0.2">
      <c r="A4272" t="s">
        <v>1287</v>
      </c>
      <c r="B4272" t="s">
        <v>1286</v>
      </c>
      <c r="C4272" t="s">
        <v>329</v>
      </c>
      <c r="D4272" t="e">
        <f>VLOOKUP(C4272,'lookup table'!$A$2:$B$19,2,FALSE)</f>
        <v>#N/A</v>
      </c>
      <c r="E4272" t="str">
        <f t="shared" si="66"/>
        <v/>
      </c>
    </row>
    <row r="4273" spans="1:5" x14ac:dyDescent="0.2">
      <c r="A4273" t="s">
        <v>1287</v>
      </c>
      <c r="B4273" t="s">
        <v>1286</v>
      </c>
      <c r="C4273" t="s">
        <v>331</v>
      </c>
      <c r="D4273" t="str">
        <f>VLOOKUP(C4273,'lookup table'!$A$2:$B$19,2,FALSE)</f>
        <v>FS Item</v>
      </c>
      <c r="E4273" t="str">
        <f t="shared" si="66"/>
        <v>BL_TOM_14A|FS Item</v>
      </c>
    </row>
    <row r="4274" spans="1:5" x14ac:dyDescent="0.2">
      <c r="A4274" t="s">
        <v>1287</v>
      </c>
      <c r="B4274" t="s">
        <v>1286</v>
      </c>
      <c r="C4274" t="s">
        <v>423</v>
      </c>
      <c r="D4274" t="str">
        <f>VLOOKUP(C4274,'lookup table'!$A$2:$B$19,2,FALSE)</f>
        <v>ignore</v>
      </c>
      <c r="E4274" t="str">
        <f t="shared" si="66"/>
        <v>BL_TOM_14A|ignore</v>
      </c>
    </row>
    <row r="4275" spans="1:5" x14ac:dyDescent="0.2">
      <c r="A4275" t="s">
        <v>1287</v>
      </c>
      <c r="B4275" t="s">
        <v>1286</v>
      </c>
      <c r="C4275" t="s">
        <v>424</v>
      </c>
      <c r="D4275" t="str">
        <f>VLOOKUP(C4275,'lookup table'!$A$2:$B$19,2,FALSE)</f>
        <v>GRC</v>
      </c>
      <c r="E4275" t="str">
        <f t="shared" si="66"/>
        <v>BL_TOM_14A|GRC</v>
      </c>
    </row>
    <row r="4276" spans="1:5" x14ac:dyDescent="0.2">
      <c r="A4276" t="s">
        <v>1287</v>
      </c>
      <c r="B4276" t="s">
        <v>1286</v>
      </c>
      <c r="C4276" t="s">
        <v>425</v>
      </c>
      <c r="D4276" t="str">
        <f>VLOOKUP(C4276,'lookup table'!$A$2:$B$19,2,FALSE)</f>
        <v>Investee Segment</v>
      </c>
      <c r="E4276" t="str">
        <f t="shared" si="66"/>
        <v>BL_TOM_14A|Investee Segment</v>
      </c>
    </row>
    <row r="4277" spans="1:5" x14ac:dyDescent="0.2">
      <c r="A4277" t="s">
        <v>1287</v>
      </c>
      <c r="B4277" t="s">
        <v>1286</v>
      </c>
      <c r="C4277" t="s">
        <v>426</v>
      </c>
      <c r="D4277" t="str">
        <f>VLOOKUP(C4277,'lookup table'!$A$2:$B$19,2,FALSE)</f>
        <v>Investee Unit</v>
      </c>
      <c r="E4277" t="str">
        <f t="shared" si="66"/>
        <v>BL_TOM_14A|Investee Unit</v>
      </c>
    </row>
    <row r="4278" spans="1:5" x14ac:dyDescent="0.2">
      <c r="A4278" t="s">
        <v>1287</v>
      </c>
      <c r="B4278" t="s">
        <v>1286</v>
      </c>
      <c r="C4278" t="s">
        <v>428</v>
      </c>
      <c r="D4278" t="str">
        <f>VLOOKUP(C4278,'lookup table'!$A$2:$B$19,2,FALSE)</f>
        <v>LoB</v>
      </c>
      <c r="E4278" t="str">
        <f t="shared" si="66"/>
        <v>BL_TOM_14A|LoB</v>
      </c>
    </row>
    <row r="4279" spans="1:5" x14ac:dyDescent="0.2">
      <c r="A4279" t="s">
        <v>1287</v>
      </c>
      <c r="B4279" t="s">
        <v>1286</v>
      </c>
      <c r="C4279" t="s">
        <v>436</v>
      </c>
      <c r="D4279" t="str">
        <f>VLOOKUP(C4279,'lookup table'!$A$2:$B$19,2,FALSE)</f>
        <v>MAT</v>
      </c>
      <c r="E4279" t="str">
        <f t="shared" si="66"/>
        <v>BL_TOM_14A|MAT</v>
      </c>
    </row>
    <row r="4280" spans="1:5" x14ac:dyDescent="0.2">
      <c r="A4280" t="s">
        <v>1287</v>
      </c>
      <c r="B4280" t="s">
        <v>1286</v>
      </c>
      <c r="C4280" t="s">
        <v>438</v>
      </c>
      <c r="D4280" t="str">
        <f>VLOOKUP(C4280,'lookup table'!$A$2:$B$19,2,FALSE)</f>
        <v>ToM</v>
      </c>
      <c r="E4280" t="str">
        <f t="shared" si="66"/>
        <v>BL_TOM_14A|ToM</v>
      </c>
    </row>
    <row r="4281" spans="1:5" x14ac:dyDescent="0.2">
      <c r="A4281" t="s">
        <v>1287</v>
      </c>
      <c r="B4281" t="s">
        <v>1286</v>
      </c>
      <c r="C4281" t="s">
        <v>441</v>
      </c>
      <c r="D4281" t="str">
        <f>VLOOKUP(C4281,'lookup table'!$A$2:$B$19,2,FALSE)</f>
        <v>Partner Segment</v>
      </c>
      <c r="E4281" t="str">
        <f t="shared" si="66"/>
        <v>BL_TOM_14A|Partner Segment</v>
      </c>
    </row>
    <row r="4282" spans="1:5" x14ac:dyDescent="0.2">
      <c r="A4282" t="s">
        <v>1287</v>
      </c>
      <c r="B4282" t="s">
        <v>1286</v>
      </c>
      <c r="C4282" t="s">
        <v>442</v>
      </c>
      <c r="D4282" t="str">
        <f>VLOOKUP(C4282,'lookup table'!$A$2:$B$19,2,FALSE)</f>
        <v>Partner Unit</v>
      </c>
      <c r="E4282" t="str">
        <f t="shared" si="66"/>
        <v>BL_TOM_14A|Partner Unit</v>
      </c>
    </row>
    <row r="4283" spans="1:5" x14ac:dyDescent="0.2">
      <c r="A4283" t="s">
        <v>1287</v>
      </c>
      <c r="B4283" t="s">
        <v>1286</v>
      </c>
      <c r="C4283" t="s">
        <v>447</v>
      </c>
      <c r="D4283" t="str">
        <f>VLOOKUP(C4283,'lookup table'!$A$2:$B$19,2,FALSE)</f>
        <v>REX</v>
      </c>
      <c r="E4283" t="str">
        <f t="shared" si="66"/>
        <v>BL_TOM_14A|REX</v>
      </c>
    </row>
    <row r="4284" spans="1:5" x14ac:dyDescent="0.2">
      <c r="A4284" t="s">
        <v>1287</v>
      </c>
      <c r="B4284" t="s">
        <v>1286</v>
      </c>
      <c r="C4284" t="s">
        <v>448</v>
      </c>
      <c r="D4284" t="e">
        <f>VLOOKUP(C4284,'lookup table'!$A$2:$B$19,2,FALSE)</f>
        <v>#N/A</v>
      </c>
      <c r="E4284" t="str">
        <f t="shared" si="66"/>
        <v/>
      </c>
    </row>
    <row r="4285" spans="1:5" x14ac:dyDescent="0.2">
      <c r="A4285" t="s">
        <v>1287</v>
      </c>
      <c r="B4285" t="s">
        <v>1286</v>
      </c>
      <c r="C4285" t="s">
        <v>451</v>
      </c>
      <c r="D4285" t="str">
        <f>VLOOKUP(C4285,'lookup table'!$A$2:$B$19,2,FALSE)</f>
        <v>Segment</v>
      </c>
      <c r="E4285" t="str">
        <f t="shared" si="66"/>
        <v>BL_TOM_14A|Segment</v>
      </c>
    </row>
    <row r="4286" spans="1:5" x14ac:dyDescent="0.2">
      <c r="A4286" t="s">
        <v>1287</v>
      </c>
      <c r="B4286" t="s">
        <v>1286</v>
      </c>
      <c r="C4286" t="s">
        <v>455</v>
      </c>
      <c r="D4286" t="e">
        <f>VLOOKUP(C4286,'lookup table'!$A$2:$B$19,2,FALSE)</f>
        <v>#N/A</v>
      </c>
      <c r="E4286" t="str">
        <f t="shared" si="66"/>
        <v/>
      </c>
    </row>
    <row r="4287" spans="1:5" x14ac:dyDescent="0.2">
      <c r="A4287" t="s">
        <v>1287</v>
      </c>
      <c r="B4287" t="s">
        <v>1286</v>
      </c>
      <c r="C4287" t="s">
        <v>456</v>
      </c>
      <c r="D4287" t="e">
        <f>VLOOKUP(C4287,'lookup table'!$A$2:$B$19,2,FALSE)</f>
        <v>#N/A</v>
      </c>
      <c r="E4287" t="str">
        <f t="shared" si="66"/>
        <v/>
      </c>
    </row>
    <row r="4288" spans="1:5" x14ac:dyDescent="0.2">
      <c r="A4288" t="s">
        <v>1287</v>
      </c>
      <c r="B4288" t="s">
        <v>1286</v>
      </c>
      <c r="C4288" t="s">
        <v>457</v>
      </c>
      <c r="D4288" t="str">
        <f>VLOOKUP(C4288,'lookup table'!$A$2:$B$19,2,FALSE)</f>
        <v>VLT</v>
      </c>
      <c r="E4288" t="str">
        <f t="shared" si="66"/>
        <v>BL_TOM_14A|VLT</v>
      </c>
    </row>
    <row r="4289" spans="1:5" x14ac:dyDescent="0.2">
      <c r="A4289" t="s">
        <v>1287</v>
      </c>
      <c r="B4289" t="s">
        <v>1286</v>
      </c>
      <c r="C4289" t="s">
        <v>458</v>
      </c>
      <c r="D4289" t="str">
        <f>VLOOKUP(C4289,'lookup table'!$A$2:$B$19,2,FALSE)</f>
        <v>VAR</v>
      </c>
      <c r="E4289" t="str">
        <f t="shared" si="66"/>
        <v>BL_TOM_14A|VAR</v>
      </c>
    </row>
    <row r="4290" spans="1:5" x14ac:dyDescent="0.2">
      <c r="A4290" t="s">
        <v>1287</v>
      </c>
      <c r="B4290" t="s">
        <v>1286</v>
      </c>
      <c r="C4290" t="s">
        <v>460</v>
      </c>
      <c r="D4290" t="e">
        <f>VLOOKUP(C4290,'lookup table'!$A$2:$B$19,2,FALSE)</f>
        <v>#N/A</v>
      </c>
      <c r="E4290" t="str">
        <f t="shared" si="66"/>
        <v/>
      </c>
    </row>
    <row r="4291" spans="1:5" x14ac:dyDescent="0.2">
      <c r="A4291" t="s">
        <v>1287</v>
      </c>
      <c r="B4291" t="s">
        <v>1286</v>
      </c>
      <c r="C4291" t="s">
        <v>461</v>
      </c>
      <c r="D4291" t="str">
        <f>VLOOKUP(C4291,'lookup table'!$A$2:$B$19,2,FALSE)</f>
        <v>Posting Level</v>
      </c>
      <c r="E4291" t="str">
        <f t="shared" ref="E4291:E4354" si="67">IF(ISNA(D4291),"",IF(A4291="","",A4291) &amp; "|" &amp; D4291)</f>
        <v>BL_TOM_14A|Posting Level</v>
      </c>
    </row>
    <row r="4292" spans="1:5" x14ac:dyDescent="0.2">
      <c r="A4292" t="s">
        <v>1287</v>
      </c>
      <c r="B4292" t="s">
        <v>1286</v>
      </c>
      <c r="C4292" t="s">
        <v>465</v>
      </c>
      <c r="D4292" t="e">
        <f>VLOOKUP(C4292,'lookup table'!$A$2:$B$19,2,FALSE)</f>
        <v>#N/A</v>
      </c>
      <c r="E4292" t="str">
        <f t="shared" si="67"/>
        <v/>
      </c>
    </row>
    <row r="4293" spans="1:5" x14ac:dyDescent="0.2">
      <c r="A4293" t="s">
        <v>1288</v>
      </c>
      <c r="B4293" t="s">
        <v>1286</v>
      </c>
      <c r="C4293" t="s">
        <v>6</v>
      </c>
      <c r="D4293" t="e">
        <f>VLOOKUP(C4293,'lookup table'!$A$2:$B$19,2,FALSE)</f>
        <v>#N/A</v>
      </c>
      <c r="E4293" t="str">
        <f t="shared" si="67"/>
        <v/>
      </c>
    </row>
    <row r="4294" spans="1:5" x14ac:dyDescent="0.2">
      <c r="A4294" t="s">
        <v>1288</v>
      </c>
      <c r="B4294" t="s">
        <v>1286</v>
      </c>
      <c r="C4294" t="s">
        <v>9</v>
      </c>
      <c r="D4294" t="e">
        <f>VLOOKUP(C4294,'lookup table'!$A$2:$B$19,2,FALSE)</f>
        <v>#N/A</v>
      </c>
      <c r="E4294" t="str">
        <f t="shared" si="67"/>
        <v/>
      </c>
    </row>
    <row r="4295" spans="1:5" x14ac:dyDescent="0.2">
      <c r="A4295" t="s">
        <v>1288</v>
      </c>
      <c r="B4295" t="s">
        <v>1286</v>
      </c>
      <c r="C4295" t="s">
        <v>10</v>
      </c>
      <c r="D4295" t="e">
        <f>VLOOKUP(C4295,'lookup table'!$A$2:$B$19,2,FALSE)</f>
        <v>#N/A</v>
      </c>
      <c r="E4295" t="str">
        <f t="shared" si="67"/>
        <v/>
      </c>
    </row>
    <row r="4296" spans="1:5" x14ac:dyDescent="0.2">
      <c r="A4296" t="s">
        <v>1288</v>
      </c>
      <c r="B4296" t="s">
        <v>1286</v>
      </c>
      <c r="C4296" t="s">
        <v>11</v>
      </c>
      <c r="D4296" t="e">
        <f>VLOOKUP(C4296,'lookup table'!$A$2:$B$19,2,FALSE)</f>
        <v>#N/A</v>
      </c>
      <c r="E4296" t="str">
        <f t="shared" si="67"/>
        <v/>
      </c>
    </row>
    <row r="4297" spans="1:5" x14ac:dyDescent="0.2">
      <c r="A4297" t="s">
        <v>1288</v>
      </c>
      <c r="B4297" t="s">
        <v>1286</v>
      </c>
      <c r="C4297" t="s">
        <v>12</v>
      </c>
      <c r="D4297" t="e">
        <f>VLOOKUP(C4297,'lookup table'!$A$2:$B$19,2,FALSE)</f>
        <v>#N/A</v>
      </c>
      <c r="E4297" t="str">
        <f t="shared" si="67"/>
        <v/>
      </c>
    </row>
    <row r="4298" spans="1:5" x14ac:dyDescent="0.2">
      <c r="A4298" t="s">
        <v>1288</v>
      </c>
      <c r="B4298" t="s">
        <v>1286</v>
      </c>
      <c r="C4298" t="s">
        <v>14</v>
      </c>
      <c r="D4298" t="str">
        <f>VLOOKUP(C4298,'lookup table'!$A$2:$B$19,2,FALSE)</f>
        <v>ALC</v>
      </c>
      <c r="E4298" t="str">
        <f t="shared" si="67"/>
        <v>BL_TOM_14B|ALC</v>
      </c>
    </row>
    <row r="4299" spans="1:5" x14ac:dyDescent="0.2">
      <c r="A4299" t="s">
        <v>1288</v>
      </c>
      <c r="B4299" t="s">
        <v>1286</v>
      </c>
      <c r="C4299" t="s">
        <v>20</v>
      </c>
      <c r="D4299" t="str">
        <f>VLOOKUP(C4299,'lookup table'!$A$2:$B$19,2,FALSE)</f>
        <v>AY</v>
      </c>
      <c r="E4299" t="str">
        <f t="shared" si="67"/>
        <v>BL_TOM_14B|AY</v>
      </c>
    </row>
    <row r="4300" spans="1:5" x14ac:dyDescent="0.2">
      <c r="A4300" t="s">
        <v>1288</v>
      </c>
      <c r="B4300" t="s">
        <v>1286</v>
      </c>
      <c r="C4300" t="s">
        <v>136</v>
      </c>
      <c r="D4300" t="str">
        <f>VLOOKUP(C4300,'lookup table'!$A$2:$B$19,2,FALSE)</f>
        <v>BBA Set</v>
      </c>
      <c r="E4300" t="str">
        <f t="shared" si="67"/>
        <v>BL_TOM_14B|BBA Set</v>
      </c>
    </row>
    <row r="4301" spans="1:5" x14ac:dyDescent="0.2">
      <c r="A4301" t="s">
        <v>1288</v>
      </c>
      <c r="B4301" t="s">
        <v>1286</v>
      </c>
      <c r="C4301" t="s">
        <v>324</v>
      </c>
      <c r="D4301" t="e">
        <f>VLOOKUP(C4301,'lookup table'!$A$2:$B$19,2,FALSE)</f>
        <v>#N/A</v>
      </c>
      <c r="E4301" t="str">
        <f t="shared" si="67"/>
        <v/>
      </c>
    </row>
    <row r="4302" spans="1:5" x14ac:dyDescent="0.2">
      <c r="A4302" t="s">
        <v>1288</v>
      </c>
      <c r="B4302" t="s">
        <v>1286</v>
      </c>
      <c r="C4302" t="s">
        <v>325</v>
      </c>
      <c r="D4302" t="e">
        <f>VLOOKUP(C4302,'lookup table'!$A$2:$B$19,2,FALSE)</f>
        <v>#N/A</v>
      </c>
      <c r="E4302" t="str">
        <f t="shared" si="67"/>
        <v/>
      </c>
    </row>
    <row r="4303" spans="1:5" x14ac:dyDescent="0.2">
      <c r="A4303" t="s">
        <v>1288</v>
      </c>
      <c r="B4303" t="s">
        <v>1286</v>
      </c>
      <c r="C4303" t="s">
        <v>326</v>
      </c>
      <c r="D4303" t="e">
        <f>VLOOKUP(C4303,'lookup table'!$A$2:$B$19,2,FALSE)</f>
        <v>#N/A</v>
      </c>
      <c r="E4303" t="str">
        <f t="shared" si="67"/>
        <v/>
      </c>
    </row>
    <row r="4304" spans="1:5" x14ac:dyDescent="0.2">
      <c r="A4304" t="s">
        <v>1288</v>
      </c>
      <c r="B4304" t="s">
        <v>1286</v>
      </c>
      <c r="C4304" t="s">
        <v>327</v>
      </c>
      <c r="D4304" t="e">
        <f>VLOOKUP(C4304,'lookup table'!$A$2:$B$19,2,FALSE)</f>
        <v>#N/A</v>
      </c>
      <c r="E4304" t="str">
        <f t="shared" si="67"/>
        <v/>
      </c>
    </row>
    <row r="4305" spans="1:5" x14ac:dyDescent="0.2">
      <c r="A4305" t="s">
        <v>1288</v>
      </c>
      <c r="B4305" t="s">
        <v>1286</v>
      </c>
      <c r="C4305" t="s">
        <v>328</v>
      </c>
      <c r="D4305" t="e">
        <f>VLOOKUP(C4305,'lookup table'!$A$2:$B$19,2,FALSE)</f>
        <v>#N/A</v>
      </c>
      <c r="E4305" t="str">
        <f t="shared" si="67"/>
        <v/>
      </c>
    </row>
    <row r="4306" spans="1:5" x14ac:dyDescent="0.2">
      <c r="A4306" t="s">
        <v>1288</v>
      </c>
      <c r="B4306" t="s">
        <v>1286</v>
      </c>
      <c r="C4306" t="s">
        <v>329</v>
      </c>
      <c r="D4306" t="e">
        <f>VLOOKUP(C4306,'lookup table'!$A$2:$B$19,2,FALSE)</f>
        <v>#N/A</v>
      </c>
      <c r="E4306" t="str">
        <f t="shared" si="67"/>
        <v/>
      </c>
    </row>
    <row r="4307" spans="1:5" x14ac:dyDescent="0.2">
      <c r="A4307" t="s">
        <v>1288</v>
      </c>
      <c r="B4307" t="s">
        <v>1286</v>
      </c>
      <c r="C4307" t="s">
        <v>331</v>
      </c>
      <c r="D4307" t="str">
        <f>VLOOKUP(C4307,'lookup table'!$A$2:$B$19,2,FALSE)</f>
        <v>FS Item</v>
      </c>
      <c r="E4307" t="str">
        <f t="shared" si="67"/>
        <v>BL_TOM_14B|FS Item</v>
      </c>
    </row>
    <row r="4308" spans="1:5" x14ac:dyDescent="0.2">
      <c r="A4308" t="s">
        <v>1288</v>
      </c>
      <c r="B4308" t="s">
        <v>1286</v>
      </c>
      <c r="C4308" t="s">
        <v>423</v>
      </c>
      <c r="D4308" t="str">
        <f>VLOOKUP(C4308,'lookup table'!$A$2:$B$19,2,FALSE)</f>
        <v>ignore</v>
      </c>
      <c r="E4308" t="str">
        <f t="shared" si="67"/>
        <v>BL_TOM_14B|ignore</v>
      </c>
    </row>
    <row r="4309" spans="1:5" x14ac:dyDescent="0.2">
      <c r="A4309" t="s">
        <v>1288</v>
      </c>
      <c r="B4309" t="s">
        <v>1286</v>
      </c>
      <c r="C4309" t="s">
        <v>424</v>
      </c>
      <c r="D4309" t="str">
        <f>VLOOKUP(C4309,'lookup table'!$A$2:$B$19,2,FALSE)</f>
        <v>GRC</v>
      </c>
      <c r="E4309" t="str">
        <f t="shared" si="67"/>
        <v>BL_TOM_14B|GRC</v>
      </c>
    </row>
    <row r="4310" spans="1:5" x14ac:dyDescent="0.2">
      <c r="A4310" t="s">
        <v>1288</v>
      </c>
      <c r="B4310" t="s">
        <v>1286</v>
      </c>
      <c r="C4310" t="s">
        <v>425</v>
      </c>
      <c r="D4310" t="str">
        <f>VLOOKUP(C4310,'lookup table'!$A$2:$B$19,2,FALSE)</f>
        <v>Investee Segment</v>
      </c>
      <c r="E4310" t="str">
        <f t="shared" si="67"/>
        <v>BL_TOM_14B|Investee Segment</v>
      </c>
    </row>
    <row r="4311" spans="1:5" x14ac:dyDescent="0.2">
      <c r="A4311" t="s">
        <v>1288</v>
      </c>
      <c r="B4311" t="s">
        <v>1286</v>
      </c>
      <c r="C4311" t="s">
        <v>426</v>
      </c>
      <c r="D4311" t="str">
        <f>VLOOKUP(C4311,'lookup table'!$A$2:$B$19,2,FALSE)</f>
        <v>Investee Unit</v>
      </c>
      <c r="E4311" t="str">
        <f t="shared" si="67"/>
        <v>BL_TOM_14B|Investee Unit</v>
      </c>
    </row>
    <row r="4312" spans="1:5" x14ac:dyDescent="0.2">
      <c r="A4312" t="s">
        <v>1288</v>
      </c>
      <c r="B4312" t="s">
        <v>1286</v>
      </c>
      <c r="C4312" t="s">
        <v>428</v>
      </c>
      <c r="D4312" t="str">
        <f>VLOOKUP(C4312,'lookup table'!$A$2:$B$19,2,FALSE)</f>
        <v>LoB</v>
      </c>
      <c r="E4312" t="str">
        <f t="shared" si="67"/>
        <v>BL_TOM_14B|LoB</v>
      </c>
    </row>
    <row r="4313" spans="1:5" x14ac:dyDescent="0.2">
      <c r="A4313" t="s">
        <v>1288</v>
      </c>
      <c r="B4313" t="s">
        <v>1286</v>
      </c>
      <c r="C4313" t="s">
        <v>436</v>
      </c>
      <c r="D4313" t="str">
        <f>VLOOKUP(C4313,'lookup table'!$A$2:$B$19,2,FALSE)</f>
        <v>MAT</v>
      </c>
      <c r="E4313" t="str">
        <f t="shared" si="67"/>
        <v>BL_TOM_14B|MAT</v>
      </c>
    </row>
    <row r="4314" spans="1:5" x14ac:dyDescent="0.2">
      <c r="A4314" t="s">
        <v>1288</v>
      </c>
      <c r="B4314" t="s">
        <v>1286</v>
      </c>
      <c r="C4314" t="s">
        <v>438</v>
      </c>
      <c r="D4314" t="str">
        <f>VLOOKUP(C4314,'lookup table'!$A$2:$B$19,2,FALSE)</f>
        <v>ToM</v>
      </c>
      <c r="E4314" t="str">
        <f t="shared" si="67"/>
        <v>BL_TOM_14B|ToM</v>
      </c>
    </row>
    <row r="4315" spans="1:5" x14ac:dyDescent="0.2">
      <c r="A4315" t="s">
        <v>1288</v>
      </c>
      <c r="B4315" t="s">
        <v>1286</v>
      </c>
      <c r="C4315" t="s">
        <v>441</v>
      </c>
      <c r="D4315" t="str">
        <f>VLOOKUP(C4315,'lookup table'!$A$2:$B$19,2,FALSE)</f>
        <v>Partner Segment</v>
      </c>
      <c r="E4315" t="str">
        <f t="shared" si="67"/>
        <v>BL_TOM_14B|Partner Segment</v>
      </c>
    </row>
    <row r="4316" spans="1:5" x14ac:dyDescent="0.2">
      <c r="A4316" t="s">
        <v>1288</v>
      </c>
      <c r="B4316" t="s">
        <v>1286</v>
      </c>
      <c r="C4316" t="s">
        <v>442</v>
      </c>
      <c r="D4316" t="str">
        <f>VLOOKUP(C4316,'lookup table'!$A$2:$B$19,2,FALSE)</f>
        <v>Partner Unit</v>
      </c>
      <c r="E4316" t="str">
        <f t="shared" si="67"/>
        <v>BL_TOM_14B|Partner Unit</v>
      </c>
    </row>
    <row r="4317" spans="1:5" x14ac:dyDescent="0.2">
      <c r="A4317" t="s">
        <v>1288</v>
      </c>
      <c r="B4317" t="s">
        <v>1286</v>
      </c>
      <c r="C4317" t="s">
        <v>447</v>
      </c>
      <c r="D4317" t="str">
        <f>VLOOKUP(C4317,'lookup table'!$A$2:$B$19,2,FALSE)</f>
        <v>REX</v>
      </c>
      <c r="E4317" t="str">
        <f t="shared" si="67"/>
        <v>BL_TOM_14B|REX</v>
      </c>
    </row>
    <row r="4318" spans="1:5" x14ac:dyDescent="0.2">
      <c r="A4318" t="s">
        <v>1288</v>
      </c>
      <c r="B4318" t="s">
        <v>1286</v>
      </c>
      <c r="C4318" t="s">
        <v>448</v>
      </c>
      <c r="D4318" t="e">
        <f>VLOOKUP(C4318,'lookup table'!$A$2:$B$19,2,FALSE)</f>
        <v>#N/A</v>
      </c>
      <c r="E4318" t="str">
        <f t="shared" si="67"/>
        <v/>
      </c>
    </row>
    <row r="4319" spans="1:5" x14ac:dyDescent="0.2">
      <c r="A4319" t="s">
        <v>1288</v>
      </c>
      <c r="B4319" t="s">
        <v>1286</v>
      </c>
      <c r="C4319" t="s">
        <v>451</v>
      </c>
      <c r="D4319" t="str">
        <f>VLOOKUP(C4319,'lookup table'!$A$2:$B$19,2,FALSE)</f>
        <v>Segment</v>
      </c>
      <c r="E4319" t="str">
        <f t="shared" si="67"/>
        <v>BL_TOM_14B|Segment</v>
      </c>
    </row>
    <row r="4320" spans="1:5" x14ac:dyDescent="0.2">
      <c r="A4320" t="s">
        <v>1288</v>
      </c>
      <c r="B4320" t="s">
        <v>1286</v>
      </c>
      <c r="C4320" t="s">
        <v>455</v>
      </c>
      <c r="D4320" t="e">
        <f>VLOOKUP(C4320,'lookup table'!$A$2:$B$19,2,FALSE)</f>
        <v>#N/A</v>
      </c>
      <c r="E4320" t="str">
        <f t="shared" si="67"/>
        <v/>
      </c>
    </row>
    <row r="4321" spans="1:5" x14ac:dyDescent="0.2">
      <c r="A4321" t="s">
        <v>1288</v>
      </c>
      <c r="B4321" t="s">
        <v>1286</v>
      </c>
      <c r="C4321" t="s">
        <v>456</v>
      </c>
      <c r="D4321" t="e">
        <f>VLOOKUP(C4321,'lookup table'!$A$2:$B$19,2,FALSE)</f>
        <v>#N/A</v>
      </c>
      <c r="E4321" t="str">
        <f t="shared" si="67"/>
        <v/>
      </c>
    </row>
    <row r="4322" spans="1:5" x14ac:dyDescent="0.2">
      <c r="A4322" t="s">
        <v>1288</v>
      </c>
      <c r="B4322" t="s">
        <v>1286</v>
      </c>
      <c r="C4322" t="s">
        <v>457</v>
      </c>
      <c r="D4322" t="str">
        <f>VLOOKUP(C4322,'lookup table'!$A$2:$B$19,2,FALSE)</f>
        <v>VLT</v>
      </c>
      <c r="E4322" t="str">
        <f t="shared" si="67"/>
        <v>BL_TOM_14B|VLT</v>
      </c>
    </row>
    <row r="4323" spans="1:5" x14ac:dyDescent="0.2">
      <c r="A4323" t="s">
        <v>1288</v>
      </c>
      <c r="B4323" t="s">
        <v>1286</v>
      </c>
      <c r="C4323" t="s">
        <v>458</v>
      </c>
      <c r="D4323" t="str">
        <f>VLOOKUP(C4323,'lookup table'!$A$2:$B$19,2,FALSE)</f>
        <v>VAR</v>
      </c>
      <c r="E4323" t="str">
        <f t="shared" si="67"/>
        <v>BL_TOM_14B|VAR</v>
      </c>
    </row>
    <row r="4324" spans="1:5" x14ac:dyDescent="0.2">
      <c r="A4324" t="s">
        <v>1288</v>
      </c>
      <c r="B4324" t="s">
        <v>1286</v>
      </c>
      <c r="C4324" t="s">
        <v>460</v>
      </c>
      <c r="D4324" t="e">
        <f>VLOOKUP(C4324,'lookup table'!$A$2:$B$19,2,FALSE)</f>
        <v>#N/A</v>
      </c>
      <c r="E4324" t="str">
        <f t="shared" si="67"/>
        <v/>
      </c>
    </row>
    <row r="4325" spans="1:5" x14ac:dyDescent="0.2">
      <c r="A4325" t="s">
        <v>1288</v>
      </c>
      <c r="B4325" t="s">
        <v>1286</v>
      </c>
      <c r="C4325" t="s">
        <v>461</v>
      </c>
      <c r="D4325" t="str">
        <f>VLOOKUP(C4325,'lookup table'!$A$2:$B$19,2,FALSE)</f>
        <v>Posting Level</v>
      </c>
      <c r="E4325" t="str">
        <f t="shared" si="67"/>
        <v>BL_TOM_14B|Posting Level</v>
      </c>
    </row>
    <row r="4326" spans="1:5" x14ac:dyDescent="0.2">
      <c r="A4326" t="s">
        <v>1288</v>
      </c>
      <c r="B4326" t="s">
        <v>1286</v>
      </c>
      <c r="C4326" t="s">
        <v>465</v>
      </c>
      <c r="D4326" t="e">
        <f>VLOOKUP(C4326,'lookup table'!$A$2:$B$19,2,FALSE)</f>
        <v>#N/A</v>
      </c>
      <c r="E4326" t="str">
        <f t="shared" si="67"/>
        <v/>
      </c>
    </row>
    <row r="4327" spans="1:5" x14ac:dyDescent="0.2">
      <c r="A4327" t="s">
        <v>1289</v>
      </c>
      <c r="B4327" t="s">
        <v>1286</v>
      </c>
      <c r="C4327" t="s">
        <v>6</v>
      </c>
      <c r="D4327" t="e">
        <f>VLOOKUP(C4327,'lookup table'!$A$2:$B$19,2,FALSE)</f>
        <v>#N/A</v>
      </c>
      <c r="E4327" t="str">
        <f t="shared" si="67"/>
        <v/>
      </c>
    </row>
    <row r="4328" spans="1:5" x14ac:dyDescent="0.2">
      <c r="A4328" t="s">
        <v>1289</v>
      </c>
      <c r="B4328" t="s">
        <v>1286</v>
      </c>
      <c r="C4328" t="s">
        <v>9</v>
      </c>
      <c r="D4328" t="e">
        <f>VLOOKUP(C4328,'lookup table'!$A$2:$B$19,2,FALSE)</f>
        <v>#N/A</v>
      </c>
      <c r="E4328" t="str">
        <f t="shared" si="67"/>
        <v/>
      </c>
    </row>
    <row r="4329" spans="1:5" x14ac:dyDescent="0.2">
      <c r="A4329" t="s">
        <v>1289</v>
      </c>
      <c r="B4329" t="s">
        <v>1286</v>
      </c>
      <c r="C4329" t="s">
        <v>10</v>
      </c>
      <c r="D4329" t="e">
        <f>VLOOKUP(C4329,'lookup table'!$A$2:$B$19,2,FALSE)</f>
        <v>#N/A</v>
      </c>
      <c r="E4329" t="str">
        <f t="shared" si="67"/>
        <v/>
      </c>
    </row>
    <row r="4330" spans="1:5" x14ac:dyDescent="0.2">
      <c r="A4330" t="s">
        <v>1289</v>
      </c>
      <c r="B4330" t="s">
        <v>1286</v>
      </c>
      <c r="C4330" t="s">
        <v>11</v>
      </c>
      <c r="D4330" t="e">
        <f>VLOOKUP(C4330,'lookup table'!$A$2:$B$19,2,FALSE)</f>
        <v>#N/A</v>
      </c>
      <c r="E4330" t="str">
        <f t="shared" si="67"/>
        <v/>
      </c>
    </row>
    <row r="4331" spans="1:5" x14ac:dyDescent="0.2">
      <c r="A4331" t="s">
        <v>1289</v>
      </c>
      <c r="B4331" t="s">
        <v>1286</v>
      </c>
      <c r="C4331" t="s">
        <v>12</v>
      </c>
      <c r="D4331" t="e">
        <f>VLOOKUP(C4331,'lookup table'!$A$2:$B$19,2,FALSE)</f>
        <v>#N/A</v>
      </c>
      <c r="E4331" t="str">
        <f t="shared" si="67"/>
        <v/>
      </c>
    </row>
    <row r="4332" spans="1:5" x14ac:dyDescent="0.2">
      <c r="A4332" t="s">
        <v>1289</v>
      </c>
      <c r="B4332" t="s">
        <v>1286</v>
      </c>
      <c r="C4332" t="s">
        <v>14</v>
      </c>
      <c r="D4332" t="str">
        <f>VLOOKUP(C4332,'lookup table'!$A$2:$B$19,2,FALSE)</f>
        <v>ALC</v>
      </c>
      <c r="E4332" t="str">
        <f t="shared" si="67"/>
        <v>BL_TOM_14C|ALC</v>
      </c>
    </row>
    <row r="4333" spans="1:5" x14ac:dyDescent="0.2">
      <c r="A4333" t="s">
        <v>1289</v>
      </c>
      <c r="B4333" t="s">
        <v>1286</v>
      </c>
      <c r="C4333" t="s">
        <v>20</v>
      </c>
      <c r="D4333" t="str">
        <f>VLOOKUP(C4333,'lookup table'!$A$2:$B$19,2,FALSE)</f>
        <v>AY</v>
      </c>
      <c r="E4333" t="str">
        <f t="shared" si="67"/>
        <v>BL_TOM_14C|AY</v>
      </c>
    </row>
    <row r="4334" spans="1:5" x14ac:dyDescent="0.2">
      <c r="A4334" t="s">
        <v>1289</v>
      </c>
      <c r="B4334" t="s">
        <v>1286</v>
      </c>
      <c r="C4334" t="s">
        <v>136</v>
      </c>
      <c r="D4334" t="str">
        <f>VLOOKUP(C4334,'lookup table'!$A$2:$B$19,2,FALSE)</f>
        <v>BBA Set</v>
      </c>
      <c r="E4334" t="str">
        <f t="shared" si="67"/>
        <v>BL_TOM_14C|BBA Set</v>
      </c>
    </row>
    <row r="4335" spans="1:5" x14ac:dyDescent="0.2">
      <c r="A4335" t="s">
        <v>1289</v>
      </c>
      <c r="B4335" t="s">
        <v>1286</v>
      </c>
      <c r="C4335" t="s">
        <v>324</v>
      </c>
      <c r="D4335" t="e">
        <f>VLOOKUP(C4335,'lookup table'!$A$2:$B$19,2,FALSE)</f>
        <v>#N/A</v>
      </c>
      <c r="E4335" t="str">
        <f t="shared" si="67"/>
        <v/>
      </c>
    </row>
    <row r="4336" spans="1:5" x14ac:dyDescent="0.2">
      <c r="A4336" t="s">
        <v>1289</v>
      </c>
      <c r="B4336" t="s">
        <v>1286</v>
      </c>
      <c r="C4336" t="s">
        <v>325</v>
      </c>
      <c r="D4336" t="e">
        <f>VLOOKUP(C4336,'lookup table'!$A$2:$B$19,2,FALSE)</f>
        <v>#N/A</v>
      </c>
      <c r="E4336" t="str">
        <f t="shared" si="67"/>
        <v/>
      </c>
    </row>
    <row r="4337" spans="1:5" x14ac:dyDescent="0.2">
      <c r="A4337" t="s">
        <v>1289</v>
      </c>
      <c r="B4337" t="s">
        <v>1286</v>
      </c>
      <c r="C4337" t="s">
        <v>326</v>
      </c>
      <c r="D4337" t="e">
        <f>VLOOKUP(C4337,'lookup table'!$A$2:$B$19,2,FALSE)</f>
        <v>#N/A</v>
      </c>
      <c r="E4337" t="str">
        <f t="shared" si="67"/>
        <v/>
      </c>
    </row>
    <row r="4338" spans="1:5" x14ac:dyDescent="0.2">
      <c r="A4338" t="s">
        <v>1289</v>
      </c>
      <c r="B4338" t="s">
        <v>1286</v>
      </c>
      <c r="C4338" t="s">
        <v>327</v>
      </c>
      <c r="D4338" t="e">
        <f>VLOOKUP(C4338,'lookup table'!$A$2:$B$19,2,FALSE)</f>
        <v>#N/A</v>
      </c>
      <c r="E4338" t="str">
        <f t="shared" si="67"/>
        <v/>
      </c>
    </row>
    <row r="4339" spans="1:5" x14ac:dyDescent="0.2">
      <c r="A4339" t="s">
        <v>1289</v>
      </c>
      <c r="B4339" t="s">
        <v>1286</v>
      </c>
      <c r="C4339" t="s">
        <v>328</v>
      </c>
      <c r="D4339" t="e">
        <f>VLOOKUP(C4339,'lookup table'!$A$2:$B$19,2,FALSE)</f>
        <v>#N/A</v>
      </c>
      <c r="E4339" t="str">
        <f t="shared" si="67"/>
        <v/>
      </c>
    </row>
    <row r="4340" spans="1:5" x14ac:dyDescent="0.2">
      <c r="A4340" t="s">
        <v>1289</v>
      </c>
      <c r="B4340" t="s">
        <v>1286</v>
      </c>
      <c r="C4340" t="s">
        <v>329</v>
      </c>
      <c r="D4340" t="e">
        <f>VLOOKUP(C4340,'lookup table'!$A$2:$B$19,2,FALSE)</f>
        <v>#N/A</v>
      </c>
      <c r="E4340" t="str">
        <f t="shared" si="67"/>
        <v/>
      </c>
    </row>
    <row r="4341" spans="1:5" x14ac:dyDescent="0.2">
      <c r="A4341" t="s">
        <v>1289</v>
      </c>
      <c r="B4341" t="s">
        <v>1286</v>
      </c>
      <c r="C4341" t="s">
        <v>331</v>
      </c>
      <c r="D4341" t="str">
        <f>VLOOKUP(C4341,'lookup table'!$A$2:$B$19,2,FALSE)</f>
        <v>FS Item</v>
      </c>
      <c r="E4341" t="str">
        <f t="shared" si="67"/>
        <v>BL_TOM_14C|FS Item</v>
      </c>
    </row>
    <row r="4342" spans="1:5" x14ac:dyDescent="0.2">
      <c r="A4342" t="s">
        <v>1289</v>
      </c>
      <c r="B4342" t="s">
        <v>1286</v>
      </c>
      <c r="C4342" t="s">
        <v>423</v>
      </c>
      <c r="D4342" t="str">
        <f>VLOOKUP(C4342,'lookup table'!$A$2:$B$19,2,FALSE)</f>
        <v>ignore</v>
      </c>
      <c r="E4342" t="str">
        <f t="shared" si="67"/>
        <v>BL_TOM_14C|ignore</v>
      </c>
    </row>
    <row r="4343" spans="1:5" x14ac:dyDescent="0.2">
      <c r="A4343" t="s">
        <v>1289</v>
      </c>
      <c r="B4343" t="s">
        <v>1286</v>
      </c>
      <c r="C4343" t="s">
        <v>424</v>
      </c>
      <c r="D4343" t="str">
        <f>VLOOKUP(C4343,'lookup table'!$A$2:$B$19,2,FALSE)</f>
        <v>GRC</v>
      </c>
      <c r="E4343" t="str">
        <f t="shared" si="67"/>
        <v>BL_TOM_14C|GRC</v>
      </c>
    </row>
    <row r="4344" spans="1:5" x14ac:dyDescent="0.2">
      <c r="A4344" t="s">
        <v>1289</v>
      </c>
      <c r="B4344" t="s">
        <v>1286</v>
      </c>
      <c r="C4344" t="s">
        <v>425</v>
      </c>
      <c r="D4344" t="str">
        <f>VLOOKUP(C4344,'lookup table'!$A$2:$B$19,2,FALSE)</f>
        <v>Investee Segment</v>
      </c>
      <c r="E4344" t="str">
        <f t="shared" si="67"/>
        <v>BL_TOM_14C|Investee Segment</v>
      </c>
    </row>
    <row r="4345" spans="1:5" x14ac:dyDescent="0.2">
      <c r="A4345" t="s">
        <v>1289</v>
      </c>
      <c r="B4345" t="s">
        <v>1286</v>
      </c>
      <c r="C4345" t="s">
        <v>426</v>
      </c>
      <c r="D4345" t="str">
        <f>VLOOKUP(C4345,'lookup table'!$A$2:$B$19,2,FALSE)</f>
        <v>Investee Unit</v>
      </c>
      <c r="E4345" t="str">
        <f t="shared" si="67"/>
        <v>BL_TOM_14C|Investee Unit</v>
      </c>
    </row>
    <row r="4346" spans="1:5" x14ac:dyDescent="0.2">
      <c r="A4346" t="s">
        <v>1289</v>
      </c>
      <c r="B4346" t="s">
        <v>1286</v>
      </c>
      <c r="C4346" t="s">
        <v>428</v>
      </c>
      <c r="D4346" t="str">
        <f>VLOOKUP(C4346,'lookup table'!$A$2:$B$19,2,FALSE)</f>
        <v>LoB</v>
      </c>
      <c r="E4346" t="str">
        <f t="shared" si="67"/>
        <v>BL_TOM_14C|LoB</v>
      </c>
    </row>
    <row r="4347" spans="1:5" x14ac:dyDescent="0.2">
      <c r="A4347" t="s">
        <v>1289</v>
      </c>
      <c r="B4347" t="s">
        <v>1286</v>
      </c>
      <c r="C4347" t="s">
        <v>436</v>
      </c>
      <c r="D4347" t="str">
        <f>VLOOKUP(C4347,'lookup table'!$A$2:$B$19,2,FALSE)</f>
        <v>MAT</v>
      </c>
      <c r="E4347" t="str">
        <f t="shared" si="67"/>
        <v>BL_TOM_14C|MAT</v>
      </c>
    </row>
    <row r="4348" spans="1:5" x14ac:dyDescent="0.2">
      <c r="A4348" t="s">
        <v>1289</v>
      </c>
      <c r="B4348" t="s">
        <v>1286</v>
      </c>
      <c r="C4348" t="s">
        <v>438</v>
      </c>
      <c r="D4348" t="str">
        <f>VLOOKUP(C4348,'lookup table'!$A$2:$B$19,2,FALSE)</f>
        <v>ToM</v>
      </c>
      <c r="E4348" t="str">
        <f t="shared" si="67"/>
        <v>BL_TOM_14C|ToM</v>
      </c>
    </row>
    <row r="4349" spans="1:5" x14ac:dyDescent="0.2">
      <c r="A4349" t="s">
        <v>1289</v>
      </c>
      <c r="B4349" t="s">
        <v>1286</v>
      </c>
      <c r="C4349" t="s">
        <v>441</v>
      </c>
      <c r="D4349" t="str">
        <f>VLOOKUP(C4349,'lookup table'!$A$2:$B$19,2,FALSE)</f>
        <v>Partner Segment</v>
      </c>
      <c r="E4349" t="str">
        <f t="shared" si="67"/>
        <v>BL_TOM_14C|Partner Segment</v>
      </c>
    </row>
    <row r="4350" spans="1:5" x14ac:dyDescent="0.2">
      <c r="A4350" t="s">
        <v>1289</v>
      </c>
      <c r="B4350" t="s">
        <v>1286</v>
      </c>
      <c r="C4350" t="s">
        <v>442</v>
      </c>
      <c r="D4350" t="str">
        <f>VLOOKUP(C4350,'lookup table'!$A$2:$B$19,2,FALSE)</f>
        <v>Partner Unit</v>
      </c>
      <c r="E4350" t="str">
        <f t="shared" si="67"/>
        <v>BL_TOM_14C|Partner Unit</v>
      </c>
    </row>
    <row r="4351" spans="1:5" x14ac:dyDescent="0.2">
      <c r="A4351" t="s">
        <v>1289</v>
      </c>
      <c r="B4351" t="s">
        <v>1286</v>
      </c>
      <c r="C4351" t="s">
        <v>447</v>
      </c>
      <c r="D4351" t="str">
        <f>VLOOKUP(C4351,'lookup table'!$A$2:$B$19,2,FALSE)</f>
        <v>REX</v>
      </c>
      <c r="E4351" t="str">
        <f t="shared" si="67"/>
        <v>BL_TOM_14C|REX</v>
      </c>
    </row>
    <row r="4352" spans="1:5" x14ac:dyDescent="0.2">
      <c r="A4352" t="s">
        <v>1289</v>
      </c>
      <c r="B4352" t="s">
        <v>1286</v>
      </c>
      <c r="C4352" t="s">
        <v>448</v>
      </c>
      <c r="D4352" t="e">
        <f>VLOOKUP(C4352,'lookup table'!$A$2:$B$19,2,FALSE)</f>
        <v>#N/A</v>
      </c>
      <c r="E4352" t="str">
        <f t="shared" si="67"/>
        <v/>
      </c>
    </row>
    <row r="4353" spans="1:5" x14ac:dyDescent="0.2">
      <c r="A4353" t="s">
        <v>1289</v>
      </c>
      <c r="B4353" t="s">
        <v>1286</v>
      </c>
      <c r="C4353" t="s">
        <v>451</v>
      </c>
      <c r="D4353" t="str">
        <f>VLOOKUP(C4353,'lookup table'!$A$2:$B$19,2,FALSE)</f>
        <v>Segment</v>
      </c>
      <c r="E4353" t="str">
        <f t="shared" si="67"/>
        <v>BL_TOM_14C|Segment</v>
      </c>
    </row>
    <row r="4354" spans="1:5" x14ac:dyDescent="0.2">
      <c r="A4354" t="s">
        <v>1289</v>
      </c>
      <c r="B4354" t="s">
        <v>1286</v>
      </c>
      <c r="C4354" t="s">
        <v>455</v>
      </c>
      <c r="D4354" t="e">
        <f>VLOOKUP(C4354,'lookup table'!$A$2:$B$19,2,FALSE)</f>
        <v>#N/A</v>
      </c>
      <c r="E4354" t="str">
        <f t="shared" si="67"/>
        <v/>
      </c>
    </row>
    <row r="4355" spans="1:5" x14ac:dyDescent="0.2">
      <c r="A4355" t="s">
        <v>1289</v>
      </c>
      <c r="B4355" t="s">
        <v>1286</v>
      </c>
      <c r="C4355" t="s">
        <v>456</v>
      </c>
      <c r="D4355" t="e">
        <f>VLOOKUP(C4355,'lookup table'!$A$2:$B$19,2,FALSE)</f>
        <v>#N/A</v>
      </c>
      <c r="E4355" t="str">
        <f t="shared" ref="E4355:E4418" si="68">IF(ISNA(D4355),"",IF(A4355="","",A4355) &amp; "|" &amp; D4355)</f>
        <v/>
      </c>
    </row>
    <row r="4356" spans="1:5" x14ac:dyDescent="0.2">
      <c r="A4356" t="s">
        <v>1289</v>
      </c>
      <c r="B4356" t="s">
        <v>1286</v>
      </c>
      <c r="C4356" t="s">
        <v>457</v>
      </c>
      <c r="D4356" t="str">
        <f>VLOOKUP(C4356,'lookup table'!$A$2:$B$19,2,FALSE)</f>
        <v>VLT</v>
      </c>
      <c r="E4356" t="str">
        <f t="shared" si="68"/>
        <v>BL_TOM_14C|VLT</v>
      </c>
    </row>
    <row r="4357" spans="1:5" x14ac:dyDescent="0.2">
      <c r="A4357" t="s">
        <v>1289</v>
      </c>
      <c r="B4357" t="s">
        <v>1286</v>
      </c>
      <c r="C4357" t="s">
        <v>458</v>
      </c>
      <c r="D4357" t="str">
        <f>VLOOKUP(C4357,'lookup table'!$A$2:$B$19,2,FALSE)</f>
        <v>VAR</v>
      </c>
      <c r="E4357" t="str">
        <f t="shared" si="68"/>
        <v>BL_TOM_14C|VAR</v>
      </c>
    </row>
    <row r="4358" spans="1:5" x14ac:dyDescent="0.2">
      <c r="A4358" t="s">
        <v>1289</v>
      </c>
      <c r="B4358" t="s">
        <v>1286</v>
      </c>
      <c r="C4358" t="s">
        <v>460</v>
      </c>
      <c r="D4358" t="e">
        <f>VLOOKUP(C4358,'lookup table'!$A$2:$B$19,2,FALSE)</f>
        <v>#N/A</v>
      </c>
      <c r="E4358" t="str">
        <f t="shared" si="68"/>
        <v/>
      </c>
    </row>
    <row r="4359" spans="1:5" x14ac:dyDescent="0.2">
      <c r="A4359" t="s">
        <v>1289</v>
      </c>
      <c r="B4359" t="s">
        <v>1286</v>
      </c>
      <c r="C4359" t="s">
        <v>461</v>
      </c>
      <c r="D4359" t="str">
        <f>VLOOKUP(C4359,'lookup table'!$A$2:$B$19,2,FALSE)</f>
        <v>Posting Level</v>
      </c>
      <c r="E4359" t="str">
        <f t="shared" si="68"/>
        <v>BL_TOM_14C|Posting Level</v>
      </c>
    </row>
    <row r="4360" spans="1:5" x14ac:dyDescent="0.2">
      <c r="A4360" t="s">
        <v>1289</v>
      </c>
      <c r="B4360" t="s">
        <v>1286</v>
      </c>
      <c r="C4360" t="s">
        <v>465</v>
      </c>
      <c r="D4360" t="e">
        <f>VLOOKUP(C4360,'lookup table'!$A$2:$B$19,2,FALSE)</f>
        <v>#N/A</v>
      </c>
      <c r="E4360" t="str">
        <f t="shared" si="68"/>
        <v/>
      </c>
    </row>
    <row r="4361" spans="1:5" x14ac:dyDescent="0.2">
      <c r="A4361" t="s">
        <v>1290</v>
      </c>
      <c r="B4361" t="s">
        <v>1286</v>
      </c>
      <c r="C4361" t="s">
        <v>6</v>
      </c>
      <c r="D4361" t="e">
        <f>VLOOKUP(C4361,'lookup table'!$A$2:$B$19,2,FALSE)</f>
        <v>#N/A</v>
      </c>
      <c r="E4361" t="str">
        <f t="shared" si="68"/>
        <v/>
      </c>
    </row>
    <row r="4362" spans="1:5" x14ac:dyDescent="0.2">
      <c r="A4362" t="s">
        <v>1290</v>
      </c>
      <c r="B4362" t="s">
        <v>1286</v>
      </c>
      <c r="C4362" t="s">
        <v>9</v>
      </c>
      <c r="D4362" t="e">
        <f>VLOOKUP(C4362,'lookup table'!$A$2:$B$19,2,FALSE)</f>
        <v>#N/A</v>
      </c>
      <c r="E4362" t="str">
        <f t="shared" si="68"/>
        <v/>
      </c>
    </row>
    <row r="4363" spans="1:5" x14ac:dyDescent="0.2">
      <c r="A4363" t="s">
        <v>1290</v>
      </c>
      <c r="B4363" t="s">
        <v>1286</v>
      </c>
      <c r="C4363" t="s">
        <v>10</v>
      </c>
      <c r="D4363" t="e">
        <f>VLOOKUP(C4363,'lookup table'!$A$2:$B$19,2,FALSE)</f>
        <v>#N/A</v>
      </c>
      <c r="E4363" t="str">
        <f t="shared" si="68"/>
        <v/>
      </c>
    </row>
    <row r="4364" spans="1:5" x14ac:dyDescent="0.2">
      <c r="A4364" t="s">
        <v>1290</v>
      </c>
      <c r="B4364" t="s">
        <v>1286</v>
      </c>
      <c r="C4364" t="s">
        <v>11</v>
      </c>
      <c r="D4364" t="e">
        <f>VLOOKUP(C4364,'lookup table'!$A$2:$B$19,2,FALSE)</f>
        <v>#N/A</v>
      </c>
      <c r="E4364" t="str">
        <f t="shared" si="68"/>
        <v/>
      </c>
    </row>
    <row r="4365" spans="1:5" x14ac:dyDescent="0.2">
      <c r="A4365" t="s">
        <v>1290</v>
      </c>
      <c r="B4365" t="s">
        <v>1286</v>
      </c>
      <c r="C4365" t="s">
        <v>12</v>
      </c>
      <c r="D4365" t="e">
        <f>VLOOKUP(C4365,'lookup table'!$A$2:$B$19,2,FALSE)</f>
        <v>#N/A</v>
      </c>
      <c r="E4365" t="str">
        <f t="shared" si="68"/>
        <v/>
      </c>
    </row>
    <row r="4366" spans="1:5" x14ac:dyDescent="0.2">
      <c r="A4366" t="s">
        <v>1290</v>
      </c>
      <c r="B4366" t="s">
        <v>1286</v>
      </c>
      <c r="C4366" t="s">
        <v>14</v>
      </c>
      <c r="D4366" t="str">
        <f>VLOOKUP(C4366,'lookup table'!$A$2:$B$19,2,FALSE)</f>
        <v>ALC</v>
      </c>
      <c r="E4366" t="str">
        <f t="shared" si="68"/>
        <v>BL_TOM_14D|ALC</v>
      </c>
    </row>
    <row r="4367" spans="1:5" x14ac:dyDescent="0.2">
      <c r="A4367" t="s">
        <v>1290</v>
      </c>
      <c r="B4367" t="s">
        <v>1286</v>
      </c>
      <c r="C4367" t="s">
        <v>20</v>
      </c>
      <c r="D4367" t="str">
        <f>VLOOKUP(C4367,'lookup table'!$A$2:$B$19,2,FALSE)</f>
        <v>AY</v>
      </c>
      <c r="E4367" t="str">
        <f t="shared" si="68"/>
        <v>BL_TOM_14D|AY</v>
      </c>
    </row>
    <row r="4368" spans="1:5" x14ac:dyDescent="0.2">
      <c r="A4368" t="s">
        <v>1290</v>
      </c>
      <c r="B4368" t="s">
        <v>1286</v>
      </c>
      <c r="C4368" t="s">
        <v>136</v>
      </c>
      <c r="D4368" t="str">
        <f>VLOOKUP(C4368,'lookup table'!$A$2:$B$19,2,FALSE)</f>
        <v>BBA Set</v>
      </c>
      <c r="E4368" t="str">
        <f t="shared" si="68"/>
        <v>BL_TOM_14D|BBA Set</v>
      </c>
    </row>
    <row r="4369" spans="1:5" x14ac:dyDescent="0.2">
      <c r="A4369" t="s">
        <v>1290</v>
      </c>
      <c r="B4369" t="s">
        <v>1286</v>
      </c>
      <c r="C4369" t="s">
        <v>324</v>
      </c>
      <c r="D4369" t="e">
        <f>VLOOKUP(C4369,'lookup table'!$A$2:$B$19,2,FALSE)</f>
        <v>#N/A</v>
      </c>
      <c r="E4369" t="str">
        <f t="shared" si="68"/>
        <v/>
      </c>
    </row>
    <row r="4370" spans="1:5" x14ac:dyDescent="0.2">
      <c r="A4370" t="s">
        <v>1290</v>
      </c>
      <c r="B4370" t="s">
        <v>1286</v>
      </c>
      <c r="C4370" t="s">
        <v>325</v>
      </c>
      <c r="D4370" t="e">
        <f>VLOOKUP(C4370,'lookup table'!$A$2:$B$19,2,FALSE)</f>
        <v>#N/A</v>
      </c>
      <c r="E4370" t="str">
        <f t="shared" si="68"/>
        <v/>
      </c>
    </row>
    <row r="4371" spans="1:5" x14ac:dyDescent="0.2">
      <c r="A4371" t="s">
        <v>1290</v>
      </c>
      <c r="B4371" t="s">
        <v>1286</v>
      </c>
      <c r="C4371" t="s">
        <v>326</v>
      </c>
      <c r="D4371" t="e">
        <f>VLOOKUP(C4371,'lookup table'!$A$2:$B$19,2,FALSE)</f>
        <v>#N/A</v>
      </c>
      <c r="E4371" t="str">
        <f t="shared" si="68"/>
        <v/>
      </c>
    </row>
    <row r="4372" spans="1:5" x14ac:dyDescent="0.2">
      <c r="A4372" t="s">
        <v>1290</v>
      </c>
      <c r="B4372" t="s">
        <v>1286</v>
      </c>
      <c r="C4372" t="s">
        <v>327</v>
      </c>
      <c r="D4372" t="e">
        <f>VLOOKUP(C4372,'lookup table'!$A$2:$B$19,2,FALSE)</f>
        <v>#N/A</v>
      </c>
      <c r="E4372" t="str">
        <f t="shared" si="68"/>
        <v/>
      </c>
    </row>
    <row r="4373" spans="1:5" x14ac:dyDescent="0.2">
      <c r="A4373" t="s">
        <v>1290</v>
      </c>
      <c r="B4373" t="s">
        <v>1286</v>
      </c>
      <c r="C4373" t="s">
        <v>328</v>
      </c>
      <c r="D4373" t="e">
        <f>VLOOKUP(C4373,'lookup table'!$A$2:$B$19,2,FALSE)</f>
        <v>#N/A</v>
      </c>
      <c r="E4373" t="str">
        <f t="shared" si="68"/>
        <v/>
      </c>
    </row>
    <row r="4374" spans="1:5" x14ac:dyDescent="0.2">
      <c r="A4374" t="s">
        <v>1290</v>
      </c>
      <c r="B4374" t="s">
        <v>1286</v>
      </c>
      <c r="C4374" t="s">
        <v>329</v>
      </c>
      <c r="D4374" t="e">
        <f>VLOOKUP(C4374,'lookup table'!$A$2:$B$19,2,FALSE)</f>
        <v>#N/A</v>
      </c>
      <c r="E4374" t="str">
        <f t="shared" si="68"/>
        <v/>
      </c>
    </row>
    <row r="4375" spans="1:5" x14ac:dyDescent="0.2">
      <c r="A4375" t="s">
        <v>1290</v>
      </c>
      <c r="B4375" t="s">
        <v>1286</v>
      </c>
      <c r="C4375" t="s">
        <v>331</v>
      </c>
      <c r="D4375" t="str">
        <f>VLOOKUP(C4375,'lookup table'!$A$2:$B$19,2,FALSE)</f>
        <v>FS Item</v>
      </c>
      <c r="E4375" t="str">
        <f t="shared" si="68"/>
        <v>BL_TOM_14D|FS Item</v>
      </c>
    </row>
    <row r="4376" spans="1:5" x14ac:dyDescent="0.2">
      <c r="A4376" t="s">
        <v>1290</v>
      </c>
      <c r="B4376" t="s">
        <v>1286</v>
      </c>
      <c r="C4376" t="s">
        <v>423</v>
      </c>
      <c r="D4376" t="str">
        <f>VLOOKUP(C4376,'lookup table'!$A$2:$B$19,2,FALSE)</f>
        <v>ignore</v>
      </c>
      <c r="E4376" t="str">
        <f t="shared" si="68"/>
        <v>BL_TOM_14D|ignore</v>
      </c>
    </row>
    <row r="4377" spans="1:5" x14ac:dyDescent="0.2">
      <c r="A4377" t="s">
        <v>1290</v>
      </c>
      <c r="B4377" t="s">
        <v>1286</v>
      </c>
      <c r="C4377" t="s">
        <v>424</v>
      </c>
      <c r="D4377" t="str">
        <f>VLOOKUP(C4377,'lookup table'!$A$2:$B$19,2,FALSE)</f>
        <v>GRC</v>
      </c>
      <c r="E4377" t="str">
        <f t="shared" si="68"/>
        <v>BL_TOM_14D|GRC</v>
      </c>
    </row>
    <row r="4378" spans="1:5" x14ac:dyDescent="0.2">
      <c r="A4378" t="s">
        <v>1290</v>
      </c>
      <c r="B4378" t="s">
        <v>1286</v>
      </c>
      <c r="C4378" t="s">
        <v>425</v>
      </c>
      <c r="D4378" t="str">
        <f>VLOOKUP(C4378,'lookup table'!$A$2:$B$19,2,FALSE)</f>
        <v>Investee Segment</v>
      </c>
      <c r="E4378" t="str">
        <f t="shared" si="68"/>
        <v>BL_TOM_14D|Investee Segment</v>
      </c>
    </row>
    <row r="4379" spans="1:5" x14ac:dyDescent="0.2">
      <c r="A4379" t="s">
        <v>1290</v>
      </c>
      <c r="B4379" t="s">
        <v>1286</v>
      </c>
      <c r="C4379" t="s">
        <v>426</v>
      </c>
      <c r="D4379" t="str">
        <f>VLOOKUP(C4379,'lookup table'!$A$2:$B$19,2,FALSE)</f>
        <v>Investee Unit</v>
      </c>
      <c r="E4379" t="str">
        <f t="shared" si="68"/>
        <v>BL_TOM_14D|Investee Unit</v>
      </c>
    </row>
    <row r="4380" spans="1:5" x14ac:dyDescent="0.2">
      <c r="A4380" t="s">
        <v>1290</v>
      </c>
      <c r="B4380" t="s">
        <v>1286</v>
      </c>
      <c r="C4380" t="s">
        <v>428</v>
      </c>
      <c r="D4380" t="str">
        <f>VLOOKUP(C4380,'lookup table'!$A$2:$B$19,2,FALSE)</f>
        <v>LoB</v>
      </c>
      <c r="E4380" t="str">
        <f t="shared" si="68"/>
        <v>BL_TOM_14D|LoB</v>
      </c>
    </row>
    <row r="4381" spans="1:5" x14ac:dyDescent="0.2">
      <c r="A4381" t="s">
        <v>1290</v>
      </c>
      <c r="B4381" t="s">
        <v>1286</v>
      </c>
      <c r="C4381" t="s">
        <v>436</v>
      </c>
      <c r="D4381" t="str">
        <f>VLOOKUP(C4381,'lookup table'!$A$2:$B$19,2,FALSE)</f>
        <v>MAT</v>
      </c>
      <c r="E4381" t="str">
        <f t="shared" si="68"/>
        <v>BL_TOM_14D|MAT</v>
      </c>
    </row>
    <row r="4382" spans="1:5" x14ac:dyDescent="0.2">
      <c r="A4382" t="s">
        <v>1290</v>
      </c>
      <c r="B4382" t="s">
        <v>1286</v>
      </c>
      <c r="C4382" t="s">
        <v>438</v>
      </c>
      <c r="D4382" t="str">
        <f>VLOOKUP(C4382,'lookup table'!$A$2:$B$19,2,FALSE)</f>
        <v>ToM</v>
      </c>
      <c r="E4382" t="str">
        <f t="shared" si="68"/>
        <v>BL_TOM_14D|ToM</v>
      </c>
    </row>
    <row r="4383" spans="1:5" x14ac:dyDescent="0.2">
      <c r="A4383" t="s">
        <v>1290</v>
      </c>
      <c r="B4383" t="s">
        <v>1286</v>
      </c>
      <c r="C4383" t="s">
        <v>441</v>
      </c>
      <c r="D4383" t="str">
        <f>VLOOKUP(C4383,'lookup table'!$A$2:$B$19,2,FALSE)</f>
        <v>Partner Segment</v>
      </c>
      <c r="E4383" t="str">
        <f t="shared" si="68"/>
        <v>BL_TOM_14D|Partner Segment</v>
      </c>
    </row>
    <row r="4384" spans="1:5" x14ac:dyDescent="0.2">
      <c r="A4384" t="s">
        <v>1290</v>
      </c>
      <c r="B4384" t="s">
        <v>1286</v>
      </c>
      <c r="C4384" t="s">
        <v>442</v>
      </c>
      <c r="D4384" t="str">
        <f>VLOOKUP(C4384,'lookup table'!$A$2:$B$19,2,FALSE)</f>
        <v>Partner Unit</v>
      </c>
      <c r="E4384" t="str">
        <f t="shared" si="68"/>
        <v>BL_TOM_14D|Partner Unit</v>
      </c>
    </row>
    <row r="4385" spans="1:5" x14ac:dyDescent="0.2">
      <c r="A4385" t="s">
        <v>1290</v>
      </c>
      <c r="B4385" t="s">
        <v>1286</v>
      </c>
      <c r="C4385" t="s">
        <v>447</v>
      </c>
      <c r="D4385" t="str">
        <f>VLOOKUP(C4385,'lookup table'!$A$2:$B$19,2,FALSE)</f>
        <v>REX</v>
      </c>
      <c r="E4385" t="str">
        <f t="shared" si="68"/>
        <v>BL_TOM_14D|REX</v>
      </c>
    </row>
    <row r="4386" spans="1:5" x14ac:dyDescent="0.2">
      <c r="A4386" t="s">
        <v>1290</v>
      </c>
      <c r="B4386" t="s">
        <v>1286</v>
      </c>
      <c r="C4386" t="s">
        <v>448</v>
      </c>
      <c r="D4386" t="e">
        <f>VLOOKUP(C4386,'lookup table'!$A$2:$B$19,2,FALSE)</f>
        <v>#N/A</v>
      </c>
      <c r="E4386" t="str">
        <f t="shared" si="68"/>
        <v/>
      </c>
    </row>
    <row r="4387" spans="1:5" x14ac:dyDescent="0.2">
      <c r="A4387" t="s">
        <v>1290</v>
      </c>
      <c r="B4387" t="s">
        <v>1286</v>
      </c>
      <c r="C4387" t="s">
        <v>451</v>
      </c>
      <c r="D4387" t="str">
        <f>VLOOKUP(C4387,'lookup table'!$A$2:$B$19,2,FALSE)</f>
        <v>Segment</v>
      </c>
      <c r="E4387" t="str">
        <f t="shared" si="68"/>
        <v>BL_TOM_14D|Segment</v>
      </c>
    </row>
    <row r="4388" spans="1:5" x14ac:dyDescent="0.2">
      <c r="A4388" t="s">
        <v>1290</v>
      </c>
      <c r="B4388" t="s">
        <v>1286</v>
      </c>
      <c r="C4388" t="s">
        <v>455</v>
      </c>
      <c r="D4388" t="e">
        <f>VLOOKUP(C4388,'lookup table'!$A$2:$B$19,2,FALSE)</f>
        <v>#N/A</v>
      </c>
      <c r="E4388" t="str">
        <f t="shared" si="68"/>
        <v/>
      </c>
    </row>
    <row r="4389" spans="1:5" x14ac:dyDescent="0.2">
      <c r="A4389" t="s">
        <v>1290</v>
      </c>
      <c r="B4389" t="s">
        <v>1286</v>
      </c>
      <c r="C4389" t="s">
        <v>456</v>
      </c>
      <c r="D4389" t="e">
        <f>VLOOKUP(C4389,'lookup table'!$A$2:$B$19,2,FALSE)</f>
        <v>#N/A</v>
      </c>
      <c r="E4389" t="str">
        <f t="shared" si="68"/>
        <v/>
      </c>
    </row>
    <row r="4390" spans="1:5" x14ac:dyDescent="0.2">
      <c r="A4390" t="s">
        <v>1290</v>
      </c>
      <c r="B4390" t="s">
        <v>1286</v>
      </c>
      <c r="C4390" t="s">
        <v>457</v>
      </c>
      <c r="D4390" t="str">
        <f>VLOOKUP(C4390,'lookup table'!$A$2:$B$19,2,FALSE)</f>
        <v>VLT</v>
      </c>
      <c r="E4390" t="str">
        <f t="shared" si="68"/>
        <v>BL_TOM_14D|VLT</v>
      </c>
    </row>
    <row r="4391" spans="1:5" x14ac:dyDescent="0.2">
      <c r="A4391" t="s">
        <v>1290</v>
      </c>
      <c r="B4391" t="s">
        <v>1286</v>
      </c>
      <c r="C4391" t="s">
        <v>458</v>
      </c>
      <c r="D4391" t="str">
        <f>VLOOKUP(C4391,'lookup table'!$A$2:$B$19,2,FALSE)</f>
        <v>VAR</v>
      </c>
      <c r="E4391" t="str">
        <f t="shared" si="68"/>
        <v>BL_TOM_14D|VAR</v>
      </c>
    </row>
    <row r="4392" spans="1:5" x14ac:dyDescent="0.2">
      <c r="A4392" t="s">
        <v>1290</v>
      </c>
      <c r="B4392" t="s">
        <v>1286</v>
      </c>
      <c r="C4392" t="s">
        <v>460</v>
      </c>
      <c r="D4392" t="e">
        <f>VLOOKUP(C4392,'lookup table'!$A$2:$B$19,2,FALSE)</f>
        <v>#N/A</v>
      </c>
      <c r="E4392" t="str">
        <f t="shared" si="68"/>
        <v/>
      </c>
    </row>
    <row r="4393" spans="1:5" x14ac:dyDescent="0.2">
      <c r="A4393" t="s">
        <v>1290</v>
      </c>
      <c r="B4393" t="s">
        <v>1286</v>
      </c>
      <c r="C4393" t="s">
        <v>461</v>
      </c>
      <c r="D4393" t="str">
        <f>VLOOKUP(C4393,'lookup table'!$A$2:$B$19,2,FALSE)</f>
        <v>Posting Level</v>
      </c>
      <c r="E4393" t="str">
        <f t="shared" si="68"/>
        <v>BL_TOM_14D|Posting Level</v>
      </c>
    </row>
    <row r="4394" spans="1:5" x14ac:dyDescent="0.2">
      <c r="A4394" t="s">
        <v>1290</v>
      </c>
      <c r="B4394" t="s">
        <v>1286</v>
      </c>
      <c r="C4394" t="s">
        <v>465</v>
      </c>
      <c r="D4394" t="e">
        <f>VLOOKUP(C4394,'lookup table'!$A$2:$B$19,2,FALSE)</f>
        <v>#N/A</v>
      </c>
      <c r="E4394" t="str">
        <f t="shared" si="68"/>
        <v/>
      </c>
    </row>
    <row r="4395" spans="1:5" x14ac:dyDescent="0.2">
      <c r="A4395" t="s">
        <v>1291</v>
      </c>
      <c r="B4395" t="s">
        <v>1292</v>
      </c>
      <c r="C4395" t="s">
        <v>6</v>
      </c>
      <c r="D4395" t="e">
        <f>VLOOKUP(C4395,'lookup table'!$A$2:$B$19,2,FALSE)</f>
        <v>#N/A</v>
      </c>
      <c r="E4395" t="str">
        <f t="shared" si="68"/>
        <v/>
      </c>
    </row>
    <row r="4396" spans="1:5" x14ac:dyDescent="0.2">
      <c r="A4396" t="s">
        <v>1291</v>
      </c>
      <c r="B4396" t="s">
        <v>1292</v>
      </c>
      <c r="C4396" t="s">
        <v>9</v>
      </c>
      <c r="D4396" t="e">
        <f>VLOOKUP(C4396,'lookup table'!$A$2:$B$19,2,FALSE)</f>
        <v>#N/A</v>
      </c>
      <c r="E4396" t="str">
        <f t="shared" si="68"/>
        <v/>
      </c>
    </row>
    <row r="4397" spans="1:5" x14ac:dyDescent="0.2">
      <c r="A4397" t="s">
        <v>1291</v>
      </c>
      <c r="B4397" t="s">
        <v>1292</v>
      </c>
      <c r="C4397" t="s">
        <v>10</v>
      </c>
      <c r="D4397" t="e">
        <f>VLOOKUP(C4397,'lookup table'!$A$2:$B$19,2,FALSE)</f>
        <v>#N/A</v>
      </c>
      <c r="E4397" t="str">
        <f t="shared" si="68"/>
        <v/>
      </c>
    </row>
    <row r="4398" spans="1:5" x14ac:dyDescent="0.2">
      <c r="A4398" t="s">
        <v>1291</v>
      </c>
      <c r="B4398" t="s">
        <v>1292</v>
      </c>
      <c r="C4398" t="s">
        <v>11</v>
      </c>
      <c r="D4398" t="e">
        <f>VLOOKUP(C4398,'lookup table'!$A$2:$B$19,2,FALSE)</f>
        <v>#N/A</v>
      </c>
      <c r="E4398" t="str">
        <f t="shared" si="68"/>
        <v/>
      </c>
    </row>
    <row r="4399" spans="1:5" x14ac:dyDescent="0.2">
      <c r="A4399" t="s">
        <v>1291</v>
      </c>
      <c r="B4399" t="s">
        <v>1292</v>
      </c>
      <c r="C4399" t="s">
        <v>12</v>
      </c>
      <c r="D4399" t="e">
        <f>VLOOKUP(C4399,'lookup table'!$A$2:$B$19,2,FALSE)</f>
        <v>#N/A</v>
      </c>
      <c r="E4399" t="str">
        <f t="shared" si="68"/>
        <v/>
      </c>
    </row>
    <row r="4400" spans="1:5" x14ac:dyDescent="0.2">
      <c r="A4400" t="s">
        <v>1291</v>
      </c>
      <c r="B4400" t="s">
        <v>1292</v>
      </c>
      <c r="C4400" t="s">
        <v>14</v>
      </c>
      <c r="D4400" t="str">
        <f>VLOOKUP(C4400,'lookup table'!$A$2:$B$19,2,FALSE)</f>
        <v>ALC</v>
      </c>
      <c r="E4400" t="str">
        <f t="shared" si="68"/>
        <v>BL_VAR_00|ALC</v>
      </c>
    </row>
    <row r="4401" spans="1:5" x14ac:dyDescent="0.2">
      <c r="A4401" t="s">
        <v>1291</v>
      </c>
      <c r="B4401" t="s">
        <v>1292</v>
      </c>
      <c r="C4401" t="s">
        <v>20</v>
      </c>
      <c r="D4401" t="str">
        <f>VLOOKUP(C4401,'lookup table'!$A$2:$B$19,2,FALSE)</f>
        <v>AY</v>
      </c>
      <c r="E4401" t="str">
        <f t="shared" si="68"/>
        <v>BL_VAR_00|AY</v>
      </c>
    </row>
    <row r="4402" spans="1:5" x14ac:dyDescent="0.2">
      <c r="A4402" t="s">
        <v>1291</v>
      </c>
      <c r="B4402" t="s">
        <v>1292</v>
      </c>
      <c r="C4402" t="s">
        <v>136</v>
      </c>
      <c r="D4402" t="str">
        <f>VLOOKUP(C4402,'lookup table'!$A$2:$B$19,2,FALSE)</f>
        <v>BBA Set</v>
      </c>
      <c r="E4402" t="str">
        <f t="shared" si="68"/>
        <v>BL_VAR_00|BBA Set</v>
      </c>
    </row>
    <row r="4403" spans="1:5" x14ac:dyDescent="0.2">
      <c r="A4403" t="s">
        <v>1291</v>
      </c>
      <c r="B4403" t="s">
        <v>1292</v>
      </c>
      <c r="C4403" t="s">
        <v>324</v>
      </c>
      <c r="D4403" t="e">
        <f>VLOOKUP(C4403,'lookup table'!$A$2:$B$19,2,FALSE)</f>
        <v>#N/A</v>
      </c>
      <c r="E4403" t="str">
        <f t="shared" si="68"/>
        <v/>
      </c>
    </row>
    <row r="4404" spans="1:5" x14ac:dyDescent="0.2">
      <c r="A4404" t="s">
        <v>1291</v>
      </c>
      <c r="B4404" t="s">
        <v>1292</v>
      </c>
      <c r="C4404" t="s">
        <v>325</v>
      </c>
      <c r="D4404" t="e">
        <f>VLOOKUP(C4404,'lookup table'!$A$2:$B$19,2,FALSE)</f>
        <v>#N/A</v>
      </c>
      <c r="E4404" t="str">
        <f t="shared" si="68"/>
        <v/>
      </c>
    </row>
    <row r="4405" spans="1:5" x14ac:dyDescent="0.2">
      <c r="A4405" t="s">
        <v>1291</v>
      </c>
      <c r="B4405" t="s">
        <v>1292</v>
      </c>
      <c r="C4405" t="s">
        <v>326</v>
      </c>
      <c r="D4405" t="e">
        <f>VLOOKUP(C4405,'lookup table'!$A$2:$B$19,2,FALSE)</f>
        <v>#N/A</v>
      </c>
      <c r="E4405" t="str">
        <f t="shared" si="68"/>
        <v/>
      </c>
    </row>
    <row r="4406" spans="1:5" x14ac:dyDescent="0.2">
      <c r="A4406" t="s">
        <v>1291</v>
      </c>
      <c r="B4406" t="s">
        <v>1292</v>
      </c>
      <c r="C4406" t="s">
        <v>327</v>
      </c>
      <c r="D4406" t="e">
        <f>VLOOKUP(C4406,'lookup table'!$A$2:$B$19,2,FALSE)</f>
        <v>#N/A</v>
      </c>
      <c r="E4406" t="str">
        <f t="shared" si="68"/>
        <v/>
      </c>
    </row>
    <row r="4407" spans="1:5" x14ac:dyDescent="0.2">
      <c r="A4407" t="s">
        <v>1291</v>
      </c>
      <c r="B4407" t="s">
        <v>1292</v>
      </c>
      <c r="C4407" t="s">
        <v>328</v>
      </c>
      <c r="D4407" t="e">
        <f>VLOOKUP(C4407,'lookup table'!$A$2:$B$19,2,FALSE)</f>
        <v>#N/A</v>
      </c>
      <c r="E4407" t="str">
        <f t="shared" si="68"/>
        <v/>
      </c>
    </row>
    <row r="4408" spans="1:5" x14ac:dyDescent="0.2">
      <c r="A4408" t="s">
        <v>1291</v>
      </c>
      <c r="B4408" t="s">
        <v>1292</v>
      </c>
      <c r="C4408" t="s">
        <v>329</v>
      </c>
      <c r="D4408" t="e">
        <f>VLOOKUP(C4408,'lookup table'!$A$2:$B$19,2,FALSE)</f>
        <v>#N/A</v>
      </c>
      <c r="E4408" t="str">
        <f t="shared" si="68"/>
        <v/>
      </c>
    </row>
    <row r="4409" spans="1:5" x14ac:dyDescent="0.2">
      <c r="A4409" t="s">
        <v>1291</v>
      </c>
      <c r="B4409" t="s">
        <v>1292</v>
      </c>
      <c r="C4409" t="s">
        <v>331</v>
      </c>
      <c r="D4409" t="str">
        <f>VLOOKUP(C4409,'lookup table'!$A$2:$B$19,2,FALSE)</f>
        <v>FS Item</v>
      </c>
      <c r="E4409" t="str">
        <f t="shared" si="68"/>
        <v>BL_VAR_00|FS Item</v>
      </c>
    </row>
    <row r="4410" spans="1:5" x14ac:dyDescent="0.2">
      <c r="A4410" t="s">
        <v>1291</v>
      </c>
      <c r="B4410" t="s">
        <v>1292</v>
      </c>
      <c r="C4410" t="s">
        <v>423</v>
      </c>
      <c r="D4410" t="str">
        <f>VLOOKUP(C4410,'lookup table'!$A$2:$B$19,2,FALSE)</f>
        <v>ignore</v>
      </c>
      <c r="E4410" t="str">
        <f t="shared" si="68"/>
        <v>BL_VAR_00|ignore</v>
      </c>
    </row>
    <row r="4411" spans="1:5" x14ac:dyDescent="0.2">
      <c r="A4411" t="s">
        <v>1291</v>
      </c>
      <c r="B4411" t="s">
        <v>1292</v>
      </c>
      <c r="C4411" t="s">
        <v>424</v>
      </c>
      <c r="D4411" t="str">
        <f>VLOOKUP(C4411,'lookup table'!$A$2:$B$19,2,FALSE)</f>
        <v>GRC</v>
      </c>
      <c r="E4411" t="str">
        <f t="shared" si="68"/>
        <v>BL_VAR_00|GRC</v>
      </c>
    </row>
    <row r="4412" spans="1:5" x14ac:dyDescent="0.2">
      <c r="A4412" t="s">
        <v>1291</v>
      </c>
      <c r="B4412" t="s">
        <v>1292</v>
      </c>
      <c r="C4412" t="s">
        <v>425</v>
      </c>
      <c r="D4412" t="str">
        <f>VLOOKUP(C4412,'lookup table'!$A$2:$B$19,2,FALSE)</f>
        <v>Investee Segment</v>
      </c>
      <c r="E4412" t="str">
        <f t="shared" si="68"/>
        <v>BL_VAR_00|Investee Segment</v>
      </c>
    </row>
    <row r="4413" spans="1:5" x14ac:dyDescent="0.2">
      <c r="A4413" t="s">
        <v>1291</v>
      </c>
      <c r="B4413" t="s">
        <v>1292</v>
      </c>
      <c r="C4413" t="s">
        <v>426</v>
      </c>
      <c r="D4413" t="str">
        <f>VLOOKUP(C4413,'lookup table'!$A$2:$B$19,2,FALSE)</f>
        <v>Investee Unit</v>
      </c>
      <c r="E4413" t="str">
        <f t="shared" si="68"/>
        <v>BL_VAR_00|Investee Unit</v>
      </c>
    </row>
    <row r="4414" spans="1:5" x14ac:dyDescent="0.2">
      <c r="A4414" t="s">
        <v>1291</v>
      </c>
      <c r="B4414" t="s">
        <v>1292</v>
      </c>
      <c r="C4414" t="s">
        <v>428</v>
      </c>
      <c r="D4414" t="str">
        <f>VLOOKUP(C4414,'lookup table'!$A$2:$B$19,2,FALSE)</f>
        <v>LoB</v>
      </c>
      <c r="E4414" t="str">
        <f t="shared" si="68"/>
        <v>BL_VAR_00|LoB</v>
      </c>
    </row>
    <row r="4415" spans="1:5" x14ac:dyDescent="0.2">
      <c r="A4415" t="s">
        <v>1291</v>
      </c>
      <c r="B4415" t="s">
        <v>1292</v>
      </c>
      <c r="C4415" t="s">
        <v>436</v>
      </c>
      <c r="D4415" t="str">
        <f>VLOOKUP(C4415,'lookup table'!$A$2:$B$19,2,FALSE)</f>
        <v>MAT</v>
      </c>
      <c r="E4415" t="str">
        <f t="shared" si="68"/>
        <v>BL_VAR_00|MAT</v>
      </c>
    </row>
    <row r="4416" spans="1:5" x14ac:dyDescent="0.2">
      <c r="A4416" t="s">
        <v>1291</v>
      </c>
      <c r="B4416" t="s">
        <v>1292</v>
      </c>
      <c r="C4416" t="s">
        <v>438</v>
      </c>
      <c r="D4416" t="str">
        <f>VLOOKUP(C4416,'lookup table'!$A$2:$B$19,2,FALSE)</f>
        <v>ToM</v>
      </c>
      <c r="E4416" t="str">
        <f t="shared" si="68"/>
        <v>BL_VAR_00|ToM</v>
      </c>
    </row>
    <row r="4417" spans="1:5" x14ac:dyDescent="0.2">
      <c r="A4417" t="s">
        <v>1291</v>
      </c>
      <c r="B4417" t="s">
        <v>1292</v>
      </c>
      <c r="C4417" t="s">
        <v>441</v>
      </c>
      <c r="D4417" t="str">
        <f>VLOOKUP(C4417,'lookup table'!$A$2:$B$19,2,FALSE)</f>
        <v>Partner Segment</v>
      </c>
      <c r="E4417" t="str">
        <f t="shared" si="68"/>
        <v>BL_VAR_00|Partner Segment</v>
      </c>
    </row>
    <row r="4418" spans="1:5" x14ac:dyDescent="0.2">
      <c r="A4418" t="s">
        <v>1291</v>
      </c>
      <c r="B4418" t="s">
        <v>1292</v>
      </c>
      <c r="C4418" t="s">
        <v>442</v>
      </c>
      <c r="D4418" t="str">
        <f>VLOOKUP(C4418,'lookup table'!$A$2:$B$19,2,FALSE)</f>
        <v>Partner Unit</v>
      </c>
      <c r="E4418" t="str">
        <f t="shared" si="68"/>
        <v>BL_VAR_00|Partner Unit</v>
      </c>
    </row>
    <row r="4419" spans="1:5" x14ac:dyDescent="0.2">
      <c r="A4419" t="s">
        <v>1291</v>
      </c>
      <c r="B4419" t="s">
        <v>1292</v>
      </c>
      <c r="C4419" t="s">
        <v>447</v>
      </c>
      <c r="D4419" t="str">
        <f>VLOOKUP(C4419,'lookup table'!$A$2:$B$19,2,FALSE)</f>
        <v>REX</v>
      </c>
      <c r="E4419" t="str">
        <f t="shared" ref="E4419:E4482" si="69">IF(ISNA(D4419),"",IF(A4419="","",A4419) &amp; "|" &amp; D4419)</f>
        <v>BL_VAR_00|REX</v>
      </c>
    </row>
    <row r="4420" spans="1:5" x14ac:dyDescent="0.2">
      <c r="A4420" t="s">
        <v>1291</v>
      </c>
      <c r="B4420" t="s">
        <v>1292</v>
      </c>
      <c r="C4420" t="s">
        <v>448</v>
      </c>
      <c r="D4420" t="e">
        <f>VLOOKUP(C4420,'lookup table'!$A$2:$B$19,2,FALSE)</f>
        <v>#N/A</v>
      </c>
      <c r="E4420" t="str">
        <f t="shared" si="69"/>
        <v/>
      </c>
    </row>
    <row r="4421" spans="1:5" x14ac:dyDescent="0.2">
      <c r="A4421" t="s">
        <v>1291</v>
      </c>
      <c r="B4421" t="s">
        <v>1292</v>
      </c>
      <c r="C4421" t="s">
        <v>451</v>
      </c>
      <c r="D4421" t="str">
        <f>VLOOKUP(C4421,'lookup table'!$A$2:$B$19,2,FALSE)</f>
        <v>Segment</v>
      </c>
      <c r="E4421" t="str">
        <f t="shared" si="69"/>
        <v>BL_VAR_00|Segment</v>
      </c>
    </row>
    <row r="4422" spans="1:5" x14ac:dyDescent="0.2">
      <c r="A4422" t="s">
        <v>1291</v>
      </c>
      <c r="B4422" t="s">
        <v>1292</v>
      </c>
      <c r="C4422" t="s">
        <v>455</v>
      </c>
      <c r="D4422" t="e">
        <f>VLOOKUP(C4422,'lookup table'!$A$2:$B$19,2,FALSE)</f>
        <v>#N/A</v>
      </c>
      <c r="E4422" t="str">
        <f t="shared" si="69"/>
        <v/>
      </c>
    </row>
    <row r="4423" spans="1:5" x14ac:dyDescent="0.2">
      <c r="A4423" t="s">
        <v>1291</v>
      </c>
      <c r="B4423" t="s">
        <v>1292</v>
      </c>
      <c r="C4423" t="s">
        <v>456</v>
      </c>
      <c r="D4423" t="e">
        <f>VLOOKUP(C4423,'lookup table'!$A$2:$B$19,2,FALSE)</f>
        <v>#N/A</v>
      </c>
      <c r="E4423" t="str">
        <f t="shared" si="69"/>
        <v/>
      </c>
    </row>
    <row r="4424" spans="1:5" x14ac:dyDescent="0.2">
      <c r="A4424" t="s">
        <v>1291</v>
      </c>
      <c r="B4424" t="s">
        <v>1292</v>
      </c>
      <c r="C4424" t="s">
        <v>457</v>
      </c>
      <c r="D4424" t="str">
        <f>VLOOKUP(C4424,'lookup table'!$A$2:$B$19,2,FALSE)</f>
        <v>VLT</v>
      </c>
      <c r="E4424" t="str">
        <f t="shared" si="69"/>
        <v>BL_VAR_00|VLT</v>
      </c>
    </row>
    <row r="4425" spans="1:5" x14ac:dyDescent="0.2">
      <c r="A4425" t="s">
        <v>1291</v>
      </c>
      <c r="B4425" t="s">
        <v>1292</v>
      </c>
      <c r="C4425" t="s">
        <v>458</v>
      </c>
      <c r="D4425" t="str">
        <f>VLOOKUP(C4425,'lookup table'!$A$2:$B$19,2,FALSE)</f>
        <v>VAR</v>
      </c>
      <c r="E4425" t="str">
        <f t="shared" si="69"/>
        <v>BL_VAR_00|VAR</v>
      </c>
    </row>
    <row r="4426" spans="1:5" x14ac:dyDescent="0.2">
      <c r="A4426" t="s">
        <v>1291</v>
      </c>
      <c r="B4426" t="s">
        <v>1292</v>
      </c>
      <c r="C4426" t="s">
        <v>460</v>
      </c>
      <c r="D4426" t="e">
        <f>VLOOKUP(C4426,'lookup table'!$A$2:$B$19,2,FALSE)</f>
        <v>#N/A</v>
      </c>
      <c r="E4426" t="str">
        <f t="shared" si="69"/>
        <v/>
      </c>
    </row>
    <row r="4427" spans="1:5" x14ac:dyDescent="0.2">
      <c r="A4427" t="s">
        <v>1291</v>
      </c>
      <c r="B4427" t="s">
        <v>1292</v>
      </c>
      <c r="C4427" t="s">
        <v>461</v>
      </c>
      <c r="D4427" t="str">
        <f>VLOOKUP(C4427,'lookup table'!$A$2:$B$19,2,FALSE)</f>
        <v>Posting Level</v>
      </c>
      <c r="E4427" t="str">
        <f t="shared" si="69"/>
        <v>BL_VAR_00|Posting Level</v>
      </c>
    </row>
    <row r="4428" spans="1:5" x14ac:dyDescent="0.2">
      <c r="A4428" t="s">
        <v>1291</v>
      </c>
      <c r="B4428" t="s">
        <v>1292</v>
      </c>
      <c r="C4428" t="s">
        <v>465</v>
      </c>
      <c r="D4428" t="e">
        <f>VLOOKUP(C4428,'lookup table'!$A$2:$B$19,2,FALSE)</f>
        <v>#N/A</v>
      </c>
      <c r="E4428" t="str">
        <f t="shared" si="69"/>
        <v/>
      </c>
    </row>
    <row r="4429" spans="1:5" x14ac:dyDescent="0.2">
      <c r="A4429" t="s">
        <v>1293</v>
      </c>
      <c r="B4429" t="s">
        <v>1294</v>
      </c>
      <c r="C4429" t="s">
        <v>2</v>
      </c>
      <c r="D4429" t="e">
        <f>VLOOKUP(C4429,'lookup table'!$A$2:$B$19,2,FALSE)</f>
        <v>#N/A</v>
      </c>
      <c r="E4429" t="str">
        <f t="shared" si="69"/>
        <v/>
      </c>
    </row>
    <row r="4430" spans="1:5" x14ac:dyDescent="0.2">
      <c r="A4430" t="s">
        <v>1293</v>
      </c>
      <c r="B4430" t="s">
        <v>1294</v>
      </c>
      <c r="C4430" t="s">
        <v>5</v>
      </c>
      <c r="D4430" t="e">
        <f>VLOOKUP(C4430,'lookup table'!$A$2:$B$19,2,FALSE)</f>
        <v>#N/A</v>
      </c>
      <c r="E4430" t="str">
        <f t="shared" si="69"/>
        <v/>
      </c>
    </row>
    <row r="4431" spans="1:5" x14ac:dyDescent="0.2">
      <c r="A4431" t="s">
        <v>1293</v>
      </c>
      <c r="B4431" t="s">
        <v>1294</v>
      </c>
      <c r="C4431" t="s">
        <v>6</v>
      </c>
      <c r="D4431" t="e">
        <f>VLOOKUP(C4431,'lookup table'!$A$2:$B$19,2,FALSE)</f>
        <v>#N/A</v>
      </c>
      <c r="E4431" t="str">
        <f t="shared" si="69"/>
        <v/>
      </c>
    </row>
    <row r="4432" spans="1:5" x14ac:dyDescent="0.2">
      <c r="A4432" t="s">
        <v>1293</v>
      </c>
      <c r="B4432" t="s">
        <v>1294</v>
      </c>
      <c r="C4432" t="s">
        <v>9</v>
      </c>
      <c r="D4432" t="e">
        <f>VLOOKUP(C4432,'lookup table'!$A$2:$B$19,2,FALSE)</f>
        <v>#N/A</v>
      </c>
      <c r="E4432" t="str">
        <f t="shared" si="69"/>
        <v/>
      </c>
    </row>
    <row r="4433" spans="1:5" x14ac:dyDescent="0.2">
      <c r="A4433" t="s">
        <v>1293</v>
      </c>
      <c r="B4433" t="s">
        <v>1294</v>
      </c>
      <c r="C4433" t="s">
        <v>10</v>
      </c>
      <c r="D4433" t="e">
        <f>VLOOKUP(C4433,'lookup table'!$A$2:$B$19,2,FALSE)</f>
        <v>#N/A</v>
      </c>
      <c r="E4433" t="str">
        <f t="shared" si="69"/>
        <v/>
      </c>
    </row>
    <row r="4434" spans="1:5" x14ac:dyDescent="0.2">
      <c r="A4434" t="s">
        <v>1293</v>
      </c>
      <c r="B4434" t="s">
        <v>1294</v>
      </c>
      <c r="C4434" t="s">
        <v>11</v>
      </c>
      <c r="D4434" t="e">
        <f>VLOOKUP(C4434,'lookup table'!$A$2:$B$19,2,FALSE)</f>
        <v>#N/A</v>
      </c>
      <c r="E4434" t="str">
        <f t="shared" si="69"/>
        <v/>
      </c>
    </row>
    <row r="4435" spans="1:5" x14ac:dyDescent="0.2">
      <c r="A4435" t="s">
        <v>1293</v>
      </c>
      <c r="B4435" t="s">
        <v>1294</v>
      </c>
      <c r="C4435" t="s">
        <v>12</v>
      </c>
      <c r="D4435" t="e">
        <f>VLOOKUP(C4435,'lookup table'!$A$2:$B$19,2,FALSE)</f>
        <v>#N/A</v>
      </c>
      <c r="E4435" t="str">
        <f t="shared" si="69"/>
        <v/>
      </c>
    </row>
    <row r="4436" spans="1:5" x14ac:dyDescent="0.2">
      <c r="A4436" t="s">
        <v>1293</v>
      </c>
      <c r="B4436" t="s">
        <v>1294</v>
      </c>
      <c r="C4436" t="s">
        <v>14</v>
      </c>
      <c r="D4436" t="str">
        <f>VLOOKUP(C4436,'lookup table'!$A$2:$B$19,2,FALSE)</f>
        <v>ALC</v>
      </c>
      <c r="E4436" t="str">
        <f t="shared" si="69"/>
        <v>DR1ACY_00|ALC</v>
      </c>
    </row>
    <row r="4437" spans="1:5" x14ac:dyDescent="0.2">
      <c r="A4437" t="s">
        <v>1293</v>
      </c>
      <c r="B4437" t="s">
        <v>1294</v>
      </c>
      <c r="C4437" t="s">
        <v>20</v>
      </c>
      <c r="D4437" t="str">
        <f>VLOOKUP(C4437,'lookup table'!$A$2:$B$19,2,FALSE)</f>
        <v>AY</v>
      </c>
      <c r="E4437" t="str">
        <f t="shared" si="69"/>
        <v>DR1ACY_00|AY</v>
      </c>
    </row>
    <row r="4438" spans="1:5" x14ac:dyDescent="0.2">
      <c r="A4438" t="s">
        <v>1293</v>
      </c>
      <c r="B4438" t="s">
        <v>1294</v>
      </c>
      <c r="C4438" t="s">
        <v>324</v>
      </c>
      <c r="D4438" t="e">
        <f>VLOOKUP(C4438,'lookup table'!$A$2:$B$19,2,FALSE)</f>
        <v>#N/A</v>
      </c>
      <c r="E4438" t="str">
        <f t="shared" si="69"/>
        <v/>
      </c>
    </row>
    <row r="4439" spans="1:5" x14ac:dyDescent="0.2">
      <c r="A4439" t="s">
        <v>1293</v>
      </c>
      <c r="B4439" t="s">
        <v>1294</v>
      </c>
      <c r="C4439" t="s">
        <v>325</v>
      </c>
      <c r="D4439" t="e">
        <f>VLOOKUP(C4439,'lookup table'!$A$2:$B$19,2,FALSE)</f>
        <v>#N/A</v>
      </c>
      <c r="E4439" t="str">
        <f t="shared" si="69"/>
        <v/>
      </c>
    </row>
    <row r="4440" spans="1:5" x14ac:dyDescent="0.2">
      <c r="A4440" t="s">
        <v>1293</v>
      </c>
      <c r="B4440" t="s">
        <v>1294</v>
      </c>
      <c r="C4440" t="s">
        <v>326</v>
      </c>
      <c r="D4440" t="e">
        <f>VLOOKUP(C4440,'lookup table'!$A$2:$B$19,2,FALSE)</f>
        <v>#N/A</v>
      </c>
      <c r="E4440" t="str">
        <f t="shared" si="69"/>
        <v/>
      </c>
    </row>
    <row r="4441" spans="1:5" x14ac:dyDescent="0.2">
      <c r="A4441" t="s">
        <v>1293</v>
      </c>
      <c r="B4441" t="s">
        <v>1294</v>
      </c>
      <c r="C4441" t="s">
        <v>327</v>
      </c>
      <c r="D4441" t="e">
        <f>VLOOKUP(C4441,'lookup table'!$A$2:$B$19,2,FALSE)</f>
        <v>#N/A</v>
      </c>
      <c r="E4441" t="str">
        <f t="shared" si="69"/>
        <v/>
      </c>
    </row>
    <row r="4442" spans="1:5" x14ac:dyDescent="0.2">
      <c r="A4442" t="s">
        <v>1293</v>
      </c>
      <c r="B4442" t="s">
        <v>1294</v>
      </c>
      <c r="C4442" t="s">
        <v>328</v>
      </c>
      <c r="D4442" t="e">
        <f>VLOOKUP(C4442,'lookup table'!$A$2:$B$19,2,FALSE)</f>
        <v>#N/A</v>
      </c>
      <c r="E4442" t="str">
        <f t="shared" si="69"/>
        <v/>
      </c>
    </row>
    <row r="4443" spans="1:5" x14ac:dyDescent="0.2">
      <c r="A4443" t="s">
        <v>1293</v>
      </c>
      <c r="B4443" t="s">
        <v>1294</v>
      </c>
      <c r="C4443" t="s">
        <v>329</v>
      </c>
      <c r="D4443" t="e">
        <f>VLOOKUP(C4443,'lookup table'!$A$2:$B$19,2,FALSE)</f>
        <v>#N/A</v>
      </c>
      <c r="E4443" t="str">
        <f t="shared" si="69"/>
        <v/>
      </c>
    </row>
    <row r="4444" spans="1:5" x14ac:dyDescent="0.2">
      <c r="A4444" t="s">
        <v>1293</v>
      </c>
      <c r="B4444" t="s">
        <v>1294</v>
      </c>
      <c r="C4444" t="s">
        <v>331</v>
      </c>
      <c r="D4444" t="str">
        <f>VLOOKUP(C4444,'lookup table'!$A$2:$B$19,2,FALSE)</f>
        <v>FS Item</v>
      </c>
      <c r="E4444" t="str">
        <f t="shared" si="69"/>
        <v>DR1ACY_00|FS Item</v>
      </c>
    </row>
    <row r="4445" spans="1:5" x14ac:dyDescent="0.2">
      <c r="A4445" t="s">
        <v>1293</v>
      </c>
      <c r="B4445" t="s">
        <v>1294</v>
      </c>
      <c r="C4445" t="s">
        <v>422</v>
      </c>
      <c r="D4445" t="e">
        <f>VLOOKUP(C4445,'lookup table'!$A$2:$B$19,2,FALSE)</f>
        <v>#N/A</v>
      </c>
      <c r="E4445" t="str">
        <f t="shared" si="69"/>
        <v/>
      </c>
    </row>
    <row r="4446" spans="1:5" x14ac:dyDescent="0.2">
      <c r="A4446" t="s">
        <v>1293</v>
      </c>
      <c r="B4446" t="s">
        <v>1294</v>
      </c>
      <c r="C4446" t="s">
        <v>423</v>
      </c>
      <c r="D4446" t="str">
        <f>VLOOKUP(C4446,'lookup table'!$A$2:$B$19,2,FALSE)</f>
        <v>ignore</v>
      </c>
      <c r="E4446" t="str">
        <f t="shared" si="69"/>
        <v>DR1ACY_00|ignore</v>
      </c>
    </row>
    <row r="4447" spans="1:5" x14ac:dyDescent="0.2">
      <c r="A4447" t="s">
        <v>1293</v>
      </c>
      <c r="B4447" t="s">
        <v>1294</v>
      </c>
      <c r="C4447" t="s">
        <v>424</v>
      </c>
      <c r="D4447" t="str">
        <f>VLOOKUP(C4447,'lookup table'!$A$2:$B$19,2,FALSE)</f>
        <v>GRC</v>
      </c>
      <c r="E4447" t="str">
        <f t="shared" si="69"/>
        <v>DR1ACY_00|GRC</v>
      </c>
    </row>
    <row r="4448" spans="1:5" x14ac:dyDescent="0.2">
      <c r="A4448" t="s">
        <v>1293</v>
      </c>
      <c r="B4448" t="s">
        <v>1294</v>
      </c>
      <c r="C4448" t="s">
        <v>425</v>
      </c>
      <c r="D4448" t="str">
        <f>VLOOKUP(C4448,'lookup table'!$A$2:$B$19,2,FALSE)</f>
        <v>Investee Segment</v>
      </c>
      <c r="E4448" t="str">
        <f t="shared" si="69"/>
        <v>DR1ACY_00|Investee Segment</v>
      </c>
    </row>
    <row r="4449" spans="1:5" x14ac:dyDescent="0.2">
      <c r="A4449" t="s">
        <v>1293</v>
      </c>
      <c r="B4449" t="s">
        <v>1294</v>
      </c>
      <c r="C4449" t="s">
        <v>426</v>
      </c>
      <c r="D4449" t="str">
        <f>VLOOKUP(C4449,'lookup table'!$A$2:$B$19,2,FALSE)</f>
        <v>Investee Unit</v>
      </c>
      <c r="E4449" t="str">
        <f t="shared" si="69"/>
        <v>DR1ACY_00|Investee Unit</v>
      </c>
    </row>
    <row r="4450" spans="1:5" x14ac:dyDescent="0.2">
      <c r="A4450" t="s">
        <v>1293</v>
      </c>
      <c r="B4450" t="s">
        <v>1294</v>
      </c>
      <c r="C4450" t="s">
        <v>428</v>
      </c>
      <c r="D4450" t="str">
        <f>VLOOKUP(C4450,'lookup table'!$A$2:$B$19,2,FALSE)</f>
        <v>LoB</v>
      </c>
      <c r="E4450" t="str">
        <f t="shared" si="69"/>
        <v>DR1ACY_00|LoB</v>
      </c>
    </row>
    <row r="4451" spans="1:5" x14ac:dyDescent="0.2">
      <c r="A4451" t="s">
        <v>1293</v>
      </c>
      <c r="B4451" t="s">
        <v>1294</v>
      </c>
      <c r="C4451" t="s">
        <v>436</v>
      </c>
      <c r="D4451" t="str">
        <f>VLOOKUP(C4451,'lookup table'!$A$2:$B$19,2,FALSE)</f>
        <v>MAT</v>
      </c>
      <c r="E4451" t="str">
        <f t="shared" si="69"/>
        <v>DR1ACY_00|MAT</v>
      </c>
    </row>
    <row r="4452" spans="1:5" x14ac:dyDescent="0.2">
      <c r="A4452" t="s">
        <v>1293</v>
      </c>
      <c r="B4452" t="s">
        <v>1294</v>
      </c>
      <c r="C4452" t="s">
        <v>441</v>
      </c>
      <c r="D4452" t="str">
        <f>VLOOKUP(C4452,'lookup table'!$A$2:$B$19,2,FALSE)</f>
        <v>Partner Segment</v>
      </c>
      <c r="E4452" t="str">
        <f t="shared" si="69"/>
        <v>DR1ACY_00|Partner Segment</v>
      </c>
    </row>
    <row r="4453" spans="1:5" x14ac:dyDescent="0.2">
      <c r="A4453" t="s">
        <v>1293</v>
      </c>
      <c r="B4453" t="s">
        <v>1294</v>
      </c>
      <c r="C4453" t="s">
        <v>442</v>
      </c>
      <c r="D4453" t="str">
        <f>VLOOKUP(C4453,'lookup table'!$A$2:$B$19,2,FALSE)</f>
        <v>Partner Unit</v>
      </c>
      <c r="E4453" t="str">
        <f t="shared" si="69"/>
        <v>DR1ACY_00|Partner Unit</v>
      </c>
    </row>
    <row r="4454" spans="1:5" x14ac:dyDescent="0.2">
      <c r="A4454" t="s">
        <v>1293</v>
      </c>
      <c r="B4454" t="s">
        <v>1294</v>
      </c>
      <c r="C4454" t="s">
        <v>447</v>
      </c>
      <c r="D4454" t="str">
        <f>VLOOKUP(C4454,'lookup table'!$A$2:$B$19,2,FALSE)</f>
        <v>REX</v>
      </c>
      <c r="E4454" t="str">
        <f t="shared" si="69"/>
        <v>DR1ACY_00|REX</v>
      </c>
    </row>
    <row r="4455" spans="1:5" x14ac:dyDescent="0.2">
      <c r="A4455" t="s">
        <v>1293</v>
      </c>
      <c r="B4455" t="s">
        <v>1294</v>
      </c>
      <c r="C4455" t="s">
        <v>448</v>
      </c>
      <c r="D4455" t="e">
        <f>VLOOKUP(C4455,'lookup table'!$A$2:$B$19,2,FALSE)</f>
        <v>#N/A</v>
      </c>
      <c r="E4455" t="str">
        <f t="shared" si="69"/>
        <v/>
      </c>
    </row>
    <row r="4456" spans="1:5" x14ac:dyDescent="0.2">
      <c r="A4456" t="s">
        <v>1293</v>
      </c>
      <c r="B4456" t="s">
        <v>1294</v>
      </c>
      <c r="C4456" t="s">
        <v>449</v>
      </c>
      <c r="D4456" t="e">
        <f>VLOOKUP(C4456,'lookup table'!$A$2:$B$19,2,FALSE)</f>
        <v>#N/A</v>
      </c>
      <c r="E4456" t="str">
        <f t="shared" si="69"/>
        <v/>
      </c>
    </row>
    <row r="4457" spans="1:5" x14ac:dyDescent="0.2">
      <c r="A4457" t="s">
        <v>1293</v>
      </c>
      <c r="B4457" t="s">
        <v>1294</v>
      </c>
      <c r="C4457" t="s">
        <v>451</v>
      </c>
      <c r="D4457" t="str">
        <f>VLOOKUP(C4457,'lookup table'!$A$2:$B$19,2,FALSE)</f>
        <v>Segment</v>
      </c>
      <c r="E4457" t="str">
        <f t="shared" si="69"/>
        <v>DR1ACY_00|Segment</v>
      </c>
    </row>
    <row r="4458" spans="1:5" x14ac:dyDescent="0.2">
      <c r="A4458" t="s">
        <v>1293</v>
      </c>
      <c r="B4458" t="s">
        <v>1294</v>
      </c>
      <c r="C4458" t="s">
        <v>455</v>
      </c>
      <c r="D4458" t="e">
        <f>VLOOKUP(C4458,'lookup table'!$A$2:$B$19,2,FALSE)</f>
        <v>#N/A</v>
      </c>
      <c r="E4458" t="str">
        <f t="shared" si="69"/>
        <v/>
      </c>
    </row>
    <row r="4459" spans="1:5" x14ac:dyDescent="0.2">
      <c r="A4459" t="s">
        <v>1293</v>
      </c>
      <c r="B4459" t="s">
        <v>1294</v>
      </c>
      <c r="C4459" t="s">
        <v>456</v>
      </c>
      <c r="D4459" t="e">
        <f>VLOOKUP(C4459,'lookup table'!$A$2:$B$19,2,FALSE)</f>
        <v>#N/A</v>
      </c>
      <c r="E4459" t="str">
        <f t="shared" si="69"/>
        <v/>
      </c>
    </row>
    <row r="4460" spans="1:5" x14ac:dyDescent="0.2">
      <c r="A4460" t="s">
        <v>1293</v>
      </c>
      <c r="B4460" t="s">
        <v>1294</v>
      </c>
      <c r="C4460" t="s">
        <v>457</v>
      </c>
      <c r="D4460" t="str">
        <f>VLOOKUP(C4460,'lookup table'!$A$2:$B$19,2,FALSE)</f>
        <v>VLT</v>
      </c>
      <c r="E4460" t="str">
        <f t="shared" si="69"/>
        <v>DR1ACY_00|VLT</v>
      </c>
    </row>
    <row r="4461" spans="1:5" x14ac:dyDescent="0.2">
      <c r="A4461" t="s">
        <v>1293</v>
      </c>
      <c r="B4461" t="s">
        <v>1294</v>
      </c>
      <c r="C4461" t="s">
        <v>458</v>
      </c>
      <c r="D4461" t="str">
        <f>VLOOKUP(C4461,'lookup table'!$A$2:$B$19,2,FALSE)</f>
        <v>VAR</v>
      </c>
      <c r="E4461" t="str">
        <f t="shared" si="69"/>
        <v>DR1ACY_00|VAR</v>
      </c>
    </row>
    <row r="4462" spans="1:5" x14ac:dyDescent="0.2">
      <c r="A4462" t="s">
        <v>1293</v>
      </c>
      <c r="B4462" t="s">
        <v>1294</v>
      </c>
      <c r="C4462" t="s">
        <v>459</v>
      </c>
      <c r="D4462" t="e">
        <f>VLOOKUP(C4462,'lookup table'!$A$2:$B$19,2,FALSE)</f>
        <v>#N/A</v>
      </c>
      <c r="E4462" t="str">
        <f t="shared" si="69"/>
        <v/>
      </c>
    </row>
    <row r="4463" spans="1:5" x14ac:dyDescent="0.2">
      <c r="A4463" t="s">
        <v>1293</v>
      </c>
      <c r="B4463" t="s">
        <v>1294</v>
      </c>
      <c r="C4463" t="s">
        <v>460</v>
      </c>
      <c r="D4463" t="e">
        <f>VLOOKUP(C4463,'lookup table'!$A$2:$B$19,2,FALSE)</f>
        <v>#N/A</v>
      </c>
      <c r="E4463" t="str">
        <f t="shared" si="69"/>
        <v/>
      </c>
    </row>
    <row r="4464" spans="1:5" x14ac:dyDescent="0.2">
      <c r="A4464" t="s">
        <v>1293</v>
      </c>
      <c r="B4464" t="s">
        <v>1294</v>
      </c>
      <c r="C4464" t="s">
        <v>461</v>
      </c>
      <c r="D4464" t="str">
        <f>VLOOKUP(C4464,'lookup table'!$A$2:$B$19,2,FALSE)</f>
        <v>Posting Level</v>
      </c>
      <c r="E4464" t="str">
        <f t="shared" si="69"/>
        <v>DR1ACY_00|Posting Level</v>
      </c>
    </row>
    <row r="4465" spans="1:5" x14ac:dyDescent="0.2">
      <c r="A4465" t="s">
        <v>1293</v>
      </c>
      <c r="B4465" t="s">
        <v>1294</v>
      </c>
      <c r="C4465" t="s">
        <v>462</v>
      </c>
      <c r="D4465" t="e">
        <f>VLOOKUP(C4465,'lookup table'!$A$2:$B$19,2,FALSE)</f>
        <v>#N/A</v>
      </c>
      <c r="E4465" t="str">
        <f t="shared" si="69"/>
        <v/>
      </c>
    </row>
    <row r="4466" spans="1:5" x14ac:dyDescent="0.2">
      <c r="A4466" t="s">
        <v>1293</v>
      </c>
      <c r="B4466" t="s">
        <v>1294</v>
      </c>
      <c r="C4466" t="s">
        <v>463</v>
      </c>
      <c r="D4466" t="e">
        <f>VLOOKUP(C4466,'lookup table'!$A$2:$B$19,2,FALSE)</f>
        <v>#N/A</v>
      </c>
      <c r="E4466" t="str">
        <f t="shared" si="69"/>
        <v/>
      </c>
    </row>
    <row r="4467" spans="1:5" x14ac:dyDescent="0.2">
      <c r="A4467" t="s">
        <v>1293</v>
      </c>
      <c r="B4467" t="s">
        <v>1294</v>
      </c>
      <c r="C4467" t="s">
        <v>464</v>
      </c>
      <c r="D4467" t="e">
        <f>VLOOKUP(C4467,'lookup table'!$A$2:$B$19,2,FALSE)</f>
        <v>#N/A</v>
      </c>
      <c r="E4467" t="str">
        <f t="shared" si="69"/>
        <v/>
      </c>
    </row>
    <row r="4468" spans="1:5" x14ac:dyDescent="0.2">
      <c r="A4468" t="s">
        <v>1293</v>
      </c>
      <c r="B4468" t="s">
        <v>1294</v>
      </c>
      <c r="C4468" t="s">
        <v>465</v>
      </c>
      <c r="D4468" t="e">
        <f>VLOOKUP(C4468,'lookup table'!$A$2:$B$19,2,FALSE)</f>
        <v>#N/A</v>
      </c>
      <c r="E4468" t="str">
        <f t="shared" si="69"/>
        <v/>
      </c>
    </row>
    <row r="4469" spans="1:5" x14ac:dyDescent="0.2">
      <c r="A4469" t="s">
        <v>1295</v>
      </c>
      <c r="B4469" t="s">
        <v>1296</v>
      </c>
      <c r="C4469" t="s">
        <v>2</v>
      </c>
      <c r="D4469" t="e">
        <f>VLOOKUP(C4469,'lookup table'!$A$2:$B$19,2,FALSE)</f>
        <v>#N/A</v>
      </c>
      <c r="E4469" t="str">
        <f t="shared" si="69"/>
        <v/>
      </c>
    </row>
    <row r="4470" spans="1:5" x14ac:dyDescent="0.2">
      <c r="A4470" t="s">
        <v>1295</v>
      </c>
      <c r="B4470" t="s">
        <v>1296</v>
      </c>
      <c r="C4470" t="s">
        <v>5</v>
      </c>
      <c r="D4470" t="e">
        <f>VLOOKUP(C4470,'lookup table'!$A$2:$B$19,2,FALSE)</f>
        <v>#N/A</v>
      </c>
      <c r="E4470" t="str">
        <f t="shared" si="69"/>
        <v/>
      </c>
    </row>
    <row r="4471" spans="1:5" x14ac:dyDescent="0.2">
      <c r="A4471" t="s">
        <v>1295</v>
      </c>
      <c r="B4471" t="s">
        <v>1296</v>
      </c>
      <c r="C4471" t="s">
        <v>6</v>
      </c>
      <c r="D4471" t="e">
        <f>VLOOKUP(C4471,'lookup table'!$A$2:$B$19,2,FALSE)</f>
        <v>#N/A</v>
      </c>
      <c r="E4471" t="str">
        <f t="shared" si="69"/>
        <v/>
      </c>
    </row>
    <row r="4472" spans="1:5" x14ac:dyDescent="0.2">
      <c r="A4472" t="s">
        <v>1295</v>
      </c>
      <c r="B4472" t="s">
        <v>1296</v>
      </c>
      <c r="C4472" t="s">
        <v>9</v>
      </c>
      <c r="D4472" t="e">
        <f>VLOOKUP(C4472,'lookup table'!$A$2:$B$19,2,FALSE)</f>
        <v>#N/A</v>
      </c>
      <c r="E4472" t="str">
        <f t="shared" si="69"/>
        <v/>
      </c>
    </row>
    <row r="4473" spans="1:5" x14ac:dyDescent="0.2">
      <c r="A4473" t="s">
        <v>1295</v>
      </c>
      <c r="B4473" t="s">
        <v>1296</v>
      </c>
      <c r="C4473" t="s">
        <v>10</v>
      </c>
      <c r="D4473" t="e">
        <f>VLOOKUP(C4473,'lookup table'!$A$2:$B$19,2,FALSE)</f>
        <v>#N/A</v>
      </c>
      <c r="E4473" t="str">
        <f t="shared" si="69"/>
        <v/>
      </c>
    </row>
    <row r="4474" spans="1:5" x14ac:dyDescent="0.2">
      <c r="A4474" t="s">
        <v>1295</v>
      </c>
      <c r="B4474" t="s">
        <v>1296</v>
      </c>
      <c r="C4474" t="s">
        <v>11</v>
      </c>
      <c r="D4474" t="e">
        <f>VLOOKUP(C4474,'lookup table'!$A$2:$B$19,2,FALSE)</f>
        <v>#N/A</v>
      </c>
      <c r="E4474" t="str">
        <f t="shared" si="69"/>
        <v/>
      </c>
    </row>
    <row r="4475" spans="1:5" x14ac:dyDescent="0.2">
      <c r="A4475" t="s">
        <v>1295</v>
      </c>
      <c r="B4475" t="s">
        <v>1296</v>
      </c>
      <c r="C4475" t="s">
        <v>12</v>
      </c>
      <c r="D4475" t="e">
        <f>VLOOKUP(C4475,'lookup table'!$A$2:$B$19,2,FALSE)</f>
        <v>#N/A</v>
      </c>
      <c r="E4475" t="str">
        <f t="shared" si="69"/>
        <v/>
      </c>
    </row>
    <row r="4476" spans="1:5" x14ac:dyDescent="0.2">
      <c r="A4476" t="s">
        <v>1295</v>
      </c>
      <c r="B4476" t="s">
        <v>1296</v>
      </c>
      <c r="C4476" t="s">
        <v>14</v>
      </c>
      <c r="D4476" t="str">
        <f>VLOOKUP(C4476,'lookup table'!$A$2:$B$19,2,FALSE)</f>
        <v>ALC</v>
      </c>
      <c r="E4476" t="str">
        <f t="shared" si="69"/>
        <v>DR1ALC_00|ALC</v>
      </c>
    </row>
    <row r="4477" spans="1:5" x14ac:dyDescent="0.2">
      <c r="A4477" t="s">
        <v>1295</v>
      </c>
      <c r="B4477" t="s">
        <v>1296</v>
      </c>
      <c r="C4477" t="s">
        <v>20</v>
      </c>
      <c r="D4477" t="str">
        <f>VLOOKUP(C4477,'lookup table'!$A$2:$B$19,2,FALSE)</f>
        <v>AY</v>
      </c>
      <c r="E4477" t="str">
        <f t="shared" si="69"/>
        <v>DR1ALC_00|AY</v>
      </c>
    </row>
    <row r="4478" spans="1:5" x14ac:dyDescent="0.2">
      <c r="A4478" t="s">
        <v>1295</v>
      </c>
      <c r="B4478" t="s">
        <v>1296</v>
      </c>
      <c r="C4478" t="s">
        <v>324</v>
      </c>
      <c r="D4478" t="e">
        <f>VLOOKUP(C4478,'lookup table'!$A$2:$B$19,2,FALSE)</f>
        <v>#N/A</v>
      </c>
      <c r="E4478" t="str">
        <f t="shared" si="69"/>
        <v/>
      </c>
    </row>
    <row r="4479" spans="1:5" x14ac:dyDescent="0.2">
      <c r="A4479" t="s">
        <v>1295</v>
      </c>
      <c r="B4479" t="s">
        <v>1296</v>
      </c>
      <c r="C4479" t="s">
        <v>325</v>
      </c>
      <c r="D4479" t="e">
        <f>VLOOKUP(C4479,'lookup table'!$A$2:$B$19,2,FALSE)</f>
        <v>#N/A</v>
      </c>
      <c r="E4479" t="str">
        <f t="shared" si="69"/>
        <v/>
      </c>
    </row>
    <row r="4480" spans="1:5" x14ac:dyDescent="0.2">
      <c r="A4480" t="s">
        <v>1295</v>
      </c>
      <c r="B4480" t="s">
        <v>1296</v>
      </c>
      <c r="C4480" t="s">
        <v>326</v>
      </c>
      <c r="D4480" t="e">
        <f>VLOOKUP(C4480,'lookup table'!$A$2:$B$19,2,FALSE)</f>
        <v>#N/A</v>
      </c>
      <c r="E4480" t="str">
        <f t="shared" si="69"/>
        <v/>
      </c>
    </row>
    <row r="4481" spans="1:5" x14ac:dyDescent="0.2">
      <c r="A4481" t="s">
        <v>1295</v>
      </c>
      <c r="B4481" t="s">
        <v>1296</v>
      </c>
      <c r="C4481" t="s">
        <v>327</v>
      </c>
      <c r="D4481" t="e">
        <f>VLOOKUP(C4481,'lookup table'!$A$2:$B$19,2,FALSE)</f>
        <v>#N/A</v>
      </c>
      <c r="E4481" t="str">
        <f t="shared" si="69"/>
        <v/>
      </c>
    </row>
    <row r="4482" spans="1:5" x14ac:dyDescent="0.2">
      <c r="A4482" t="s">
        <v>1295</v>
      </c>
      <c r="B4482" t="s">
        <v>1296</v>
      </c>
      <c r="C4482" t="s">
        <v>328</v>
      </c>
      <c r="D4482" t="e">
        <f>VLOOKUP(C4482,'lookup table'!$A$2:$B$19,2,FALSE)</f>
        <v>#N/A</v>
      </c>
      <c r="E4482" t="str">
        <f t="shared" si="69"/>
        <v/>
      </c>
    </row>
    <row r="4483" spans="1:5" x14ac:dyDescent="0.2">
      <c r="A4483" t="s">
        <v>1295</v>
      </c>
      <c r="B4483" t="s">
        <v>1296</v>
      </c>
      <c r="C4483" t="s">
        <v>329</v>
      </c>
      <c r="D4483" t="e">
        <f>VLOOKUP(C4483,'lookup table'!$A$2:$B$19,2,FALSE)</f>
        <v>#N/A</v>
      </c>
      <c r="E4483" t="str">
        <f t="shared" ref="E4483:E4546" si="70">IF(ISNA(D4483),"",IF(A4483="","",A4483) &amp; "|" &amp; D4483)</f>
        <v/>
      </c>
    </row>
    <row r="4484" spans="1:5" x14ac:dyDescent="0.2">
      <c r="A4484" t="s">
        <v>1295</v>
      </c>
      <c r="B4484" t="s">
        <v>1296</v>
      </c>
      <c r="C4484" t="s">
        <v>331</v>
      </c>
      <c r="D4484" t="str">
        <f>VLOOKUP(C4484,'lookup table'!$A$2:$B$19,2,FALSE)</f>
        <v>FS Item</v>
      </c>
      <c r="E4484" t="str">
        <f t="shared" si="70"/>
        <v>DR1ALC_00|FS Item</v>
      </c>
    </row>
    <row r="4485" spans="1:5" x14ac:dyDescent="0.2">
      <c r="A4485" t="s">
        <v>1295</v>
      </c>
      <c r="B4485" t="s">
        <v>1296</v>
      </c>
      <c r="C4485" t="s">
        <v>422</v>
      </c>
      <c r="D4485" t="e">
        <f>VLOOKUP(C4485,'lookup table'!$A$2:$B$19,2,FALSE)</f>
        <v>#N/A</v>
      </c>
      <c r="E4485" t="str">
        <f t="shared" si="70"/>
        <v/>
      </c>
    </row>
    <row r="4486" spans="1:5" x14ac:dyDescent="0.2">
      <c r="A4486" t="s">
        <v>1295</v>
      </c>
      <c r="B4486" t="s">
        <v>1296</v>
      </c>
      <c r="C4486" t="s">
        <v>423</v>
      </c>
      <c r="D4486" t="str">
        <f>VLOOKUP(C4486,'lookup table'!$A$2:$B$19,2,FALSE)</f>
        <v>ignore</v>
      </c>
      <c r="E4486" t="str">
        <f t="shared" si="70"/>
        <v>DR1ALC_00|ignore</v>
      </c>
    </row>
    <row r="4487" spans="1:5" x14ac:dyDescent="0.2">
      <c r="A4487" t="s">
        <v>1295</v>
      </c>
      <c r="B4487" t="s">
        <v>1296</v>
      </c>
      <c r="C4487" t="s">
        <v>424</v>
      </c>
      <c r="D4487" t="str">
        <f>VLOOKUP(C4487,'lookup table'!$A$2:$B$19,2,FALSE)</f>
        <v>GRC</v>
      </c>
      <c r="E4487" t="str">
        <f t="shared" si="70"/>
        <v>DR1ALC_00|GRC</v>
      </c>
    </row>
    <row r="4488" spans="1:5" x14ac:dyDescent="0.2">
      <c r="A4488" t="s">
        <v>1295</v>
      </c>
      <c r="B4488" t="s">
        <v>1296</v>
      </c>
      <c r="C4488" t="s">
        <v>425</v>
      </c>
      <c r="D4488" t="str">
        <f>VLOOKUP(C4488,'lookup table'!$A$2:$B$19,2,FALSE)</f>
        <v>Investee Segment</v>
      </c>
      <c r="E4488" t="str">
        <f t="shared" si="70"/>
        <v>DR1ALC_00|Investee Segment</v>
      </c>
    </row>
    <row r="4489" spans="1:5" x14ac:dyDescent="0.2">
      <c r="A4489" t="s">
        <v>1295</v>
      </c>
      <c r="B4489" t="s">
        <v>1296</v>
      </c>
      <c r="C4489" t="s">
        <v>426</v>
      </c>
      <c r="D4489" t="str">
        <f>VLOOKUP(C4489,'lookup table'!$A$2:$B$19,2,FALSE)</f>
        <v>Investee Unit</v>
      </c>
      <c r="E4489" t="str">
        <f t="shared" si="70"/>
        <v>DR1ALC_00|Investee Unit</v>
      </c>
    </row>
    <row r="4490" spans="1:5" x14ac:dyDescent="0.2">
      <c r="A4490" t="s">
        <v>1295</v>
      </c>
      <c r="B4490" t="s">
        <v>1296</v>
      </c>
      <c r="C4490" t="s">
        <v>428</v>
      </c>
      <c r="D4490" t="str">
        <f>VLOOKUP(C4490,'lookup table'!$A$2:$B$19,2,FALSE)</f>
        <v>LoB</v>
      </c>
      <c r="E4490" t="str">
        <f t="shared" si="70"/>
        <v>DR1ALC_00|LoB</v>
      </c>
    </row>
    <row r="4491" spans="1:5" x14ac:dyDescent="0.2">
      <c r="A4491" t="s">
        <v>1295</v>
      </c>
      <c r="B4491" t="s">
        <v>1296</v>
      </c>
      <c r="C4491" t="s">
        <v>436</v>
      </c>
      <c r="D4491" t="str">
        <f>VLOOKUP(C4491,'lookup table'!$A$2:$B$19,2,FALSE)</f>
        <v>MAT</v>
      </c>
      <c r="E4491" t="str">
        <f t="shared" si="70"/>
        <v>DR1ALC_00|MAT</v>
      </c>
    </row>
    <row r="4492" spans="1:5" x14ac:dyDescent="0.2">
      <c r="A4492" t="s">
        <v>1295</v>
      </c>
      <c r="B4492" t="s">
        <v>1296</v>
      </c>
      <c r="C4492" t="s">
        <v>438</v>
      </c>
      <c r="D4492" t="str">
        <f>VLOOKUP(C4492,'lookup table'!$A$2:$B$19,2,FALSE)</f>
        <v>ToM</v>
      </c>
      <c r="E4492" t="str">
        <f t="shared" si="70"/>
        <v>DR1ALC_00|ToM</v>
      </c>
    </row>
    <row r="4493" spans="1:5" x14ac:dyDescent="0.2">
      <c r="A4493" t="s">
        <v>1295</v>
      </c>
      <c r="B4493" t="s">
        <v>1296</v>
      </c>
      <c r="C4493" t="s">
        <v>441</v>
      </c>
      <c r="D4493" t="str">
        <f>VLOOKUP(C4493,'lookup table'!$A$2:$B$19,2,FALSE)</f>
        <v>Partner Segment</v>
      </c>
      <c r="E4493" t="str">
        <f t="shared" si="70"/>
        <v>DR1ALC_00|Partner Segment</v>
      </c>
    </row>
    <row r="4494" spans="1:5" x14ac:dyDescent="0.2">
      <c r="A4494" t="s">
        <v>1295</v>
      </c>
      <c r="B4494" t="s">
        <v>1296</v>
      </c>
      <c r="C4494" t="s">
        <v>442</v>
      </c>
      <c r="D4494" t="str">
        <f>VLOOKUP(C4494,'lookup table'!$A$2:$B$19,2,FALSE)</f>
        <v>Partner Unit</v>
      </c>
      <c r="E4494" t="str">
        <f t="shared" si="70"/>
        <v>DR1ALC_00|Partner Unit</v>
      </c>
    </row>
    <row r="4495" spans="1:5" x14ac:dyDescent="0.2">
      <c r="A4495" t="s">
        <v>1295</v>
      </c>
      <c r="B4495" t="s">
        <v>1296</v>
      </c>
      <c r="C4495" t="s">
        <v>447</v>
      </c>
      <c r="D4495" t="str">
        <f>VLOOKUP(C4495,'lookup table'!$A$2:$B$19,2,FALSE)</f>
        <v>REX</v>
      </c>
      <c r="E4495" t="str">
        <f t="shared" si="70"/>
        <v>DR1ALC_00|REX</v>
      </c>
    </row>
    <row r="4496" spans="1:5" x14ac:dyDescent="0.2">
      <c r="A4496" t="s">
        <v>1295</v>
      </c>
      <c r="B4496" t="s">
        <v>1296</v>
      </c>
      <c r="C4496" t="s">
        <v>448</v>
      </c>
      <c r="D4496" t="e">
        <f>VLOOKUP(C4496,'lookup table'!$A$2:$B$19,2,FALSE)</f>
        <v>#N/A</v>
      </c>
      <c r="E4496" t="str">
        <f t="shared" si="70"/>
        <v/>
      </c>
    </row>
    <row r="4497" spans="1:5" x14ac:dyDescent="0.2">
      <c r="A4497" t="s">
        <v>1295</v>
      </c>
      <c r="B4497" t="s">
        <v>1296</v>
      </c>
      <c r="C4497" t="s">
        <v>449</v>
      </c>
      <c r="D4497" t="e">
        <f>VLOOKUP(C4497,'lookup table'!$A$2:$B$19,2,FALSE)</f>
        <v>#N/A</v>
      </c>
      <c r="E4497" t="str">
        <f t="shared" si="70"/>
        <v/>
      </c>
    </row>
    <row r="4498" spans="1:5" x14ac:dyDescent="0.2">
      <c r="A4498" t="s">
        <v>1295</v>
      </c>
      <c r="B4498" t="s">
        <v>1296</v>
      </c>
      <c r="C4498" t="s">
        <v>451</v>
      </c>
      <c r="D4498" t="str">
        <f>VLOOKUP(C4498,'lookup table'!$A$2:$B$19,2,FALSE)</f>
        <v>Segment</v>
      </c>
      <c r="E4498" t="str">
        <f t="shared" si="70"/>
        <v>DR1ALC_00|Segment</v>
      </c>
    </row>
    <row r="4499" spans="1:5" x14ac:dyDescent="0.2">
      <c r="A4499" t="s">
        <v>1295</v>
      </c>
      <c r="B4499" t="s">
        <v>1296</v>
      </c>
      <c r="C4499" t="s">
        <v>455</v>
      </c>
      <c r="D4499" t="e">
        <f>VLOOKUP(C4499,'lookup table'!$A$2:$B$19,2,FALSE)</f>
        <v>#N/A</v>
      </c>
      <c r="E4499" t="str">
        <f t="shared" si="70"/>
        <v/>
      </c>
    </row>
    <row r="4500" spans="1:5" x14ac:dyDescent="0.2">
      <c r="A4500" t="s">
        <v>1295</v>
      </c>
      <c r="B4500" t="s">
        <v>1296</v>
      </c>
      <c r="C4500" t="s">
        <v>456</v>
      </c>
      <c r="D4500" t="e">
        <f>VLOOKUP(C4500,'lookup table'!$A$2:$B$19,2,FALSE)</f>
        <v>#N/A</v>
      </c>
      <c r="E4500" t="str">
        <f t="shared" si="70"/>
        <v/>
      </c>
    </row>
    <row r="4501" spans="1:5" x14ac:dyDescent="0.2">
      <c r="A4501" t="s">
        <v>1295</v>
      </c>
      <c r="B4501" t="s">
        <v>1296</v>
      </c>
      <c r="C4501" t="s">
        <v>457</v>
      </c>
      <c r="D4501" t="str">
        <f>VLOOKUP(C4501,'lookup table'!$A$2:$B$19,2,FALSE)</f>
        <v>VLT</v>
      </c>
      <c r="E4501" t="str">
        <f t="shared" si="70"/>
        <v>DR1ALC_00|VLT</v>
      </c>
    </row>
    <row r="4502" spans="1:5" x14ac:dyDescent="0.2">
      <c r="A4502" t="s">
        <v>1295</v>
      </c>
      <c r="B4502" t="s">
        <v>1296</v>
      </c>
      <c r="C4502" t="s">
        <v>458</v>
      </c>
      <c r="D4502" t="str">
        <f>VLOOKUP(C4502,'lookup table'!$A$2:$B$19,2,FALSE)</f>
        <v>VAR</v>
      </c>
      <c r="E4502" t="str">
        <f t="shared" si="70"/>
        <v>DR1ALC_00|VAR</v>
      </c>
    </row>
    <row r="4503" spans="1:5" x14ac:dyDescent="0.2">
      <c r="A4503" t="s">
        <v>1295</v>
      </c>
      <c r="B4503" t="s">
        <v>1296</v>
      </c>
      <c r="C4503" t="s">
        <v>459</v>
      </c>
      <c r="D4503" t="e">
        <f>VLOOKUP(C4503,'lookup table'!$A$2:$B$19,2,FALSE)</f>
        <v>#N/A</v>
      </c>
      <c r="E4503" t="str">
        <f t="shared" si="70"/>
        <v/>
      </c>
    </row>
    <row r="4504" spans="1:5" x14ac:dyDescent="0.2">
      <c r="A4504" t="s">
        <v>1295</v>
      </c>
      <c r="B4504" t="s">
        <v>1296</v>
      </c>
      <c r="C4504" t="s">
        <v>460</v>
      </c>
      <c r="D4504" t="e">
        <f>VLOOKUP(C4504,'lookup table'!$A$2:$B$19,2,FALSE)</f>
        <v>#N/A</v>
      </c>
      <c r="E4504" t="str">
        <f t="shared" si="70"/>
        <v/>
      </c>
    </row>
    <row r="4505" spans="1:5" x14ac:dyDescent="0.2">
      <c r="A4505" t="s">
        <v>1295</v>
      </c>
      <c r="B4505" t="s">
        <v>1296</v>
      </c>
      <c r="C4505" t="s">
        <v>461</v>
      </c>
      <c r="D4505" t="str">
        <f>VLOOKUP(C4505,'lookup table'!$A$2:$B$19,2,FALSE)</f>
        <v>Posting Level</v>
      </c>
      <c r="E4505" t="str">
        <f t="shared" si="70"/>
        <v>DR1ALC_00|Posting Level</v>
      </c>
    </row>
    <row r="4506" spans="1:5" x14ac:dyDescent="0.2">
      <c r="A4506" t="s">
        <v>1295</v>
      </c>
      <c r="B4506" t="s">
        <v>1296</v>
      </c>
      <c r="C4506" t="s">
        <v>462</v>
      </c>
      <c r="D4506" t="e">
        <f>VLOOKUP(C4506,'lookup table'!$A$2:$B$19,2,FALSE)</f>
        <v>#N/A</v>
      </c>
      <c r="E4506" t="str">
        <f t="shared" si="70"/>
        <v/>
      </c>
    </row>
    <row r="4507" spans="1:5" x14ac:dyDescent="0.2">
      <c r="A4507" t="s">
        <v>1295</v>
      </c>
      <c r="B4507" t="s">
        <v>1296</v>
      </c>
      <c r="C4507" t="s">
        <v>463</v>
      </c>
      <c r="D4507" t="e">
        <f>VLOOKUP(C4507,'lookup table'!$A$2:$B$19,2,FALSE)</f>
        <v>#N/A</v>
      </c>
      <c r="E4507" t="str">
        <f t="shared" si="70"/>
        <v/>
      </c>
    </row>
    <row r="4508" spans="1:5" x14ac:dyDescent="0.2">
      <c r="A4508" t="s">
        <v>1295</v>
      </c>
      <c r="B4508" t="s">
        <v>1296</v>
      </c>
      <c r="C4508" t="s">
        <v>464</v>
      </c>
      <c r="D4508" t="e">
        <f>VLOOKUP(C4508,'lookup table'!$A$2:$B$19,2,FALSE)</f>
        <v>#N/A</v>
      </c>
      <c r="E4508" t="str">
        <f t="shared" si="70"/>
        <v/>
      </c>
    </row>
    <row r="4509" spans="1:5" x14ac:dyDescent="0.2">
      <c r="A4509" t="s">
        <v>1295</v>
      </c>
      <c r="B4509" t="s">
        <v>1296</v>
      </c>
      <c r="C4509" t="s">
        <v>465</v>
      </c>
      <c r="D4509" t="e">
        <f>VLOOKUP(C4509,'lookup table'!$A$2:$B$19,2,FALSE)</f>
        <v>#N/A</v>
      </c>
      <c r="E4509" t="str">
        <f t="shared" si="70"/>
        <v/>
      </c>
    </row>
    <row r="4510" spans="1:5" x14ac:dyDescent="0.2">
      <c r="A4510" t="s">
        <v>1297</v>
      </c>
      <c r="B4510" t="s">
        <v>1298</v>
      </c>
      <c r="C4510" t="s">
        <v>2</v>
      </c>
      <c r="D4510" t="e">
        <f>VLOOKUP(C4510,'lookup table'!$A$2:$B$19,2,FALSE)</f>
        <v>#N/A</v>
      </c>
      <c r="E4510" t="str">
        <f t="shared" si="70"/>
        <v/>
      </c>
    </row>
    <row r="4511" spans="1:5" x14ac:dyDescent="0.2">
      <c r="A4511" t="s">
        <v>1297</v>
      </c>
      <c r="B4511" t="s">
        <v>1298</v>
      </c>
      <c r="C4511" t="s">
        <v>5</v>
      </c>
      <c r="D4511" t="e">
        <f>VLOOKUP(C4511,'lookup table'!$A$2:$B$19,2,FALSE)</f>
        <v>#N/A</v>
      </c>
      <c r="E4511" t="str">
        <f t="shared" si="70"/>
        <v/>
      </c>
    </row>
    <row r="4512" spans="1:5" x14ac:dyDescent="0.2">
      <c r="A4512" t="s">
        <v>1297</v>
      </c>
      <c r="B4512" t="s">
        <v>1298</v>
      </c>
      <c r="C4512" t="s">
        <v>6</v>
      </c>
      <c r="D4512" t="e">
        <f>VLOOKUP(C4512,'lookup table'!$A$2:$B$19,2,FALSE)</f>
        <v>#N/A</v>
      </c>
      <c r="E4512" t="str">
        <f t="shared" si="70"/>
        <v/>
      </c>
    </row>
    <row r="4513" spans="1:5" x14ac:dyDescent="0.2">
      <c r="A4513" t="s">
        <v>1297</v>
      </c>
      <c r="B4513" t="s">
        <v>1298</v>
      </c>
      <c r="C4513" t="s">
        <v>9</v>
      </c>
      <c r="D4513" t="e">
        <f>VLOOKUP(C4513,'lookup table'!$A$2:$B$19,2,FALSE)</f>
        <v>#N/A</v>
      </c>
      <c r="E4513" t="str">
        <f t="shared" si="70"/>
        <v/>
      </c>
    </row>
    <row r="4514" spans="1:5" x14ac:dyDescent="0.2">
      <c r="A4514" t="s">
        <v>1297</v>
      </c>
      <c r="B4514" t="s">
        <v>1298</v>
      </c>
      <c r="C4514" t="s">
        <v>10</v>
      </c>
      <c r="D4514" t="e">
        <f>VLOOKUP(C4514,'lookup table'!$A$2:$B$19,2,FALSE)</f>
        <v>#N/A</v>
      </c>
      <c r="E4514" t="str">
        <f t="shared" si="70"/>
        <v/>
      </c>
    </row>
    <row r="4515" spans="1:5" x14ac:dyDescent="0.2">
      <c r="A4515" t="s">
        <v>1297</v>
      </c>
      <c r="B4515" t="s">
        <v>1298</v>
      </c>
      <c r="C4515" t="s">
        <v>11</v>
      </c>
      <c r="D4515" t="e">
        <f>VLOOKUP(C4515,'lookup table'!$A$2:$B$19,2,FALSE)</f>
        <v>#N/A</v>
      </c>
      <c r="E4515" t="str">
        <f t="shared" si="70"/>
        <v/>
      </c>
    </row>
    <row r="4516" spans="1:5" x14ac:dyDescent="0.2">
      <c r="A4516" t="s">
        <v>1297</v>
      </c>
      <c r="B4516" t="s">
        <v>1298</v>
      </c>
      <c r="C4516" t="s">
        <v>12</v>
      </c>
      <c r="D4516" t="e">
        <f>VLOOKUP(C4516,'lookup table'!$A$2:$B$19,2,FALSE)</f>
        <v>#N/A</v>
      </c>
      <c r="E4516" t="str">
        <f t="shared" si="70"/>
        <v/>
      </c>
    </row>
    <row r="4517" spans="1:5" x14ac:dyDescent="0.2">
      <c r="A4517" t="s">
        <v>1297</v>
      </c>
      <c r="B4517" t="s">
        <v>1298</v>
      </c>
      <c r="C4517" t="s">
        <v>14</v>
      </c>
      <c r="D4517" t="str">
        <f>VLOOKUP(C4517,'lookup table'!$A$2:$B$19,2,FALSE)</f>
        <v>ALC</v>
      </c>
      <c r="E4517" t="str">
        <f t="shared" si="70"/>
        <v>DR1LOB_00|ALC</v>
      </c>
    </row>
    <row r="4518" spans="1:5" x14ac:dyDescent="0.2">
      <c r="A4518" t="s">
        <v>1297</v>
      </c>
      <c r="B4518" t="s">
        <v>1298</v>
      </c>
      <c r="C4518" t="s">
        <v>20</v>
      </c>
      <c r="D4518" t="str">
        <f>VLOOKUP(C4518,'lookup table'!$A$2:$B$19,2,FALSE)</f>
        <v>AY</v>
      </c>
      <c r="E4518" t="str">
        <f t="shared" si="70"/>
        <v>DR1LOB_00|AY</v>
      </c>
    </row>
    <row r="4519" spans="1:5" x14ac:dyDescent="0.2">
      <c r="A4519" t="s">
        <v>1297</v>
      </c>
      <c r="B4519" t="s">
        <v>1298</v>
      </c>
      <c r="C4519" t="s">
        <v>324</v>
      </c>
      <c r="D4519" t="e">
        <f>VLOOKUP(C4519,'lookup table'!$A$2:$B$19,2,FALSE)</f>
        <v>#N/A</v>
      </c>
      <c r="E4519" t="str">
        <f t="shared" si="70"/>
        <v/>
      </c>
    </row>
    <row r="4520" spans="1:5" x14ac:dyDescent="0.2">
      <c r="A4520" t="s">
        <v>1297</v>
      </c>
      <c r="B4520" t="s">
        <v>1298</v>
      </c>
      <c r="C4520" t="s">
        <v>325</v>
      </c>
      <c r="D4520" t="e">
        <f>VLOOKUP(C4520,'lookup table'!$A$2:$B$19,2,FALSE)</f>
        <v>#N/A</v>
      </c>
      <c r="E4520" t="str">
        <f t="shared" si="70"/>
        <v/>
      </c>
    </row>
    <row r="4521" spans="1:5" x14ac:dyDescent="0.2">
      <c r="A4521" t="s">
        <v>1297</v>
      </c>
      <c r="B4521" t="s">
        <v>1298</v>
      </c>
      <c r="C4521" t="s">
        <v>326</v>
      </c>
      <c r="D4521" t="e">
        <f>VLOOKUP(C4521,'lookup table'!$A$2:$B$19,2,FALSE)</f>
        <v>#N/A</v>
      </c>
      <c r="E4521" t="str">
        <f t="shared" si="70"/>
        <v/>
      </c>
    </row>
    <row r="4522" spans="1:5" x14ac:dyDescent="0.2">
      <c r="A4522" t="s">
        <v>1297</v>
      </c>
      <c r="B4522" t="s">
        <v>1298</v>
      </c>
      <c r="C4522" t="s">
        <v>327</v>
      </c>
      <c r="D4522" t="e">
        <f>VLOOKUP(C4522,'lookup table'!$A$2:$B$19,2,FALSE)</f>
        <v>#N/A</v>
      </c>
      <c r="E4522" t="str">
        <f t="shared" si="70"/>
        <v/>
      </c>
    </row>
    <row r="4523" spans="1:5" x14ac:dyDescent="0.2">
      <c r="A4523" t="s">
        <v>1297</v>
      </c>
      <c r="B4523" t="s">
        <v>1298</v>
      </c>
      <c r="C4523" t="s">
        <v>328</v>
      </c>
      <c r="D4523" t="e">
        <f>VLOOKUP(C4523,'lookup table'!$A$2:$B$19,2,FALSE)</f>
        <v>#N/A</v>
      </c>
      <c r="E4523" t="str">
        <f t="shared" si="70"/>
        <v/>
      </c>
    </row>
    <row r="4524" spans="1:5" x14ac:dyDescent="0.2">
      <c r="A4524" t="s">
        <v>1297</v>
      </c>
      <c r="B4524" t="s">
        <v>1298</v>
      </c>
      <c r="C4524" t="s">
        <v>329</v>
      </c>
      <c r="D4524" t="e">
        <f>VLOOKUP(C4524,'lookup table'!$A$2:$B$19,2,FALSE)</f>
        <v>#N/A</v>
      </c>
      <c r="E4524" t="str">
        <f t="shared" si="70"/>
        <v/>
      </c>
    </row>
    <row r="4525" spans="1:5" x14ac:dyDescent="0.2">
      <c r="A4525" t="s">
        <v>1297</v>
      </c>
      <c r="B4525" t="s">
        <v>1298</v>
      </c>
      <c r="C4525" t="s">
        <v>331</v>
      </c>
      <c r="D4525" t="str">
        <f>VLOOKUP(C4525,'lookup table'!$A$2:$B$19,2,FALSE)</f>
        <v>FS Item</v>
      </c>
      <c r="E4525" t="str">
        <f t="shared" si="70"/>
        <v>DR1LOB_00|FS Item</v>
      </c>
    </row>
    <row r="4526" spans="1:5" x14ac:dyDescent="0.2">
      <c r="A4526" t="s">
        <v>1297</v>
      </c>
      <c r="B4526" t="s">
        <v>1298</v>
      </c>
      <c r="C4526" t="s">
        <v>422</v>
      </c>
      <c r="D4526" t="e">
        <f>VLOOKUP(C4526,'lookup table'!$A$2:$B$19,2,FALSE)</f>
        <v>#N/A</v>
      </c>
      <c r="E4526" t="str">
        <f t="shared" si="70"/>
        <v/>
      </c>
    </row>
    <row r="4527" spans="1:5" x14ac:dyDescent="0.2">
      <c r="A4527" t="s">
        <v>1297</v>
      </c>
      <c r="B4527" t="s">
        <v>1298</v>
      </c>
      <c r="C4527" t="s">
        <v>423</v>
      </c>
      <c r="D4527" t="str">
        <f>VLOOKUP(C4527,'lookup table'!$A$2:$B$19,2,FALSE)</f>
        <v>ignore</v>
      </c>
      <c r="E4527" t="str">
        <f t="shared" si="70"/>
        <v>DR1LOB_00|ignore</v>
      </c>
    </row>
    <row r="4528" spans="1:5" x14ac:dyDescent="0.2">
      <c r="A4528" t="s">
        <v>1297</v>
      </c>
      <c r="B4528" t="s">
        <v>1298</v>
      </c>
      <c r="C4528" t="s">
        <v>424</v>
      </c>
      <c r="D4528" t="str">
        <f>VLOOKUP(C4528,'lookup table'!$A$2:$B$19,2,FALSE)</f>
        <v>GRC</v>
      </c>
      <c r="E4528" t="str">
        <f t="shared" si="70"/>
        <v>DR1LOB_00|GRC</v>
      </c>
    </row>
    <row r="4529" spans="1:5" x14ac:dyDescent="0.2">
      <c r="A4529" t="s">
        <v>1297</v>
      </c>
      <c r="B4529" t="s">
        <v>1298</v>
      </c>
      <c r="C4529" t="s">
        <v>425</v>
      </c>
      <c r="D4529" t="str">
        <f>VLOOKUP(C4529,'lookup table'!$A$2:$B$19,2,FALSE)</f>
        <v>Investee Segment</v>
      </c>
      <c r="E4529" t="str">
        <f t="shared" si="70"/>
        <v>DR1LOB_00|Investee Segment</v>
      </c>
    </row>
    <row r="4530" spans="1:5" x14ac:dyDescent="0.2">
      <c r="A4530" t="s">
        <v>1297</v>
      </c>
      <c r="B4530" t="s">
        <v>1298</v>
      </c>
      <c r="C4530" t="s">
        <v>426</v>
      </c>
      <c r="D4530" t="str">
        <f>VLOOKUP(C4530,'lookup table'!$A$2:$B$19,2,FALSE)</f>
        <v>Investee Unit</v>
      </c>
      <c r="E4530" t="str">
        <f t="shared" si="70"/>
        <v>DR1LOB_00|Investee Unit</v>
      </c>
    </row>
    <row r="4531" spans="1:5" x14ac:dyDescent="0.2">
      <c r="A4531" t="s">
        <v>1297</v>
      </c>
      <c r="B4531" t="s">
        <v>1298</v>
      </c>
      <c r="C4531" t="s">
        <v>428</v>
      </c>
      <c r="D4531" t="str">
        <f>VLOOKUP(C4531,'lookup table'!$A$2:$B$19,2,FALSE)</f>
        <v>LoB</v>
      </c>
      <c r="E4531" t="str">
        <f t="shared" si="70"/>
        <v>DR1LOB_00|LoB</v>
      </c>
    </row>
    <row r="4532" spans="1:5" x14ac:dyDescent="0.2">
      <c r="A4532" t="s">
        <v>1297</v>
      </c>
      <c r="B4532" t="s">
        <v>1298</v>
      </c>
      <c r="C4532" t="s">
        <v>436</v>
      </c>
      <c r="D4532" t="str">
        <f>VLOOKUP(C4532,'lookup table'!$A$2:$B$19,2,FALSE)</f>
        <v>MAT</v>
      </c>
      <c r="E4532" t="str">
        <f t="shared" si="70"/>
        <v>DR1LOB_00|MAT</v>
      </c>
    </row>
    <row r="4533" spans="1:5" x14ac:dyDescent="0.2">
      <c r="A4533" t="s">
        <v>1297</v>
      </c>
      <c r="B4533" t="s">
        <v>1298</v>
      </c>
      <c r="C4533" t="s">
        <v>441</v>
      </c>
      <c r="D4533" t="str">
        <f>VLOOKUP(C4533,'lookup table'!$A$2:$B$19,2,FALSE)</f>
        <v>Partner Segment</v>
      </c>
      <c r="E4533" t="str">
        <f t="shared" si="70"/>
        <v>DR1LOB_00|Partner Segment</v>
      </c>
    </row>
    <row r="4534" spans="1:5" x14ac:dyDescent="0.2">
      <c r="A4534" t="s">
        <v>1297</v>
      </c>
      <c r="B4534" t="s">
        <v>1298</v>
      </c>
      <c r="C4534" t="s">
        <v>442</v>
      </c>
      <c r="D4534" t="str">
        <f>VLOOKUP(C4534,'lookup table'!$A$2:$B$19,2,FALSE)</f>
        <v>Partner Unit</v>
      </c>
      <c r="E4534" t="str">
        <f t="shared" si="70"/>
        <v>DR1LOB_00|Partner Unit</v>
      </c>
    </row>
    <row r="4535" spans="1:5" x14ac:dyDescent="0.2">
      <c r="A4535" t="s">
        <v>1297</v>
      </c>
      <c r="B4535" t="s">
        <v>1298</v>
      </c>
      <c r="C4535" t="s">
        <v>447</v>
      </c>
      <c r="D4535" t="str">
        <f>VLOOKUP(C4535,'lookup table'!$A$2:$B$19,2,FALSE)</f>
        <v>REX</v>
      </c>
      <c r="E4535" t="str">
        <f t="shared" si="70"/>
        <v>DR1LOB_00|REX</v>
      </c>
    </row>
    <row r="4536" spans="1:5" x14ac:dyDescent="0.2">
      <c r="A4536" t="s">
        <v>1297</v>
      </c>
      <c r="B4536" t="s">
        <v>1298</v>
      </c>
      <c r="C4536" t="s">
        <v>448</v>
      </c>
      <c r="D4536" t="e">
        <f>VLOOKUP(C4536,'lookup table'!$A$2:$B$19,2,FALSE)</f>
        <v>#N/A</v>
      </c>
      <c r="E4536" t="str">
        <f t="shared" si="70"/>
        <v/>
      </c>
    </row>
    <row r="4537" spans="1:5" x14ac:dyDescent="0.2">
      <c r="A4537" t="s">
        <v>1297</v>
      </c>
      <c r="B4537" t="s">
        <v>1298</v>
      </c>
      <c r="C4537" t="s">
        <v>449</v>
      </c>
      <c r="D4537" t="e">
        <f>VLOOKUP(C4537,'lookup table'!$A$2:$B$19,2,FALSE)</f>
        <v>#N/A</v>
      </c>
      <c r="E4537" t="str">
        <f t="shared" si="70"/>
        <v/>
      </c>
    </row>
    <row r="4538" spans="1:5" x14ac:dyDescent="0.2">
      <c r="A4538" t="s">
        <v>1297</v>
      </c>
      <c r="B4538" t="s">
        <v>1298</v>
      </c>
      <c r="C4538" t="s">
        <v>451</v>
      </c>
      <c r="D4538" t="str">
        <f>VLOOKUP(C4538,'lookup table'!$A$2:$B$19,2,FALSE)</f>
        <v>Segment</v>
      </c>
      <c r="E4538" t="str">
        <f t="shared" si="70"/>
        <v>DR1LOB_00|Segment</v>
      </c>
    </row>
    <row r="4539" spans="1:5" x14ac:dyDescent="0.2">
      <c r="A4539" t="s">
        <v>1297</v>
      </c>
      <c r="B4539" t="s">
        <v>1298</v>
      </c>
      <c r="C4539" t="s">
        <v>455</v>
      </c>
      <c r="D4539" t="e">
        <f>VLOOKUP(C4539,'lookup table'!$A$2:$B$19,2,FALSE)</f>
        <v>#N/A</v>
      </c>
      <c r="E4539" t="str">
        <f t="shared" si="70"/>
        <v/>
      </c>
    </row>
    <row r="4540" spans="1:5" x14ac:dyDescent="0.2">
      <c r="A4540" t="s">
        <v>1297</v>
      </c>
      <c r="B4540" t="s">
        <v>1298</v>
      </c>
      <c r="C4540" t="s">
        <v>456</v>
      </c>
      <c r="D4540" t="e">
        <f>VLOOKUP(C4540,'lookup table'!$A$2:$B$19,2,FALSE)</f>
        <v>#N/A</v>
      </c>
      <c r="E4540" t="str">
        <f t="shared" si="70"/>
        <v/>
      </c>
    </row>
    <row r="4541" spans="1:5" x14ac:dyDescent="0.2">
      <c r="A4541" t="s">
        <v>1297</v>
      </c>
      <c r="B4541" t="s">
        <v>1298</v>
      </c>
      <c r="C4541" t="s">
        <v>457</v>
      </c>
      <c r="D4541" t="str">
        <f>VLOOKUP(C4541,'lookup table'!$A$2:$B$19,2,FALSE)</f>
        <v>VLT</v>
      </c>
      <c r="E4541" t="str">
        <f t="shared" si="70"/>
        <v>DR1LOB_00|VLT</v>
      </c>
    </row>
    <row r="4542" spans="1:5" x14ac:dyDescent="0.2">
      <c r="A4542" t="s">
        <v>1297</v>
      </c>
      <c r="B4542" t="s">
        <v>1298</v>
      </c>
      <c r="C4542" t="s">
        <v>458</v>
      </c>
      <c r="D4542" t="str">
        <f>VLOOKUP(C4542,'lookup table'!$A$2:$B$19,2,FALSE)</f>
        <v>VAR</v>
      </c>
      <c r="E4542" t="str">
        <f t="shared" si="70"/>
        <v>DR1LOB_00|VAR</v>
      </c>
    </row>
    <row r="4543" spans="1:5" x14ac:dyDescent="0.2">
      <c r="A4543" t="s">
        <v>1297</v>
      </c>
      <c r="B4543" t="s">
        <v>1298</v>
      </c>
      <c r="C4543" t="s">
        <v>459</v>
      </c>
      <c r="D4543" t="e">
        <f>VLOOKUP(C4543,'lookup table'!$A$2:$B$19,2,FALSE)</f>
        <v>#N/A</v>
      </c>
      <c r="E4543" t="str">
        <f t="shared" si="70"/>
        <v/>
      </c>
    </row>
    <row r="4544" spans="1:5" x14ac:dyDescent="0.2">
      <c r="A4544" t="s">
        <v>1297</v>
      </c>
      <c r="B4544" t="s">
        <v>1298</v>
      </c>
      <c r="C4544" t="s">
        <v>460</v>
      </c>
      <c r="D4544" t="e">
        <f>VLOOKUP(C4544,'lookup table'!$A$2:$B$19,2,FALSE)</f>
        <v>#N/A</v>
      </c>
      <c r="E4544" t="str">
        <f t="shared" si="70"/>
        <v/>
      </c>
    </row>
    <row r="4545" spans="1:5" x14ac:dyDescent="0.2">
      <c r="A4545" t="s">
        <v>1297</v>
      </c>
      <c r="B4545" t="s">
        <v>1298</v>
      </c>
      <c r="C4545" t="s">
        <v>461</v>
      </c>
      <c r="D4545" t="str">
        <f>VLOOKUP(C4545,'lookup table'!$A$2:$B$19,2,FALSE)</f>
        <v>Posting Level</v>
      </c>
      <c r="E4545" t="str">
        <f t="shared" si="70"/>
        <v>DR1LOB_00|Posting Level</v>
      </c>
    </row>
    <row r="4546" spans="1:5" x14ac:dyDescent="0.2">
      <c r="A4546" t="s">
        <v>1297</v>
      </c>
      <c r="B4546" t="s">
        <v>1298</v>
      </c>
      <c r="C4546" t="s">
        <v>462</v>
      </c>
      <c r="D4546" t="e">
        <f>VLOOKUP(C4546,'lookup table'!$A$2:$B$19,2,FALSE)</f>
        <v>#N/A</v>
      </c>
      <c r="E4546" t="str">
        <f t="shared" si="70"/>
        <v/>
      </c>
    </row>
    <row r="4547" spans="1:5" x14ac:dyDescent="0.2">
      <c r="A4547" t="s">
        <v>1297</v>
      </c>
      <c r="B4547" t="s">
        <v>1298</v>
      </c>
      <c r="C4547" t="s">
        <v>463</v>
      </c>
      <c r="D4547" t="e">
        <f>VLOOKUP(C4547,'lookup table'!$A$2:$B$19,2,FALSE)</f>
        <v>#N/A</v>
      </c>
      <c r="E4547" t="str">
        <f t="shared" ref="E4547:E4610" si="71">IF(ISNA(D4547),"",IF(A4547="","",A4547) &amp; "|" &amp; D4547)</f>
        <v/>
      </c>
    </row>
    <row r="4548" spans="1:5" x14ac:dyDescent="0.2">
      <c r="A4548" t="s">
        <v>1297</v>
      </c>
      <c r="B4548" t="s">
        <v>1298</v>
      </c>
      <c r="C4548" t="s">
        <v>464</v>
      </c>
      <c r="D4548" t="e">
        <f>VLOOKUP(C4548,'lookup table'!$A$2:$B$19,2,FALSE)</f>
        <v>#N/A</v>
      </c>
      <c r="E4548" t="str">
        <f t="shared" si="71"/>
        <v/>
      </c>
    </row>
    <row r="4549" spans="1:5" x14ac:dyDescent="0.2">
      <c r="A4549" t="s">
        <v>1297</v>
      </c>
      <c r="B4549" t="s">
        <v>1298</v>
      </c>
      <c r="C4549" t="s">
        <v>465</v>
      </c>
      <c r="D4549" t="e">
        <f>VLOOKUP(C4549,'lookup table'!$A$2:$B$19,2,FALSE)</f>
        <v>#N/A</v>
      </c>
      <c r="E4549" t="str">
        <f t="shared" si="71"/>
        <v/>
      </c>
    </row>
    <row r="4550" spans="1:5" x14ac:dyDescent="0.2">
      <c r="A4550" t="s">
        <v>1299</v>
      </c>
      <c r="B4550" t="s">
        <v>1300</v>
      </c>
      <c r="C4550" t="s">
        <v>2</v>
      </c>
      <c r="D4550" t="e">
        <f>VLOOKUP(C4550,'lookup table'!$A$2:$B$19,2,FALSE)</f>
        <v>#N/A</v>
      </c>
      <c r="E4550" t="str">
        <f t="shared" si="71"/>
        <v/>
      </c>
    </row>
    <row r="4551" spans="1:5" x14ac:dyDescent="0.2">
      <c r="A4551" t="s">
        <v>1299</v>
      </c>
      <c r="B4551" t="s">
        <v>1300</v>
      </c>
      <c r="C4551" t="s">
        <v>5</v>
      </c>
      <c r="D4551" t="e">
        <f>VLOOKUP(C4551,'lookup table'!$A$2:$B$19,2,FALSE)</f>
        <v>#N/A</v>
      </c>
      <c r="E4551" t="str">
        <f t="shared" si="71"/>
        <v/>
      </c>
    </row>
    <row r="4552" spans="1:5" x14ac:dyDescent="0.2">
      <c r="A4552" t="s">
        <v>1299</v>
      </c>
      <c r="B4552" t="s">
        <v>1300</v>
      </c>
      <c r="C4552" t="s">
        <v>6</v>
      </c>
      <c r="D4552" t="e">
        <f>VLOOKUP(C4552,'lookup table'!$A$2:$B$19,2,FALSE)</f>
        <v>#N/A</v>
      </c>
      <c r="E4552" t="str">
        <f t="shared" si="71"/>
        <v/>
      </c>
    </row>
    <row r="4553" spans="1:5" x14ac:dyDescent="0.2">
      <c r="A4553" t="s">
        <v>1299</v>
      </c>
      <c r="B4553" t="s">
        <v>1300</v>
      </c>
      <c r="C4553" t="s">
        <v>9</v>
      </c>
      <c r="D4553" t="e">
        <f>VLOOKUP(C4553,'lookup table'!$A$2:$B$19,2,FALSE)</f>
        <v>#N/A</v>
      </c>
      <c r="E4553" t="str">
        <f t="shared" si="71"/>
        <v/>
      </c>
    </row>
    <row r="4554" spans="1:5" x14ac:dyDescent="0.2">
      <c r="A4554" t="s">
        <v>1299</v>
      </c>
      <c r="B4554" t="s">
        <v>1300</v>
      </c>
      <c r="C4554" t="s">
        <v>10</v>
      </c>
      <c r="D4554" t="e">
        <f>VLOOKUP(C4554,'lookup table'!$A$2:$B$19,2,FALSE)</f>
        <v>#N/A</v>
      </c>
      <c r="E4554" t="str">
        <f t="shared" si="71"/>
        <v/>
      </c>
    </row>
    <row r="4555" spans="1:5" x14ac:dyDescent="0.2">
      <c r="A4555" t="s">
        <v>1299</v>
      </c>
      <c r="B4555" t="s">
        <v>1300</v>
      </c>
      <c r="C4555" t="s">
        <v>11</v>
      </c>
      <c r="D4555" t="e">
        <f>VLOOKUP(C4555,'lookup table'!$A$2:$B$19,2,FALSE)</f>
        <v>#N/A</v>
      </c>
      <c r="E4555" t="str">
        <f t="shared" si="71"/>
        <v/>
      </c>
    </row>
    <row r="4556" spans="1:5" x14ac:dyDescent="0.2">
      <c r="A4556" t="s">
        <v>1299</v>
      </c>
      <c r="B4556" t="s">
        <v>1300</v>
      </c>
      <c r="C4556" t="s">
        <v>12</v>
      </c>
      <c r="D4556" t="e">
        <f>VLOOKUP(C4556,'lookup table'!$A$2:$B$19,2,FALSE)</f>
        <v>#N/A</v>
      </c>
      <c r="E4556" t="str">
        <f t="shared" si="71"/>
        <v/>
      </c>
    </row>
    <row r="4557" spans="1:5" x14ac:dyDescent="0.2">
      <c r="A4557" t="s">
        <v>1299</v>
      </c>
      <c r="B4557" t="s">
        <v>1300</v>
      </c>
      <c r="C4557" t="s">
        <v>14</v>
      </c>
      <c r="D4557" t="str">
        <f>VLOOKUP(C4557,'lookup table'!$A$2:$B$19,2,FALSE)</f>
        <v>ALC</v>
      </c>
      <c r="E4557" t="str">
        <f t="shared" si="71"/>
        <v>DR1MAT_00|ALC</v>
      </c>
    </row>
    <row r="4558" spans="1:5" x14ac:dyDescent="0.2">
      <c r="A4558" t="s">
        <v>1299</v>
      </c>
      <c r="B4558" t="s">
        <v>1300</v>
      </c>
      <c r="C4558" t="s">
        <v>20</v>
      </c>
      <c r="D4558" t="str">
        <f>VLOOKUP(C4558,'lookup table'!$A$2:$B$19,2,FALSE)</f>
        <v>AY</v>
      </c>
      <c r="E4558" t="str">
        <f t="shared" si="71"/>
        <v>DR1MAT_00|AY</v>
      </c>
    </row>
    <row r="4559" spans="1:5" x14ac:dyDescent="0.2">
      <c r="A4559" t="s">
        <v>1299</v>
      </c>
      <c r="B4559" t="s">
        <v>1300</v>
      </c>
      <c r="C4559" t="s">
        <v>324</v>
      </c>
      <c r="D4559" t="e">
        <f>VLOOKUP(C4559,'lookup table'!$A$2:$B$19,2,FALSE)</f>
        <v>#N/A</v>
      </c>
      <c r="E4559" t="str">
        <f t="shared" si="71"/>
        <v/>
      </c>
    </row>
    <row r="4560" spans="1:5" x14ac:dyDescent="0.2">
      <c r="A4560" t="s">
        <v>1299</v>
      </c>
      <c r="B4560" t="s">
        <v>1300</v>
      </c>
      <c r="C4560" t="s">
        <v>325</v>
      </c>
      <c r="D4560" t="e">
        <f>VLOOKUP(C4560,'lookup table'!$A$2:$B$19,2,FALSE)</f>
        <v>#N/A</v>
      </c>
      <c r="E4560" t="str">
        <f t="shared" si="71"/>
        <v/>
      </c>
    </row>
    <row r="4561" spans="1:5" x14ac:dyDescent="0.2">
      <c r="A4561" t="s">
        <v>1299</v>
      </c>
      <c r="B4561" t="s">
        <v>1300</v>
      </c>
      <c r="C4561" t="s">
        <v>326</v>
      </c>
      <c r="D4561" t="e">
        <f>VLOOKUP(C4561,'lookup table'!$A$2:$B$19,2,FALSE)</f>
        <v>#N/A</v>
      </c>
      <c r="E4561" t="str">
        <f t="shared" si="71"/>
        <v/>
      </c>
    </row>
    <row r="4562" spans="1:5" x14ac:dyDescent="0.2">
      <c r="A4562" t="s">
        <v>1299</v>
      </c>
      <c r="B4562" t="s">
        <v>1300</v>
      </c>
      <c r="C4562" t="s">
        <v>327</v>
      </c>
      <c r="D4562" t="e">
        <f>VLOOKUP(C4562,'lookup table'!$A$2:$B$19,2,FALSE)</f>
        <v>#N/A</v>
      </c>
      <c r="E4562" t="str">
        <f t="shared" si="71"/>
        <v/>
      </c>
    </row>
    <row r="4563" spans="1:5" x14ac:dyDescent="0.2">
      <c r="A4563" t="s">
        <v>1299</v>
      </c>
      <c r="B4563" t="s">
        <v>1300</v>
      </c>
      <c r="C4563" t="s">
        <v>328</v>
      </c>
      <c r="D4563" t="e">
        <f>VLOOKUP(C4563,'lookup table'!$A$2:$B$19,2,FALSE)</f>
        <v>#N/A</v>
      </c>
      <c r="E4563" t="str">
        <f t="shared" si="71"/>
        <v/>
      </c>
    </row>
    <row r="4564" spans="1:5" x14ac:dyDescent="0.2">
      <c r="A4564" t="s">
        <v>1299</v>
      </c>
      <c r="B4564" t="s">
        <v>1300</v>
      </c>
      <c r="C4564" t="s">
        <v>329</v>
      </c>
      <c r="D4564" t="e">
        <f>VLOOKUP(C4564,'lookup table'!$A$2:$B$19,2,FALSE)</f>
        <v>#N/A</v>
      </c>
      <c r="E4564" t="str">
        <f t="shared" si="71"/>
        <v/>
      </c>
    </row>
    <row r="4565" spans="1:5" x14ac:dyDescent="0.2">
      <c r="A4565" t="s">
        <v>1299</v>
      </c>
      <c r="B4565" t="s">
        <v>1300</v>
      </c>
      <c r="C4565" t="s">
        <v>331</v>
      </c>
      <c r="D4565" t="str">
        <f>VLOOKUP(C4565,'lookup table'!$A$2:$B$19,2,FALSE)</f>
        <v>FS Item</v>
      </c>
      <c r="E4565" t="str">
        <f t="shared" si="71"/>
        <v>DR1MAT_00|FS Item</v>
      </c>
    </row>
    <row r="4566" spans="1:5" x14ac:dyDescent="0.2">
      <c r="A4566" t="s">
        <v>1299</v>
      </c>
      <c r="B4566" t="s">
        <v>1300</v>
      </c>
      <c r="C4566" t="s">
        <v>422</v>
      </c>
      <c r="D4566" t="e">
        <f>VLOOKUP(C4566,'lookup table'!$A$2:$B$19,2,FALSE)</f>
        <v>#N/A</v>
      </c>
      <c r="E4566" t="str">
        <f t="shared" si="71"/>
        <v/>
      </c>
    </row>
    <row r="4567" spans="1:5" x14ac:dyDescent="0.2">
      <c r="A4567" t="s">
        <v>1299</v>
      </c>
      <c r="B4567" t="s">
        <v>1300</v>
      </c>
      <c r="C4567" t="s">
        <v>423</v>
      </c>
      <c r="D4567" t="str">
        <f>VLOOKUP(C4567,'lookup table'!$A$2:$B$19,2,FALSE)</f>
        <v>ignore</v>
      </c>
      <c r="E4567" t="str">
        <f t="shared" si="71"/>
        <v>DR1MAT_00|ignore</v>
      </c>
    </row>
    <row r="4568" spans="1:5" x14ac:dyDescent="0.2">
      <c r="A4568" t="s">
        <v>1299</v>
      </c>
      <c r="B4568" t="s">
        <v>1300</v>
      </c>
      <c r="C4568" t="s">
        <v>424</v>
      </c>
      <c r="D4568" t="str">
        <f>VLOOKUP(C4568,'lookup table'!$A$2:$B$19,2,FALSE)</f>
        <v>GRC</v>
      </c>
      <c r="E4568" t="str">
        <f t="shared" si="71"/>
        <v>DR1MAT_00|GRC</v>
      </c>
    </row>
    <row r="4569" spans="1:5" x14ac:dyDescent="0.2">
      <c r="A4569" t="s">
        <v>1299</v>
      </c>
      <c r="B4569" t="s">
        <v>1300</v>
      </c>
      <c r="C4569" t="s">
        <v>425</v>
      </c>
      <c r="D4569" t="str">
        <f>VLOOKUP(C4569,'lookup table'!$A$2:$B$19,2,FALSE)</f>
        <v>Investee Segment</v>
      </c>
      <c r="E4569" t="str">
        <f t="shared" si="71"/>
        <v>DR1MAT_00|Investee Segment</v>
      </c>
    </row>
    <row r="4570" spans="1:5" x14ac:dyDescent="0.2">
      <c r="A4570" t="s">
        <v>1299</v>
      </c>
      <c r="B4570" t="s">
        <v>1300</v>
      </c>
      <c r="C4570" t="s">
        <v>426</v>
      </c>
      <c r="D4570" t="str">
        <f>VLOOKUP(C4570,'lookup table'!$A$2:$B$19,2,FALSE)</f>
        <v>Investee Unit</v>
      </c>
      <c r="E4570" t="str">
        <f t="shared" si="71"/>
        <v>DR1MAT_00|Investee Unit</v>
      </c>
    </row>
    <row r="4571" spans="1:5" x14ac:dyDescent="0.2">
      <c r="A4571" t="s">
        <v>1299</v>
      </c>
      <c r="B4571" t="s">
        <v>1300</v>
      </c>
      <c r="C4571" t="s">
        <v>428</v>
      </c>
      <c r="D4571" t="str">
        <f>VLOOKUP(C4571,'lookup table'!$A$2:$B$19,2,FALSE)</f>
        <v>LoB</v>
      </c>
      <c r="E4571" t="str">
        <f t="shared" si="71"/>
        <v>DR1MAT_00|LoB</v>
      </c>
    </row>
    <row r="4572" spans="1:5" x14ac:dyDescent="0.2">
      <c r="A4572" t="s">
        <v>1299</v>
      </c>
      <c r="B4572" t="s">
        <v>1300</v>
      </c>
      <c r="C4572" t="s">
        <v>436</v>
      </c>
      <c r="D4572" t="str">
        <f>VLOOKUP(C4572,'lookup table'!$A$2:$B$19,2,FALSE)</f>
        <v>MAT</v>
      </c>
      <c r="E4572" t="str">
        <f t="shared" si="71"/>
        <v>DR1MAT_00|MAT</v>
      </c>
    </row>
    <row r="4573" spans="1:5" x14ac:dyDescent="0.2">
      <c r="A4573" t="s">
        <v>1299</v>
      </c>
      <c r="B4573" t="s">
        <v>1300</v>
      </c>
      <c r="C4573" t="s">
        <v>438</v>
      </c>
      <c r="D4573" t="str">
        <f>VLOOKUP(C4573,'lookup table'!$A$2:$B$19,2,FALSE)</f>
        <v>ToM</v>
      </c>
      <c r="E4573" t="str">
        <f t="shared" si="71"/>
        <v>DR1MAT_00|ToM</v>
      </c>
    </row>
    <row r="4574" spans="1:5" x14ac:dyDescent="0.2">
      <c r="A4574" t="s">
        <v>1299</v>
      </c>
      <c r="B4574" t="s">
        <v>1300</v>
      </c>
      <c r="C4574" t="s">
        <v>441</v>
      </c>
      <c r="D4574" t="str">
        <f>VLOOKUP(C4574,'lookup table'!$A$2:$B$19,2,FALSE)</f>
        <v>Partner Segment</v>
      </c>
      <c r="E4574" t="str">
        <f t="shared" si="71"/>
        <v>DR1MAT_00|Partner Segment</v>
      </c>
    </row>
    <row r="4575" spans="1:5" x14ac:dyDescent="0.2">
      <c r="A4575" t="s">
        <v>1299</v>
      </c>
      <c r="B4575" t="s">
        <v>1300</v>
      </c>
      <c r="C4575" t="s">
        <v>442</v>
      </c>
      <c r="D4575" t="str">
        <f>VLOOKUP(C4575,'lookup table'!$A$2:$B$19,2,FALSE)</f>
        <v>Partner Unit</v>
      </c>
      <c r="E4575" t="str">
        <f t="shared" si="71"/>
        <v>DR1MAT_00|Partner Unit</v>
      </c>
    </row>
    <row r="4576" spans="1:5" x14ac:dyDescent="0.2">
      <c r="A4576" t="s">
        <v>1299</v>
      </c>
      <c r="B4576" t="s">
        <v>1300</v>
      </c>
      <c r="C4576" t="s">
        <v>447</v>
      </c>
      <c r="D4576" t="str">
        <f>VLOOKUP(C4576,'lookup table'!$A$2:$B$19,2,FALSE)</f>
        <v>REX</v>
      </c>
      <c r="E4576" t="str">
        <f t="shared" si="71"/>
        <v>DR1MAT_00|REX</v>
      </c>
    </row>
    <row r="4577" spans="1:5" x14ac:dyDescent="0.2">
      <c r="A4577" t="s">
        <v>1299</v>
      </c>
      <c r="B4577" t="s">
        <v>1300</v>
      </c>
      <c r="C4577" t="s">
        <v>448</v>
      </c>
      <c r="D4577" t="e">
        <f>VLOOKUP(C4577,'lookup table'!$A$2:$B$19,2,FALSE)</f>
        <v>#N/A</v>
      </c>
      <c r="E4577" t="str">
        <f t="shared" si="71"/>
        <v/>
      </c>
    </row>
    <row r="4578" spans="1:5" x14ac:dyDescent="0.2">
      <c r="A4578" t="s">
        <v>1299</v>
      </c>
      <c r="B4578" t="s">
        <v>1300</v>
      </c>
      <c r="C4578" t="s">
        <v>449</v>
      </c>
      <c r="D4578" t="e">
        <f>VLOOKUP(C4578,'lookup table'!$A$2:$B$19,2,FALSE)</f>
        <v>#N/A</v>
      </c>
      <c r="E4578" t="str">
        <f t="shared" si="71"/>
        <v/>
      </c>
    </row>
    <row r="4579" spans="1:5" x14ac:dyDescent="0.2">
      <c r="A4579" t="s">
        <v>1299</v>
      </c>
      <c r="B4579" t="s">
        <v>1300</v>
      </c>
      <c r="C4579" t="s">
        <v>451</v>
      </c>
      <c r="D4579" t="str">
        <f>VLOOKUP(C4579,'lookup table'!$A$2:$B$19,2,FALSE)</f>
        <v>Segment</v>
      </c>
      <c r="E4579" t="str">
        <f t="shared" si="71"/>
        <v>DR1MAT_00|Segment</v>
      </c>
    </row>
    <row r="4580" spans="1:5" x14ac:dyDescent="0.2">
      <c r="A4580" t="s">
        <v>1299</v>
      </c>
      <c r="B4580" t="s">
        <v>1300</v>
      </c>
      <c r="C4580" t="s">
        <v>455</v>
      </c>
      <c r="D4580" t="e">
        <f>VLOOKUP(C4580,'lookup table'!$A$2:$B$19,2,FALSE)</f>
        <v>#N/A</v>
      </c>
      <c r="E4580" t="str">
        <f t="shared" si="71"/>
        <v/>
      </c>
    </row>
    <row r="4581" spans="1:5" x14ac:dyDescent="0.2">
      <c r="A4581" t="s">
        <v>1299</v>
      </c>
      <c r="B4581" t="s">
        <v>1300</v>
      </c>
      <c r="C4581" t="s">
        <v>456</v>
      </c>
      <c r="D4581" t="e">
        <f>VLOOKUP(C4581,'lookup table'!$A$2:$B$19,2,FALSE)</f>
        <v>#N/A</v>
      </c>
      <c r="E4581" t="str">
        <f t="shared" si="71"/>
        <v/>
      </c>
    </row>
    <row r="4582" spans="1:5" x14ac:dyDescent="0.2">
      <c r="A4582" t="s">
        <v>1299</v>
      </c>
      <c r="B4582" t="s">
        <v>1300</v>
      </c>
      <c r="C4582" t="s">
        <v>457</v>
      </c>
      <c r="D4582" t="str">
        <f>VLOOKUP(C4582,'lookup table'!$A$2:$B$19,2,FALSE)</f>
        <v>VLT</v>
      </c>
      <c r="E4582" t="str">
        <f t="shared" si="71"/>
        <v>DR1MAT_00|VLT</v>
      </c>
    </row>
    <row r="4583" spans="1:5" x14ac:dyDescent="0.2">
      <c r="A4583" t="s">
        <v>1299</v>
      </c>
      <c r="B4583" t="s">
        <v>1300</v>
      </c>
      <c r="C4583" t="s">
        <v>458</v>
      </c>
      <c r="D4583" t="str">
        <f>VLOOKUP(C4583,'lookup table'!$A$2:$B$19,2,FALSE)</f>
        <v>VAR</v>
      </c>
      <c r="E4583" t="str">
        <f t="shared" si="71"/>
        <v>DR1MAT_00|VAR</v>
      </c>
    </row>
    <row r="4584" spans="1:5" x14ac:dyDescent="0.2">
      <c r="A4584" t="s">
        <v>1299</v>
      </c>
      <c r="B4584" t="s">
        <v>1300</v>
      </c>
      <c r="C4584" t="s">
        <v>459</v>
      </c>
      <c r="D4584" t="e">
        <f>VLOOKUP(C4584,'lookup table'!$A$2:$B$19,2,FALSE)</f>
        <v>#N/A</v>
      </c>
      <c r="E4584" t="str">
        <f t="shared" si="71"/>
        <v/>
      </c>
    </row>
    <row r="4585" spans="1:5" x14ac:dyDescent="0.2">
      <c r="A4585" t="s">
        <v>1299</v>
      </c>
      <c r="B4585" t="s">
        <v>1300</v>
      </c>
      <c r="C4585" t="s">
        <v>460</v>
      </c>
      <c r="D4585" t="e">
        <f>VLOOKUP(C4585,'lookup table'!$A$2:$B$19,2,FALSE)</f>
        <v>#N/A</v>
      </c>
      <c r="E4585" t="str">
        <f t="shared" si="71"/>
        <v/>
      </c>
    </row>
    <row r="4586" spans="1:5" x14ac:dyDescent="0.2">
      <c r="A4586" t="s">
        <v>1299</v>
      </c>
      <c r="B4586" t="s">
        <v>1300</v>
      </c>
      <c r="C4586" t="s">
        <v>461</v>
      </c>
      <c r="D4586" t="str">
        <f>VLOOKUP(C4586,'lookup table'!$A$2:$B$19,2,FALSE)</f>
        <v>Posting Level</v>
      </c>
      <c r="E4586" t="str">
        <f t="shared" si="71"/>
        <v>DR1MAT_00|Posting Level</v>
      </c>
    </row>
    <row r="4587" spans="1:5" x14ac:dyDescent="0.2">
      <c r="A4587" t="s">
        <v>1299</v>
      </c>
      <c r="B4587" t="s">
        <v>1300</v>
      </c>
      <c r="C4587" t="s">
        <v>462</v>
      </c>
      <c r="D4587" t="e">
        <f>VLOOKUP(C4587,'lookup table'!$A$2:$B$19,2,FALSE)</f>
        <v>#N/A</v>
      </c>
      <c r="E4587" t="str">
        <f t="shared" si="71"/>
        <v/>
      </c>
    </row>
    <row r="4588" spans="1:5" x14ac:dyDescent="0.2">
      <c r="A4588" t="s">
        <v>1299</v>
      </c>
      <c r="B4588" t="s">
        <v>1300</v>
      </c>
      <c r="C4588" t="s">
        <v>463</v>
      </c>
      <c r="D4588" t="e">
        <f>VLOOKUP(C4588,'lookup table'!$A$2:$B$19,2,FALSE)</f>
        <v>#N/A</v>
      </c>
      <c r="E4588" t="str">
        <f t="shared" si="71"/>
        <v/>
      </c>
    </row>
    <row r="4589" spans="1:5" x14ac:dyDescent="0.2">
      <c r="A4589" t="s">
        <v>1299</v>
      </c>
      <c r="B4589" t="s">
        <v>1300</v>
      </c>
      <c r="C4589" t="s">
        <v>464</v>
      </c>
      <c r="D4589" t="e">
        <f>VLOOKUP(C4589,'lookup table'!$A$2:$B$19,2,FALSE)</f>
        <v>#N/A</v>
      </c>
      <c r="E4589" t="str">
        <f t="shared" si="71"/>
        <v/>
      </c>
    </row>
    <row r="4590" spans="1:5" x14ac:dyDescent="0.2">
      <c r="A4590" t="s">
        <v>1299</v>
      </c>
      <c r="B4590" t="s">
        <v>1300</v>
      </c>
      <c r="C4590" t="s">
        <v>465</v>
      </c>
      <c r="D4590" t="e">
        <f>VLOOKUP(C4590,'lookup table'!$A$2:$B$19,2,FALSE)</f>
        <v>#N/A</v>
      </c>
      <c r="E4590" t="str">
        <f t="shared" si="71"/>
        <v/>
      </c>
    </row>
    <row r="4591" spans="1:5" x14ac:dyDescent="0.2">
      <c r="A4591" t="s">
        <v>1301</v>
      </c>
      <c r="B4591" t="s">
        <v>1302</v>
      </c>
      <c r="C4591" t="s">
        <v>2</v>
      </c>
      <c r="D4591" t="e">
        <f>VLOOKUP(C4591,'lookup table'!$A$2:$B$19,2,FALSE)</f>
        <v>#N/A</v>
      </c>
      <c r="E4591" t="str">
        <f t="shared" si="71"/>
        <v/>
      </c>
    </row>
    <row r="4592" spans="1:5" x14ac:dyDescent="0.2">
      <c r="A4592" t="s">
        <v>1301</v>
      </c>
      <c r="B4592" t="s">
        <v>1302</v>
      </c>
      <c r="C4592" t="s">
        <v>5</v>
      </c>
      <c r="D4592" t="e">
        <f>VLOOKUP(C4592,'lookup table'!$A$2:$B$19,2,FALSE)</f>
        <v>#N/A</v>
      </c>
      <c r="E4592" t="str">
        <f t="shared" si="71"/>
        <v/>
      </c>
    </row>
    <row r="4593" spans="1:5" x14ac:dyDescent="0.2">
      <c r="A4593" t="s">
        <v>1301</v>
      </c>
      <c r="B4593" t="s">
        <v>1302</v>
      </c>
      <c r="C4593" t="s">
        <v>6</v>
      </c>
      <c r="D4593" t="e">
        <f>VLOOKUP(C4593,'lookup table'!$A$2:$B$19,2,FALSE)</f>
        <v>#N/A</v>
      </c>
      <c r="E4593" t="str">
        <f t="shared" si="71"/>
        <v/>
      </c>
    </row>
    <row r="4594" spans="1:5" x14ac:dyDescent="0.2">
      <c r="A4594" t="s">
        <v>1301</v>
      </c>
      <c r="B4594" t="s">
        <v>1302</v>
      </c>
      <c r="C4594" t="s">
        <v>9</v>
      </c>
      <c r="D4594" t="e">
        <f>VLOOKUP(C4594,'lookup table'!$A$2:$B$19,2,FALSE)</f>
        <v>#N/A</v>
      </c>
      <c r="E4594" t="str">
        <f t="shared" si="71"/>
        <v/>
      </c>
    </row>
    <row r="4595" spans="1:5" x14ac:dyDescent="0.2">
      <c r="A4595" t="s">
        <v>1301</v>
      </c>
      <c r="B4595" t="s">
        <v>1302</v>
      </c>
      <c r="C4595" t="s">
        <v>10</v>
      </c>
      <c r="D4595" t="e">
        <f>VLOOKUP(C4595,'lookup table'!$A$2:$B$19,2,FALSE)</f>
        <v>#N/A</v>
      </c>
      <c r="E4595" t="str">
        <f t="shared" si="71"/>
        <v/>
      </c>
    </row>
    <row r="4596" spans="1:5" x14ac:dyDescent="0.2">
      <c r="A4596" t="s">
        <v>1301</v>
      </c>
      <c r="B4596" t="s">
        <v>1302</v>
      </c>
      <c r="C4596" t="s">
        <v>11</v>
      </c>
      <c r="D4596" t="e">
        <f>VLOOKUP(C4596,'lookup table'!$A$2:$B$19,2,FALSE)</f>
        <v>#N/A</v>
      </c>
      <c r="E4596" t="str">
        <f t="shared" si="71"/>
        <v/>
      </c>
    </row>
    <row r="4597" spans="1:5" x14ac:dyDescent="0.2">
      <c r="A4597" t="s">
        <v>1301</v>
      </c>
      <c r="B4597" t="s">
        <v>1302</v>
      </c>
      <c r="C4597" t="s">
        <v>12</v>
      </c>
      <c r="D4597" t="e">
        <f>VLOOKUP(C4597,'lookup table'!$A$2:$B$19,2,FALSE)</f>
        <v>#N/A</v>
      </c>
      <c r="E4597" t="str">
        <f t="shared" si="71"/>
        <v/>
      </c>
    </row>
    <row r="4598" spans="1:5" x14ac:dyDescent="0.2">
      <c r="A4598" t="s">
        <v>1301</v>
      </c>
      <c r="B4598" t="s">
        <v>1302</v>
      </c>
      <c r="C4598" t="s">
        <v>14</v>
      </c>
      <c r="D4598" t="str">
        <f>VLOOKUP(C4598,'lookup table'!$A$2:$B$19,2,FALSE)</f>
        <v>ALC</v>
      </c>
      <c r="E4598" t="str">
        <f t="shared" si="71"/>
        <v>DR1PRU_00|ALC</v>
      </c>
    </row>
    <row r="4599" spans="1:5" x14ac:dyDescent="0.2">
      <c r="A4599" t="s">
        <v>1301</v>
      </c>
      <c r="B4599" t="s">
        <v>1302</v>
      </c>
      <c r="C4599" t="s">
        <v>20</v>
      </c>
      <c r="D4599" t="str">
        <f>VLOOKUP(C4599,'lookup table'!$A$2:$B$19,2,FALSE)</f>
        <v>AY</v>
      </c>
      <c r="E4599" t="str">
        <f t="shared" si="71"/>
        <v>DR1PRU_00|AY</v>
      </c>
    </row>
    <row r="4600" spans="1:5" x14ac:dyDescent="0.2">
      <c r="A4600" t="s">
        <v>1301</v>
      </c>
      <c r="B4600" t="s">
        <v>1302</v>
      </c>
      <c r="C4600" t="s">
        <v>324</v>
      </c>
      <c r="D4600" t="e">
        <f>VLOOKUP(C4600,'lookup table'!$A$2:$B$19,2,FALSE)</f>
        <v>#N/A</v>
      </c>
      <c r="E4600" t="str">
        <f t="shared" si="71"/>
        <v/>
      </c>
    </row>
    <row r="4601" spans="1:5" x14ac:dyDescent="0.2">
      <c r="A4601" t="s">
        <v>1301</v>
      </c>
      <c r="B4601" t="s">
        <v>1302</v>
      </c>
      <c r="C4601" t="s">
        <v>325</v>
      </c>
      <c r="D4601" t="e">
        <f>VLOOKUP(C4601,'lookup table'!$A$2:$B$19,2,FALSE)</f>
        <v>#N/A</v>
      </c>
      <c r="E4601" t="str">
        <f t="shared" si="71"/>
        <v/>
      </c>
    </row>
    <row r="4602" spans="1:5" x14ac:dyDescent="0.2">
      <c r="A4602" t="s">
        <v>1301</v>
      </c>
      <c r="B4602" t="s">
        <v>1302</v>
      </c>
      <c r="C4602" t="s">
        <v>326</v>
      </c>
      <c r="D4602" t="e">
        <f>VLOOKUP(C4602,'lookup table'!$A$2:$B$19,2,FALSE)</f>
        <v>#N/A</v>
      </c>
      <c r="E4602" t="str">
        <f t="shared" si="71"/>
        <v/>
      </c>
    </row>
    <row r="4603" spans="1:5" x14ac:dyDescent="0.2">
      <c r="A4603" t="s">
        <v>1301</v>
      </c>
      <c r="B4603" t="s">
        <v>1302</v>
      </c>
      <c r="C4603" t="s">
        <v>327</v>
      </c>
      <c r="D4603" t="e">
        <f>VLOOKUP(C4603,'lookup table'!$A$2:$B$19,2,FALSE)</f>
        <v>#N/A</v>
      </c>
      <c r="E4603" t="str">
        <f t="shared" si="71"/>
        <v/>
      </c>
    </row>
    <row r="4604" spans="1:5" x14ac:dyDescent="0.2">
      <c r="A4604" t="s">
        <v>1301</v>
      </c>
      <c r="B4604" t="s">
        <v>1302</v>
      </c>
      <c r="C4604" t="s">
        <v>328</v>
      </c>
      <c r="D4604" t="e">
        <f>VLOOKUP(C4604,'lookup table'!$A$2:$B$19,2,FALSE)</f>
        <v>#N/A</v>
      </c>
      <c r="E4604" t="str">
        <f t="shared" si="71"/>
        <v/>
      </c>
    </row>
    <row r="4605" spans="1:5" x14ac:dyDescent="0.2">
      <c r="A4605" t="s">
        <v>1301</v>
      </c>
      <c r="B4605" t="s">
        <v>1302</v>
      </c>
      <c r="C4605" t="s">
        <v>329</v>
      </c>
      <c r="D4605" t="e">
        <f>VLOOKUP(C4605,'lookup table'!$A$2:$B$19,2,FALSE)</f>
        <v>#N/A</v>
      </c>
      <c r="E4605" t="str">
        <f t="shared" si="71"/>
        <v/>
      </c>
    </row>
    <row r="4606" spans="1:5" x14ac:dyDescent="0.2">
      <c r="A4606" t="s">
        <v>1301</v>
      </c>
      <c r="B4606" t="s">
        <v>1302</v>
      </c>
      <c r="C4606" t="s">
        <v>331</v>
      </c>
      <c r="D4606" t="str">
        <f>VLOOKUP(C4606,'lookup table'!$A$2:$B$19,2,FALSE)</f>
        <v>FS Item</v>
      </c>
      <c r="E4606" t="str">
        <f t="shared" si="71"/>
        <v>DR1PRU_00|FS Item</v>
      </c>
    </row>
    <row r="4607" spans="1:5" x14ac:dyDescent="0.2">
      <c r="A4607" t="s">
        <v>1301</v>
      </c>
      <c r="B4607" t="s">
        <v>1302</v>
      </c>
      <c r="C4607" t="s">
        <v>422</v>
      </c>
      <c r="D4607" t="e">
        <f>VLOOKUP(C4607,'lookup table'!$A$2:$B$19,2,FALSE)</f>
        <v>#N/A</v>
      </c>
      <c r="E4607" t="str">
        <f t="shared" si="71"/>
        <v/>
      </c>
    </row>
    <row r="4608" spans="1:5" x14ac:dyDescent="0.2">
      <c r="A4608" t="s">
        <v>1301</v>
      </c>
      <c r="B4608" t="s">
        <v>1302</v>
      </c>
      <c r="C4608" t="s">
        <v>423</v>
      </c>
      <c r="D4608" t="str">
        <f>VLOOKUP(C4608,'lookup table'!$A$2:$B$19,2,FALSE)</f>
        <v>ignore</v>
      </c>
      <c r="E4608" t="str">
        <f t="shared" si="71"/>
        <v>DR1PRU_00|ignore</v>
      </c>
    </row>
    <row r="4609" spans="1:5" x14ac:dyDescent="0.2">
      <c r="A4609" t="s">
        <v>1301</v>
      </c>
      <c r="B4609" t="s">
        <v>1302</v>
      </c>
      <c r="C4609" t="s">
        <v>424</v>
      </c>
      <c r="D4609" t="str">
        <f>VLOOKUP(C4609,'lookup table'!$A$2:$B$19,2,FALSE)</f>
        <v>GRC</v>
      </c>
      <c r="E4609" t="str">
        <f t="shared" si="71"/>
        <v>DR1PRU_00|GRC</v>
      </c>
    </row>
    <row r="4610" spans="1:5" x14ac:dyDescent="0.2">
      <c r="A4610" t="s">
        <v>1301</v>
      </c>
      <c r="B4610" t="s">
        <v>1302</v>
      </c>
      <c r="C4610" t="s">
        <v>425</v>
      </c>
      <c r="D4610" t="str">
        <f>VLOOKUP(C4610,'lookup table'!$A$2:$B$19,2,FALSE)</f>
        <v>Investee Segment</v>
      </c>
      <c r="E4610" t="str">
        <f t="shared" si="71"/>
        <v>DR1PRU_00|Investee Segment</v>
      </c>
    </row>
    <row r="4611" spans="1:5" x14ac:dyDescent="0.2">
      <c r="A4611" t="s">
        <v>1301</v>
      </c>
      <c r="B4611" t="s">
        <v>1302</v>
      </c>
      <c r="C4611" t="s">
        <v>426</v>
      </c>
      <c r="D4611" t="str">
        <f>VLOOKUP(C4611,'lookup table'!$A$2:$B$19,2,FALSE)</f>
        <v>Investee Unit</v>
      </c>
      <c r="E4611" t="str">
        <f t="shared" ref="E4611:E4674" si="72">IF(ISNA(D4611),"",IF(A4611="","",A4611) &amp; "|" &amp; D4611)</f>
        <v>DR1PRU_00|Investee Unit</v>
      </c>
    </row>
    <row r="4612" spans="1:5" x14ac:dyDescent="0.2">
      <c r="A4612" t="s">
        <v>1301</v>
      </c>
      <c r="B4612" t="s">
        <v>1302</v>
      </c>
      <c r="C4612" t="s">
        <v>428</v>
      </c>
      <c r="D4612" t="str">
        <f>VLOOKUP(C4612,'lookup table'!$A$2:$B$19,2,FALSE)</f>
        <v>LoB</v>
      </c>
      <c r="E4612" t="str">
        <f t="shared" si="72"/>
        <v>DR1PRU_00|LoB</v>
      </c>
    </row>
    <row r="4613" spans="1:5" x14ac:dyDescent="0.2">
      <c r="A4613" t="s">
        <v>1301</v>
      </c>
      <c r="B4613" t="s">
        <v>1302</v>
      </c>
      <c r="C4613" t="s">
        <v>436</v>
      </c>
      <c r="D4613" t="str">
        <f>VLOOKUP(C4613,'lookup table'!$A$2:$B$19,2,FALSE)</f>
        <v>MAT</v>
      </c>
      <c r="E4613" t="str">
        <f t="shared" si="72"/>
        <v>DR1PRU_00|MAT</v>
      </c>
    </row>
    <row r="4614" spans="1:5" x14ac:dyDescent="0.2">
      <c r="A4614" t="s">
        <v>1301</v>
      </c>
      <c r="B4614" t="s">
        <v>1302</v>
      </c>
      <c r="C4614" t="s">
        <v>441</v>
      </c>
      <c r="D4614" t="str">
        <f>VLOOKUP(C4614,'lookup table'!$A$2:$B$19,2,FALSE)</f>
        <v>Partner Segment</v>
      </c>
      <c r="E4614" t="str">
        <f t="shared" si="72"/>
        <v>DR1PRU_00|Partner Segment</v>
      </c>
    </row>
    <row r="4615" spans="1:5" x14ac:dyDescent="0.2">
      <c r="A4615" t="s">
        <v>1301</v>
      </c>
      <c r="B4615" t="s">
        <v>1302</v>
      </c>
      <c r="C4615" t="s">
        <v>442</v>
      </c>
      <c r="D4615" t="str">
        <f>VLOOKUP(C4615,'lookup table'!$A$2:$B$19,2,FALSE)</f>
        <v>Partner Unit</v>
      </c>
      <c r="E4615" t="str">
        <f t="shared" si="72"/>
        <v>DR1PRU_00|Partner Unit</v>
      </c>
    </row>
    <row r="4616" spans="1:5" x14ac:dyDescent="0.2">
      <c r="A4616" t="s">
        <v>1301</v>
      </c>
      <c r="B4616" t="s">
        <v>1302</v>
      </c>
      <c r="C4616" t="s">
        <v>447</v>
      </c>
      <c r="D4616" t="str">
        <f>VLOOKUP(C4616,'lookup table'!$A$2:$B$19,2,FALSE)</f>
        <v>REX</v>
      </c>
      <c r="E4616" t="str">
        <f t="shared" si="72"/>
        <v>DR1PRU_00|REX</v>
      </c>
    </row>
    <row r="4617" spans="1:5" x14ac:dyDescent="0.2">
      <c r="A4617" t="s">
        <v>1301</v>
      </c>
      <c r="B4617" t="s">
        <v>1302</v>
      </c>
      <c r="C4617" t="s">
        <v>448</v>
      </c>
      <c r="D4617" t="e">
        <f>VLOOKUP(C4617,'lookup table'!$A$2:$B$19,2,FALSE)</f>
        <v>#N/A</v>
      </c>
      <c r="E4617" t="str">
        <f t="shared" si="72"/>
        <v/>
      </c>
    </row>
    <row r="4618" spans="1:5" x14ac:dyDescent="0.2">
      <c r="A4618" t="s">
        <v>1301</v>
      </c>
      <c r="B4618" t="s">
        <v>1302</v>
      </c>
      <c r="C4618" t="s">
        <v>449</v>
      </c>
      <c r="D4618" t="e">
        <f>VLOOKUP(C4618,'lookup table'!$A$2:$B$19,2,FALSE)</f>
        <v>#N/A</v>
      </c>
      <c r="E4618" t="str">
        <f t="shared" si="72"/>
        <v/>
      </c>
    </row>
    <row r="4619" spans="1:5" x14ac:dyDescent="0.2">
      <c r="A4619" t="s">
        <v>1301</v>
      </c>
      <c r="B4619" t="s">
        <v>1302</v>
      </c>
      <c r="C4619" t="s">
        <v>451</v>
      </c>
      <c r="D4619" t="str">
        <f>VLOOKUP(C4619,'lookup table'!$A$2:$B$19,2,FALSE)</f>
        <v>Segment</v>
      </c>
      <c r="E4619" t="str">
        <f t="shared" si="72"/>
        <v>DR1PRU_00|Segment</v>
      </c>
    </row>
    <row r="4620" spans="1:5" x14ac:dyDescent="0.2">
      <c r="A4620" t="s">
        <v>1301</v>
      </c>
      <c r="B4620" t="s">
        <v>1302</v>
      </c>
      <c r="C4620" t="s">
        <v>455</v>
      </c>
      <c r="D4620" t="e">
        <f>VLOOKUP(C4620,'lookup table'!$A$2:$B$19,2,FALSE)</f>
        <v>#N/A</v>
      </c>
      <c r="E4620" t="str">
        <f t="shared" si="72"/>
        <v/>
      </c>
    </row>
    <row r="4621" spans="1:5" x14ac:dyDescent="0.2">
      <c r="A4621" t="s">
        <v>1301</v>
      </c>
      <c r="B4621" t="s">
        <v>1302</v>
      </c>
      <c r="C4621" t="s">
        <v>456</v>
      </c>
      <c r="D4621" t="e">
        <f>VLOOKUP(C4621,'lookup table'!$A$2:$B$19,2,FALSE)</f>
        <v>#N/A</v>
      </c>
      <c r="E4621" t="str">
        <f t="shared" si="72"/>
        <v/>
      </c>
    </row>
    <row r="4622" spans="1:5" x14ac:dyDescent="0.2">
      <c r="A4622" t="s">
        <v>1301</v>
      </c>
      <c r="B4622" t="s">
        <v>1302</v>
      </c>
      <c r="C4622" t="s">
        <v>457</v>
      </c>
      <c r="D4622" t="str">
        <f>VLOOKUP(C4622,'lookup table'!$A$2:$B$19,2,FALSE)</f>
        <v>VLT</v>
      </c>
      <c r="E4622" t="str">
        <f t="shared" si="72"/>
        <v>DR1PRU_00|VLT</v>
      </c>
    </row>
    <row r="4623" spans="1:5" x14ac:dyDescent="0.2">
      <c r="A4623" t="s">
        <v>1301</v>
      </c>
      <c r="B4623" t="s">
        <v>1302</v>
      </c>
      <c r="C4623" t="s">
        <v>458</v>
      </c>
      <c r="D4623" t="str">
        <f>VLOOKUP(C4623,'lookup table'!$A$2:$B$19,2,FALSE)</f>
        <v>VAR</v>
      </c>
      <c r="E4623" t="str">
        <f t="shared" si="72"/>
        <v>DR1PRU_00|VAR</v>
      </c>
    </row>
    <row r="4624" spans="1:5" x14ac:dyDescent="0.2">
      <c r="A4624" t="s">
        <v>1301</v>
      </c>
      <c r="B4624" t="s">
        <v>1302</v>
      </c>
      <c r="C4624" t="s">
        <v>459</v>
      </c>
      <c r="D4624" t="e">
        <f>VLOOKUP(C4624,'lookup table'!$A$2:$B$19,2,FALSE)</f>
        <v>#N/A</v>
      </c>
      <c r="E4624" t="str">
        <f t="shared" si="72"/>
        <v/>
      </c>
    </row>
    <row r="4625" spans="1:5" x14ac:dyDescent="0.2">
      <c r="A4625" t="s">
        <v>1301</v>
      </c>
      <c r="B4625" t="s">
        <v>1302</v>
      </c>
      <c r="C4625" t="s">
        <v>460</v>
      </c>
      <c r="D4625" t="e">
        <f>VLOOKUP(C4625,'lookup table'!$A$2:$B$19,2,FALSE)</f>
        <v>#N/A</v>
      </c>
      <c r="E4625" t="str">
        <f t="shared" si="72"/>
        <v/>
      </c>
    </row>
    <row r="4626" spans="1:5" x14ac:dyDescent="0.2">
      <c r="A4626" t="s">
        <v>1301</v>
      </c>
      <c r="B4626" t="s">
        <v>1302</v>
      </c>
      <c r="C4626" t="s">
        <v>461</v>
      </c>
      <c r="D4626" t="str">
        <f>VLOOKUP(C4626,'lookup table'!$A$2:$B$19,2,FALSE)</f>
        <v>Posting Level</v>
      </c>
      <c r="E4626" t="str">
        <f t="shared" si="72"/>
        <v>DR1PRU_00|Posting Level</v>
      </c>
    </row>
    <row r="4627" spans="1:5" x14ac:dyDescent="0.2">
      <c r="A4627" t="s">
        <v>1301</v>
      </c>
      <c r="B4627" t="s">
        <v>1302</v>
      </c>
      <c r="C4627" t="s">
        <v>462</v>
      </c>
      <c r="D4627" t="e">
        <f>VLOOKUP(C4627,'lookup table'!$A$2:$B$19,2,FALSE)</f>
        <v>#N/A</v>
      </c>
      <c r="E4627" t="str">
        <f t="shared" si="72"/>
        <v/>
      </c>
    </row>
    <row r="4628" spans="1:5" x14ac:dyDescent="0.2">
      <c r="A4628" t="s">
        <v>1301</v>
      </c>
      <c r="B4628" t="s">
        <v>1302</v>
      </c>
      <c r="C4628" t="s">
        <v>463</v>
      </c>
      <c r="D4628" t="e">
        <f>VLOOKUP(C4628,'lookup table'!$A$2:$B$19,2,FALSE)</f>
        <v>#N/A</v>
      </c>
      <c r="E4628" t="str">
        <f t="shared" si="72"/>
        <v/>
      </c>
    </row>
    <row r="4629" spans="1:5" x14ac:dyDescent="0.2">
      <c r="A4629" t="s">
        <v>1301</v>
      </c>
      <c r="B4629" t="s">
        <v>1302</v>
      </c>
      <c r="C4629" t="s">
        <v>464</v>
      </c>
      <c r="D4629" t="e">
        <f>VLOOKUP(C4629,'lookup table'!$A$2:$B$19,2,FALSE)</f>
        <v>#N/A</v>
      </c>
      <c r="E4629" t="str">
        <f t="shared" si="72"/>
        <v/>
      </c>
    </row>
    <row r="4630" spans="1:5" x14ac:dyDescent="0.2">
      <c r="A4630" t="s">
        <v>1301</v>
      </c>
      <c r="B4630" t="s">
        <v>1302</v>
      </c>
      <c r="C4630" t="s">
        <v>465</v>
      </c>
      <c r="D4630" t="e">
        <f>VLOOKUP(C4630,'lookup table'!$A$2:$B$19,2,FALSE)</f>
        <v>#N/A</v>
      </c>
      <c r="E4630" t="str">
        <f t="shared" si="72"/>
        <v/>
      </c>
    </row>
    <row r="4631" spans="1:5" x14ac:dyDescent="0.2">
      <c r="A4631" t="s">
        <v>1303</v>
      </c>
      <c r="B4631" t="s">
        <v>1304</v>
      </c>
      <c r="C4631" t="s">
        <v>2</v>
      </c>
      <c r="D4631" t="e">
        <f>VLOOKUP(C4631,'lookup table'!$A$2:$B$19,2,FALSE)</f>
        <v>#N/A</v>
      </c>
      <c r="E4631" t="str">
        <f t="shared" si="72"/>
        <v/>
      </c>
    </row>
    <row r="4632" spans="1:5" x14ac:dyDescent="0.2">
      <c r="A4632" t="s">
        <v>1303</v>
      </c>
      <c r="B4632" t="s">
        <v>1304</v>
      </c>
      <c r="C4632" t="s">
        <v>5</v>
      </c>
      <c r="D4632" t="e">
        <f>VLOOKUP(C4632,'lookup table'!$A$2:$B$19,2,FALSE)</f>
        <v>#N/A</v>
      </c>
      <c r="E4632" t="str">
        <f t="shared" si="72"/>
        <v/>
      </c>
    </row>
    <row r="4633" spans="1:5" x14ac:dyDescent="0.2">
      <c r="A4633" t="s">
        <v>1303</v>
      </c>
      <c r="B4633" t="s">
        <v>1304</v>
      </c>
      <c r="C4633" t="s">
        <v>6</v>
      </c>
      <c r="D4633" t="e">
        <f>VLOOKUP(C4633,'lookup table'!$A$2:$B$19,2,FALSE)</f>
        <v>#N/A</v>
      </c>
      <c r="E4633" t="str">
        <f t="shared" si="72"/>
        <v/>
      </c>
    </row>
    <row r="4634" spans="1:5" x14ac:dyDescent="0.2">
      <c r="A4634" t="s">
        <v>1303</v>
      </c>
      <c r="B4634" t="s">
        <v>1304</v>
      </c>
      <c r="C4634" t="s">
        <v>9</v>
      </c>
      <c r="D4634" t="e">
        <f>VLOOKUP(C4634,'lookup table'!$A$2:$B$19,2,FALSE)</f>
        <v>#N/A</v>
      </c>
      <c r="E4634" t="str">
        <f t="shared" si="72"/>
        <v/>
      </c>
    </row>
    <row r="4635" spans="1:5" x14ac:dyDescent="0.2">
      <c r="A4635" t="s">
        <v>1303</v>
      </c>
      <c r="B4635" t="s">
        <v>1304</v>
      </c>
      <c r="C4635" t="s">
        <v>10</v>
      </c>
      <c r="D4635" t="e">
        <f>VLOOKUP(C4635,'lookup table'!$A$2:$B$19,2,FALSE)</f>
        <v>#N/A</v>
      </c>
      <c r="E4635" t="str">
        <f t="shared" si="72"/>
        <v/>
      </c>
    </row>
    <row r="4636" spans="1:5" x14ac:dyDescent="0.2">
      <c r="A4636" t="s">
        <v>1303</v>
      </c>
      <c r="B4636" t="s">
        <v>1304</v>
      </c>
      <c r="C4636" t="s">
        <v>11</v>
      </c>
      <c r="D4636" t="e">
        <f>VLOOKUP(C4636,'lookup table'!$A$2:$B$19,2,FALSE)</f>
        <v>#N/A</v>
      </c>
      <c r="E4636" t="str">
        <f t="shared" si="72"/>
        <v/>
      </c>
    </row>
    <row r="4637" spans="1:5" x14ac:dyDescent="0.2">
      <c r="A4637" t="s">
        <v>1303</v>
      </c>
      <c r="B4637" t="s">
        <v>1304</v>
      </c>
      <c r="C4637" t="s">
        <v>12</v>
      </c>
      <c r="D4637" t="e">
        <f>VLOOKUP(C4637,'lookup table'!$A$2:$B$19,2,FALSE)</f>
        <v>#N/A</v>
      </c>
      <c r="E4637" t="str">
        <f t="shared" si="72"/>
        <v/>
      </c>
    </row>
    <row r="4638" spans="1:5" x14ac:dyDescent="0.2">
      <c r="A4638" t="s">
        <v>1303</v>
      </c>
      <c r="B4638" t="s">
        <v>1304</v>
      </c>
      <c r="C4638" t="s">
        <v>14</v>
      </c>
      <c r="D4638" t="str">
        <f>VLOOKUP(C4638,'lookup table'!$A$2:$B$19,2,FALSE)</f>
        <v>ALC</v>
      </c>
      <c r="E4638" t="str">
        <f t="shared" si="72"/>
        <v>DR1PSE_00|ALC</v>
      </c>
    </row>
    <row r="4639" spans="1:5" x14ac:dyDescent="0.2">
      <c r="A4639" t="s">
        <v>1303</v>
      </c>
      <c r="B4639" t="s">
        <v>1304</v>
      </c>
      <c r="C4639" t="s">
        <v>20</v>
      </c>
      <c r="D4639" t="str">
        <f>VLOOKUP(C4639,'lookup table'!$A$2:$B$19,2,FALSE)</f>
        <v>AY</v>
      </c>
      <c r="E4639" t="str">
        <f t="shared" si="72"/>
        <v>DR1PSE_00|AY</v>
      </c>
    </row>
    <row r="4640" spans="1:5" x14ac:dyDescent="0.2">
      <c r="A4640" t="s">
        <v>1303</v>
      </c>
      <c r="B4640" t="s">
        <v>1304</v>
      </c>
      <c r="C4640" t="s">
        <v>324</v>
      </c>
      <c r="D4640" t="e">
        <f>VLOOKUP(C4640,'lookup table'!$A$2:$B$19,2,FALSE)</f>
        <v>#N/A</v>
      </c>
      <c r="E4640" t="str">
        <f t="shared" si="72"/>
        <v/>
      </c>
    </row>
    <row r="4641" spans="1:5" x14ac:dyDescent="0.2">
      <c r="A4641" t="s">
        <v>1303</v>
      </c>
      <c r="B4641" t="s">
        <v>1304</v>
      </c>
      <c r="C4641" t="s">
        <v>325</v>
      </c>
      <c r="D4641" t="e">
        <f>VLOOKUP(C4641,'lookup table'!$A$2:$B$19,2,FALSE)</f>
        <v>#N/A</v>
      </c>
      <c r="E4641" t="str">
        <f t="shared" si="72"/>
        <v/>
      </c>
    </row>
    <row r="4642" spans="1:5" x14ac:dyDescent="0.2">
      <c r="A4642" t="s">
        <v>1303</v>
      </c>
      <c r="B4642" t="s">
        <v>1304</v>
      </c>
      <c r="C4642" t="s">
        <v>326</v>
      </c>
      <c r="D4642" t="e">
        <f>VLOOKUP(C4642,'lookup table'!$A$2:$B$19,2,FALSE)</f>
        <v>#N/A</v>
      </c>
      <c r="E4642" t="str">
        <f t="shared" si="72"/>
        <v/>
      </c>
    </row>
    <row r="4643" spans="1:5" x14ac:dyDescent="0.2">
      <c r="A4643" t="s">
        <v>1303</v>
      </c>
      <c r="B4643" t="s">
        <v>1304</v>
      </c>
      <c r="C4643" t="s">
        <v>327</v>
      </c>
      <c r="D4643" t="e">
        <f>VLOOKUP(C4643,'lookup table'!$A$2:$B$19,2,FALSE)</f>
        <v>#N/A</v>
      </c>
      <c r="E4643" t="str">
        <f t="shared" si="72"/>
        <v/>
      </c>
    </row>
    <row r="4644" spans="1:5" x14ac:dyDescent="0.2">
      <c r="A4644" t="s">
        <v>1303</v>
      </c>
      <c r="B4644" t="s">
        <v>1304</v>
      </c>
      <c r="C4644" t="s">
        <v>328</v>
      </c>
      <c r="D4644" t="e">
        <f>VLOOKUP(C4644,'lookup table'!$A$2:$B$19,2,FALSE)</f>
        <v>#N/A</v>
      </c>
      <c r="E4644" t="str">
        <f t="shared" si="72"/>
        <v/>
      </c>
    </row>
    <row r="4645" spans="1:5" x14ac:dyDescent="0.2">
      <c r="A4645" t="s">
        <v>1303</v>
      </c>
      <c r="B4645" t="s">
        <v>1304</v>
      </c>
      <c r="C4645" t="s">
        <v>329</v>
      </c>
      <c r="D4645" t="e">
        <f>VLOOKUP(C4645,'lookup table'!$A$2:$B$19,2,FALSE)</f>
        <v>#N/A</v>
      </c>
      <c r="E4645" t="str">
        <f t="shared" si="72"/>
        <v/>
      </c>
    </row>
    <row r="4646" spans="1:5" x14ac:dyDescent="0.2">
      <c r="A4646" t="s">
        <v>1303</v>
      </c>
      <c r="B4646" t="s">
        <v>1304</v>
      </c>
      <c r="C4646" t="s">
        <v>331</v>
      </c>
      <c r="D4646" t="str">
        <f>VLOOKUP(C4646,'lookup table'!$A$2:$B$19,2,FALSE)</f>
        <v>FS Item</v>
      </c>
      <c r="E4646" t="str">
        <f t="shared" si="72"/>
        <v>DR1PSE_00|FS Item</v>
      </c>
    </row>
    <row r="4647" spans="1:5" x14ac:dyDescent="0.2">
      <c r="A4647" t="s">
        <v>1303</v>
      </c>
      <c r="B4647" t="s">
        <v>1304</v>
      </c>
      <c r="C4647" t="s">
        <v>422</v>
      </c>
      <c r="D4647" t="e">
        <f>VLOOKUP(C4647,'lookup table'!$A$2:$B$19,2,FALSE)</f>
        <v>#N/A</v>
      </c>
      <c r="E4647" t="str">
        <f t="shared" si="72"/>
        <v/>
      </c>
    </row>
    <row r="4648" spans="1:5" x14ac:dyDescent="0.2">
      <c r="A4648" t="s">
        <v>1303</v>
      </c>
      <c r="B4648" t="s">
        <v>1304</v>
      </c>
      <c r="C4648" t="s">
        <v>423</v>
      </c>
      <c r="D4648" t="str">
        <f>VLOOKUP(C4648,'lookup table'!$A$2:$B$19,2,FALSE)</f>
        <v>ignore</v>
      </c>
      <c r="E4648" t="str">
        <f t="shared" si="72"/>
        <v>DR1PSE_00|ignore</v>
      </c>
    </row>
    <row r="4649" spans="1:5" x14ac:dyDescent="0.2">
      <c r="A4649" t="s">
        <v>1303</v>
      </c>
      <c r="B4649" t="s">
        <v>1304</v>
      </c>
      <c r="C4649" t="s">
        <v>424</v>
      </c>
      <c r="D4649" t="str">
        <f>VLOOKUP(C4649,'lookup table'!$A$2:$B$19,2,FALSE)</f>
        <v>GRC</v>
      </c>
      <c r="E4649" t="str">
        <f t="shared" si="72"/>
        <v>DR1PSE_00|GRC</v>
      </c>
    </row>
    <row r="4650" spans="1:5" x14ac:dyDescent="0.2">
      <c r="A4650" t="s">
        <v>1303</v>
      </c>
      <c r="B4650" t="s">
        <v>1304</v>
      </c>
      <c r="C4650" t="s">
        <v>425</v>
      </c>
      <c r="D4650" t="str">
        <f>VLOOKUP(C4650,'lookup table'!$A$2:$B$19,2,FALSE)</f>
        <v>Investee Segment</v>
      </c>
      <c r="E4650" t="str">
        <f t="shared" si="72"/>
        <v>DR1PSE_00|Investee Segment</v>
      </c>
    </row>
    <row r="4651" spans="1:5" x14ac:dyDescent="0.2">
      <c r="A4651" t="s">
        <v>1303</v>
      </c>
      <c r="B4651" t="s">
        <v>1304</v>
      </c>
      <c r="C4651" t="s">
        <v>426</v>
      </c>
      <c r="D4651" t="str">
        <f>VLOOKUP(C4651,'lookup table'!$A$2:$B$19,2,FALSE)</f>
        <v>Investee Unit</v>
      </c>
      <c r="E4651" t="str">
        <f t="shared" si="72"/>
        <v>DR1PSE_00|Investee Unit</v>
      </c>
    </row>
    <row r="4652" spans="1:5" x14ac:dyDescent="0.2">
      <c r="A4652" t="s">
        <v>1303</v>
      </c>
      <c r="B4652" t="s">
        <v>1304</v>
      </c>
      <c r="C4652" t="s">
        <v>428</v>
      </c>
      <c r="D4652" t="str">
        <f>VLOOKUP(C4652,'lookup table'!$A$2:$B$19,2,FALSE)</f>
        <v>LoB</v>
      </c>
      <c r="E4652" t="str">
        <f t="shared" si="72"/>
        <v>DR1PSE_00|LoB</v>
      </c>
    </row>
    <row r="4653" spans="1:5" x14ac:dyDescent="0.2">
      <c r="A4653" t="s">
        <v>1303</v>
      </c>
      <c r="B4653" t="s">
        <v>1304</v>
      </c>
      <c r="C4653" t="s">
        <v>436</v>
      </c>
      <c r="D4653" t="str">
        <f>VLOOKUP(C4653,'lookup table'!$A$2:$B$19,2,FALSE)</f>
        <v>MAT</v>
      </c>
      <c r="E4653" t="str">
        <f t="shared" si="72"/>
        <v>DR1PSE_00|MAT</v>
      </c>
    </row>
    <row r="4654" spans="1:5" x14ac:dyDescent="0.2">
      <c r="A4654" t="s">
        <v>1303</v>
      </c>
      <c r="B4654" t="s">
        <v>1304</v>
      </c>
      <c r="C4654" t="s">
        <v>441</v>
      </c>
      <c r="D4654" t="str">
        <f>VLOOKUP(C4654,'lookup table'!$A$2:$B$19,2,FALSE)</f>
        <v>Partner Segment</v>
      </c>
      <c r="E4654" t="str">
        <f t="shared" si="72"/>
        <v>DR1PSE_00|Partner Segment</v>
      </c>
    </row>
    <row r="4655" spans="1:5" x14ac:dyDescent="0.2">
      <c r="A4655" t="s">
        <v>1303</v>
      </c>
      <c r="B4655" t="s">
        <v>1304</v>
      </c>
      <c r="C4655" t="s">
        <v>442</v>
      </c>
      <c r="D4655" t="str">
        <f>VLOOKUP(C4655,'lookup table'!$A$2:$B$19,2,FALSE)</f>
        <v>Partner Unit</v>
      </c>
      <c r="E4655" t="str">
        <f t="shared" si="72"/>
        <v>DR1PSE_00|Partner Unit</v>
      </c>
    </row>
    <row r="4656" spans="1:5" x14ac:dyDescent="0.2">
      <c r="A4656" t="s">
        <v>1303</v>
      </c>
      <c r="B4656" t="s">
        <v>1304</v>
      </c>
      <c r="C4656" t="s">
        <v>447</v>
      </c>
      <c r="D4656" t="str">
        <f>VLOOKUP(C4656,'lookup table'!$A$2:$B$19,2,FALSE)</f>
        <v>REX</v>
      </c>
      <c r="E4656" t="str">
        <f t="shared" si="72"/>
        <v>DR1PSE_00|REX</v>
      </c>
    </row>
    <row r="4657" spans="1:5" x14ac:dyDescent="0.2">
      <c r="A4657" t="s">
        <v>1303</v>
      </c>
      <c r="B4657" t="s">
        <v>1304</v>
      </c>
      <c r="C4657" t="s">
        <v>448</v>
      </c>
      <c r="D4657" t="e">
        <f>VLOOKUP(C4657,'lookup table'!$A$2:$B$19,2,FALSE)</f>
        <v>#N/A</v>
      </c>
      <c r="E4657" t="str">
        <f t="shared" si="72"/>
        <v/>
      </c>
    </row>
    <row r="4658" spans="1:5" x14ac:dyDescent="0.2">
      <c r="A4658" t="s">
        <v>1303</v>
      </c>
      <c r="B4658" t="s">
        <v>1304</v>
      </c>
      <c r="C4658" t="s">
        <v>449</v>
      </c>
      <c r="D4658" t="e">
        <f>VLOOKUP(C4658,'lookup table'!$A$2:$B$19,2,FALSE)</f>
        <v>#N/A</v>
      </c>
      <c r="E4658" t="str">
        <f t="shared" si="72"/>
        <v/>
      </c>
    </row>
    <row r="4659" spans="1:5" x14ac:dyDescent="0.2">
      <c r="A4659" t="s">
        <v>1303</v>
      </c>
      <c r="B4659" t="s">
        <v>1304</v>
      </c>
      <c r="C4659" t="s">
        <v>451</v>
      </c>
      <c r="D4659" t="str">
        <f>VLOOKUP(C4659,'lookup table'!$A$2:$B$19,2,FALSE)</f>
        <v>Segment</v>
      </c>
      <c r="E4659" t="str">
        <f t="shared" si="72"/>
        <v>DR1PSE_00|Segment</v>
      </c>
    </row>
    <row r="4660" spans="1:5" x14ac:dyDescent="0.2">
      <c r="A4660" t="s">
        <v>1303</v>
      </c>
      <c r="B4660" t="s">
        <v>1304</v>
      </c>
      <c r="C4660" t="s">
        <v>455</v>
      </c>
      <c r="D4660" t="e">
        <f>VLOOKUP(C4660,'lookup table'!$A$2:$B$19,2,FALSE)</f>
        <v>#N/A</v>
      </c>
      <c r="E4660" t="str">
        <f t="shared" si="72"/>
        <v/>
      </c>
    </row>
    <row r="4661" spans="1:5" x14ac:dyDescent="0.2">
      <c r="A4661" t="s">
        <v>1303</v>
      </c>
      <c r="B4661" t="s">
        <v>1304</v>
      </c>
      <c r="C4661" t="s">
        <v>456</v>
      </c>
      <c r="D4661" t="e">
        <f>VLOOKUP(C4661,'lookup table'!$A$2:$B$19,2,FALSE)</f>
        <v>#N/A</v>
      </c>
      <c r="E4661" t="str">
        <f t="shared" si="72"/>
        <v/>
      </c>
    </row>
    <row r="4662" spans="1:5" x14ac:dyDescent="0.2">
      <c r="A4662" t="s">
        <v>1303</v>
      </c>
      <c r="B4662" t="s">
        <v>1304</v>
      </c>
      <c r="C4662" t="s">
        <v>457</v>
      </c>
      <c r="D4662" t="str">
        <f>VLOOKUP(C4662,'lookup table'!$A$2:$B$19,2,FALSE)</f>
        <v>VLT</v>
      </c>
      <c r="E4662" t="str">
        <f t="shared" si="72"/>
        <v>DR1PSE_00|VLT</v>
      </c>
    </row>
    <row r="4663" spans="1:5" x14ac:dyDescent="0.2">
      <c r="A4663" t="s">
        <v>1303</v>
      </c>
      <c r="B4663" t="s">
        <v>1304</v>
      </c>
      <c r="C4663" t="s">
        <v>458</v>
      </c>
      <c r="D4663" t="str">
        <f>VLOOKUP(C4663,'lookup table'!$A$2:$B$19,2,FALSE)</f>
        <v>VAR</v>
      </c>
      <c r="E4663" t="str">
        <f t="shared" si="72"/>
        <v>DR1PSE_00|VAR</v>
      </c>
    </row>
    <row r="4664" spans="1:5" x14ac:dyDescent="0.2">
      <c r="A4664" t="s">
        <v>1303</v>
      </c>
      <c r="B4664" t="s">
        <v>1304</v>
      </c>
      <c r="C4664" t="s">
        <v>459</v>
      </c>
      <c r="D4664" t="e">
        <f>VLOOKUP(C4664,'lookup table'!$A$2:$B$19,2,FALSE)</f>
        <v>#N/A</v>
      </c>
      <c r="E4664" t="str">
        <f t="shared" si="72"/>
        <v/>
      </c>
    </row>
    <row r="4665" spans="1:5" x14ac:dyDescent="0.2">
      <c r="A4665" t="s">
        <v>1303</v>
      </c>
      <c r="B4665" t="s">
        <v>1304</v>
      </c>
      <c r="C4665" t="s">
        <v>460</v>
      </c>
      <c r="D4665" t="e">
        <f>VLOOKUP(C4665,'lookup table'!$A$2:$B$19,2,FALSE)</f>
        <v>#N/A</v>
      </c>
      <c r="E4665" t="str">
        <f t="shared" si="72"/>
        <v/>
      </c>
    </row>
    <row r="4666" spans="1:5" x14ac:dyDescent="0.2">
      <c r="A4666" t="s">
        <v>1303</v>
      </c>
      <c r="B4666" t="s">
        <v>1304</v>
      </c>
      <c r="C4666" t="s">
        <v>461</v>
      </c>
      <c r="D4666" t="str">
        <f>VLOOKUP(C4666,'lookup table'!$A$2:$B$19,2,FALSE)</f>
        <v>Posting Level</v>
      </c>
      <c r="E4666" t="str">
        <f t="shared" si="72"/>
        <v>DR1PSE_00|Posting Level</v>
      </c>
    </row>
    <row r="4667" spans="1:5" x14ac:dyDescent="0.2">
      <c r="A4667" t="s">
        <v>1303</v>
      </c>
      <c r="B4667" t="s">
        <v>1304</v>
      </c>
      <c r="C4667" t="s">
        <v>462</v>
      </c>
      <c r="D4667" t="e">
        <f>VLOOKUP(C4667,'lookup table'!$A$2:$B$19,2,FALSE)</f>
        <v>#N/A</v>
      </c>
      <c r="E4667" t="str">
        <f t="shared" si="72"/>
        <v/>
      </c>
    </row>
    <row r="4668" spans="1:5" x14ac:dyDescent="0.2">
      <c r="A4668" t="s">
        <v>1303</v>
      </c>
      <c r="B4668" t="s">
        <v>1304</v>
      </c>
      <c r="C4668" t="s">
        <v>463</v>
      </c>
      <c r="D4668" t="e">
        <f>VLOOKUP(C4668,'lookup table'!$A$2:$B$19,2,FALSE)</f>
        <v>#N/A</v>
      </c>
      <c r="E4668" t="str">
        <f t="shared" si="72"/>
        <v/>
      </c>
    </row>
    <row r="4669" spans="1:5" x14ac:dyDescent="0.2">
      <c r="A4669" t="s">
        <v>1303</v>
      </c>
      <c r="B4669" t="s">
        <v>1304</v>
      </c>
      <c r="C4669" t="s">
        <v>464</v>
      </c>
      <c r="D4669" t="e">
        <f>VLOOKUP(C4669,'lookup table'!$A$2:$B$19,2,FALSE)</f>
        <v>#N/A</v>
      </c>
      <c r="E4669" t="str">
        <f t="shared" si="72"/>
        <v/>
      </c>
    </row>
    <row r="4670" spans="1:5" x14ac:dyDescent="0.2">
      <c r="A4670" t="s">
        <v>1303</v>
      </c>
      <c r="B4670" t="s">
        <v>1304</v>
      </c>
      <c r="C4670" t="s">
        <v>465</v>
      </c>
      <c r="D4670" t="e">
        <f>VLOOKUP(C4670,'lookup table'!$A$2:$B$19,2,FALSE)</f>
        <v>#N/A</v>
      </c>
      <c r="E4670" t="str">
        <f t="shared" si="72"/>
        <v/>
      </c>
    </row>
    <row r="4671" spans="1:5" x14ac:dyDescent="0.2">
      <c r="A4671" t="s">
        <v>1305</v>
      </c>
      <c r="B4671" t="s">
        <v>1306</v>
      </c>
      <c r="C4671" t="s">
        <v>2</v>
      </c>
      <c r="D4671" t="e">
        <f>VLOOKUP(C4671,'lookup table'!$A$2:$B$19,2,FALSE)</f>
        <v>#N/A</v>
      </c>
      <c r="E4671" t="str">
        <f t="shared" si="72"/>
        <v/>
      </c>
    </row>
    <row r="4672" spans="1:5" x14ac:dyDescent="0.2">
      <c r="A4672" t="s">
        <v>1305</v>
      </c>
      <c r="B4672" t="s">
        <v>1306</v>
      </c>
      <c r="C4672" t="s">
        <v>5</v>
      </c>
      <c r="D4672" t="e">
        <f>VLOOKUP(C4672,'lookup table'!$A$2:$B$19,2,FALSE)</f>
        <v>#N/A</v>
      </c>
      <c r="E4672" t="str">
        <f t="shared" si="72"/>
        <v/>
      </c>
    </row>
    <row r="4673" spans="1:5" x14ac:dyDescent="0.2">
      <c r="A4673" t="s">
        <v>1305</v>
      </c>
      <c r="B4673" t="s">
        <v>1306</v>
      </c>
      <c r="C4673" t="s">
        <v>6</v>
      </c>
      <c r="D4673" t="e">
        <f>VLOOKUP(C4673,'lookup table'!$A$2:$B$19,2,FALSE)</f>
        <v>#N/A</v>
      </c>
      <c r="E4673" t="str">
        <f t="shared" si="72"/>
        <v/>
      </c>
    </row>
    <row r="4674" spans="1:5" x14ac:dyDescent="0.2">
      <c r="A4674" t="s">
        <v>1305</v>
      </c>
      <c r="B4674" t="s">
        <v>1306</v>
      </c>
      <c r="C4674" t="s">
        <v>9</v>
      </c>
      <c r="D4674" t="e">
        <f>VLOOKUP(C4674,'lookup table'!$A$2:$B$19,2,FALSE)</f>
        <v>#N/A</v>
      </c>
      <c r="E4674" t="str">
        <f t="shared" si="72"/>
        <v/>
      </c>
    </row>
    <row r="4675" spans="1:5" x14ac:dyDescent="0.2">
      <c r="A4675" t="s">
        <v>1305</v>
      </c>
      <c r="B4675" t="s">
        <v>1306</v>
      </c>
      <c r="C4675" t="s">
        <v>10</v>
      </c>
      <c r="D4675" t="e">
        <f>VLOOKUP(C4675,'lookup table'!$A$2:$B$19,2,FALSE)</f>
        <v>#N/A</v>
      </c>
      <c r="E4675" t="str">
        <f t="shared" ref="E4675:E4738" si="73">IF(ISNA(D4675),"",IF(A4675="","",A4675) &amp; "|" &amp; D4675)</f>
        <v/>
      </c>
    </row>
    <row r="4676" spans="1:5" x14ac:dyDescent="0.2">
      <c r="A4676" t="s">
        <v>1305</v>
      </c>
      <c r="B4676" t="s">
        <v>1306</v>
      </c>
      <c r="C4676" t="s">
        <v>11</v>
      </c>
      <c r="D4676" t="e">
        <f>VLOOKUP(C4676,'lookup table'!$A$2:$B$19,2,FALSE)</f>
        <v>#N/A</v>
      </c>
      <c r="E4676" t="str">
        <f t="shared" si="73"/>
        <v/>
      </c>
    </row>
    <row r="4677" spans="1:5" x14ac:dyDescent="0.2">
      <c r="A4677" t="s">
        <v>1305</v>
      </c>
      <c r="B4677" t="s">
        <v>1306</v>
      </c>
      <c r="C4677" t="s">
        <v>12</v>
      </c>
      <c r="D4677" t="e">
        <f>VLOOKUP(C4677,'lookup table'!$A$2:$B$19,2,FALSE)</f>
        <v>#N/A</v>
      </c>
      <c r="E4677" t="str">
        <f t="shared" si="73"/>
        <v/>
      </c>
    </row>
    <row r="4678" spans="1:5" x14ac:dyDescent="0.2">
      <c r="A4678" t="s">
        <v>1305</v>
      </c>
      <c r="B4678" t="s">
        <v>1306</v>
      </c>
      <c r="C4678" t="s">
        <v>14</v>
      </c>
      <c r="D4678" t="str">
        <f>VLOOKUP(C4678,'lookup table'!$A$2:$B$19,2,FALSE)</f>
        <v>ALC</v>
      </c>
      <c r="E4678" t="str">
        <f t="shared" si="73"/>
        <v>DR1REX_00|ALC</v>
      </c>
    </row>
    <row r="4679" spans="1:5" x14ac:dyDescent="0.2">
      <c r="A4679" t="s">
        <v>1305</v>
      </c>
      <c r="B4679" t="s">
        <v>1306</v>
      </c>
      <c r="C4679" t="s">
        <v>20</v>
      </c>
      <c r="D4679" t="str">
        <f>VLOOKUP(C4679,'lookup table'!$A$2:$B$19,2,FALSE)</f>
        <v>AY</v>
      </c>
      <c r="E4679" t="str">
        <f t="shared" si="73"/>
        <v>DR1REX_00|AY</v>
      </c>
    </row>
    <row r="4680" spans="1:5" x14ac:dyDescent="0.2">
      <c r="A4680" t="s">
        <v>1305</v>
      </c>
      <c r="B4680" t="s">
        <v>1306</v>
      </c>
      <c r="C4680" t="s">
        <v>324</v>
      </c>
      <c r="D4680" t="e">
        <f>VLOOKUP(C4680,'lookup table'!$A$2:$B$19,2,FALSE)</f>
        <v>#N/A</v>
      </c>
      <c r="E4680" t="str">
        <f t="shared" si="73"/>
        <v/>
      </c>
    </row>
    <row r="4681" spans="1:5" x14ac:dyDescent="0.2">
      <c r="A4681" t="s">
        <v>1305</v>
      </c>
      <c r="B4681" t="s">
        <v>1306</v>
      </c>
      <c r="C4681" t="s">
        <v>325</v>
      </c>
      <c r="D4681" t="e">
        <f>VLOOKUP(C4681,'lookup table'!$A$2:$B$19,2,FALSE)</f>
        <v>#N/A</v>
      </c>
      <c r="E4681" t="str">
        <f t="shared" si="73"/>
        <v/>
      </c>
    </row>
    <row r="4682" spans="1:5" x14ac:dyDescent="0.2">
      <c r="A4682" t="s">
        <v>1305</v>
      </c>
      <c r="B4682" t="s">
        <v>1306</v>
      </c>
      <c r="C4682" t="s">
        <v>326</v>
      </c>
      <c r="D4682" t="e">
        <f>VLOOKUP(C4682,'lookup table'!$A$2:$B$19,2,FALSE)</f>
        <v>#N/A</v>
      </c>
      <c r="E4682" t="str">
        <f t="shared" si="73"/>
        <v/>
      </c>
    </row>
    <row r="4683" spans="1:5" x14ac:dyDescent="0.2">
      <c r="A4683" t="s">
        <v>1305</v>
      </c>
      <c r="B4683" t="s">
        <v>1306</v>
      </c>
      <c r="C4683" t="s">
        <v>327</v>
      </c>
      <c r="D4683" t="e">
        <f>VLOOKUP(C4683,'lookup table'!$A$2:$B$19,2,FALSE)</f>
        <v>#N/A</v>
      </c>
      <c r="E4683" t="str">
        <f t="shared" si="73"/>
        <v/>
      </c>
    </row>
    <row r="4684" spans="1:5" x14ac:dyDescent="0.2">
      <c r="A4684" t="s">
        <v>1305</v>
      </c>
      <c r="B4684" t="s">
        <v>1306</v>
      </c>
      <c r="C4684" t="s">
        <v>328</v>
      </c>
      <c r="D4684" t="e">
        <f>VLOOKUP(C4684,'lookup table'!$A$2:$B$19,2,FALSE)</f>
        <v>#N/A</v>
      </c>
      <c r="E4684" t="str">
        <f t="shared" si="73"/>
        <v/>
      </c>
    </row>
    <row r="4685" spans="1:5" x14ac:dyDescent="0.2">
      <c r="A4685" t="s">
        <v>1305</v>
      </c>
      <c r="B4685" t="s">
        <v>1306</v>
      </c>
      <c r="C4685" t="s">
        <v>329</v>
      </c>
      <c r="D4685" t="e">
        <f>VLOOKUP(C4685,'lookup table'!$A$2:$B$19,2,FALSE)</f>
        <v>#N/A</v>
      </c>
      <c r="E4685" t="str">
        <f t="shared" si="73"/>
        <v/>
      </c>
    </row>
    <row r="4686" spans="1:5" x14ac:dyDescent="0.2">
      <c r="A4686" t="s">
        <v>1305</v>
      </c>
      <c r="B4686" t="s">
        <v>1306</v>
      </c>
      <c r="C4686" t="s">
        <v>331</v>
      </c>
      <c r="D4686" t="str">
        <f>VLOOKUP(C4686,'lookup table'!$A$2:$B$19,2,FALSE)</f>
        <v>FS Item</v>
      </c>
      <c r="E4686" t="str">
        <f t="shared" si="73"/>
        <v>DR1REX_00|FS Item</v>
      </c>
    </row>
    <row r="4687" spans="1:5" x14ac:dyDescent="0.2">
      <c r="A4687" t="s">
        <v>1305</v>
      </c>
      <c r="B4687" t="s">
        <v>1306</v>
      </c>
      <c r="C4687" t="s">
        <v>422</v>
      </c>
      <c r="D4687" t="e">
        <f>VLOOKUP(C4687,'lookup table'!$A$2:$B$19,2,FALSE)</f>
        <v>#N/A</v>
      </c>
      <c r="E4687" t="str">
        <f t="shared" si="73"/>
        <v/>
      </c>
    </row>
    <row r="4688" spans="1:5" x14ac:dyDescent="0.2">
      <c r="A4688" t="s">
        <v>1305</v>
      </c>
      <c r="B4688" t="s">
        <v>1306</v>
      </c>
      <c r="C4688" t="s">
        <v>423</v>
      </c>
      <c r="D4688" t="str">
        <f>VLOOKUP(C4688,'lookup table'!$A$2:$B$19,2,FALSE)</f>
        <v>ignore</v>
      </c>
      <c r="E4688" t="str">
        <f t="shared" si="73"/>
        <v>DR1REX_00|ignore</v>
      </c>
    </row>
    <row r="4689" spans="1:5" x14ac:dyDescent="0.2">
      <c r="A4689" t="s">
        <v>1305</v>
      </c>
      <c r="B4689" t="s">
        <v>1306</v>
      </c>
      <c r="C4689" t="s">
        <v>424</v>
      </c>
      <c r="D4689" t="str">
        <f>VLOOKUP(C4689,'lookup table'!$A$2:$B$19,2,FALSE)</f>
        <v>GRC</v>
      </c>
      <c r="E4689" t="str">
        <f t="shared" si="73"/>
        <v>DR1REX_00|GRC</v>
      </c>
    </row>
    <row r="4690" spans="1:5" x14ac:dyDescent="0.2">
      <c r="A4690" t="s">
        <v>1305</v>
      </c>
      <c r="B4690" t="s">
        <v>1306</v>
      </c>
      <c r="C4690" t="s">
        <v>425</v>
      </c>
      <c r="D4690" t="str">
        <f>VLOOKUP(C4690,'lookup table'!$A$2:$B$19,2,FALSE)</f>
        <v>Investee Segment</v>
      </c>
      <c r="E4690" t="str">
        <f t="shared" si="73"/>
        <v>DR1REX_00|Investee Segment</v>
      </c>
    </row>
    <row r="4691" spans="1:5" x14ac:dyDescent="0.2">
      <c r="A4691" t="s">
        <v>1305</v>
      </c>
      <c r="B4691" t="s">
        <v>1306</v>
      </c>
      <c r="C4691" t="s">
        <v>426</v>
      </c>
      <c r="D4691" t="str">
        <f>VLOOKUP(C4691,'lookup table'!$A$2:$B$19,2,FALSE)</f>
        <v>Investee Unit</v>
      </c>
      <c r="E4691" t="str">
        <f t="shared" si="73"/>
        <v>DR1REX_00|Investee Unit</v>
      </c>
    </row>
    <row r="4692" spans="1:5" x14ac:dyDescent="0.2">
      <c r="A4692" t="s">
        <v>1305</v>
      </c>
      <c r="B4692" t="s">
        <v>1306</v>
      </c>
      <c r="C4692" t="s">
        <v>428</v>
      </c>
      <c r="D4692" t="str">
        <f>VLOOKUP(C4692,'lookup table'!$A$2:$B$19,2,FALSE)</f>
        <v>LoB</v>
      </c>
      <c r="E4692" t="str">
        <f t="shared" si="73"/>
        <v>DR1REX_00|LoB</v>
      </c>
    </row>
    <row r="4693" spans="1:5" x14ac:dyDescent="0.2">
      <c r="A4693" t="s">
        <v>1305</v>
      </c>
      <c r="B4693" t="s">
        <v>1306</v>
      </c>
      <c r="C4693" t="s">
        <v>436</v>
      </c>
      <c r="D4693" t="str">
        <f>VLOOKUP(C4693,'lookup table'!$A$2:$B$19,2,FALSE)</f>
        <v>MAT</v>
      </c>
      <c r="E4693" t="str">
        <f t="shared" si="73"/>
        <v>DR1REX_00|MAT</v>
      </c>
    </row>
    <row r="4694" spans="1:5" x14ac:dyDescent="0.2">
      <c r="A4694" t="s">
        <v>1305</v>
      </c>
      <c r="B4694" t="s">
        <v>1306</v>
      </c>
      <c r="C4694" t="s">
        <v>438</v>
      </c>
      <c r="D4694" t="str">
        <f>VLOOKUP(C4694,'lookup table'!$A$2:$B$19,2,FALSE)</f>
        <v>ToM</v>
      </c>
      <c r="E4694" t="str">
        <f t="shared" si="73"/>
        <v>DR1REX_00|ToM</v>
      </c>
    </row>
    <row r="4695" spans="1:5" x14ac:dyDescent="0.2">
      <c r="A4695" t="s">
        <v>1305</v>
      </c>
      <c r="B4695" t="s">
        <v>1306</v>
      </c>
      <c r="C4695" t="s">
        <v>441</v>
      </c>
      <c r="D4695" t="str">
        <f>VLOOKUP(C4695,'lookup table'!$A$2:$B$19,2,FALSE)</f>
        <v>Partner Segment</v>
      </c>
      <c r="E4695" t="str">
        <f t="shared" si="73"/>
        <v>DR1REX_00|Partner Segment</v>
      </c>
    </row>
    <row r="4696" spans="1:5" x14ac:dyDescent="0.2">
      <c r="A4696" t="s">
        <v>1305</v>
      </c>
      <c r="B4696" t="s">
        <v>1306</v>
      </c>
      <c r="C4696" t="s">
        <v>442</v>
      </c>
      <c r="D4696" t="str">
        <f>VLOOKUP(C4696,'lookup table'!$A$2:$B$19,2,FALSE)</f>
        <v>Partner Unit</v>
      </c>
      <c r="E4696" t="str">
        <f t="shared" si="73"/>
        <v>DR1REX_00|Partner Unit</v>
      </c>
    </row>
    <row r="4697" spans="1:5" x14ac:dyDescent="0.2">
      <c r="A4697" t="s">
        <v>1305</v>
      </c>
      <c r="B4697" t="s">
        <v>1306</v>
      </c>
      <c r="C4697" t="s">
        <v>447</v>
      </c>
      <c r="D4697" t="str">
        <f>VLOOKUP(C4697,'lookup table'!$A$2:$B$19,2,FALSE)</f>
        <v>REX</v>
      </c>
      <c r="E4697" t="str">
        <f t="shared" si="73"/>
        <v>DR1REX_00|REX</v>
      </c>
    </row>
    <row r="4698" spans="1:5" x14ac:dyDescent="0.2">
      <c r="A4698" t="s">
        <v>1305</v>
      </c>
      <c r="B4698" t="s">
        <v>1306</v>
      </c>
      <c r="C4698" t="s">
        <v>448</v>
      </c>
      <c r="D4698" t="e">
        <f>VLOOKUP(C4698,'lookup table'!$A$2:$B$19,2,FALSE)</f>
        <v>#N/A</v>
      </c>
      <c r="E4698" t="str">
        <f t="shared" si="73"/>
        <v/>
      </c>
    </row>
    <row r="4699" spans="1:5" x14ac:dyDescent="0.2">
      <c r="A4699" t="s">
        <v>1305</v>
      </c>
      <c r="B4699" t="s">
        <v>1306</v>
      </c>
      <c r="C4699" t="s">
        <v>449</v>
      </c>
      <c r="D4699" t="e">
        <f>VLOOKUP(C4699,'lookup table'!$A$2:$B$19,2,FALSE)</f>
        <v>#N/A</v>
      </c>
      <c r="E4699" t="str">
        <f t="shared" si="73"/>
        <v/>
      </c>
    </row>
    <row r="4700" spans="1:5" x14ac:dyDescent="0.2">
      <c r="A4700" t="s">
        <v>1305</v>
      </c>
      <c r="B4700" t="s">
        <v>1306</v>
      </c>
      <c r="C4700" t="s">
        <v>451</v>
      </c>
      <c r="D4700" t="str">
        <f>VLOOKUP(C4700,'lookup table'!$A$2:$B$19,2,FALSE)</f>
        <v>Segment</v>
      </c>
      <c r="E4700" t="str">
        <f t="shared" si="73"/>
        <v>DR1REX_00|Segment</v>
      </c>
    </row>
    <row r="4701" spans="1:5" x14ac:dyDescent="0.2">
      <c r="A4701" t="s">
        <v>1305</v>
      </c>
      <c r="B4701" t="s">
        <v>1306</v>
      </c>
      <c r="C4701" t="s">
        <v>455</v>
      </c>
      <c r="D4701" t="e">
        <f>VLOOKUP(C4701,'lookup table'!$A$2:$B$19,2,FALSE)</f>
        <v>#N/A</v>
      </c>
      <c r="E4701" t="str">
        <f t="shared" si="73"/>
        <v/>
      </c>
    </row>
    <row r="4702" spans="1:5" x14ac:dyDescent="0.2">
      <c r="A4702" t="s">
        <v>1305</v>
      </c>
      <c r="B4702" t="s">
        <v>1306</v>
      </c>
      <c r="C4702" t="s">
        <v>456</v>
      </c>
      <c r="D4702" t="e">
        <f>VLOOKUP(C4702,'lookup table'!$A$2:$B$19,2,FALSE)</f>
        <v>#N/A</v>
      </c>
      <c r="E4702" t="str">
        <f t="shared" si="73"/>
        <v/>
      </c>
    </row>
    <row r="4703" spans="1:5" x14ac:dyDescent="0.2">
      <c r="A4703" t="s">
        <v>1305</v>
      </c>
      <c r="B4703" t="s">
        <v>1306</v>
      </c>
      <c r="C4703" t="s">
        <v>457</v>
      </c>
      <c r="D4703" t="str">
        <f>VLOOKUP(C4703,'lookup table'!$A$2:$B$19,2,FALSE)</f>
        <v>VLT</v>
      </c>
      <c r="E4703" t="str">
        <f t="shared" si="73"/>
        <v>DR1REX_00|VLT</v>
      </c>
    </row>
    <row r="4704" spans="1:5" x14ac:dyDescent="0.2">
      <c r="A4704" t="s">
        <v>1305</v>
      </c>
      <c r="B4704" t="s">
        <v>1306</v>
      </c>
      <c r="C4704" t="s">
        <v>458</v>
      </c>
      <c r="D4704" t="str">
        <f>VLOOKUP(C4704,'lookup table'!$A$2:$B$19,2,FALSE)</f>
        <v>VAR</v>
      </c>
      <c r="E4704" t="str">
        <f t="shared" si="73"/>
        <v>DR1REX_00|VAR</v>
      </c>
    </row>
    <row r="4705" spans="1:5" x14ac:dyDescent="0.2">
      <c r="A4705" t="s">
        <v>1305</v>
      </c>
      <c r="B4705" t="s">
        <v>1306</v>
      </c>
      <c r="C4705" t="s">
        <v>459</v>
      </c>
      <c r="D4705" t="e">
        <f>VLOOKUP(C4705,'lookup table'!$A$2:$B$19,2,FALSE)</f>
        <v>#N/A</v>
      </c>
      <c r="E4705" t="str">
        <f t="shared" si="73"/>
        <v/>
      </c>
    </row>
    <row r="4706" spans="1:5" x14ac:dyDescent="0.2">
      <c r="A4706" t="s">
        <v>1305</v>
      </c>
      <c r="B4706" t="s">
        <v>1306</v>
      </c>
      <c r="C4706" t="s">
        <v>460</v>
      </c>
      <c r="D4706" t="e">
        <f>VLOOKUP(C4706,'lookup table'!$A$2:$B$19,2,FALSE)</f>
        <v>#N/A</v>
      </c>
      <c r="E4706" t="str">
        <f t="shared" si="73"/>
        <v/>
      </c>
    </row>
    <row r="4707" spans="1:5" x14ac:dyDescent="0.2">
      <c r="A4707" t="s">
        <v>1305</v>
      </c>
      <c r="B4707" t="s">
        <v>1306</v>
      </c>
      <c r="C4707" t="s">
        <v>461</v>
      </c>
      <c r="D4707" t="str">
        <f>VLOOKUP(C4707,'lookup table'!$A$2:$B$19,2,FALSE)</f>
        <v>Posting Level</v>
      </c>
      <c r="E4707" t="str">
        <f t="shared" si="73"/>
        <v>DR1REX_00|Posting Level</v>
      </c>
    </row>
    <row r="4708" spans="1:5" x14ac:dyDescent="0.2">
      <c r="A4708" t="s">
        <v>1305</v>
      </c>
      <c r="B4708" t="s">
        <v>1306</v>
      </c>
      <c r="C4708" t="s">
        <v>462</v>
      </c>
      <c r="D4708" t="e">
        <f>VLOOKUP(C4708,'lookup table'!$A$2:$B$19,2,FALSE)</f>
        <v>#N/A</v>
      </c>
      <c r="E4708" t="str">
        <f t="shared" si="73"/>
        <v/>
      </c>
    </row>
    <row r="4709" spans="1:5" x14ac:dyDescent="0.2">
      <c r="A4709" t="s">
        <v>1305</v>
      </c>
      <c r="B4709" t="s">
        <v>1306</v>
      </c>
      <c r="C4709" t="s">
        <v>463</v>
      </c>
      <c r="D4709" t="e">
        <f>VLOOKUP(C4709,'lookup table'!$A$2:$B$19,2,FALSE)</f>
        <v>#N/A</v>
      </c>
      <c r="E4709" t="str">
        <f t="shared" si="73"/>
        <v/>
      </c>
    </row>
    <row r="4710" spans="1:5" x14ac:dyDescent="0.2">
      <c r="A4710" t="s">
        <v>1305</v>
      </c>
      <c r="B4710" t="s">
        <v>1306</v>
      </c>
      <c r="C4710" t="s">
        <v>464</v>
      </c>
      <c r="D4710" t="e">
        <f>VLOOKUP(C4710,'lookup table'!$A$2:$B$19,2,FALSE)</f>
        <v>#N/A</v>
      </c>
      <c r="E4710" t="str">
        <f t="shared" si="73"/>
        <v/>
      </c>
    </row>
    <row r="4711" spans="1:5" x14ac:dyDescent="0.2">
      <c r="A4711" t="s">
        <v>1305</v>
      </c>
      <c r="B4711" t="s">
        <v>1306</v>
      </c>
      <c r="C4711" t="s">
        <v>465</v>
      </c>
      <c r="D4711" t="e">
        <f>VLOOKUP(C4711,'lookup table'!$A$2:$B$19,2,FALSE)</f>
        <v>#N/A</v>
      </c>
      <c r="E4711" t="str">
        <f t="shared" si="73"/>
        <v/>
      </c>
    </row>
    <row r="4712" spans="1:5" x14ac:dyDescent="0.2">
      <c r="A4712" t="s">
        <v>1307</v>
      </c>
      <c r="B4712" t="s">
        <v>1308</v>
      </c>
      <c r="C4712" t="s">
        <v>2</v>
      </c>
      <c r="D4712" t="e">
        <f>VLOOKUP(C4712,'lookup table'!$A$2:$B$19,2,FALSE)</f>
        <v>#N/A</v>
      </c>
      <c r="E4712" t="str">
        <f t="shared" si="73"/>
        <v/>
      </c>
    </row>
    <row r="4713" spans="1:5" x14ac:dyDescent="0.2">
      <c r="A4713" t="s">
        <v>1307</v>
      </c>
      <c r="B4713" t="s">
        <v>1308</v>
      </c>
      <c r="C4713" t="s">
        <v>5</v>
      </c>
      <c r="D4713" t="e">
        <f>VLOOKUP(C4713,'lookup table'!$A$2:$B$19,2,FALSE)</f>
        <v>#N/A</v>
      </c>
      <c r="E4713" t="str">
        <f t="shared" si="73"/>
        <v/>
      </c>
    </row>
    <row r="4714" spans="1:5" x14ac:dyDescent="0.2">
      <c r="A4714" t="s">
        <v>1307</v>
      </c>
      <c r="B4714" t="s">
        <v>1308</v>
      </c>
      <c r="C4714" t="s">
        <v>6</v>
      </c>
      <c r="D4714" t="e">
        <f>VLOOKUP(C4714,'lookup table'!$A$2:$B$19,2,FALSE)</f>
        <v>#N/A</v>
      </c>
      <c r="E4714" t="str">
        <f t="shared" si="73"/>
        <v/>
      </c>
    </row>
    <row r="4715" spans="1:5" x14ac:dyDescent="0.2">
      <c r="A4715" t="s">
        <v>1307</v>
      </c>
      <c r="B4715" t="s">
        <v>1308</v>
      </c>
      <c r="C4715" t="s">
        <v>9</v>
      </c>
      <c r="D4715" t="e">
        <f>VLOOKUP(C4715,'lookup table'!$A$2:$B$19,2,FALSE)</f>
        <v>#N/A</v>
      </c>
      <c r="E4715" t="str">
        <f t="shared" si="73"/>
        <v/>
      </c>
    </row>
    <row r="4716" spans="1:5" x14ac:dyDescent="0.2">
      <c r="A4716" t="s">
        <v>1307</v>
      </c>
      <c r="B4716" t="s">
        <v>1308</v>
      </c>
      <c r="C4716" t="s">
        <v>10</v>
      </c>
      <c r="D4716" t="e">
        <f>VLOOKUP(C4716,'lookup table'!$A$2:$B$19,2,FALSE)</f>
        <v>#N/A</v>
      </c>
      <c r="E4716" t="str">
        <f t="shared" si="73"/>
        <v/>
      </c>
    </row>
    <row r="4717" spans="1:5" x14ac:dyDescent="0.2">
      <c r="A4717" t="s">
        <v>1307</v>
      </c>
      <c r="B4717" t="s">
        <v>1308</v>
      </c>
      <c r="C4717" t="s">
        <v>11</v>
      </c>
      <c r="D4717" t="e">
        <f>VLOOKUP(C4717,'lookup table'!$A$2:$B$19,2,FALSE)</f>
        <v>#N/A</v>
      </c>
      <c r="E4717" t="str">
        <f t="shared" si="73"/>
        <v/>
      </c>
    </row>
    <row r="4718" spans="1:5" x14ac:dyDescent="0.2">
      <c r="A4718" t="s">
        <v>1307</v>
      </c>
      <c r="B4718" t="s">
        <v>1308</v>
      </c>
      <c r="C4718" t="s">
        <v>12</v>
      </c>
      <c r="D4718" t="e">
        <f>VLOOKUP(C4718,'lookup table'!$A$2:$B$19,2,FALSE)</f>
        <v>#N/A</v>
      </c>
      <c r="E4718" t="str">
        <f t="shared" si="73"/>
        <v/>
      </c>
    </row>
    <row r="4719" spans="1:5" x14ac:dyDescent="0.2">
      <c r="A4719" t="s">
        <v>1307</v>
      </c>
      <c r="B4719" t="s">
        <v>1308</v>
      </c>
      <c r="C4719" t="s">
        <v>14</v>
      </c>
      <c r="D4719" t="str">
        <f>VLOOKUP(C4719,'lookup table'!$A$2:$B$19,2,FALSE)</f>
        <v>ALC</v>
      </c>
      <c r="E4719" t="str">
        <f t="shared" si="73"/>
        <v>DR1TOM_00|ALC</v>
      </c>
    </row>
    <row r="4720" spans="1:5" x14ac:dyDescent="0.2">
      <c r="A4720" t="s">
        <v>1307</v>
      </c>
      <c r="B4720" t="s">
        <v>1308</v>
      </c>
      <c r="C4720" t="s">
        <v>20</v>
      </c>
      <c r="D4720" t="str">
        <f>VLOOKUP(C4720,'lookup table'!$A$2:$B$19,2,FALSE)</f>
        <v>AY</v>
      </c>
      <c r="E4720" t="str">
        <f t="shared" si="73"/>
        <v>DR1TOM_00|AY</v>
      </c>
    </row>
    <row r="4721" spans="1:5" x14ac:dyDescent="0.2">
      <c r="A4721" t="s">
        <v>1307</v>
      </c>
      <c r="B4721" t="s">
        <v>1308</v>
      </c>
      <c r="C4721" t="s">
        <v>324</v>
      </c>
      <c r="D4721" t="e">
        <f>VLOOKUP(C4721,'lookup table'!$A$2:$B$19,2,FALSE)</f>
        <v>#N/A</v>
      </c>
      <c r="E4721" t="str">
        <f t="shared" si="73"/>
        <v/>
      </c>
    </row>
    <row r="4722" spans="1:5" x14ac:dyDescent="0.2">
      <c r="A4722" t="s">
        <v>1307</v>
      </c>
      <c r="B4722" t="s">
        <v>1308</v>
      </c>
      <c r="C4722" t="s">
        <v>325</v>
      </c>
      <c r="D4722" t="e">
        <f>VLOOKUP(C4722,'lookup table'!$A$2:$B$19,2,FALSE)</f>
        <v>#N/A</v>
      </c>
      <c r="E4722" t="str">
        <f t="shared" si="73"/>
        <v/>
      </c>
    </row>
    <row r="4723" spans="1:5" x14ac:dyDescent="0.2">
      <c r="A4723" t="s">
        <v>1307</v>
      </c>
      <c r="B4723" t="s">
        <v>1308</v>
      </c>
      <c r="C4723" t="s">
        <v>326</v>
      </c>
      <c r="D4723" t="e">
        <f>VLOOKUP(C4723,'lookup table'!$A$2:$B$19,2,FALSE)</f>
        <v>#N/A</v>
      </c>
      <c r="E4723" t="str">
        <f t="shared" si="73"/>
        <v/>
      </c>
    </row>
    <row r="4724" spans="1:5" x14ac:dyDescent="0.2">
      <c r="A4724" t="s">
        <v>1307</v>
      </c>
      <c r="B4724" t="s">
        <v>1308</v>
      </c>
      <c r="C4724" t="s">
        <v>327</v>
      </c>
      <c r="D4724" t="e">
        <f>VLOOKUP(C4724,'lookup table'!$A$2:$B$19,2,FALSE)</f>
        <v>#N/A</v>
      </c>
      <c r="E4724" t="str">
        <f t="shared" si="73"/>
        <v/>
      </c>
    </row>
    <row r="4725" spans="1:5" x14ac:dyDescent="0.2">
      <c r="A4725" t="s">
        <v>1307</v>
      </c>
      <c r="B4725" t="s">
        <v>1308</v>
      </c>
      <c r="C4725" t="s">
        <v>328</v>
      </c>
      <c r="D4725" t="e">
        <f>VLOOKUP(C4725,'lookup table'!$A$2:$B$19,2,FALSE)</f>
        <v>#N/A</v>
      </c>
      <c r="E4725" t="str">
        <f t="shared" si="73"/>
        <v/>
      </c>
    </row>
    <row r="4726" spans="1:5" x14ac:dyDescent="0.2">
      <c r="A4726" t="s">
        <v>1307</v>
      </c>
      <c r="B4726" t="s">
        <v>1308</v>
      </c>
      <c r="C4726" t="s">
        <v>329</v>
      </c>
      <c r="D4726" t="e">
        <f>VLOOKUP(C4726,'lookup table'!$A$2:$B$19,2,FALSE)</f>
        <v>#N/A</v>
      </c>
      <c r="E4726" t="str">
        <f t="shared" si="73"/>
        <v/>
      </c>
    </row>
    <row r="4727" spans="1:5" x14ac:dyDescent="0.2">
      <c r="A4727" t="s">
        <v>1307</v>
      </c>
      <c r="B4727" t="s">
        <v>1308</v>
      </c>
      <c r="C4727" t="s">
        <v>331</v>
      </c>
      <c r="D4727" t="str">
        <f>VLOOKUP(C4727,'lookup table'!$A$2:$B$19,2,FALSE)</f>
        <v>FS Item</v>
      </c>
      <c r="E4727" t="str">
        <f t="shared" si="73"/>
        <v>DR1TOM_00|FS Item</v>
      </c>
    </row>
    <row r="4728" spans="1:5" x14ac:dyDescent="0.2">
      <c r="A4728" t="s">
        <v>1307</v>
      </c>
      <c r="B4728" t="s">
        <v>1308</v>
      </c>
      <c r="C4728" t="s">
        <v>422</v>
      </c>
      <c r="D4728" t="e">
        <f>VLOOKUP(C4728,'lookup table'!$A$2:$B$19,2,FALSE)</f>
        <v>#N/A</v>
      </c>
      <c r="E4728" t="str">
        <f t="shared" si="73"/>
        <v/>
      </c>
    </row>
    <row r="4729" spans="1:5" x14ac:dyDescent="0.2">
      <c r="A4729" t="s">
        <v>1307</v>
      </c>
      <c r="B4729" t="s">
        <v>1308</v>
      </c>
      <c r="C4729" t="s">
        <v>423</v>
      </c>
      <c r="D4729" t="str">
        <f>VLOOKUP(C4729,'lookup table'!$A$2:$B$19,2,FALSE)</f>
        <v>ignore</v>
      </c>
      <c r="E4729" t="str">
        <f t="shared" si="73"/>
        <v>DR1TOM_00|ignore</v>
      </c>
    </row>
    <row r="4730" spans="1:5" x14ac:dyDescent="0.2">
      <c r="A4730" t="s">
        <v>1307</v>
      </c>
      <c r="B4730" t="s">
        <v>1308</v>
      </c>
      <c r="C4730" t="s">
        <v>424</v>
      </c>
      <c r="D4730" t="str">
        <f>VLOOKUP(C4730,'lookup table'!$A$2:$B$19,2,FALSE)</f>
        <v>GRC</v>
      </c>
      <c r="E4730" t="str">
        <f t="shared" si="73"/>
        <v>DR1TOM_00|GRC</v>
      </c>
    </row>
    <row r="4731" spans="1:5" x14ac:dyDescent="0.2">
      <c r="A4731" t="s">
        <v>1307</v>
      </c>
      <c r="B4731" t="s">
        <v>1308</v>
      </c>
      <c r="C4731" t="s">
        <v>425</v>
      </c>
      <c r="D4731" t="str">
        <f>VLOOKUP(C4731,'lookup table'!$A$2:$B$19,2,FALSE)</f>
        <v>Investee Segment</v>
      </c>
      <c r="E4731" t="str">
        <f t="shared" si="73"/>
        <v>DR1TOM_00|Investee Segment</v>
      </c>
    </row>
    <row r="4732" spans="1:5" x14ac:dyDescent="0.2">
      <c r="A4732" t="s">
        <v>1307</v>
      </c>
      <c r="B4732" t="s">
        <v>1308</v>
      </c>
      <c r="C4732" t="s">
        <v>426</v>
      </c>
      <c r="D4732" t="str">
        <f>VLOOKUP(C4732,'lookup table'!$A$2:$B$19,2,FALSE)</f>
        <v>Investee Unit</v>
      </c>
      <c r="E4732" t="str">
        <f t="shared" si="73"/>
        <v>DR1TOM_00|Investee Unit</v>
      </c>
    </row>
    <row r="4733" spans="1:5" x14ac:dyDescent="0.2">
      <c r="A4733" t="s">
        <v>1307</v>
      </c>
      <c r="B4733" t="s">
        <v>1308</v>
      </c>
      <c r="C4733" t="s">
        <v>428</v>
      </c>
      <c r="D4733" t="str">
        <f>VLOOKUP(C4733,'lookup table'!$A$2:$B$19,2,FALSE)</f>
        <v>LoB</v>
      </c>
      <c r="E4733" t="str">
        <f t="shared" si="73"/>
        <v>DR1TOM_00|LoB</v>
      </c>
    </row>
    <row r="4734" spans="1:5" x14ac:dyDescent="0.2">
      <c r="A4734" t="s">
        <v>1307</v>
      </c>
      <c r="B4734" t="s">
        <v>1308</v>
      </c>
      <c r="C4734" t="s">
        <v>436</v>
      </c>
      <c r="D4734" t="str">
        <f>VLOOKUP(C4734,'lookup table'!$A$2:$B$19,2,FALSE)</f>
        <v>MAT</v>
      </c>
      <c r="E4734" t="str">
        <f t="shared" si="73"/>
        <v>DR1TOM_00|MAT</v>
      </c>
    </row>
    <row r="4735" spans="1:5" x14ac:dyDescent="0.2">
      <c r="A4735" t="s">
        <v>1307</v>
      </c>
      <c r="B4735" t="s">
        <v>1308</v>
      </c>
      <c r="C4735" t="s">
        <v>438</v>
      </c>
      <c r="D4735" t="str">
        <f>VLOOKUP(C4735,'lookup table'!$A$2:$B$19,2,FALSE)</f>
        <v>ToM</v>
      </c>
      <c r="E4735" t="str">
        <f t="shared" si="73"/>
        <v>DR1TOM_00|ToM</v>
      </c>
    </row>
    <row r="4736" spans="1:5" x14ac:dyDescent="0.2">
      <c r="A4736" t="s">
        <v>1307</v>
      </c>
      <c r="B4736" t="s">
        <v>1308</v>
      </c>
      <c r="C4736" t="s">
        <v>441</v>
      </c>
      <c r="D4736" t="str">
        <f>VLOOKUP(C4736,'lookup table'!$A$2:$B$19,2,FALSE)</f>
        <v>Partner Segment</v>
      </c>
      <c r="E4736" t="str">
        <f t="shared" si="73"/>
        <v>DR1TOM_00|Partner Segment</v>
      </c>
    </row>
    <row r="4737" spans="1:5" x14ac:dyDescent="0.2">
      <c r="A4737" t="s">
        <v>1307</v>
      </c>
      <c r="B4737" t="s">
        <v>1308</v>
      </c>
      <c r="C4737" t="s">
        <v>442</v>
      </c>
      <c r="D4737" t="str">
        <f>VLOOKUP(C4737,'lookup table'!$A$2:$B$19,2,FALSE)</f>
        <v>Partner Unit</v>
      </c>
      <c r="E4737" t="str">
        <f t="shared" si="73"/>
        <v>DR1TOM_00|Partner Unit</v>
      </c>
    </row>
    <row r="4738" spans="1:5" x14ac:dyDescent="0.2">
      <c r="A4738" t="s">
        <v>1307</v>
      </c>
      <c r="B4738" t="s">
        <v>1308</v>
      </c>
      <c r="C4738" t="s">
        <v>447</v>
      </c>
      <c r="D4738" t="str">
        <f>VLOOKUP(C4738,'lookup table'!$A$2:$B$19,2,FALSE)</f>
        <v>REX</v>
      </c>
      <c r="E4738" t="str">
        <f t="shared" si="73"/>
        <v>DR1TOM_00|REX</v>
      </c>
    </row>
    <row r="4739" spans="1:5" x14ac:dyDescent="0.2">
      <c r="A4739" t="s">
        <v>1307</v>
      </c>
      <c r="B4739" t="s">
        <v>1308</v>
      </c>
      <c r="C4739" t="s">
        <v>448</v>
      </c>
      <c r="D4739" t="e">
        <f>VLOOKUP(C4739,'lookup table'!$A$2:$B$19,2,FALSE)</f>
        <v>#N/A</v>
      </c>
      <c r="E4739" t="str">
        <f t="shared" ref="E4739:E4802" si="74">IF(ISNA(D4739),"",IF(A4739="","",A4739) &amp; "|" &amp; D4739)</f>
        <v/>
      </c>
    </row>
    <row r="4740" spans="1:5" x14ac:dyDescent="0.2">
      <c r="A4740" t="s">
        <v>1307</v>
      </c>
      <c r="B4740" t="s">
        <v>1308</v>
      </c>
      <c r="C4740" t="s">
        <v>449</v>
      </c>
      <c r="D4740" t="e">
        <f>VLOOKUP(C4740,'lookup table'!$A$2:$B$19,2,FALSE)</f>
        <v>#N/A</v>
      </c>
      <c r="E4740" t="str">
        <f t="shared" si="74"/>
        <v/>
      </c>
    </row>
    <row r="4741" spans="1:5" x14ac:dyDescent="0.2">
      <c r="A4741" t="s">
        <v>1307</v>
      </c>
      <c r="B4741" t="s">
        <v>1308</v>
      </c>
      <c r="C4741" t="s">
        <v>451</v>
      </c>
      <c r="D4741" t="str">
        <f>VLOOKUP(C4741,'lookup table'!$A$2:$B$19,2,FALSE)</f>
        <v>Segment</v>
      </c>
      <c r="E4741" t="str">
        <f t="shared" si="74"/>
        <v>DR1TOM_00|Segment</v>
      </c>
    </row>
    <row r="4742" spans="1:5" x14ac:dyDescent="0.2">
      <c r="A4742" t="s">
        <v>1307</v>
      </c>
      <c r="B4742" t="s">
        <v>1308</v>
      </c>
      <c r="C4742" t="s">
        <v>455</v>
      </c>
      <c r="D4742" t="e">
        <f>VLOOKUP(C4742,'lookup table'!$A$2:$B$19,2,FALSE)</f>
        <v>#N/A</v>
      </c>
      <c r="E4742" t="str">
        <f t="shared" si="74"/>
        <v/>
      </c>
    </row>
    <row r="4743" spans="1:5" x14ac:dyDescent="0.2">
      <c r="A4743" t="s">
        <v>1307</v>
      </c>
      <c r="B4743" t="s">
        <v>1308</v>
      </c>
      <c r="C4743" t="s">
        <v>456</v>
      </c>
      <c r="D4743" t="e">
        <f>VLOOKUP(C4743,'lookup table'!$A$2:$B$19,2,FALSE)</f>
        <v>#N/A</v>
      </c>
      <c r="E4743" t="str">
        <f t="shared" si="74"/>
        <v/>
      </c>
    </row>
    <row r="4744" spans="1:5" x14ac:dyDescent="0.2">
      <c r="A4744" t="s">
        <v>1307</v>
      </c>
      <c r="B4744" t="s">
        <v>1308</v>
      </c>
      <c r="C4744" t="s">
        <v>457</v>
      </c>
      <c r="D4744" t="str">
        <f>VLOOKUP(C4744,'lookup table'!$A$2:$B$19,2,FALSE)</f>
        <v>VLT</v>
      </c>
      <c r="E4744" t="str">
        <f t="shared" si="74"/>
        <v>DR1TOM_00|VLT</v>
      </c>
    </row>
    <row r="4745" spans="1:5" x14ac:dyDescent="0.2">
      <c r="A4745" t="s">
        <v>1307</v>
      </c>
      <c r="B4745" t="s">
        <v>1308</v>
      </c>
      <c r="C4745" t="s">
        <v>458</v>
      </c>
      <c r="D4745" t="str">
        <f>VLOOKUP(C4745,'lookup table'!$A$2:$B$19,2,FALSE)</f>
        <v>VAR</v>
      </c>
      <c r="E4745" t="str">
        <f t="shared" si="74"/>
        <v>DR1TOM_00|VAR</v>
      </c>
    </row>
    <row r="4746" spans="1:5" x14ac:dyDescent="0.2">
      <c r="A4746" t="s">
        <v>1307</v>
      </c>
      <c r="B4746" t="s">
        <v>1308</v>
      </c>
      <c r="C4746" t="s">
        <v>459</v>
      </c>
      <c r="D4746" t="e">
        <f>VLOOKUP(C4746,'lookup table'!$A$2:$B$19,2,FALSE)</f>
        <v>#N/A</v>
      </c>
      <c r="E4746" t="str">
        <f t="shared" si="74"/>
        <v/>
      </c>
    </row>
    <row r="4747" spans="1:5" x14ac:dyDescent="0.2">
      <c r="A4747" t="s">
        <v>1307</v>
      </c>
      <c r="B4747" t="s">
        <v>1308</v>
      </c>
      <c r="C4747" t="s">
        <v>460</v>
      </c>
      <c r="D4747" t="e">
        <f>VLOOKUP(C4747,'lookup table'!$A$2:$B$19,2,FALSE)</f>
        <v>#N/A</v>
      </c>
      <c r="E4747" t="str">
        <f t="shared" si="74"/>
        <v/>
      </c>
    </row>
    <row r="4748" spans="1:5" x14ac:dyDescent="0.2">
      <c r="A4748" t="s">
        <v>1307</v>
      </c>
      <c r="B4748" t="s">
        <v>1308</v>
      </c>
      <c r="C4748" t="s">
        <v>461</v>
      </c>
      <c r="D4748" t="str">
        <f>VLOOKUP(C4748,'lookup table'!$A$2:$B$19,2,FALSE)</f>
        <v>Posting Level</v>
      </c>
      <c r="E4748" t="str">
        <f t="shared" si="74"/>
        <v>DR1TOM_00|Posting Level</v>
      </c>
    </row>
    <row r="4749" spans="1:5" x14ac:dyDescent="0.2">
      <c r="A4749" t="s">
        <v>1307</v>
      </c>
      <c r="B4749" t="s">
        <v>1308</v>
      </c>
      <c r="C4749" t="s">
        <v>462</v>
      </c>
      <c r="D4749" t="e">
        <f>VLOOKUP(C4749,'lookup table'!$A$2:$B$19,2,FALSE)</f>
        <v>#N/A</v>
      </c>
      <c r="E4749" t="str">
        <f t="shared" si="74"/>
        <v/>
      </c>
    </row>
    <row r="4750" spans="1:5" x14ac:dyDescent="0.2">
      <c r="A4750" t="s">
        <v>1307</v>
      </c>
      <c r="B4750" t="s">
        <v>1308</v>
      </c>
      <c r="C4750" t="s">
        <v>463</v>
      </c>
      <c r="D4750" t="e">
        <f>VLOOKUP(C4750,'lookup table'!$A$2:$B$19,2,FALSE)</f>
        <v>#N/A</v>
      </c>
      <c r="E4750" t="str">
        <f t="shared" si="74"/>
        <v/>
      </c>
    </row>
    <row r="4751" spans="1:5" x14ac:dyDescent="0.2">
      <c r="A4751" t="s">
        <v>1307</v>
      </c>
      <c r="B4751" t="s">
        <v>1308</v>
      </c>
      <c r="C4751" t="s">
        <v>464</v>
      </c>
      <c r="D4751" t="e">
        <f>VLOOKUP(C4751,'lookup table'!$A$2:$B$19,2,FALSE)</f>
        <v>#N/A</v>
      </c>
      <c r="E4751" t="str">
        <f t="shared" si="74"/>
        <v/>
      </c>
    </row>
    <row r="4752" spans="1:5" x14ac:dyDescent="0.2">
      <c r="A4752" t="s">
        <v>1307</v>
      </c>
      <c r="B4752" t="s">
        <v>1308</v>
      </c>
      <c r="C4752" t="s">
        <v>465</v>
      </c>
      <c r="D4752" t="e">
        <f>VLOOKUP(C4752,'lookup table'!$A$2:$B$19,2,FALSE)</f>
        <v>#N/A</v>
      </c>
      <c r="E4752" t="str">
        <f t="shared" si="74"/>
        <v/>
      </c>
    </row>
    <row r="4753" spans="1:5" x14ac:dyDescent="0.2">
      <c r="A4753" t="s">
        <v>1309</v>
      </c>
      <c r="B4753" t="s">
        <v>1310</v>
      </c>
      <c r="C4753" t="s">
        <v>2</v>
      </c>
      <c r="D4753" t="e">
        <f>VLOOKUP(C4753,'lookup table'!$A$2:$B$19,2,FALSE)</f>
        <v>#N/A</v>
      </c>
      <c r="E4753" t="str">
        <f t="shared" si="74"/>
        <v/>
      </c>
    </row>
    <row r="4754" spans="1:5" x14ac:dyDescent="0.2">
      <c r="A4754" t="s">
        <v>1309</v>
      </c>
      <c r="B4754" t="s">
        <v>1310</v>
      </c>
      <c r="C4754" t="s">
        <v>5</v>
      </c>
      <c r="D4754" t="e">
        <f>VLOOKUP(C4754,'lookup table'!$A$2:$B$19,2,FALSE)</f>
        <v>#N/A</v>
      </c>
      <c r="E4754" t="str">
        <f t="shared" si="74"/>
        <v/>
      </c>
    </row>
    <row r="4755" spans="1:5" x14ac:dyDescent="0.2">
      <c r="A4755" t="s">
        <v>1309</v>
      </c>
      <c r="B4755" t="s">
        <v>1310</v>
      </c>
      <c r="C4755" t="s">
        <v>6</v>
      </c>
      <c r="D4755" t="e">
        <f>VLOOKUP(C4755,'lookup table'!$A$2:$B$19,2,FALSE)</f>
        <v>#N/A</v>
      </c>
      <c r="E4755" t="str">
        <f t="shared" si="74"/>
        <v/>
      </c>
    </row>
    <row r="4756" spans="1:5" x14ac:dyDescent="0.2">
      <c r="A4756" t="s">
        <v>1309</v>
      </c>
      <c r="B4756" t="s">
        <v>1310</v>
      </c>
      <c r="C4756" t="s">
        <v>9</v>
      </c>
      <c r="D4756" t="e">
        <f>VLOOKUP(C4756,'lookup table'!$A$2:$B$19,2,FALSE)</f>
        <v>#N/A</v>
      </c>
      <c r="E4756" t="str">
        <f t="shared" si="74"/>
        <v/>
      </c>
    </row>
    <row r="4757" spans="1:5" x14ac:dyDescent="0.2">
      <c r="A4757" t="s">
        <v>1309</v>
      </c>
      <c r="B4757" t="s">
        <v>1310</v>
      </c>
      <c r="C4757" t="s">
        <v>10</v>
      </c>
      <c r="D4757" t="e">
        <f>VLOOKUP(C4757,'lookup table'!$A$2:$B$19,2,FALSE)</f>
        <v>#N/A</v>
      </c>
      <c r="E4757" t="str">
        <f t="shared" si="74"/>
        <v/>
      </c>
    </row>
    <row r="4758" spans="1:5" x14ac:dyDescent="0.2">
      <c r="A4758" t="s">
        <v>1309</v>
      </c>
      <c r="B4758" t="s">
        <v>1310</v>
      </c>
      <c r="C4758" t="s">
        <v>11</v>
      </c>
      <c r="D4758" t="e">
        <f>VLOOKUP(C4758,'lookup table'!$A$2:$B$19,2,FALSE)</f>
        <v>#N/A</v>
      </c>
      <c r="E4758" t="str">
        <f t="shared" si="74"/>
        <v/>
      </c>
    </row>
    <row r="4759" spans="1:5" x14ac:dyDescent="0.2">
      <c r="A4759" t="s">
        <v>1309</v>
      </c>
      <c r="B4759" t="s">
        <v>1310</v>
      </c>
      <c r="C4759" t="s">
        <v>12</v>
      </c>
      <c r="D4759" t="e">
        <f>VLOOKUP(C4759,'lookup table'!$A$2:$B$19,2,FALSE)</f>
        <v>#N/A</v>
      </c>
      <c r="E4759" t="str">
        <f t="shared" si="74"/>
        <v/>
      </c>
    </row>
    <row r="4760" spans="1:5" x14ac:dyDescent="0.2">
      <c r="A4760" t="s">
        <v>1309</v>
      </c>
      <c r="B4760" t="s">
        <v>1310</v>
      </c>
      <c r="C4760" t="s">
        <v>14</v>
      </c>
      <c r="D4760" t="str">
        <f>VLOOKUP(C4760,'lookup table'!$A$2:$B$19,2,FALSE)</f>
        <v>ALC</v>
      </c>
      <c r="E4760" t="str">
        <f t="shared" si="74"/>
        <v>DR1VAR_00|ALC</v>
      </c>
    </row>
    <row r="4761" spans="1:5" x14ac:dyDescent="0.2">
      <c r="A4761" t="s">
        <v>1309</v>
      </c>
      <c r="B4761" t="s">
        <v>1310</v>
      </c>
      <c r="C4761" t="s">
        <v>20</v>
      </c>
      <c r="D4761" t="str">
        <f>VLOOKUP(C4761,'lookup table'!$A$2:$B$19,2,FALSE)</f>
        <v>AY</v>
      </c>
      <c r="E4761" t="str">
        <f t="shared" si="74"/>
        <v>DR1VAR_00|AY</v>
      </c>
    </row>
    <row r="4762" spans="1:5" x14ac:dyDescent="0.2">
      <c r="A4762" t="s">
        <v>1309</v>
      </c>
      <c r="B4762" t="s">
        <v>1310</v>
      </c>
      <c r="C4762" t="s">
        <v>324</v>
      </c>
      <c r="D4762" t="e">
        <f>VLOOKUP(C4762,'lookup table'!$A$2:$B$19,2,FALSE)</f>
        <v>#N/A</v>
      </c>
      <c r="E4762" t="str">
        <f t="shared" si="74"/>
        <v/>
      </c>
    </row>
    <row r="4763" spans="1:5" x14ac:dyDescent="0.2">
      <c r="A4763" t="s">
        <v>1309</v>
      </c>
      <c r="B4763" t="s">
        <v>1310</v>
      </c>
      <c r="C4763" t="s">
        <v>325</v>
      </c>
      <c r="D4763" t="e">
        <f>VLOOKUP(C4763,'lookup table'!$A$2:$B$19,2,FALSE)</f>
        <v>#N/A</v>
      </c>
      <c r="E4763" t="str">
        <f t="shared" si="74"/>
        <v/>
      </c>
    </row>
    <row r="4764" spans="1:5" x14ac:dyDescent="0.2">
      <c r="A4764" t="s">
        <v>1309</v>
      </c>
      <c r="B4764" t="s">
        <v>1310</v>
      </c>
      <c r="C4764" t="s">
        <v>326</v>
      </c>
      <c r="D4764" t="e">
        <f>VLOOKUP(C4764,'lookup table'!$A$2:$B$19,2,FALSE)</f>
        <v>#N/A</v>
      </c>
      <c r="E4764" t="str">
        <f t="shared" si="74"/>
        <v/>
      </c>
    </row>
    <row r="4765" spans="1:5" x14ac:dyDescent="0.2">
      <c r="A4765" t="s">
        <v>1309</v>
      </c>
      <c r="B4765" t="s">
        <v>1310</v>
      </c>
      <c r="C4765" t="s">
        <v>327</v>
      </c>
      <c r="D4765" t="e">
        <f>VLOOKUP(C4765,'lookup table'!$A$2:$B$19,2,FALSE)</f>
        <v>#N/A</v>
      </c>
      <c r="E4765" t="str">
        <f t="shared" si="74"/>
        <v/>
      </c>
    </row>
    <row r="4766" spans="1:5" x14ac:dyDescent="0.2">
      <c r="A4766" t="s">
        <v>1309</v>
      </c>
      <c r="B4766" t="s">
        <v>1310</v>
      </c>
      <c r="C4766" t="s">
        <v>328</v>
      </c>
      <c r="D4766" t="e">
        <f>VLOOKUP(C4766,'lookup table'!$A$2:$B$19,2,FALSE)</f>
        <v>#N/A</v>
      </c>
      <c r="E4766" t="str">
        <f t="shared" si="74"/>
        <v/>
      </c>
    </row>
    <row r="4767" spans="1:5" x14ac:dyDescent="0.2">
      <c r="A4767" t="s">
        <v>1309</v>
      </c>
      <c r="B4767" t="s">
        <v>1310</v>
      </c>
      <c r="C4767" t="s">
        <v>329</v>
      </c>
      <c r="D4767" t="e">
        <f>VLOOKUP(C4767,'lookup table'!$A$2:$B$19,2,FALSE)</f>
        <v>#N/A</v>
      </c>
      <c r="E4767" t="str">
        <f t="shared" si="74"/>
        <v/>
      </c>
    </row>
    <row r="4768" spans="1:5" x14ac:dyDescent="0.2">
      <c r="A4768" t="s">
        <v>1309</v>
      </c>
      <c r="B4768" t="s">
        <v>1310</v>
      </c>
      <c r="C4768" t="s">
        <v>331</v>
      </c>
      <c r="D4768" t="str">
        <f>VLOOKUP(C4768,'lookup table'!$A$2:$B$19,2,FALSE)</f>
        <v>FS Item</v>
      </c>
      <c r="E4768" t="str">
        <f t="shared" si="74"/>
        <v>DR1VAR_00|FS Item</v>
      </c>
    </row>
    <row r="4769" spans="1:5" x14ac:dyDescent="0.2">
      <c r="A4769" t="s">
        <v>1309</v>
      </c>
      <c r="B4769" t="s">
        <v>1310</v>
      </c>
      <c r="C4769" t="s">
        <v>422</v>
      </c>
      <c r="D4769" t="e">
        <f>VLOOKUP(C4769,'lookup table'!$A$2:$B$19,2,FALSE)</f>
        <v>#N/A</v>
      </c>
      <c r="E4769" t="str">
        <f t="shared" si="74"/>
        <v/>
      </c>
    </row>
    <row r="4770" spans="1:5" x14ac:dyDescent="0.2">
      <c r="A4770" t="s">
        <v>1309</v>
      </c>
      <c r="B4770" t="s">
        <v>1310</v>
      </c>
      <c r="C4770" t="s">
        <v>423</v>
      </c>
      <c r="D4770" t="str">
        <f>VLOOKUP(C4770,'lookup table'!$A$2:$B$19,2,FALSE)</f>
        <v>ignore</v>
      </c>
      <c r="E4770" t="str">
        <f t="shared" si="74"/>
        <v>DR1VAR_00|ignore</v>
      </c>
    </row>
    <row r="4771" spans="1:5" x14ac:dyDescent="0.2">
      <c r="A4771" t="s">
        <v>1309</v>
      </c>
      <c r="B4771" t="s">
        <v>1310</v>
      </c>
      <c r="C4771" t="s">
        <v>424</v>
      </c>
      <c r="D4771" t="str">
        <f>VLOOKUP(C4771,'lookup table'!$A$2:$B$19,2,FALSE)</f>
        <v>GRC</v>
      </c>
      <c r="E4771" t="str">
        <f t="shared" si="74"/>
        <v>DR1VAR_00|GRC</v>
      </c>
    </row>
    <row r="4772" spans="1:5" x14ac:dyDescent="0.2">
      <c r="A4772" t="s">
        <v>1309</v>
      </c>
      <c r="B4772" t="s">
        <v>1310</v>
      </c>
      <c r="C4772" t="s">
        <v>425</v>
      </c>
      <c r="D4772" t="str">
        <f>VLOOKUP(C4772,'lookup table'!$A$2:$B$19,2,FALSE)</f>
        <v>Investee Segment</v>
      </c>
      <c r="E4772" t="str">
        <f t="shared" si="74"/>
        <v>DR1VAR_00|Investee Segment</v>
      </c>
    </row>
    <row r="4773" spans="1:5" x14ac:dyDescent="0.2">
      <c r="A4773" t="s">
        <v>1309</v>
      </c>
      <c r="B4773" t="s">
        <v>1310</v>
      </c>
      <c r="C4773" t="s">
        <v>426</v>
      </c>
      <c r="D4773" t="str">
        <f>VLOOKUP(C4773,'lookup table'!$A$2:$B$19,2,FALSE)</f>
        <v>Investee Unit</v>
      </c>
      <c r="E4773" t="str">
        <f t="shared" si="74"/>
        <v>DR1VAR_00|Investee Unit</v>
      </c>
    </row>
    <row r="4774" spans="1:5" x14ac:dyDescent="0.2">
      <c r="A4774" t="s">
        <v>1309</v>
      </c>
      <c r="B4774" t="s">
        <v>1310</v>
      </c>
      <c r="C4774" t="s">
        <v>428</v>
      </c>
      <c r="D4774" t="str">
        <f>VLOOKUP(C4774,'lookup table'!$A$2:$B$19,2,FALSE)</f>
        <v>LoB</v>
      </c>
      <c r="E4774" t="str">
        <f t="shared" si="74"/>
        <v>DR1VAR_00|LoB</v>
      </c>
    </row>
    <row r="4775" spans="1:5" x14ac:dyDescent="0.2">
      <c r="A4775" t="s">
        <v>1309</v>
      </c>
      <c r="B4775" t="s">
        <v>1310</v>
      </c>
      <c r="C4775" t="s">
        <v>436</v>
      </c>
      <c r="D4775" t="str">
        <f>VLOOKUP(C4775,'lookup table'!$A$2:$B$19,2,FALSE)</f>
        <v>MAT</v>
      </c>
      <c r="E4775" t="str">
        <f t="shared" si="74"/>
        <v>DR1VAR_00|MAT</v>
      </c>
    </row>
    <row r="4776" spans="1:5" x14ac:dyDescent="0.2">
      <c r="A4776" t="s">
        <v>1309</v>
      </c>
      <c r="B4776" t="s">
        <v>1310</v>
      </c>
      <c r="C4776" t="s">
        <v>438</v>
      </c>
      <c r="D4776" t="str">
        <f>VLOOKUP(C4776,'lookup table'!$A$2:$B$19,2,FALSE)</f>
        <v>ToM</v>
      </c>
      <c r="E4776" t="str">
        <f t="shared" si="74"/>
        <v>DR1VAR_00|ToM</v>
      </c>
    </row>
    <row r="4777" spans="1:5" x14ac:dyDescent="0.2">
      <c r="A4777" t="s">
        <v>1309</v>
      </c>
      <c r="B4777" t="s">
        <v>1310</v>
      </c>
      <c r="C4777" t="s">
        <v>441</v>
      </c>
      <c r="D4777" t="str">
        <f>VLOOKUP(C4777,'lookup table'!$A$2:$B$19,2,FALSE)</f>
        <v>Partner Segment</v>
      </c>
      <c r="E4777" t="str">
        <f t="shared" si="74"/>
        <v>DR1VAR_00|Partner Segment</v>
      </c>
    </row>
    <row r="4778" spans="1:5" x14ac:dyDescent="0.2">
      <c r="A4778" t="s">
        <v>1309</v>
      </c>
      <c r="B4778" t="s">
        <v>1310</v>
      </c>
      <c r="C4778" t="s">
        <v>442</v>
      </c>
      <c r="D4778" t="str">
        <f>VLOOKUP(C4778,'lookup table'!$A$2:$B$19,2,FALSE)</f>
        <v>Partner Unit</v>
      </c>
      <c r="E4778" t="str">
        <f t="shared" si="74"/>
        <v>DR1VAR_00|Partner Unit</v>
      </c>
    </row>
    <row r="4779" spans="1:5" x14ac:dyDescent="0.2">
      <c r="A4779" t="s">
        <v>1309</v>
      </c>
      <c r="B4779" t="s">
        <v>1310</v>
      </c>
      <c r="C4779" t="s">
        <v>447</v>
      </c>
      <c r="D4779" t="str">
        <f>VLOOKUP(C4779,'lookup table'!$A$2:$B$19,2,FALSE)</f>
        <v>REX</v>
      </c>
      <c r="E4779" t="str">
        <f t="shared" si="74"/>
        <v>DR1VAR_00|REX</v>
      </c>
    </row>
    <row r="4780" spans="1:5" x14ac:dyDescent="0.2">
      <c r="A4780" t="s">
        <v>1309</v>
      </c>
      <c r="B4780" t="s">
        <v>1310</v>
      </c>
      <c r="C4780" t="s">
        <v>448</v>
      </c>
      <c r="D4780" t="e">
        <f>VLOOKUP(C4780,'lookup table'!$A$2:$B$19,2,FALSE)</f>
        <v>#N/A</v>
      </c>
      <c r="E4780" t="str">
        <f t="shared" si="74"/>
        <v/>
      </c>
    </row>
    <row r="4781" spans="1:5" x14ac:dyDescent="0.2">
      <c r="A4781" t="s">
        <v>1309</v>
      </c>
      <c r="B4781" t="s">
        <v>1310</v>
      </c>
      <c r="C4781" t="s">
        <v>449</v>
      </c>
      <c r="D4781" t="e">
        <f>VLOOKUP(C4781,'lookup table'!$A$2:$B$19,2,FALSE)</f>
        <v>#N/A</v>
      </c>
      <c r="E4781" t="str">
        <f t="shared" si="74"/>
        <v/>
      </c>
    </row>
    <row r="4782" spans="1:5" x14ac:dyDescent="0.2">
      <c r="A4782" t="s">
        <v>1309</v>
      </c>
      <c r="B4782" t="s">
        <v>1310</v>
      </c>
      <c r="C4782" t="s">
        <v>451</v>
      </c>
      <c r="D4782" t="str">
        <f>VLOOKUP(C4782,'lookup table'!$A$2:$B$19,2,FALSE)</f>
        <v>Segment</v>
      </c>
      <c r="E4782" t="str">
        <f t="shared" si="74"/>
        <v>DR1VAR_00|Segment</v>
      </c>
    </row>
    <row r="4783" spans="1:5" x14ac:dyDescent="0.2">
      <c r="A4783" t="s">
        <v>1309</v>
      </c>
      <c r="B4783" t="s">
        <v>1310</v>
      </c>
      <c r="C4783" t="s">
        <v>455</v>
      </c>
      <c r="D4783" t="e">
        <f>VLOOKUP(C4783,'lookup table'!$A$2:$B$19,2,FALSE)</f>
        <v>#N/A</v>
      </c>
      <c r="E4783" t="str">
        <f t="shared" si="74"/>
        <v/>
      </c>
    </row>
    <row r="4784" spans="1:5" x14ac:dyDescent="0.2">
      <c r="A4784" t="s">
        <v>1309</v>
      </c>
      <c r="B4784" t="s">
        <v>1310</v>
      </c>
      <c r="C4784" t="s">
        <v>456</v>
      </c>
      <c r="D4784" t="e">
        <f>VLOOKUP(C4784,'lookup table'!$A$2:$B$19,2,FALSE)</f>
        <v>#N/A</v>
      </c>
      <c r="E4784" t="str">
        <f t="shared" si="74"/>
        <v/>
      </c>
    </row>
    <row r="4785" spans="1:5" x14ac:dyDescent="0.2">
      <c r="A4785" t="s">
        <v>1309</v>
      </c>
      <c r="B4785" t="s">
        <v>1310</v>
      </c>
      <c r="C4785" t="s">
        <v>457</v>
      </c>
      <c r="D4785" t="str">
        <f>VLOOKUP(C4785,'lookup table'!$A$2:$B$19,2,FALSE)</f>
        <v>VLT</v>
      </c>
      <c r="E4785" t="str">
        <f t="shared" si="74"/>
        <v>DR1VAR_00|VLT</v>
      </c>
    </row>
    <row r="4786" spans="1:5" x14ac:dyDescent="0.2">
      <c r="A4786" t="s">
        <v>1309</v>
      </c>
      <c r="B4786" t="s">
        <v>1310</v>
      </c>
      <c r="C4786" t="s">
        <v>458</v>
      </c>
      <c r="D4786" t="str">
        <f>VLOOKUP(C4786,'lookup table'!$A$2:$B$19,2,FALSE)</f>
        <v>VAR</v>
      </c>
      <c r="E4786" t="str">
        <f t="shared" si="74"/>
        <v>DR1VAR_00|VAR</v>
      </c>
    </row>
    <row r="4787" spans="1:5" x14ac:dyDescent="0.2">
      <c r="A4787" t="s">
        <v>1309</v>
      </c>
      <c r="B4787" t="s">
        <v>1310</v>
      </c>
      <c r="C4787" t="s">
        <v>459</v>
      </c>
      <c r="D4787" t="e">
        <f>VLOOKUP(C4787,'lookup table'!$A$2:$B$19,2,FALSE)</f>
        <v>#N/A</v>
      </c>
      <c r="E4787" t="str">
        <f t="shared" si="74"/>
        <v/>
      </c>
    </row>
    <row r="4788" spans="1:5" x14ac:dyDescent="0.2">
      <c r="A4788" t="s">
        <v>1309</v>
      </c>
      <c r="B4788" t="s">
        <v>1310</v>
      </c>
      <c r="C4788" t="s">
        <v>460</v>
      </c>
      <c r="D4788" t="e">
        <f>VLOOKUP(C4788,'lookup table'!$A$2:$B$19,2,FALSE)</f>
        <v>#N/A</v>
      </c>
      <c r="E4788" t="str">
        <f t="shared" si="74"/>
        <v/>
      </c>
    </row>
    <row r="4789" spans="1:5" x14ac:dyDescent="0.2">
      <c r="A4789" t="s">
        <v>1309</v>
      </c>
      <c r="B4789" t="s">
        <v>1310</v>
      </c>
      <c r="C4789" t="s">
        <v>461</v>
      </c>
      <c r="D4789" t="str">
        <f>VLOOKUP(C4789,'lookup table'!$A$2:$B$19,2,FALSE)</f>
        <v>Posting Level</v>
      </c>
      <c r="E4789" t="str">
        <f t="shared" si="74"/>
        <v>DR1VAR_00|Posting Level</v>
      </c>
    </row>
    <row r="4790" spans="1:5" x14ac:dyDescent="0.2">
      <c r="A4790" t="s">
        <v>1309</v>
      </c>
      <c r="B4790" t="s">
        <v>1310</v>
      </c>
      <c r="C4790" t="s">
        <v>462</v>
      </c>
      <c r="D4790" t="e">
        <f>VLOOKUP(C4790,'lookup table'!$A$2:$B$19,2,FALSE)</f>
        <v>#N/A</v>
      </c>
      <c r="E4790" t="str">
        <f t="shared" si="74"/>
        <v/>
      </c>
    </row>
    <row r="4791" spans="1:5" x14ac:dyDescent="0.2">
      <c r="A4791" t="s">
        <v>1309</v>
      </c>
      <c r="B4791" t="s">
        <v>1310</v>
      </c>
      <c r="C4791" t="s">
        <v>463</v>
      </c>
      <c r="D4791" t="e">
        <f>VLOOKUP(C4791,'lookup table'!$A$2:$B$19,2,FALSE)</f>
        <v>#N/A</v>
      </c>
      <c r="E4791" t="str">
        <f t="shared" si="74"/>
        <v/>
      </c>
    </row>
    <row r="4792" spans="1:5" x14ac:dyDescent="0.2">
      <c r="A4792" t="s">
        <v>1309</v>
      </c>
      <c r="B4792" t="s">
        <v>1310</v>
      </c>
      <c r="C4792" t="s">
        <v>464</v>
      </c>
      <c r="D4792" t="e">
        <f>VLOOKUP(C4792,'lookup table'!$A$2:$B$19,2,FALSE)</f>
        <v>#N/A</v>
      </c>
      <c r="E4792" t="str">
        <f t="shared" si="74"/>
        <v/>
      </c>
    </row>
    <row r="4793" spans="1:5" x14ac:dyDescent="0.2">
      <c r="A4793" t="s">
        <v>1309</v>
      </c>
      <c r="B4793" t="s">
        <v>1310</v>
      </c>
      <c r="C4793" t="s">
        <v>465</v>
      </c>
      <c r="D4793" t="e">
        <f>VLOOKUP(C4793,'lookup table'!$A$2:$B$19,2,FALSE)</f>
        <v>#N/A</v>
      </c>
      <c r="E4793" t="str">
        <f t="shared" si="74"/>
        <v/>
      </c>
    </row>
    <row r="4794" spans="1:5" x14ac:dyDescent="0.2">
      <c r="A4794" t="s">
        <v>1311</v>
      </c>
      <c r="B4794" t="s">
        <v>1312</v>
      </c>
      <c r="C4794" t="s">
        <v>2</v>
      </c>
      <c r="D4794" t="e">
        <f>VLOOKUP(C4794,'lookup table'!$A$2:$B$19,2,FALSE)</f>
        <v>#N/A</v>
      </c>
      <c r="E4794" t="str">
        <f t="shared" si="74"/>
        <v/>
      </c>
    </row>
    <row r="4795" spans="1:5" x14ac:dyDescent="0.2">
      <c r="A4795" t="s">
        <v>1311</v>
      </c>
      <c r="B4795" t="s">
        <v>1312</v>
      </c>
      <c r="C4795" t="s">
        <v>5</v>
      </c>
      <c r="D4795" t="e">
        <f>VLOOKUP(C4795,'lookup table'!$A$2:$B$19,2,FALSE)</f>
        <v>#N/A</v>
      </c>
      <c r="E4795" t="str">
        <f t="shared" si="74"/>
        <v/>
      </c>
    </row>
    <row r="4796" spans="1:5" x14ac:dyDescent="0.2">
      <c r="A4796" t="s">
        <v>1311</v>
      </c>
      <c r="B4796" t="s">
        <v>1312</v>
      </c>
      <c r="C4796" t="s">
        <v>6</v>
      </c>
      <c r="D4796" t="e">
        <f>VLOOKUP(C4796,'lookup table'!$A$2:$B$19,2,FALSE)</f>
        <v>#N/A</v>
      </c>
      <c r="E4796" t="str">
        <f t="shared" si="74"/>
        <v/>
      </c>
    </row>
    <row r="4797" spans="1:5" x14ac:dyDescent="0.2">
      <c r="A4797" t="s">
        <v>1311</v>
      </c>
      <c r="B4797" t="s">
        <v>1312</v>
      </c>
      <c r="C4797" t="s">
        <v>9</v>
      </c>
      <c r="D4797" t="e">
        <f>VLOOKUP(C4797,'lookup table'!$A$2:$B$19,2,FALSE)</f>
        <v>#N/A</v>
      </c>
      <c r="E4797" t="str">
        <f t="shared" si="74"/>
        <v/>
      </c>
    </row>
    <row r="4798" spans="1:5" x14ac:dyDescent="0.2">
      <c r="A4798" t="s">
        <v>1311</v>
      </c>
      <c r="B4798" t="s">
        <v>1312</v>
      </c>
      <c r="C4798" t="s">
        <v>10</v>
      </c>
      <c r="D4798" t="e">
        <f>VLOOKUP(C4798,'lookup table'!$A$2:$B$19,2,FALSE)</f>
        <v>#N/A</v>
      </c>
      <c r="E4798" t="str">
        <f t="shared" si="74"/>
        <v/>
      </c>
    </row>
    <row r="4799" spans="1:5" x14ac:dyDescent="0.2">
      <c r="A4799" t="s">
        <v>1311</v>
      </c>
      <c r="B4799" t="s">
        <v>1312</v>
      </c>
      <c r="C4799" t="s">
        <v>11</v>
      </c>
      <c r="D4799" t="e">
        <f>VLOOKUP(C4799,'lookup table'!$A$2:$B$19,2,FALSE)</f>
        <v>#N/A</v>
      </c>
      <c r="E4799" t="str">
        <f t="shared" si="74"/>
        <v/>
      </c>
    </row>
    <row r="4800" spans="1:5" x14ac:dyDescent="0.2">
      <c r="A4800" t="s">
        <v>1311</v>
      </c>
      <c r="B4800" t="s">
        <v>1312</v>
      </c>
      <c r="C4800" t="s">
        <v>12</v>
      </c>
      <c r="D4800" t="e">
        <f>VLOOKUP(C4800,'lookup table'!$A$2:$B$19,2,FALSE)</f>
        <v>#N/A</v>
      </c>
      <c r="E4800" t="str">
        <f t="shared" si="74"/>
        <v/>
      </c>
    </row>
    <row r="4801" spans="1:5" x14ac:dyDescent="0.2">
      <c r="A4801" t="s">
        <v>1311</v>
      </c>
      <c r="B4801" t="s">
        <v>1312</v>
      </c>
      <c r="C4801" t="s">
        <v>14</v>
      </c>
      <c r="D4801" t="str">
        <f>VLOOKUP(C4801,'lookup table'!$A$2:$B$19,2,FALSE)</f>
        <v>ALC</v>
      </c>
      <c r="E4801" t="str">
        <f t="shared" si="74"/>
        <v>DR2ACY_00|ALC</v>
      </c>
    </row>
    <row r="4802" spans="1:5" x14ac:dyDescent="0.2">
      <c r="A4802" t="s">
        <v>1311</v>
      </c>
      <c r="B4802" t="s">
        <v>1312</v>
      </c>
      <c r="C4802" t="s">
        <v>20</v>
      </c>
      <c r="D4802" t="str">
        <f>VLOOKUP(C4802,'lookup table'!$A$2:$B$19,2,FALSE)</f>
        <v>AY</v>
      </c>
      <c r="E4802" t="str">
        <f t="shared" si="74"/>
        <v>DR2ACY_00|AY</v>
      </c>
    </row>
    <row r="4803" spans="1:5" x14ac:dyDescent="0.2">
      <c r="A4803" t="s">
        <v>1311</v>
      </c>
      <c r="B4803" t="s">
        <v>1312</v>
      </c>
      <c r="C4803" t="s">
        <v>324</v>
      </c>
      <c r="D4803" t="e">
        <f>VLOOKUP(C4803,'lookup table'!$A$2:$B$19,2,FALSE)</f>
        <v>#N/A</v>
      </c>
      <c r="E4803" t="str">
        <f t="shared" ref="E4803:E4866" si="75">IF(ISNA(D4803),"",IF(A4803="","",A4803) &amp; "|" &amp; D4803)</f>
        <v/>
      </c>
    </row>
    <row r="4804" spans="1:5" x14ac:dyDescent="0.2">
      <c r="A4804" t="s">
        <v>1311</v>
      </c>
      <c r="B4804" t="s">
        <v>1312</v>
      </c>
      <c r="C4804" t="s">
        <v>325</v>
      </c>
      <c r="D4804" t="e">
        <f>VLOOKUP(C4804,'lookup table'!$A$2:$B$19,2,FALSE)</f>
        <v>#N/A</v>
      </c>
      <c r="E4804" t="str">
        <f t="shared" si="75"/>
        <v/>
      </c>
    </row>
    <row r="4805" spans="1:5" x14ac:dyDescent="0.2">
      <c r="A4805" t="s">
        <v>1311</v>
      </c>
      <c r="B4805" t="s">
        <v>1312</v>
      </c>
      <c r="C4805" t="s">
        <v>326</v>
      </c>
      <c r="D4805" t="e">
        <f>VLOOKUP(C4805,'lookup table'!$A$2:$B$19,2,FALSE)</f>
        <v>#N/A</v>
      </c>
      <c r="E4805" t="str">
        <f t="shared" si="75"/>
        <v/>
      </c>
    </row>
    <row r="4806" spans="1:5" x14ac:dyDescent="0.2">
      <c r="A4806" t="s">
        <v>1311</v>
      </c>
      <c r="B4806" t="s">
        <v>1312</v>
      </c>
      <c r="C4806" t="s">
        <v>327</v>
      </c>
      <c r="D4806" t="e">
        <f>VLOOKUP(C4806,'lookup table'!$A$2:$B$19,2,FALSE)</f>
        <v>#N/A</v>
      </c>
      <c r="E4806" t="str">
        <f t="shared" si="75"/>
        <v/>
      </c>
    </row>
    <row r="4807" spans="1:5" x14ac:dyDescent="0.2">
      <c r="A4807" t="s">
        <v>1311</v>
      </c>
      <c r="B4807" t="s">
        <v>1312</v>
      </c>
      <c r="C4807" t="s">
        <v>328</v>
      </c>
      <c r="D4807" t="e">
        <f>VLOOKUP(C4807,'lookup table'!$A$2:$B$19,2,FALSE)</f>
        <v>#N/A</v>
      </c>
      <c r="E4807" t="str">
        <f t="shared" si="75"/>
        <v/>
      </c>
    </row>
    <row r="4808" spans="1:5" x14ac:dyDescent="0.2">
      <c r="A4808" t="s">
        <v>1311</v>
      </c>
      <c r="B4808" t="s">
        <v>1312</v>
      </c>
      <c r="C4808" t="s">
        <v>329</v>
      </c>
      <c r="D4808" t="e">
        <f>VLOOKUP(C4808,'lookup table'!$A$2:$B$19,2,FALSE)</f>
        <v>#N/A</v>
      </c>
      <c r="E4808" t="str">
        <f t="shared" si="75"/>
        <v/>
      </c>
    </row>
    <row r="4809" spans="1:5" x14ac:dyDescent="0.2">
      <c r="A4809" t="s">
        <v>1311</v>
      </c>
      <c r="B4809" t="s">
        <v>1312</v>
      </c>
      <c r="C4809" t="s">
        <v>331</v>
      </c>
      <c r="D4809" t="str">
        <f>VLOOKUP(C4809,'lookup table'!$A$2:$B$19,2,FALSE)</f>
        <v>FS Item</v>
      </c>
      <c r="E4809" t="str">
        <f t="shared" si="75"/>
        <v>DR2ACY_00|FS Item</v>
      </c>
    </row>
    <row r="4810" spans="1:5" x14ac:dyDescent="0.2">
      <c r="A4810" t="s">
        <v>1311</v>
      </c>
      <c r="B4810" t="s">
        <v>1312</v>
      </c>
      <c r="C4810" t="s">
        <v>422</v>
      </c>
      <c r="D4810" t="e">
        <f>VLOOKUP(C4810,'lookup table'!$A$2:$B$19,2,FALSE)</f>
        <v>#N/A</v>
      </c>
      <c r="E4810" t="str">
        <f t="shared" si="75"/>
        <v/>
      </c>
    </row>
    <row r="4811" spans="1:5" x14ac:dyDescent="0.2">
      <c r="A4811" t="s">
        <v>1311</v>
      </c>
      <c r="B4811" t="s">
        <v>1312</v>
      </c>
      <c r="C4811" t="s">
        <v>423</v>
      </c>
      <c r="D4811" t="str">
        <f>VLOOKUP(C4811,'lookup table'!$A$2:$B$19,2,FALSE)</f>
        <v>ignore</v>
      </c>
      <c r="E4811" t="str">
        <f t="shared" si="75"/>
        <v>DR2ACY_00|ignore</v>
      </c>
    </row>
    <row r="4812" spans="1:5" x14ac:dyDescent="0.2">
      <c r="A4812" t="s">
        <v>1311</v>
      </c>
      <c r="B4812" t="s">
        <v>1312</v>
      </c>
      <c r="C4812" t="s">
        <v>424</v>
      </c>
      <c r="D4812" t="str">
        <f>VLOOKUP(C4812,'lookup table'!$A$2:$B$19,2,FALSE)</f>
        <v>GRC</v>
      </c>
      <c r="E4812" t="str">
        <f t="shared" si="75"/>
        <v>DR2ACY_00|GRC</v>
      </c>
    </row>
    <row r="4813" spans="1:5" x14ac:dyDescent="0.2">
      <c r="A4813" t="s">
        <v>1311</v>
      </c>
      <c r="B4813" t="s">
        <v>1312</v>
      </c>
      <c r="C4813" t="s">
        <v>425</v>
      </c>
      <c r="D4813" t="str">
        <f>VLOOKUP(C4813,'lookup table'!$A$2:$B$19,2,FALSE)</f>
        <v>Investee Segment</v>
      </c>
      <c r="E4813" t="str">
        <f t="shared" si="75"/>
        <v>DR2ACY_00|Investee Segment</v>
      </c>
    </row>
    <row r="4814" spans="1:5" x14ac:dyDescent="0.2">
      <c r="A4814" t="s">
        <v>1311</v>
      </c>
      <c r="B4814" t="s">
        <v>1312</v>
      </c>
      <c r="C4814" t="s">
        <v>426</v>
      </c>
      <c r="D4814" t="str">
        <f>VLOOKUP(C4814,'lookup table'!$A$2:$B$19,2,FALSE)</f>
        <v>Investee Unit</v>
      </c>
      <c r="E4814" t="str">
        <f t="shared" si="75"/>
        <v>DR2ACY_00|Investee Unit</v>
      </c>
    </row>
    <row r="4815" spans="1:5" x14ac:dyDescent="0.2">
      <c r="A4815" t="s">
        <v>1311</v>
      </c>
      <c r="B4815" t="s">
        <v>1312</v>
      </c>
      <c r="C4815" t="s">
        <v>428</v>
      </c>
      <c r="D4815" t="str">
        <f>VLOOKUP(C4815,'lookup table'!$A$2:$B$19,2,FALSE)</f>
        <v>LoB</v>
      </c>
      <c r="E4815" t="str">
        <f t="shared" si="75"/>
        <v>DR2ACY_00|LoB</v>
      </c>
    </row>
    <row r="4816" spans="1:5" x14ac:dyDescent="0.2">
      <c r="A4816" t="s">
        <v>1311</v>
      </c>
      <c r="B4816" t="s">
        <v>1312</v>
      </c>
      <c r="C4816" t="s">
        <v>436</v>
      </c>
      <c r="D4816" t="str">
        <f>VLOOKUP(C4816,'lookup table'!$A$2:$B$19,2,FALSE)</f>
        <v>MAT</v>
      </c>
      <c r="E4816" t="str">
        <f t="shared" si="75"/>
        <v>DR2ACY_00|MAT</v>
      </c>
    </row>
    <row r="4817" spans="1:5" x14ac:dyDescent="0.2">
      <c r="A4817" t="s">
        <v>1311</v>
      </c>
      <c r="B4817" t="s">
        <v>1312</v>
      </c>
      <c r="C4817" t="s">
        <v>441</v>
      </c>
      <c r="D4817" t="str">
        <f>VLOOKUP(C4817,'lookup table'!$A$2:$B$19,2,FALSE)</f>
        <v>Partner Segment</v>
      </c>
      <c r="E4817" t="str">
        <f t="shared" si="75"/>
        <v>DR2ACY_00|Partner Segment</v>
      </c>
    </row>
    <row r="4818" spans="1:5" x14ac:dyDescent="0.2">
      <c r="A4818" t="s">
        <v>1311</v>
      </c>
      <c r="B4818" t="s">
        <v>1312</v>
      </c>
      <c r="C4818" t="s">
        <v>442</v>
      </c>
      <c r="D4818" t="str">
        <f>VLOOKUP(C4818,'lookup table'!$A$2:$B$19,2,FALSE)</f>
        <v>Partner Unit</v>
      </c>
      <c r="E4818" t="str">
        <f t="shared" si="75"/>
        <v>DR2ACY_00|Partner Unit</v>
      </c>
    </row>
    <row r="4819" spans="1:5" x14ac:dyDescent="0.2">
      <c r="A4819" t="s">
        <v>1311</v>
      </c>
      <c r="B4819" t="s">
        <v>1312</v>
      </c>
      <c r="C4819" t="s">
        <v>447</v>
      </c>
      <c r="D4819" t="str">
        <f>VLOOKUP(C4819,'lookup table'!$A$2:$B$19,2,FALSE)</f>
        <v>REX</v>
      </c>
      <c r="E4819" t="str">
        <f t="shared" si="75"/>
        <v>DR2ACY_00|REX</v>
      </c>
    </row>
    <row r="4820" spans="1:5" x14ac:dyDescent="0.2">
      <c r="A4820" t="s">
        <v>1311</v>
      </c>
      <c r="B4820" t="s">
        <v>1312</v>
      </c>
      <c r="C4820" t="s">
        <v>448</v>
      </c>
      <c r="D4820" t="e">
        <f>VLOOKUP(C4820,'lookup table'!$A$2:$B$19,2,FALSE)</f>
        <v>#N/A</v>
      </c>
      <c r="E4820" t="str">
        <f t="shared" si="75"/>
        <v/>
      </c>
    </row>
    <row r="4821" spans="1:5" x14ac:dyDescent="0.2">
      <c r="A4821" t="s">
        <v>1311</v>
      </c>
      <c r="B4821" t="s">
        <v>1312</v>
      </c>
      <c r="C4821" t="s">
        <v>449</v>
      </c>
      <c r="D4821" t="e">
        <f>VLOOKUP(C4821,'lookup table'!$A$2:$B$19,2,FALSE)</f>
        <v>#N/A</v>
      </c>
      <c r="E4821" t="str">
        <f t="shared" si="75"/>
        <v/>
      </c>
    </row>
    <row r="4822" spans="1:5" x14ac:dyDescent="0.2">
      <c r="A4822" t="s">
        <v>1311</v>
      </c>
      <c r="B4822" t="s">
        <v>1312</v>
      </c>
      <c r="C4822" t="s">
        <v>451</v>
      </c>
      <c r="D4822" t="str">
        <f>VLOOKUP(C4822,'lookup table'!$A$2:$B$19,2,FALSE)</f>
        <v>Segment</v>
      </c>
      <c r="E4822" t="str">
        <f t="shared" si="75"/>
        <v>DR2ACY_00|Segment</v>
      </c>
    </row>
    <row r="4823" spans="1:5" x14ac:dyDescent="0.2">
      <c r="A4823" t="s">
        <v>1311</v>
      </c>
      <c r="B4823" t="s">
        <v>1312</v>
      </c>
      <c r="C4823" t="s">
        <v>455</v>
      </c>
      <c r="D4823" t="e">
        <f>VLOOKUP(C4823,'lookup table'!$A$2:$B$19,2,FALSE)</f>
        <v>#N/A</v>
      </c>
      <c r="E4823" t="str">
        <f t="shared" si="75"/>
        <v/>
      </c>
    </row>
    <row r="4824" spans="1:5" x14ac:dyDescent="0.2">
      <c r="A4824" t="s">
        <v>1311</v>
      </c>
      <c r="B4824" t="s">
        <v>1312</v>
      </c>
      <c r="C4824" t="s">
        <v>456</v>
      </c>
      <c r="D4824" t="e">
        <f>VLOOKUP(C4824,'lookup table'!$A$2:$B$19,2,FALSE)</f>
        <v>#N/A</v>
      </c>
      <c r="E4824" t="str">
        <f t="shared" si="75"/>
        <v/>
      </c>
    </row>
    <row r="4825" spans="1:5" x14ac:dyDescent="0.2">
      <c r="A4825" t="s">
        <v>1311</v>
      </c>
      <c r="B4825" t="s">
        <v>1312</v>
      </c>
      <c r="C4825" t="s">
        <v>457</v>
      </c>
      <c r="D4825" t="str">
        <f>VLOOKUP(C4825,'lookup table'!$A$2:$B$19,2,FALSE)</f>
        <v>VLT</v>
      </c>
      <c r="E4825" t="str">
        <f t="shared" si="75"/>
        <v>DR2ACY_00|VLT</v>
      </c>
    </row>
    <row r="4826" spans="1:5" x14ac:dyDescent="0.2">
      <c r="A4826" t="s">
        <v>1311</v>
      </c>
      <c r="B4826" t="s">
        <v>1312</v>
      </c>
      <c r="C4826" t="s">
        <v>458</v>
      </c>
      <c r="D4826" t="str">
        <f>VLOOKUP(C4826,'lookup table'!$A$2:$B$19,2,FALSE)</f>
        <v>VAR</v>
      </c>
      <c r="E4826" t="str">
        <f t="shared" si="75"/>
        <v>DR2ACY_00|VAR</v>
      </c>
    </row>
    <row r="4827" spans="1:5" x14ac:dyDescent="0.2">
      <c r="A4827" t="s">
        <v>1311</v>
      </c>
      <c r="B4827" t="s">
        <v>1312</v>
      </c>
      <c r="C4827" t="s">
        <v>459</v>
      </c>
      <c r="D4827" t="e">
        <f>VLOOKUP(C4827,'lookup table'!$A$2:$B$19,2,FALSE)</f>
        <v>#N/A</v>
      </c>
      <c r="E4827" t="str">
        <f t="shared" si="75"/>
        <v/>
      </c>
    </row>
    <row r="4828" spans="1:5" x14ac:dyDescent="0.2">
      <c r="A4828" t="s">
        <v>1311</v>
      </c>
      <c r="B4828" t="s">
        <v>1312</v>
      </c>
      <c r="C4828" t="s">
        <v>460</v>
      </c>
      <c r="D4828" t="e">
        <f>VLOOKUP(C4828,'lookup table'!$A$2:$B$19,2,FALSE)</f>
        <v>#N/A</v>
      </c>
      <c r="E4828" t="str">
        <f t="shared" si="75"/>
        <v/>
      </c>
    </row>
    <row r="4829" spans="1:5" x14ac:dyDescent="0.2">
      <c r="A4829" t="s">
        <v>1311</v>
      </c>
      <c r="B4829" t="s">
        <v>1312</v>
      </c>
      <c r="C4829" t="s">
        <v>461</v>
      </c>
      <c r="D4829" t="str">
        <f>VLOOKUP(C4829,'lookup table'!$A$2:$B$19,2,FALSE)</f>
        <v>Posting Level</v>
      </c>
      <c r="E4829" t="str">
        <f t="shared" si="75"/>
        <v>DR2ACY_00|Posting Level</v>
      </c>
    </row>
    <row r="4830" spans="1:5" x14ac:dyDescent="0.2">
      <c r="A4830" t="s">
        <v>1311</v>
      </c>
      <c r="B4830" t="s">
        <v>1312</v>
      </c>
      <c r="C4830" t="s">
        <v>462</v>
      </c>
      <c r="D4830" t="e">
        <f>VLOOKUP(C4830,'lookup table'!$A$2:$B$19,2,FALSE)</f>
        <v>#N/A</v>
      </c>
      <c r="E4830" t="str">
        <f t="shared" si="75"/>
        <v/>
      </c>
    </row>
    <row r="4831" spans="1:5" x14ac:dyDescent="0.2">
      <c r="A4831" t="s">
        <v>1311</v>
      </c>
      <c r="B4831" t="s">
        <v>1312</v>
      </c>
      <c r="C4831" t="s">
        <v>463</v>
      </c>
      <c r="D4831" t="e">
        <f>VLOOKUP(C4831,'lookup table'!$A$2:$B$19,2,FALSE)</f>
        <v>#N/A</v>
      </c>
      <c r="E4831" t="str">
        <f t="shared" si="75"/>
        <v/>
      </c>
    </row>
    <row r="4832" spans="1:5" x14ac:dyDescent="0.2">
      <c r="A4832" t="s">
        <v>1311</v>
      </c>
      <c r="B4832" t="s">
        <v>1312</v>
      </c>
      <c r="C4832" t="s">
        <v>464</v>
      </c>
      <c r="D4832" t="e">
        <f>VLOOKUP(C4832,'lookup table'!$A$2:$B$19,2,FALSE)</f>
        <v>#N/A</v>
      </c>
      <c r="E4832" t="str">
        <f t="shared" si="75"/>
        <v/>
      </c>
    </row>
    <row r="4833" spans="1:5" x14ac:dyDescent="0.2">
      <c r="A4833" t="s">
        <v>1311</v>
      </c>
      <c r="B4833" t="s">
        <v>1312</v>
      </c>
      <c r="C4833" t="s">
        <v>465</v>
      </c>
      <c r="D4833" t="e">
        <f>VLOOKUP(C4833,'lookup table'!$A$2:$B$19,2,FALSE)</f>
        <v>#N/A</v>
      </c>
      <c r="E4833" t="str">
        <f t="shared" si="75"/>
        <v/>
      </c>
    </row>
    <row r="4834" spans="1:5" x14ac:dyDescent="0.2">
      <c r="A4834" t="s">
        <v>1313</v>
      </c>
      <c r="B4834" t="s">
        <v>1314</v>
      </c>
      <c r="C4834" t="s">
        <v>2</v>
      </c>
      <c r="D4834" t="e">
        <f>VLOOKUP(C4834,'lookup table'!$A$2:$B$19,2,FALSE)</f>
        <v>#N/A</v>
      </c>
      <c r="E4834" t="str">
        <f t="shared" si="75"/>
        <v/>
      </c>
    </row>
    <row r="4835" spans="1:5" x14ac:dyDescent="0.2">
      <c r="A4835" t="s">
        <v>1313</v>
      </c>
      <c r="B4835" t="s">
        <v>1314</v>
      </c>
      <c r="C4835" t="s">
        <v>5</v>
      </c>
      <c r="D4835" t="e">
        <f>VLOOKUP(C4835,'lookup table'!$A$2:$B$19,2,FALSE)</f>
        <v>#N/A</v>
      </c>
      <c r="E4835" t="str">
        <f t="shared" si="75"/>
        <v/>
      </c>
    </row>
    <row r="4836" spans="1:5" x14ac:dyDescent="0.2">
      <c r="A4836" t="s">
        <v>1313</v>
      </c>
      <c r="B4836" t="s">
        <v>1314</v>
      </c>
      <c r="C4836" t="s">
        <v>6</v>
      </c>
      <c r="D4836" t="e">
        <f>VLOOKUP(C4836,'lookup table'!$A$2:$B$19,2,FALSE)</f>
        <v>#N/A</v>
      </c>
      <c r="E4836" t="str">
        <f t="shared" si="75"/>
        <v/>
      </c>
    </row>
    <row r="4837" spans="1:5" x14ac:dyDescent="0.2">
      <c r="A4837" t="s">
        <v>1313</v>
      </c>
      <c r="B4837" t="s">
        <v>1314</v>
      </c>
      <c r="C4837" t="s">
        <v>9</v>
      </c>
      <c r="D4837" t="e">
        <f>VLOOKUP(C4837,'lookup table'!$A$2:$B$19,2,FALSE)</f>
        <v>#N/A</v>
      </c>
      <c r="E4837" t="str">
        <f t="shared" si="75"/>
        <v/>
      </c>
    </row>
    <row r="4838" spans="1:5" x14ac:dyDescent="0.2">
      <c r="A4838" t="s">
        <v>1313</v>
      </c>
      <c r="B4838" t="s">
        <v>1314</v>
      </c>
      <c r="C4838" t="s">
        <v>10</v>
      </c>
      <c r="D4838" t="e">
        <f>VLOOKUP(C4838,'lookup table'!$A$2:$B$19,2,FALSE)</f>
        <v>#N/A</v>
      </c>
      <c r="E4838" t="str">
        <f t="shared" si="75"/>
        <v/>
      </c>
    </row>
    <row r="4839" spans="1:5" x14ac:dyDescent="0.2">
      <c r="A4839" t="s">
        <v>1313</v>
      </c>
      <c r="B4839" t="s">
        <v>1314</v>
      </c>
      <c r="C4839" t="s">
        <v>11</v>
      </c>
      <c r="D4839" t="e">
        <f>VLOOKUP(C4839,'lookup table'!$A$2:$B$19,2,FALSE)</f>
        <v>#N/A</v>
      </c>
      <c r="E4839" t="str">
        <f t="shared" si="75"/>
        <v/>
      </c>
    </row>
    <row r="4840" spans="1:5" x14ac:dyDescent="0.2">
      <c r="A4840" t="s">
        <v>1313</v>
      </c>
      <c r="B4840" t="s">
        <v>1314</v>
      </c>
      <c r="C4840" t="s">
        <v>12</v>
      </c>
      <c r="D4840" t="e">
        <f>VLOOKUP(C4840,'lookup table'!$A$2:$B$19,2,FALSE)</f>
        <v>#N/A</v>
      </c>
      <c r="E4840" t="str">
        <f t="shared" si="75"/>
        <v/>
      </c>
    </row>
    <row r="4841" spans="1:5" x14ac:dyDescent="0.2">
      <c r="A4841" t="s">
        <v>1313</v>
      </c>
      <c r="B4841" t="s">
        <v>1314</v>
      </c>
      <c r="C4841" t="s">
        <v>14</v>
      </c>
      <c r="D4841" t="str">
        <f>VLOOKUP(C4841,'lookup table'!$A$2:$B$19,2,FALSE)</f>
        <v>ALC</v>
      </c>
      <c r="E4841" t="str">
        <f t="shared" si="75"/>
        <v>DR2LOB_00|ALC</v>
      </c>
    </row>
    <row r="4842" spans="1:5" x14ac:dyDescent="0.2">
      <c r="A4842" t="s">
        <v>1313</v>
      </c>
      <c r="B4842" t="s">
        <v>1314</v>
      </c>
      <c r="C4842" t="s">
        <v>20</v>
      </c>
      <c r="D4842" t="str">
        <f>VLOOKUP(C4842,'lookup table'!$A$2:$B$19,2,FALSE)</f>
        <v>AY</v>
      </c>
      <c r="E4842" t="str">
        <f t="shared" si="75"/>
        <v>DR2LOB_00|AY</v>
      </c>
    </row>
    <row r="4843" spans="1:5" x14ac:dyDescent="0.2">
      <c r="A4843" t="s">
        <v>1313</v>
      </c>
      <c r="B4843" t="s">
        <v>1314</v>
      </c>
      <c r="C4843" t="s">
        <v>324</v>
      </c>
      <c r="D4843" t="e">
        <f>VLOOKUP(C4843,'lookup table'!$A$2:$B$19,2,FALSE)</f>
        <v>#N/A</v>
      </c>
      <c r="E4843" t="str">
        <f t="shared" si="75"/>
        <v/>
      </c>
    </row>
    <row r="4844" spans="1:5" x14ac:dyDescent="0.2">
      <c r="A4844" t="s">
        <v>1313</v>
      </c>
      <c r="B4844" t="s">
        <v>1314</v>
      </c>
      <c r="C4844" t="s">
        <v>325</v>
      </c>
      <c r="D4844" t="e">
        <f>VLOOKUP(C4844,'lookup table'!$A$2:$B$19,2,FALSE)</f>
        <v>#N/A</v>
      </c>
      <c r="E4844" t="str">
        <f t="shared" si="75"/>
        <v/>
      </c>
    </row>
    <row r="4845" spans="1:5" x14ac:dyDescent="0.2">
      <c r="A4845" t="s">
        <v>1313</v>
      </c>
      <c r="B4845" t="s">
        <v>1314</v>
      </c>
      <c r="C4845" t="s">
        <v>326</v>
      </c>
      <c r="D4845" t="e">
        <f>VLOOKUP(C4845,'lookup table'!$A$2:$B$19,2,FALSE)</f>
        <v>#N/A</v>
      </c>
      <c r="E4845" t="str">
        <f t="shared" si="75"/>
        <v/>
      </c>
    </row>
    <row r="4846" spans="1:5" x14ac:dyDescent="0.2">
      <c r="A4846" t="s">
        <v>1313</v>
      </c>
      <c r="B4846" t="s">
        <v>1314</v>
      </c>
      <c r="C4846" t="s">
        <v>327</v>
      </c>
      <c r="D4846" t="e">
        <f>VLOOKUP(C4846,'lookup table'!$A$2:$B$19,2,FALSE)</f>
        <v>#N/A</v>
      </c>
      <c r="E4846" t="str">
        <f t="shared" si="75"/>
        <v/>
      </c>
    </row>
    <row r="4847" spans="1:5" x14ac:dyDescent="0.2">
      <c r="A4847" t="s">
        <v>1313</v>
      </c>
      <c r="B4847" t="s">
        <v>1314</v>
      </c>
      <c r="C4847" t="s">
        <v>328</v>
      </c>
      <c r="D4847" t="e">
        <f>VLOOKUP(C4847,'lookup table'!$A$2:$B$19,2,FALSE)</f>
        <v>#N/A</v>
      </c>
      <c r="E4847" t="str">
        <f t="shared" si="75"/>
        <v/>
      </c>
    </row>
    <row r="4848" spans="1:5" x14ac:dyDescent="0.2">
      <c r="A4848" t="s">
        <v>1313</v>
      </c>
      <c r="B4848" t="s">
        <v>1314</v>
      </c>
      <c r="C4848" t="s">
        <v>329</v>
      </c>
      <c r="D4848" t="e">
        <f>VLOOKUP(C4848,'lookup table'!$A$2:$B$19,2,FALSE)</f>
        <v>#N/A</v>
      </c>
      <c r="E4848" t="str">
        <f t="shared" si="75"/>
        <v/>
      </c>
    </row>
    <row r="4849" spans="1:5" x14ac:dyDescent="0.2">
      <c r="A4849" t="s">
        <v>1313</v>
      </c>
      <c r="B4849" t="s">
        <v>1314</v>
      </c>
      <c r="C4849" t="s">
        <v>331</v>
      </c>
      <c r="D4849" t="str">
        <f>VLOOKUP(C4849,'lookup table'!$A$2:$B$19,2,FALSE)</f>
        <v>FS Item</v>
      </c>
      <c r="E4849" t="str">
        <f t="shared" si="75"/>
        <v>DR2LOB_00|FS Item</v>
      </c>
    </row>
    <row r="4850" spans="1:5" x14ac:dyDescent="0.2">
      <c r="A4850" t="s">
        <v>1313</v>
      </c>
      <c r="B4850" t="s">
        <v>1314</v>
      </c>
      <c r="C4850" t="s">
        <v>422</v>
      </c>
      <c r="D4850" t="e">
        <f>VLOOKUP(C4850,'lookup table'!$A$2:$B$19,2,FALSE)</f>
        <v>#N/A</v>
      </c>
      <c r="E4850" t="str">
        <f t="shared" si="75"/>
        <v/>
      </c>
    </row>
    <row r="4851" spans="1:5" x14ac:dyDescent="0.2">
      <c r="A4851" t="s">
        <v>1313</v>
      </c>
      <c r="B4851" t="s">
        <v>1314</v>
      </c>
      <c r="C4851" t="s">
        <v>423</v>
      </c>
      <c r="D4851" t="str">
        <f>VLOOKUP(C4851,'lookup table'!$A$2:$B$19,2,FALSE)</f>
        <v>ignore</v>
      </c>
      <c r="E4851" t="str">
        <f t="shared" si="75"/>
        <v>DR2LOB_00|ignore</v>
      </c>
    </row>
    <row r="4852" spans="1:5" x14ac:dyDescent="0.2">
      <c r="A4852" t="s">
        <v>1313</v>
      </c>
      <c r="B4852" t="s">
        <v>1314</v>
      </c>
      <c r="C4852" t="s">
        <v>424</v>
      </c>
      <c r="D4852" t="str">
        <f>VLOOKUP(C4852,'lookup table'!$A$2:$B$19,2,FALSE)</f>
        <v>GRC</v>
      </c>
      <c r="E4852" t="str">
        <f t="shared" si="75"/>
        <v>DR2LOB_00|GRC</v>
      </c>
    </row>
    <row r="4853" spans="1:5" x14ac:dyDescent="0.2">
      <c r="A4853" t="s">
        <v>1313</v>
      </c>
      <c r="B4853" t="s">
        <v>1314</v>
      </c>
      <c r="C4853" t="s">
        <v>425</v>
      </c>
      <c r="D4853" t="str">
        <f>VLOOKUP(C4853,'lookup table'!$A$2:$B$19,2,FALSE)</f>
        <v>Investee Segment</v>
      </c>
      <c r="E4853" t="str">
        <f t="shared" si="75"/>
        <v>DR2LOB_00|Investee Segment</v>
      </c>
    </row>
    <row r="4854" spans="1:5" x14ac:dyDescent="0.2">
      <c r="A4854" t="s">
        <v>1313</v>
      </c>
      <c r="B4854" t="s">
        <v>1314</v>
      </c>
      <c r="C4854" t="s">
        <v>426</v>
      </c>
      <c r="D4854" t="str">
        <f>VLOOKUP(C4854,'lookup table'!$A$2:$B$19,2,FALSE)</f>
        <v>Investee Unit</v>
      </c>
      <c r="E4854" t="str">
        <f t="shared" si="75"/>
        <v>DR2LOB_00|Investee Unit</v>
      </c>
    </row>
    <row r="4855" spans="1:5" x14ac:dyDescent="0.2">
      <c r="A4855" t="s">
        <v>1313</v>
      </c>
      <c r="B4855" t="s">
        <v>1314</v>
      </c>
      <c r="C4855" t="s">
        <v>428</v>
      </c>
      <c r="D4855" t="str">
        <f>VLOOKUP(C4855,'lookup table'!$A$2:$B$19,2,FALSE)</f>
        <v>LoB</v>
      </c>
      <c r="E4855" t="str">
        <f t="shared" si="75"/>
        <v>DR2LOB_00|LoB</v>
      </c>
    </row>
    <row r="4856" spans="1:5" x14ac:dyDescent="0.2">
      <c r="A4856" t="s">
        <v>1313</v>
      </c>
      <c r="B4856" t="s">
        <v>1314</v>
      </c>
      <c r="C4856" t="s">
        <v>436</v>
      </c>
      <c r="D4856" t="str">
        <f>VLOOKUP(C4856,'lookup table'!$A$2:$B$19,2,FALSE)</f>
        <v>MAT</v>
      </c>
      <c r="E4856" t="str">
        <f t="shared" si="75"/>
        <v>DR2LOB_00|MAT</v>
      </c>
    </row>
    <row r="4857" spans="1:5" x14ac:dyDescent="0.2">
      <c r="A4857" t="s">
        <v>1313</v>
      </c>
      <c r="B4857" t="s">
        <v>1314</v>
      </c>
      <c r="C4857" t="s">
        <v>441</v>
      </c>
      <c r="D4857" t="str">
        <f>VLOOKUP(C4857,'lookup table'!$A$2:$B$19,2,FALSE)</f>
        <v>Partner Segment</v>
      </c>
      <c r="E4857" t="str">
        <f t="shared" si="75"/>
        <v>DR2LOB_00|Partner Segment</v>
      </c>
    </row>
    <row r="4858" spans="1:5" x14ac:dyDescent="0.2">
      <c r="A4858" t="s">
        <v>1313</v>
      </c>
      <c r="B4858" t="s">
        <v>1314</v>
      </c>
      <c r="C4858" t="s">
        <v>442</v>
      </c>
      <c r="D4858" t="str">
        <f>VLOOKUP(C4858,'lookup table'!$A$2:$B$19,2,FALSE)</f>
        <v>Partner Unit</v>
      </c>
      <c r="E4858" t="str">
        <f t="shared" si="75"/>
        <v>DR2LOB_00|Partner Unit</v>
      </c>
    </row>
    <row r="4859" spans="1:5" x14ac:dyDescent="0.2">
      <c r="A4859" t="s">
        <v>1313</v>
      </c>
      <c r="B4859" t="s">
        <v>1314</v>
      </c>
      <c r="C4859" t="s">
        <v>447</v>
      </c>
      <c r="D4859" t="str">
        <f>VLOOKUP(C4859,'lookup table'!$A$2:$B$19,2,FALSE)</f>
        <v>REX</v>
      </c>
      <c r="E4859" t="str">
        <f t="shared" si="75"/>
        <v>DR2LOB_00|REX</v>
      </c>
    </row>
    <row r="4860" spans="1:5" x14ac:dyDescent="0.2">
      <c r="A4860" t="s">
        <v>1313</v>
      </c>
      <c r="B4860" t="s">
        <v>1314</v>
      </c>
      <c r="C4860" t="s">
        <v>448</v>
      </c>
      <c r="D4860" t="e">
        <f>VLOOKUP(C4860,'lookup table'!$A$2:$B$19,2,FALSE)</f>
        <v>#N/A</v>
      </c>
      <c r="E4860" t="str">
        <f t="shared" si="75"/>
        <v/>
      </c>
    </row>
    <row r="4861" spans="1:5" x14ac:dyDescent="0.2">
      <c r="A4861" t="s">
        <v>1313</v>
      </c>
      <c r="B4861" t="s">
        <v>1314</v>
      </c>
      <c r="C4861" t="s">
        <v>449</v>
      </c>
      <c r="D4861" t="e">
        <f>VLOOKUP(C4861,'lookup table'!$A$2:$B$19,2,FALSE)</f>
        <v>#N/A</v>
      </c>
      <c r="E4861" t="str">
        <f t="shared" si="75"/>
        <v/>
      </c>
    </row>
    <row r="4862" spans="1:5" x14ac:dyDescent="0.2">
      <c r="A4862" t="s">
        <v>1313</v>
      </c>
      <c r="B4862" t="s">
        <v>1314</v>
      </c>
      <c r="C4862" t="s">
        <v>451</v>
      </c>
      <c r="D4862" t="str">
        <f>VLOOKUP(C4862,'lookup table'!$A$2:$B$19,2,FALSE)</f>
        <v>Segment</v>
      </c>
      <c r="E4862" t="str">
        <f t="shared" si="75"/>
        <v>DR2LOB_00|Segment</v>
      </c>
    </row>
    <row r="4863" spans="1:5" x14ac:dyDescent="0.2">
      <c r="A4863" t="s">
        <v>1313</v>
      </c>
      <c r="B4863" t="s">
        <v>1314</v>
      </c>
      <c r="C4863" t="s">
        <v>455</v>
      </c>
      <c r="D4863" t="e">
        <f>VLOOKUP(C4863,'lookup table'!$A$2:$B$19,2,FALSE)</f>
        <v>#N/A</v>
      </c>
      <c r="E4863" t="str">
        <f t="shared" si="75"/>
        <v/>
      </c>
    </row>
    <row r="4864" spans="1:5" x14ac:dyDescent="0.2">
      <c r="A4864" t="s">
        <v>1313</v>
      </c>
      <c r="B4864" t="s">
        <v>1314</v>
      </c>
      <c r="C4864" t="s">
        <v>456</v>
      </c>
      <c r="D4864" t="e">
        <f>VLOOKUP(C4864,'lookup table'!$A$2:$B$19,2,FALSE)</f>
        <v>#N/A</v>
      </c>
      <c r="E4864" t="str">
        <f t="shared" si="75"/>
        <v/>
      </c>
    </row>
    <row r="4865" spans="1:5" x14ac:dyDescent="0.2">
      <c r="A4865" t="s">
        <v>1313</v>
      </c>
      <c r="B4865" t="s">
        <v>1314</v>
      </c>
      <c r="C4865" t="s">
        <v>457</v>
      </c>
      <c r="D4865" t="str">
        <f>VLOOKUP(C4865,'lookup table'!$A$2:$B$19,2,FALSE)</f>
        <v>VLT</v>
      </c>
      <c r="E4865" t="str">
        <f t="shared" si="75"/>
        <v>DR2LOB_00|VLT</v>
      </c>
    </row>
    <row r="4866" spans="1:5" x14ac:dyDescent="0.2">
      <c r="A4866" t="s">
        <v>1313</v>
      </c>
      <c r="B4866" t="s">
        <v>1314</v>
      </c>
      <c r="C4866" t="s">
        <v>458</v>
      </c>
      <c r="D4866" t="str">
        <f>VLOOKUP(C4866,'lookup table'!$A$2:$B$19,2,FALSE)</f>
        <v>VAR</v>
      </c>
      <c r="E4866" t="str">
        <f t="shared" si="75"/>
        <v>DR2LOB_00|VAR</v>
      </c>
    </row>
    <row r="4867" spans="1:5" x14ac:dyDescent="0.2">
      <c r="A4867" t="s">
        <v>1313</v>
      </c>
      <c r="B4867" t="s">
        <v>1314</v>
      </c>
      <c r="C4867" t="s">
        <v>459</v>
      </c>
      <c r="D4867" t="e">
        <f>VLOOKUP(C4867,'lookup table'!$A$2:$B$19,2,FALSE)</f>
        <v>#N/A</v>
      </c>
      <c r="E4867" t="str">
        <f t="shared" ref="E4867:E4930" si="76">IF(ISNA(D4867),"",IF(A4867="","",A4867) &amp; "|" &amp; D4867)</f>
        <v/>
      </c>
    </row>
    <row r="4868" spans="1:5" x14ac:dyDescent="0.2">
      <c r="A4868" t="s">
        <v>1313</v>
      </c>
      <c r="B4868" t="s">
        <v>1314</v>
      </c>
      <c r="C4868" t="s">
        <v>460</v>
      </c>
      <c r="D4868" t="e">
        <f>VLOOKUP(C4868,'lookup table'!$A$2:$B$19,2,FALSE)</f>
        <v>#N/A</v>
      </c>
      <c r="E4868" t="str">
        <f t="shared" si="76"/>
        <v/>
      </c>
    </row>
    <row r="4869" spans="1:5" x14ac:dyDescent="0.2">
      <c r="A4869" t="s">
        <v>1313</v>
      </c>
      <c r="B4869" t="s">
        <v>1314</v>
      </c>
      <c r="C4869" t="s">
        <v>461</v>
      </c>
      <c r="D4869" t="str">
        <f>VLOOKUP(C4869,'lookup table'!$A$2:$B$19,2,FALSE)</f>
        <v>Posting Level</v>
      </c>
      <c r="E4869" t="str">
        <f t="shared" si="76"/>
        <v>DR2LOB_00|Posting Level</v>
      </c>
    </row>
    <row r="4870" spans="1:5" x14ac:dyDescent="0.2">
      <c r="A4870" t="s">
        <v>1313</v>
      </c>
      <c r="B4870" t="s">
        <v>1314</v>
      </c>
      <c r="C4870" t="s">
        <v>462</v>
      </c>
      <c r="D4870" t="e">
        <f>VLOOKUP(C4870,'lookup table'!$A$2:$B$19,2,FALSE)</f>
        <v>#N/A</v>
      </c>
      <c r="E4870" t="str">
        <f t="shared" si="76"/>
        <v/>
      </c>
    </row>
    <row r="4871" spans="1:5" x14ac:dyDescent="0.2">
      <c r="A4871" t="s">
        <v>1313</v>
      </c>
      <c r="B4871" t="s">
        <v>1314</v>
      </c>
      <c r="C4871" t="s">
        <v>463</v>
      </c>
      <c r="D4871" t="e">
        <f>VLOOKUP(C4871,'lookup table'!$A$2:$B$19,2,FALSE)</f>
        <v>#N/A</v>
      </c>
      <c r="E4871" t="str">
        <f t="shared" si="76"/>
        <v/>
      </c>
    </row>
    <row r="4872" spans="1:5" x14ac:dyDescent="0.2">
      <c r="A4872" t="s">
        <v>1313</v>
      </c>
      <c r="B4872" t="s">
        <v>1314</v>
      </c>
      <c r="C4872" t="s">
        <v>464</v>
      </c>
      <c r="D4872" t="e">
        <f>VLOOKUP(C4872,'lookup table'!$A$2:$B$19,2,FALSE)</f>
        <v>#N/A</v>
      </c>
      <c r="E4872" t="str">
        <f t="shared" si="76"/>
        <v/>
      </c>
    </row>
    <row r="4873" spans="1:5" x14ac:dyDescent="0.2">
      <c r="A4873" t="s">
        <v>1313</v>
      </c>
      <c r="B4873" t="s">
        <v>1314</v>
      </c>
      <c r="C4873" t="s">
        <v>465</v>
      </c>
      <c r="D4873" t="e">
        <f>VLOOKUP(C4873,'lookup table'!$A$2:$B$19,2,FALSE)</f>
        <v>#N/A</v>
      </c>
      <c r="E4873" t="str">
        <f t="shared" si="76"/>
        <v/>
      </c>
    </row>
    <row r="4874" spans="1:5" x14ac:dyDescent="0.2">
      <c r="A4874" t="s">
        <v>1315</v>
      </c>
      <c r="B4874" t="s">
        <v>1316</v>
      </c>
      <c r="C4874" t="s">
        <v>2</v>
      </c>
      <c r="D4874" t="e">
        <f>VLOOKUP(C4874,'lookup table'!$A$2:$B$19,2,FALSE)</f>
        <v>#N/A</v>
      </c>
      <c r="E4874" t="str">
        <f t="shared" si="76"/>
        <v/>
      </c>
    </row>
    <row r="4875" spans="1:5" x14ac:dyDescent="0.2">
      <c r="A4875" t="s">
        <v>1315</v>
      </c>
      <c r="B4875" t="s">
        <v>1316</v>
      </c>
      <c r="C4875" t="s">
        <v>5</v>
      </c>
      <c r="D4875" t="e">
        <f>VLOOKUP(C4875,'lookup table'!$A$2:$B$19,2,FALSE)</f>
        <v>#N/A</v>
      </c>
      <c r="E4875" t="str">
        <f t="shared" si="76"/>
        <v/>
      </c>
    </row>
    <row r="4876" spans="1:5" x14ac:dyDescent="0.2">
      <c r="A4876" t="s">
        <v>1315</v>
      </c>
      <c r="B4876" t="s">
        <v>1316</v>
      </c>
      <c r="C4876" t="s">
        <v>6</v>
      </c>
      <c r="D4876" t="e">
        <f>VLOOKUP(C4876,'lookup table'!$A$2:$B$19,2,FALSE)</f>
        <v>#N/A</v>
      </c>
      <c r="E4876" t="str">
        <f t="shared" si="76"/>
        <v/>
      </c>
    </row>
    <row r="4877" spans="1:5" x14ac:dyDescent="0.2">
      <c r="A4877" t="s">
        <v>1315</v>
      </c>
      <c r="B4877" t="s">
        <v>1316</v>
      </c>
      <c r="C4877" t="s">
        <v>9</v>
      </c>
      <c r="D4877" t="e">
        <f>VLOOKUP(C4877,'lookup table'!$A$2:$B$19,2,FALSE)</f>
        <v>#N/A</v>
      </c>
      <c r="E4877" t="str">
        <f t="shared" si="76"/>
        <v/>
      </c>
    </row>
    <row r="4878" spans="1:5" x14ac:dyDescent="0.2">
      <c r="A4878" t="s">
        <v>1315</v>
      </c>
      <c r="B4878" t="s">
        <v>1316</v>
      </c>
      <c r="C4878" t="s">
        <v>10</v>
      </c>
      <c r="D4878" t="e">
        <f>VLOOKUP(C4878,'lookup table'!$A$2:$B$19,2,FALSE)</f>
        <v>#N/A</v>
      </c>
      <c r="E4878" t="str">
        <f t="shared" si="76"/>
        <v/>
      </c>
    </row>
    <row r="4879" spans="1:5" x14ac:dyDescent="0.2">
      <c r="A4879" t="s">
        <v>1315</v>
      </c>
      <c r="B4879" t="s">
        <v>1316</v>
      </c>
      <c r="C4879" t="s">
        <v>11</v>
      </c>
      <c r="D4879" t="e">
        <f>VLOOKUP(C4879,'lookup table'!$A$2:$B$19,2,FALSE)</f>
        <v>#N/A</v>
      </c>
      <c r="E4879" t="str">
        <f t="shared" si="76"/>
        <v/>
      </c>
    </row>
    <row r="4880" spans="1:5" x14ac:dyDescent="0.2">
      <c r="A4880" t="s">
        <v>1315</v>
      </c>
      <c r="B4880" t="s">
        <v>1316</v>
      </c>
      <c r="C4880" t="s">
        <v>12</v>
      </c>
      <c r="D4880" t="e">
        <f>VLOOKUP(C4880,'lookup table'!$A$2:$B$19,2,FALSE)</f>
        <v>#N/A</v>
      </c>
      <c r="E4880" t="str">
        <f t="shared" si="76"/>
        <v/>
      </c>
    </row>
    <row r="4881" spans="1:5" x14ac:dyDescent="0.2">
      <c r="A4881" t="s">
        <v>1315</v>
      </c>
      <c r="B4881" t="s">
        <v>1316</v>
      </c>
      <c r="C4881" t="s">
        <v>14</v>
      </c>
      <c r="D4881" t="str">
        <f>VLOOKUP(C4881,'lookup table'!$A$2:$B$19,2,FALSE)</f>
        <v>ALC</v>
      </c>
      <c r="E4881" t="str">
        <f t="shared" si="76"/>
        <v>DR2PRU_00|ALC</v>
      </c>
    </row>
    <row r="4882" spans="1:5" x14ac:dyDescent="0.2">
      <c r="A4882" t="s">
        <v>1315</v>
      </c>
      <c r="B4882" t="s">
        <v>1316</v>
      </c>
      <c r="C4882" t="s">
        <v>20</v>
      </c>
      <c r="D4882" t="str">
        <f>VLOOKUP(C4882,'lookup table'!$A$2:$B$19,2,FALSE)</f>
        <v>AY</v>
      </c>
      <c r="E4882" t="str">
        <f t="shared" si="76"/>
        <v>DR2PRU_00|AY</v>
      </c>
    </row>
    <row r="4883" spans="1:5" x14ac:dyDescent="0.2">
      <c r="A4883" t="s">
        <v>1315</v>
      </c>
      <c r="B4883" t="s">
        <v>1316</v>
      </c>
      <c r="C4883" t="s">
        <v>324</v>
      </c>
      <c r="D4883" t="e">
        <f>VLOOKUP(C4883,'lookup table'!$A$2:$B$19,2,FALSE)</f>
        <v>#N/A</v>
      </c>
      <c r="E4883" t="str">
        <f t="shared" si="76"/>
        <v/>
      </c>
    </row>
    <row r="4884" spans="1:5" x14ac:dyDescent="0.2">
      <c r="A4884" t="s">
        <v>1315</v>
      </c>
      <c r="B4884" t="s">
        <v>1316</v>
      </c>
      <c r="C4884" t="s">
        <v>325</v>
      </c>
      <c r="D4884" t="e">
        <f>VLOOKUP(C4884,'lookup table'!$A$2:$B$19,2,FALSE)</f>
        <v>#N/A</v>
      </c>
      <c r="E4884" t="str">
        <f t="shared" si="76"/>
        <v/>
      </c>
    </row>
    <row r="4885" spans="1:5" x14ac:dyDescent="0.2">
      <c r="A4885" t="s">
        <v>1315</v>
      </c>
      <c r="B4885" t="s">
        <v>1316</v>
      </c>
      <c r="C4885" t="s">
        <v>326</v>
      </c>
      <c r="D4885" t="e">
        <f>VLOOKUP(C4885,'lookup table'!$A$2:$B$19,2,FALSE)</f>
        <v>#N/A</v>
      </c>
      <c r="E4885" t="str">
        <f t="shared" si="76"/>
        <v/>
      </c>
    </row>
    <row r="4886" spans="1:5" x14ac:dyDescent="0.2">
      <c r="A4886" t="s">
        <v>1315</v>
      </c>
      <c r="B4886" t="s">
        <v>1316</v>
      </c>
      <c r="C4886" t="s">
        <v>327</v>
      </c>
      <c r="D4886" t="e">
        <f>VLOOKUP(C4886,'lookup table'!$A$2:$B$19,2,FALSE)</f>
        <v>#N/A</v>
      </c>
      <c r="E4886" t="str">
        <f t="shared" si="76"/>
        <v/>
      </c>
    </row>
    <row r="4887" spans="1:5" x14ac:dyDescent="0.2">
      <c r="A4887" t="s">
        <v>1315</v>
      </c>
      <c r="B4887" t="s">
        <v>1316</v>
      </c>
      <c r="C4887" t="s">
        <v>328</v>
      </c>
      <c r="D4887" t="e">
        <f>VLOOKUP(C4887,'lookup table'!$A$2:$B$19,2,FALSE)</f>
        <v>#N/A</v>
      </c>
      <c r="E4887" t="str">
        <f t="shared" si="76"/>
        <v/>
      </c>
    </row>
    <row r="4888" spans="1:5" x14ac:dyDescent="0.2">
      <c r="A4888" t="s">
        <v>1315</v>
      </c>
      <c r="B4888" t="s">
        <v>1316</v>
      </c>
      <c r="C4888" t="s">
        <v>329</v>
      </c>
      <c r="D4888" t="e">
        <f>VLOOKUP(C4888,'lookup table'!$A$2:$B$19,2,FALSE)</f>
        <v>#N/A</v>
      </c>
      <c r="E4888" t="str">
        <f t="shared" si="76"/>
        <v/>
      </c>
    </row>
    <row r="4889" spans="1:5" x14ac:dyDescent="0.2">
      <c r="A4889" t="s">
        <v>1315</v>
      </c>
      <c r="B4889" t="s">
        <v>1316</v>
      </c>
      <c r="C4889" t="s">
        <v>331</v>
      </c>
      <c r="D4889" t="str">
        <f>VLOOKUP(C4889,'lookup table'!$A$2:$B$19,2,FALSE)</f>
        <v>FS Item</v>
      </c>
      <c r="E4889" t="str">
        <f t="shared" si="76"/>
        <v>DR2PRU_00|FS Item</v>
      </c>
    </row>
    <row r="4890" spans="1:5" x14ac:dyDescent="0.2">
      <c r="A4890" t="s">
        <v>1315</v>
      </c>
      <c r="B4890" t="s">
        <v>1316</v>
      </c>
      <c r="C4890" t="s">
        <v>422</v>
      </c>
      <c r="D4890" t="e">
        <f>VLOOKUP(C4890,'lookup table'!$A$2:$B$19,2,FALSE)</f>
        <v>#N/A</v>
      </c>
      <c r="E4890" t="str">
        <f t="shared" si="76"/>
        <v/>
      </c>
    </row>
    <row r="4891" spans="1:5" x14ac:dyDescent="0.2">
      <c r="A4891" t="s">
        <v>1315</v>
      </c>
      <c r="B4891" t="s">
        <v>1316</v>
      </c>
      <c r="C4891" t="s">
        <v>423</v>
      </c>
      <c r="D4891" t="str">
        <f>VLOOKUP(C4891,'lookup table'!$A$2:$B$19,2,FALSE)</f>
        <v>ignore</v>
      </c>
      <c r="E4891" t="str">
        <f t="shared" si="76"/>
        <v>DR2PRU_00|ignore</v>
      </c>
    </row>
    <row r="4892" spans="1:5" x14ac:dyDescent="0.2">
      <c r="A4892" t="s">
        <v>1315</v>
      </c>
      <c r="B4892" t="s">
        <v>1316</v>
      </c>
      <c r="C4892" t="s">
        <v>424</v>
      </c>
      <c r="D4892" t="str">
        <f>VLOOKUP(C4892,'lookup table'!$A$2:$B$19,2,FALSE)</f>
        <v>GRC</v>
      </c>
      <c r="E4892" t="str">
        <f t="shared" si="76"/>
        <v>DR2PRU_00|GRC</v>
      </c>
    </row>
    <row r="4893" spans="1:5" x14ac:dyDescent="0.2">
      <c r="A4893" t="s">
        <v>1315</v>
      </c>
      <c r="B4893" t="s">
        <v>1316</v>
      </c>
      <c r="C4893" t="s">
        <v>425</v>
      </c>
      <c r="D4893" t="str">
        <f>VLOOKUP(C4893,'lookup table'!$A$2:$B$19,2,FALSE)</f>
        <v>Investee Segment</v>
      </c>
      <c r="E4893" t="str">
        <f t="shared" si="76"/>
        <v>DR2PRU_00|Investee Segment</v>
      </c>
    </row>
    <row r="4894" spans="1:5" x14ac:dyDescent="0.2">
      <c r="A4894" t="s">
        <v>1315</v>
      </c>
      <c r="B4894" t="s">
        <v>1316</v>
      </c>
      <c r="C4894" t="s">
        <v>426</v>
      </c>
      <c r="D4894" t="str">
        <f>VLOOKUP(C4894,'lookup table'!$A$2:$B$19,2,FALSE)</f>
        <v>Investee Unit</v>
      </c>
      <c r="E4894" t="str">
        <f t="shared" si="76"/>
        <v>DR2PRU_00|Investee Unit</v>
      </c>
    </row>
    <row r="4895" spans="1:5" x14ac:dyDescent="0.2">
      <c r="A4895" t="s">
        <v>1315</v>
      </c>
      <c r="B4895" t="s">
        <v>1316</v>
      </c>
      <c r="C4895" t="s">
        <v>428</v>
      </c>
      <c r="D4895" t="str">
        <f>VLOOKUP(C4895,'lookup table'!$A$2:$B$19,2,FALSE)</f>
        <v>LoB</v>
      </c>
      <c r="E4895" t="str">
        <f t="shared" si="76"/>
        <v>DR2PRU_00|LoB</v>
      </c>
    </row>
    <row r="4896" spans="1:5" x14ac:dyDescent="0.2">
      <c r="A4896" t="s">
        <v>1315</v>
      </c>
      <c r="B4896" t="s">
        <v>1316</v>
      </c>
      <c r="C4896" t="s">
        <v>436</v>
      </c>
      <c r="D4896" t="str">
        <f>VLOOKUP(C4896,'lookup table'!$A$2:$B$19,2,FALSE)</f>
        <v>MAT</v>
      </c>
      <c r="E4896" t="str">
        <f t="shared" si="76"/>
        <v>DR2PRU_00|MAT</v>
      </c>
    </row>
    <row r="4897" spans="1:5" x14ac:dyDescent="0.2">
      <c r="A4897" t="s">
        <v>1315</v>
      </c>
      <c r="B4897" t="s">
        <v>1316</v>
      </c>
      <c r="C4897" t="s">
        <v>441</v>
      </c>
      <c r="D4897" t="str">
        <f>VLOOKUP(C4897,'lookup table'!$A$2:$B$19,2,FALSE)</f>
        <v>Partner Segment</v>
      </c>
      <c r="E4897" t="str">
        <f t="shared" si="76"/>
        <v>DR2PRU_00|Partner Segment</v>
      </c>
    </row>
    <row r="4898" spans="1:5" x14ac:dyDescent="0.2">
      <c r="A4898" t="s">
        <v>1315</v>
      </c>
      <c r="B4898" t="s">
        <v>1316</v>
      </c>
      <c r="C4898" t="s">
        <v>442</v>
      </c>
      <c r="D4898" t="str">
        <f>VLOOKUP(C4898,'lookup table'!$A$2:$B$19,2,FALSE)</f>
        <v>Partner Unit</v>
      </c>
      <c r="E4898" t="str">
        <f t="shared" si="76"/>
        <v>DR2PRU_00|Partner Unit</v>
      </c>
    </row>
    <row r="4899" spans="1:5" x14ac:dyDescent="0.2">
      <c r="A4899" t="s">
        <v>1315</v>
      </c>
      <c r="B4899" t="s">
        <v>1316</v>
      </c>
      <c r="C4899" t="s">
        <v>447</v>
      </c>
      <c r="D4899" t="str">
        <f>VLOOKUP(C4899,'lookup table'!$A$2:$B$19,2,FALSE)</f>
        <v>REX</v>
      </c>
      <c r="E4899" t="str">
        <f t="shared" si="76"/>
        <v>DR2PRU_00|REX</v>
      </c>
    </row>
    <row r="4900" spans="1:5" x14ac:dyDescent="0.2">
      <c r="A4900" t="s">
        <v>1315</v>
      </c>
      <c r="B4900" t="s">
        <v>1316</v>
      </c>
      <c r="C4900" t="s">
        <v>448</v>
      </c>
      <c r="D4900" t="e">
        <f>VLOOKUP(C4900,'lookup table'!$A$2:$B$19,2,FALSE)</f>
        <v>#N/A</v>
      </c>
      <c r="E4900" t="str">
        <f t="shared" si="76"/>
        <v/>
      </c>
    </row>
    <row r="4901" spans="1:5" x14ac:dyDescent="0.2">
      <c r="A4901" t="s">
        <v>1315</v>
      </c>
      <c r="B4901" t="s">
        <v>1316</v>
      </c>
      <c r="C4901" t="s">
        <v>449</v>
      </c>
      <c r="D4901" t="e">
        <f>VLOOKUP(C4901,'lookup table'!$A$2:$B$19,2,FALSE)</f>
        <v>#N/A</v>
      </c>
      <c r="E4901" t="str">
        <f t="shared" si="76"/>
        <v/>
      </c>
    </row>
    <row r="4902" spans="1:5" x14ac:dyDescent="0.2">
      <c r="A4902" t="s">
        <v>1315</v>
      </c>
      <c r="B4902" t="s">
        <v>1316</v>
      </c>
      <c r="C4902" t="s">
        <v>451</v>
      </c>
      <c r="D4902" t="str">
        <f>VLOOKUP(C4902,'lookup table'!$A$2:$B$19,2,FALSE)</f>
        <v>Segment</v>
      </c>
      <c r="E4902" t="str">
        <f t="shared" si="76"/>
        <v>DR2PRU_00|Segment</v>
      </c>
    </row>
    <row r="4903" spans="1:5" x14ac:dyDescent="0.2">
      <c r="A4903" t="s">
        <v>1315</v>
      </c>
      <c r="B4903" t="s">
        <v>1316</v>
      </c>
      <c r="C4903" t="s">
        <v>455</v>
      </c>
      <c r="D4903" t="e">
        <f>VLOOKUP(C4903,'lookup table'!$A$2:$B$19,2,FALSE)</f>
        <v>#N/A</v>
      </c>
      <c r="E4903" t="str">
        <f t="shared" si="76"/>
        <v/>
      </c>
    </row>
    <row r="4904" spans="1:5" x14ac:dyDescent="0.2">
      <c r="A4904" t="s">
        <v>1315</v>
      </c>
      <c r="B4904" t="s">
        <v>1316</v>
      </c>
      <c r="C4904" t="s">
        <v>456</v>
      </c>
      <c r="D4904" t="e">
        <f>VLOOKUP(C4904,'lookup table'!$A$2:$B$19,2,FALSE)</f>
        <v>#N/A</v>
      </c>
      <c r="E4904" t="str">
        <f t="shared" si="76"/>
        <v/>
      </c>
    </row>
    <row r="4905" spans="1:5" x14ac:dyDescent="0.2">
      <c r="A4905" t="s">
        <v>1315</v>
      </c>
      <c r="B4905" t="s">
        <v>1316</v>
      </c>
      <c r="C4905" t="s">
        <v>457</v>
      </c>
      <c r="D4905" t="str">
        <f>VLOOKUP(C4905,'lookup table'!$A$2:$B$19,2,FALSE)</f>
        <v>VLT</v>
      </c>
      <c r="E4905" t="str">
        <f t="shared" si="76"/>
        <v>DR2PRU_00|VLT</v>
      </c>
    </row>
    <row r="4906" spans="1:5" x14ac:dyDescent="0.2">
      <c r="A4906" t="s">
        <v>1315</v>
      </c>
      <c r="B4906" t="s">
        <v>1316</v>
      </c>
      <c r="C4906" t="s">
        <v>458</v>
      </c>
      <c r="D4906" t="str">
        <f>VLOOKUP(C4906,'lookup table'!$A$2:$B$19,2,FALSE)</f>
        <v>VAR</v>
      </c>
      <c r="E4906" t="str">
        <f t="shared" si="76"/>
        <v>DR2PRU_00|VAR</v>
      </c>
    </row>
    <row r="4907" spans="1:5" x14ac:dyDescent="0.2">
      <c r="A4907" t="s">
        <v>1315</v>
      </c>
      <c r="B4907" t="s">
        <v>1316</v>
      </c>
      <c r="C4907" t="s">
        <v>459</v>
      </c>
      <c r="D4907" t="e">
        <f>VLOOKUP(C4907,'lookup table'!$A$2:$B$19,2,FALSE)</f>
        <v>#N/A</v>
      </c>
      <c r="E4907" t="str">
        <f t="shared" si="76"/>
        <v/>
      </c>
    </row>
    <row r="4908" spans="1:5" x14ac:dyDescent="0.2">
      <c r="A4908" t="s">
        <v>1315</v>
      </c>
      <c r="B4908" t="s">
        <v>1316</v>
      </c>
      <c r="C4908" t="s">
        <v>460</v>
      </c>
      <c r="D4908" t="e">
        <f>VLOOKUP(C4908,'lookup table'!$A$2:$B$19,2,FALSE)</f>
        <v>#N/A</v>
      </c>
      <c r="E4908" t="str">
        <f t="shared" si="76"/>
        <v/>
      </c>
    </row>
    <row r="4909" spans="1:5" x14ac:dyDescent="0.2">
      <c r="A4909" t="s">
        <v>1315</v>
      </c>
      <c r="B4909" t="s">
        <v>1316</v>
      </c>
      <c r="C4909" t="s">
        <v>461</v>
      </c>
      <c r="D4909" t="str">
        <f>VLOOKUP(C4909,'lookup table'!$A$2:$B$19,2,FALSE)</f>
        <v>Posting Level</v>
      </c>
      <c r="E4909" t="str">
        <f t="shared" si="76"/>
        <v>DR2PRU_00|Posting Level</v>
      </c>
    </row>
    <row r="4910" spans="1:5" x14ac:dyDescent="0.2">
      <c r="A4910" t="s">
        <v>1315</v>
      </c>
      <c r="B4910" t="s">
        <v>1316</v>
      </c>
      <c r="C4910" t="s">
        <v>462</v>
      </c>
      <c r="D4910" t="e">
        <f>VLOOKUP(C4910,'lookup table'!$A$2:$B$19,2,FALSE)</f>
        <v>#N/A</v>
      </c>
      <c r="E4910" t="str">
        <f t="shared" si="76"/>
        <v/>
      </c>
    </row>
    <row r="4911" spans="1:5" x14ac:dyDescent="0.2">
      <c r="A4911" t="s">
        <v>1315</v>
      </c>
      <c r="B4911" t="s">
        <v>1316</v>
      </c>
      <c r="C4911" t="s">
        <v>463</v>
      </c>
      <c r="D4911" t="e">
        <f>VLOOKUP(C4911,'lookup table'!$A$2:$B$19,2,FALSE)</f>
        <v>#N/A</v>
      </c>
      <c r="E4911" t="str">
        <f t="shared" si="76"/>
        <v/>
      </c>
    </row>
    <row r="4912" spans="1:5" x14ac:dyDescent="0.2">
      <c r="A4912" t="s">
        <v>1315</v>
      </c>
      <c r="B4912" t="s">
        <v>1316</v>
      </c>
      <c r="C4912" t="s">
        <v>464</v>
      </c>
      <c r="D4912" t="e">
        <f>VLOOKUP(C4912,'lookup table'!$A$2:$B$19,2,FALSE)</f>
        <v>#N/A</v>
      </c>
      <c r="E4912" t="str">
        <f t="shared" si="76"/>
        <v/>
      </c>
    </row>
    <row r="4913" spans="1:5" x14ac:dyDescent="0.2">
      <c r="A4913" t="s">
        <v>1315</v>
      </c>
      <c r="B4913" t="s">
        <v>1316</v>
      </c>
      <c r="C4913" t="s">
        <v>465</v>
      </c>
      <c r="D4913" t="e">
        <f>VLOOKUP(C4913,'lookup table'!$A$2:$B$19,2,FALSE)</f>
        <v>#N/A</v>
      </c>
      <c r="E4913" t="str">
        <f t="shared" si="76"/>
        <v/>
      </c>
    </row>
    <row r="4914" spans="1:5" x14ac:dyDescent="0.2">
      <c r="A4914" t="s">
        <v>1317</v>
      </c>
      <c r="B4914" t="s">
        <v>1318</v>
      </c>
      <c r="C4914" t="s">
        <v>2</v>
      </c>
      <c r="D4914" t="e">
        <f>VLOOKUP(C4914,'lookup table'!$A$2:$B$19,2,FALSE)</f>
        <v>#N/A</v>
      </c>
      <c r="E4914" t="str">
        <f t="shared" si="76"/>
        <v/>
      </c>
    </row>
    <row r="4915" spans="1:5" x14ac:dyDescent="0.2">
      <c r="A4915" t="s">
        <v>1317</v>
      </c>
      <c r="B4915" t="s">
        <v>1318</v>
      </c>
      <c r="C4915" t="s">
        <v>5</v>
      </c>
      <c r="D4915" t="e">
        <f>VLOOKUP(C4915,'lookup table'!$A$2:$B$19,2,FALSE)</f>
        <v>#N/A</v>
      </c>
      <c r="E4915" t="str">
        <f t="shared" si="76"/>
        <v/>
      </c>
    </row>
    <row r="4916" spans="1:5" x14ac:dyDescent="0.2">
      <c r="A4916" t="s">
        <v>1317</v>
      </c>
      <c r="B4916" t="s">
        <v>1318</v>
      </c>
      <c r="C4916" t="s">
        <v>6</v>
      </c>
      <c r="D4916" t="e">
        <f>VLOOKUP(C4916,'lookup table'!$A$2:$B$19,2,FALSE)</f>
        <v>#N/A</v>
      </c>
      <c r="E4916" t="str">
        <f t="shared" si="76"/>
        <v/>
      </c>
    </row>
    <row r="4917" spans="1:5" x14ac:dyDescent="0.2">
      <c r="A4917" t="s">
        <v>1317</v>
      </c>
      <c r="B4917" t="s">
        <v>1318</v>
      </c>
      <c r="C4917" t="s">
        <v>9</v>
      </c>
      <c r="D4917" t="e">
        <f>VLOOKUP(C4917,'lookup table'!$A$2:$B$19,2,FALSE)</f>
        <v>#N/A</v>
      </c>
      <c r="E4917" t="str">
        <f t="shared" si="76"/>
        <v/>
      </c>
    </row>
    <row r="4918" spans="1:5" x14ac:dyDescent="0.2">
      <c r="A4918" t="s">
        <v>1317</v>
      </c>
      <c r="B4918" t="s">
        <v>1318</v>
      </c>
      <c r="C4918" t="s">
        <v>10</v>
      </c>
      <c r="D4918" t="e">
        <f>VLOOKUP(C4918,'lookup table'!$A$2:$B$19,2,FALSE)</f>
        <v>#N/A</v>
      </c>
      <c r="E4918" t="str">
        <f t="shared" si="76"/>
        <v/>
      </c>
    </row>
    <row r="4919" spans="1:5" x14ac:dyDescent="0.2">
      <c r="A4919" t="s">
        <v>1317</v>
      </c>
      <c r="B4919" t="s">
        <v>1318</v>
      </c>
      <c r="C4919" t="s">
        <v>11</v>
      </c>
      <c r="D4919" t="e">
        <f>VLOOKUP(C4919,'lookup table'!$A$2:$B$19,2,FALSE)</f>
        <v>#N/A</v>
      </c>
      <c r="E4919" t="str">
        <f t="shared" si="76"/>
        <v/>
      </c>
    </row>
    <row r="4920" spans="1:5" x14ac:dyDescent="0.2">
      <c r="A4920" t="s">
        <v>1317</v>
      </c>
      <c r="B4920" t="s">
        <v>1318</v>
      </c>
      <c r="C4920" t="s">
        <v>12</v>
      </c>
      <c r="D4920" t="e">
        <f>VLOOKUP(C4920,'lookup table'!$A$2:$B$19,2,FALSE)</f>
        <v>#N/A</v>
      </c>
      <c r="E4920" t="str">
        <f t="shared" si="76"/>
        <v/>
      </c>
    </row>
    <row r="4921" spans="1:5" x14ac:dyDescent="0.2">
      <c r="A4921" t="s">
        <v>1317</v>
      </c>
      <c r="B4921" t="s">
        <v>1318</v>
      </c>
      <c r="C4921" t="s">
        <v>14</v>
      </c>
      <c r="D4921" t="str">
        <f>VLOOKUP(C4921,'lookup table'!$A$2:$B$19,2,FALSE)</f>
        <v>ALC</v>
      </c>
      <c r="E4921" t="str">
        <f t="shared" si="76"/>
        <v>DR2PSE_00|ALC</v>
      </c>
    </row>
    <row r="4922" spans="1:5" x14ac:dyDescent="0.2">
      <c r="A4922" t="s">
        <v>1317</v>
      </c>
      <c r="B4922" t="s">
        <v>1318</v>
      </c>
      <c r="C4922" t="s">
        <v>20</v>
      </c>
      <c r="D4922" t="str">
        <f>VLOOKUP(C4922,'lookup table'!$A$2:$B$19,2,FALSE)</f>
        <v>AY</v>
      </c>
      <c r="E4922" t="str">
        <f t="shared" si="76"/>
        <v>DR2PSE_00|AY</v>
      </c>
    </row>
    <row r="4923" spans="1:5" x14ac:dyDescent="0.2">
      <c r="A4923" t="s">
        <v>1317</v>
      </c>
      <c r="B4923" t="s">
        <v>1318</v>
      </c>
      <c r="C4923" t="s">
        <v>324</v>
      </c>
      <c r="D4923" t="e">
        <f>VLOOKUP(C4923,'lookup table'!$A$2:$B$19,2,FALSE)</f>
        <v>#N/A</v>
      </c>
      <c r="E4923" t="str">
        <f t="shared" si="76"/>
        <v/>
      </c>
    </row>
    <row r="4924" spans="1:5" x14ac:dyDescent="0.2">
      <c r="A4924" t="s">
        <v>1317</v>
      </c>
      <c r="B4924" t="s">
        <v>1318</v>
      </c>
      <c r="C4924" t="s">
        <v>325</v>
      </c>
      <c r="D4924" t="e">
        <f>VLOOKUP(C4924,'lookup table'!$A$2:$B$19,2,FALSE)</f>
        <v>#N/A</v>
      </c>
      <c r="E4924" t="str">
        <f t="shared" si="76"/>
        <v/>
      </c>
    </row>
    <row r="4925" spans="1:5" x14ac:dyDescent="0.2">
      <c r="A4925" t="s">
        <v>1317</v>
      </c>
      <c r="B4925" t="s">
        <v>1318</v>
      </c>
      <c r="C4925" t="s">
        <v>326</v>
      </c>
      <c r="D4925" t="e">
        <f>VLOOKUP(C4925,'lookup table'!$A$2:$B$19,2,FALSE)</f>
        <v>#N/A</v>
      </c>
      <c r="E4925" t="str">
        <f t="shared" si="76"/>
        <v/>
      </c>
    </row>
    <row r="4926" spans="1:5" x14ac:dyDescent="0.2">
      <c r="A4926" t="s">
        <v>1317</v>
      </c>
      <c r="B4926" t="s">
        <v>1318</v>
      </c>
      <c r="C4926" t="s">
        <v>327</v>
      </c>
      <c r="D4926" t="e">
        <f>VLOOKUP(C4926,'lookup table'!$A$2:$B$19,2,FALSE)</f>
        <v>#N/A</v>
      </c>
      <c r="E4926" t="str">
        <f t="shared" si="76"/>
        <v/>
      </c>
    </row>
    <row r="4927" spans="1:5" x14ac:dyDescent="0.2">
      <c r="A4927" t="s">
        <v>1317</v>
      </c>
      <c r="B4927" t="s">
        <v>1318</v>
      </c>
      <c r="C4927" t="s">
        <v>328</v>
      </c>
      <c r="D4927" t="e">
        <f>VLOOKUP(C4927,'lookup table'!$A$2:$B$19,2,FALSE)</f>
        <v>#N/A</v>
      </c>
      <c r="E4927" t="str">
        <f t="shared" si="76"/>
        <v/>
      </c>
    </row>
    <row r="4928" spans="1:5" x14ac:dyDescent="0.2">
      <c r="A4928" t="s">
        <v>1317</v>
      </c>
      <c r="B4928" t="s">
        <v>1318</v>
      </c>
      <c r="C4928" t="s">
        <v>329</v>
      </c>
      <c r="D4928" t="e">
        <f>VLOOKUP(C4928,'lookup table'!$A$2:$B$19,2,FALSE)</f>
        <v>#N/A</v>
      </c>
      <c r="E4928" t="str">
        <f t="shared" si="76"/>
        <v/>
      </c>
    </row>
    <row r="4929" spans="1:5" x14ac:dyDescent="0.2">
      <c r="A4929" t="s">
        <v>1317</v>
      </c>
      <c r="B4929" t="s">
        <v>1318</v>
      </c>
      <c r="C4929" t="s">
        <v>331</v>
      </c>
      <c r="D4929" t="str">
        <f>VLOOKUP(C4929,'lookup table'!$A$2:$B$19,2,FALSE)</f>
        <v>FS Item</v>
      </c>
      <c r="E4929" t="str">
        <f t="shared" si="76"/>
        <v>DR2PSE_00|FS Item</v>
      </c>
    </row>
    <row r="4930" spans="1:5" x14ac:dyDescent="0.2">
      <c r="A4930" t="s">
        <v>1317</v>
      </c>
      <c r="B4930" t="s">
        <v>1318</v>
      </c>
      <c r="C4930" t="s">
        <v>422</v>
      </c>
      <c r="D4930" t="e">
        <f>VLOOKUP(C4930,'lookup table'!$A$2:$B$19,2,FALSE)</f>
        <v>#N/A</v>
      </c>
      <c r="E4930" t="str">
        <f t="shared" si="76"/>
        <v/>
      </c>
    </row>
    <row r="4931" spans="1:5" x14ac:dyDescent="0.2">
      <c r="A4931" t="s">
        <v>1317</v>
      </c>
      <c r="B4931" t="s">
        <v>1318</v>
      </c>
      <c r="C4931" t="s">
        <v>423</v>
      </c>
      <c r="D4931" t="str">
        <f>VLOOKUP(C4931,'lookup table'!$A$2:$B$19,2,FALSE)</f>
        <v>ignore</v>
      </c>
      <c r="E4931" t="str">
        <f t="shared" ref="E4931:E4994" si="77">IF(ISNA(D4931),"",IF(A4931="","",A4931) &amp; "|" &amp; D4931)</f>
        <v>DR2PSE_00|ignore</v>
      </c>
    </row>
    <row r="4932" spans="1:5" x14ac:dyDescent="0.2">
      <c r="A4932" t="s">
        <v>1317</v>
      </c>
      <c r="B4932" t="s">
        <v>1318</v>
      </c>
      <c r="C4932" t="s">
        <v>424</v>
      </c>
      <c r="D4932" t="str">
        <f>VLOOKUP(C4932,'lookup table'!$A$2:$B$19,2,FALSE)</f>
        <v>GRC</v>
      </c>
      <c r="E4932" t="str">
        <f t="shared" si="77"/>
        <v>DR2PSE_00|GRC</v>
      </c>
    </row>
    <row r="4933" spans="1:5" x14ac:dyDescent="0.2">
      <c r="A4933" t="s">
        <v>1317</v>
      </c>
      <c r="B4933" t="s">
        <v>1318</v>
      </c>
      <c r="C4933" t="s">
        <v>425</v>
      </c>
      <c r="D4933" t="str">
        <f>VLOOKUP(C4933,'lookup table'!$A$2:$B$19,2,FALSE)</f>
        <v>Investee Segment</v>
      </c>
      <c r="E4933" t="str">
        <f t="shared" si="77"/>
        <v>DR2PSE_00|Investee Segment</v>
      </c>
    </row>
    <row r="4934" spans="1:5" x14ac:dyDescent="0.2">
      <c r="A4934" t="s">
        <v>1317</v>
      </c>
      <c r="B4934" t="s">
        <v>1318</v>
      </c>
      <c r="C4934" t="s">
        <v>426</v>
      </c>
      <c r="D4934" t="str">
        <f>VLOOKUP(C4934,'lookup table'!$A$2:$B$19,2,FALSE)</f>
        <v>Investee Unit</v>
      </c>
      <c r="E4934" t="str">
        <f t="shared" si="77"/>
        <v>DR2PSE_00|Investee Unit</v>
      </c>
    </row>
    <row r="4935" spans="1:5" x14ac:dyDescent="0.2">
      <c r="A4935" t="s">
        <v>1317</v>
      </c>
      <c r="B4935" t="s">
        <v>1318</v>
      </c>
      <c r="C4935" t="s">
        <v>428</v>
      </c>
      <c r="D4935" t="str">
        <f>VLOOKUP(C4935,'lookup table'!$A$2:$B$19,2,FALSE)</f>
        <v>LoB</v>
      </c>
      <c r="E4935" t="str">
        <f t="shared" si="77"/>
        <v>DR2PSE_00|LoB</v>
      </c>
    </row>
    <row r="4936" spans="1:5" x14ac:dyDescent="0.2">
      <c r="A4936" t="s">
        <v>1317</v>
      </c>
      <c r="B4936" t="s">
        <v>1318</v>
      </c>
      <c r="C4936" t="s">
        <v>436</v>
      </c>
      <c r="D4936" t="str">
        <f>VLOOKUP(C4936,'lookup table'!$A$2:$B$19,2,FALSE)</f>
        <v>MAT</v>
      </c>
      <c r="E4936" t="str">
        <f t="shared" si="77"/>
        <v>DR2PSE_00|MAT</v>
      </c>
    </row>
    <row r="4937" spans="1:5" x14ac:dyDescent="0.2">
      <c r="A4937" t="s">
        <v>1317</v>
      </c>
      <c r="B4937" t="s">
        <v>1318</v>
      </c>
      <c r="C4937" t="s">
        <v>441</v>
      </c>
      <c r="D4937" t="str">
        <f>VLOOKUP(C4937,'lookup table'!$A$2:$B$19,2,FALSE)</f>
        <v>Partner Segment</v>
      </c>
      <c r="E4937" t="str">
        <f t="shared" si="77"/>
        <v>DR2PSE_00|Partner Segment</v>
      </c>
    </row>
    <row r="4938" spans="1:5" x14ac:dyDescent="0.2">
      <c r="A4938" t="s">
        <v>1317</v>
      </c>
      <c r="B4938" t="s">
        <v>1318</v>
      </c>
      <c r="C4938" t="s">
        <v>442</v>
      </c>
      <c r="D4938" t="str">
        <f>VLOOKUP(C4938,'lookup table'!$A$2:$B$19,2,FALSE)</f>
        <v>Partner Unit</v>
      </c>
      <c r="E4938" t="str">
        <f t="shared" si="77"/>
        <v>DR2PSE_00|Partner Unit</v>
      </c>
    </row>
    <row r="4939" spans="1:5" x14ac:dyDescent="0.2">
      <c r="A4939" t="s">
        <v>1317</v>
      </c>
      <c r="B4939" t="s">
        <v>1318</v>
      </c>
      <c r="C4939" t="s">
        <v>447</v>
      </c>
      <c r="D4939" t="str">
        <f>VLOOKUP(C4939,'lookup table'!$A$2:$B$19,2,FALSE)</f>
        <v>REX</v>
      </c>
      <c r="E4939" t="str">
        <f t="shared" si="77"/>
        <v>DR2PSE_00|REX</v>
      </c>
    </row>
    <row r="4940" spans="1:5" x14ac:dyDescent="0.2">
      <c r="A4940" t="s">
        <v>1317</v>
      </c>
      <c r="B4940" t="s">
        <v>1318</v>
      </c>
      <c r="C4940" t="s">
        <v>448</v>
      </c>
      <c r="D4940" t="e">
        <f>VLOOKUP(C4940,'lookup table'!$A$2:$B$19,2,FALSE)</f>
        <v>#N/A</v>
      </c>
      <c r="E4940" t="str">
        <f t="shared" si="77"/>
        <v/>
      </c>
    </row>
    <row r="4941" spans="1:5" x14ac:dyDescent="0.2">
      <c r="A4941" t="s">
        <v>1317</v>
      </c>
      <c r="B4941" t="s">
        <v>1318</v>
      </c>
      <c r="C4941" t="s">
        <v>449</v>
      </c>
      <c r="D4941" t="e">
        <f>VLOOKUP(C4941,'lookup table'!$A$2:$B$19,2,FALSE)</f>
        <v>#N/A</v>
      </c>
      <c r="E4941" t="str">
        <f t="shared" si="77"/>
        <v/>
      </c>
    </row>
    <row r="4942" spans="1:5" x14ac:dyDescent="0.2">
      <c r="A4942" t="s">
        <v>1317</v>
      </c>
      <c r="B4942" t="s">
        <v>1318</v>
      </c>
      <c r="C4942" t="s">
        <v>451</v>
      </c>
      <c r="D4942" t="str">
        <f>VLOOKUP(C4942,'lookup table'!$A$2:$B$19,2,FALSE)</f>
        <v>Segment</v>
      </c>
      <c r="E4942" t="str">
        <f t="shared" si="77"/>
        <v>DR2PSE_00|Segment</v>
      </c>
    </row>
    <row r="4943" spans="1:5" x14ac:dyDescent="0.2">
      <c r="A4943" t="s">
        <v>1317</v>
      </c>
      <c r="B4943" t="s">
        <v>1318</v>
      </c>
      <c r="C4943" t="s">
        <v>455</v>
      </c>
      <c r="D4943" t="e">
        <f>VLOOKUP(C4943,'lookup table'!$A$2:$B$19,2,FALSE)</f>
        <v>#N/A</v>
      </c>
      <c r="E4943" t="str">
        <f t="shared" si="77"/>
        <v/>
      </c>
    </row>
    <row r="4944" spans="1:5" x14ac:dyDescent="0.2">
      <c r="A4944" t="s">
        <v>1317</v>
      </c>
      <c r="B4944" t="s">
        <v>1318</v>
      </c>
      <c r="C4944" t="s">
        <v>456</v>
      </c>
      <c r="D4944" t="e">
        <f>VLOOKUP(C4944,'lookup table'!$A$2:$B$19,2,FALSE)</f>
        <v>#N/A</v>
      </c>
      <c r="E4944" t="str">
        <f t="shared" si="77"/>
        <v/>
      </c>
    </row>
    <row r="4945" spans="1:5" x14ac:dyDescent="0.2">
      <c r="A4945" t="s">
        <v>1317</v>
      </c>
      <c r="B4945" t="s">
        <v>1318</v>
      </c>
      <c r="C4945" t="s">
        <v>457</v>
      </c>
      <c r="D4945" t="str">
        <f>VLOOKUP(C4945,'lookup table'!$A$2:$B$19,2,FALSE)</f>
        <v>VLT</v>
      </c>
      <c r="E4945" t="str">
        <f t="shared" si="77"/>
        <v>DR2PSE_00|VLT</v>
      </c>
    </row>
    <row r="4946" spans="1:5" x14ac:dyDescent="0.2">
      <c r="A4946" t="s">
        <v>1317</v>
      </c>
      <c r="B4946" t="s">
        <v>1318</v>
      </c>
      <c r="C4946" t="s">
        <v>458</v>
      </c>
      <c r="D4946" t="str">
        <f>VLOOKUP(C4946,'lookup table'!$A$2:$B$19,2,FALSE)</f>
        <v>VAR</v>
      </c>
      <c r="E4946" t="str">
        <f t="shared" si="77"/>
        <v>DR2PSE_00|VAR</v>
      </c>
    </row>
    <row r="4947" spans="1:5" x14ac:dyDescent="0.2">
      <c r="A4947" t="s">
        <v>1317</v>
      </c>
      <c r="B4947" t="s">
        <v>1318</v>
      </c>
      <c r="C4947" t="s">
        <v>459</v>
      </c>
      <c r="D4947" t="e">
        <f>VLOOKUP(C4947,'lookup table'!$A$2:$B$19,2,FALSE)</f>
        <v>#N/A</v>
      </c>
      <c r="E4947" t="str">
        <f t="shared" si="77"/>
        <v/>
      </c>
    </row>
    <row r="4948" spans="1:5" x14ac:dyDescent="0.2">
      <c r="A4948" t="s">
        <v>1317</v>
      </c>
      <c r="B4948" t="s">
        <v>1318</v>
      </c>
      <c r="C4948" t="s">
        <v>460</v>
      </c>
      <c r="D4948" t="e">
        <f>VLOOKUP(C4948,'lookup table'!$A$2:$B$19,2,FALSE)</f>
        <v>#N/A</v>
      </c>
      <c r="E4948" t="str">
        <f t="shared" si="77"/>
        <v/>
      </c>
    </row>
    <row r="4949" spans="1:5" x14ac:dyDescent="0.2">
      <c r="A4949" t="s">
        <v>1317</v>
      </c>
      <c r="B4949" t="s">
        <v>1318</v>
      </c>
      <c r="C4949" t="s">
        <v>461</v>
      </c>
      <c r="D4949" t="str">
        <f>VLOOKUP(C4949,'lookup table'!$A$2:$B$19,2,FALSE)</f>
        <v>Posting Level</v>
      </c>
      <c r="E4949" t="str">
        <f t="shared" si="77"/>
        <v>DR2PSE_00|Posting Level</v>
      </c>
    </row>
    <row r="4950" spans="1:5" x14ac:dyDescent="0.2">
      <c r="A4950" t="s">
        <v>1317</v>
      </c>
      <c r="B4950" t="s">
        <v>1318</v>
      </c>
      <c r="C4950" t="s">
        <v>462</v>
      </c>
      <c r="D4950" t="e">
        <f>VLOOKUP(C4950,'lookup table'!$A$2:$B$19,2,FALSE)</f>
        <v>#N/A</v>
      </c>
      <c r="E4950" t="str">
        <f t="shared" si="77"/>
        <v/>
      </c>
    </row>
    <row r="4951" spans="1:5" x14ac:dyDescent="0.2">
      <c r="A4951" t="s">
        <v>1317</v>
      </c>
      <c r="B4951" t="s">
        <v>1318</v>
      </c>
      <c r="C4951" t="s">
        <v>463</v>
      </c>
      <c r="D4951" t="e">
        <f>VLOOKUP(C4951,'lookup table'!$A$2:$B$19,2,FALSE)</f>
        <v>#N/A</v>
      </c>
      <c r="E4951" t="str">
        <f t="shared" si="77"/>
        <v/>
      </c>
    </row>
    <row r="4952" spans="1:5" x14ac:dyDescent="0.2">
      <c r="A4952" t="s">
        <v>1317</v>
      </c>
      <c r="B4952" t="s">
        <v>1318</v>
      </c>
      <c r="C4952" t="s">
        <v>464</v>
      </c>
      <c r="D4952" t="e">
        <f>VLOOKUP(C4952,'lookup table'!$A$2:$B$19,2,FALSE)</f>
        <v>#N/A</v>
      </c>
      <c r="E4952" t="str">
        <f t="shared" si="77"/>
        <v/>
      </c>
    </row>
    <row r="4953" spans="1:5" x14ac:dyDescent="0.2">
      <c r="A4953" t="s">
        <v>1317</v>
      </c>
      <c r="B4953" t="s">
        <v>1318</v>
      </c>
      <c r="C4953" t="s">
        <v>465</v>
      </c>
      <c r="D4953" t="e">
        <f>VLOOKUP(C4953,'lookup table'!$A$2:$B$19,2,FALSE)</f>
        <v>#N/A</v>
      </c>
      <c r="E4953" t="str">
        <f t="shared" si="77"/>
        <v/>
      </c>
    </row>
    <row r="4954" spans="1:5" x14ac:dyDescent="0.2">
      <c r="A4954" t="s">
        <v>1319</v>
      </c>
      <c r="B4954" t="s">
        <v>1320</v>
      </c>
      <c r="C4954" t="s">
        <v>2</v>
      </c>
      <c r="D4954" t="e">
        <f>VLOOKUP(C4954,'lookup table'!$A$2:$B$19,2,FALSE)</f>
        <v>#N/A</v>
      </c>
      <c r="E4954" t="str">
        <f t="shared" si="77"/>
        <v/>
      </c>
    </row>
    <row r="4955" spans="1:5" x14ac:dyDescent="0.2">
      <c r="A4955" t="s">
        <v>1319</v>
      </c>
      <c r="B4955" t="s">
        <v>1320</v>
      </c>
      <c r="C4955" t="s">
        <v>5</v>
      </c>
      <c r="D4955" t="e">
        <f>VLOOKUP(C4955,'lookup table'!$A$2:$B$19,2,FALSE)</f>
        <v>#N/A</v>
      </c>
      <c r="E4955" t="str">
        <f t="shared" si="77"/>
        <v/>
      </c>
    </row>
    <row r="4956" spans="1:5" x14ac:dyDescent="0.2">
      <c r="A4956" t="s">
        <v>1319</v>
      </c>
      <c r="B4956" t="s">
        <v>1320</v>
      </c>
      <c r="C4956" t="s">
        <v>6</v>
      </c>
      <c r="D4956" t="e">
        <f>VLOOKUP(C4956,'lookup table'!$A$2:$B$19,2,FALSE)</f>
        <v>#N/A</v>
      </c>
      <c r="E4956" t="str">
        <f t="shared" si="77"/>
        <v/>
      </c>
    </row>
    <row r="4957" spans="1:5" x14ac:dyDescent="0.2">
      <c r="A4957" t="s">
        <v>1319</v>
      </c>
      <c r="B4957" t="s">
        <v>1320</v>
      </c>
      <c r="C4957" t="s">
        <v>9</v>
      </c>
      <c r="D4957" t="e">
        <f>VLOOKUP(C4957,'lookup table'!$A$2:$B$19,2,FALSE)</f>
        <v>#N/A</v>
      </c>
      <c r="E4957" t="str">
        <f t="shared" si="77"/>
        <v/>
      </c>
    </row>
    <row r="4958" spans="1:5" x14ac:dyDescent="0.2">
      <c r="A4958" t="s">
        <v>1319</v>
      </c>
      <c r="B4958" t="s">
        <v>1320</v>
      </c>
      <c r="C4958" t="s">
        <v>10</v>
      </c>
      <c r="D4958" t="e">
        <f>VLOOKUP(C4958,'lookup table'!$A$2:$B$19,2,FALSE)</f>
        <v>#N/A</v>
      </c>
      <c r="E4958" t="str">
        <f t="shared" si="77"/>
        <v/>
      </c>
    </row>
    <row r="4959" spans="1:5" x14ac:dyDescent="0.2">
      <c r="A4959" t="s">
        <v>1319</v>
      </c>
      <c r="B4959" t="s">
        <v>1320</v>
      </c>
      <c r="C4959" t="s">
        <v>11</v>
      </c>
      <c r="D4959" t="e">
        <f>VLOOKUP(C4959,'lookup table'!$A$2:$B$19,2,FALSE)</f>
        <v>#N/A</v>
      </c>
      <c r="E4959" t="str">
        <f t="shared" si="77"/>
        <v/>
      </c>
    </row>
    <row r="4960" spans="1:5" x14ac:dyDescent="0.2">
      <c r="A4960" t="s">
        <v>1319</v>
      </c>
      <c r="B4960" t="s">
        <v>1320</v>
      </c>
      <c r="C4960" t="s">
        <v>12</v>
      </c>
      <c r="D4960" t="e">
        <f>VLOOKUP(C4960,'lookup table'!$A$2:$B$19,2,FALSE)</f>
        <v>#N/A</v>
      </c>
      <c r="E4960" t="str">
        <f t="shared" si="77"/>
        <v/>
      </c>
    </row>
    <row r="4961" spans="1:5" x14ac:dyDescent="0.2">
      <c r="A4961" t="s">
        <v>1319</v>
      </c>
      <c r="B4961" t="s">
        <v>1320</v>
      </c>
      <c r="C4961" t="s">
        <v>14</v>
      </c>
      <c r="D4961" t="str">
        <f>VLOOKUP(C4961,'lookup table'!$A$2:$B$19,2,FALSE)</f>
        <v>ALC</v>
      </c>
      <c r="E4961" t="str">
        <f t="shared" si="77"/>
        <v>DR2REX_00|ALC</v>
      </c>
    </row>
    <row r="4962" spans="1:5" x14ac:dyDescent="0.2">
      <c r="A4962" t="s">
        <v>1319</v>
      </c>
      <c r="B4962" t="s">
        <v>1320</v>
      </c>
      <c r="C4962" t="s">
        <v>20</v>
      </c>
      <c r="D4962" t="str">
        <f>VLOOKUP(C4962,'lookup table'!$A$2:$B$19,2,FALSE)</f>
        <v>AY</v>
      </c>
      <c r="E4962" t="str">
        <f t="shared" si="77"/>
        <v>DR2REX_00|AY</v>
      </c>
    </row>
    <row r="4963" spans="1:5" x14ac:dyDescent="0.2">
      <c r="A4963" t="s">
        <v>1319</v>
      </c>
      <c r="B4963" t="s">
        <v>1320</v>
      </c>
      <c r="C4963" t="s">
        <v>324</v>
      </c>
      <c r="D4963" t="e">
        <f>VLOOKUP(C4963,'lookup table'!$A$2:$B$19,2,FALSE)</f>
        <v>#N/A</v>
      </c>
      <c r="E4963" t="str">
        <f t="shared" si="77"/>
        <v/>
      </c>
    </row>
    <row r="4964" spans="1:5" x14ac:dyDescent="0.2">
      <c r="A4964" t="s">
        <v>1319</v>
      </c>
      <c r="B4964" t="s">
        <v>1320</v>
      </c>
      <c r="C4964" t="s">
        <v>325</v>
      </c>
      <c r="D4964" t="e">
        <f>VLOOKUP(C4964,'lookup table'!$A$2:$B$19,2,FALSE)</f>
        <v>#N/A</v>
      </c>
      <c r="E4964" t="str">
        <f t="shared" si="77"/>
        <v/>
      </c>
    </row>
    <row r="4965" spans="1:5" x14ac:dyDescent="0.2">
      <c r="A4965" t="s">
        <v>1319</v>
      </c>
      <c r="B4965" t="s">
        <v>1320</v>
      </c>
      <c r="C4965" t="s">
        <v>326</v>
      </c>
      <c r="D4965" t="e">
        <f>VLOOKUP(C4965,'lookup table'!$A$2:$B$19,2,FALSE)</f>
        <v>#N/A</v>
      </c>
      <c r="E4965" t="str">
        <f t="shared" si="77"/>
        <v/>
      </c>
    </row>
    <row r="4966" spans="1:5" x14ac:dyDescent="0.2">
      <c r="A4966" t="s">
        <v>1319</v>
      </c>
      <c r="B4966" t="s">
        <v>1320</v>
      </c>
      <c r="C4966" t="s">
        <v>327</v>
      </c>
      <c r="D4966" t="e">
        <f>VLOOKUP(C4966,'lookup table'!$A$2:$B$19,2,FALSE)</f>
        <v>#N/A</v>
      </c>
      <c r="E4966" t="str">
        <f t="shared" si="77"/>
        <v/>
      </c>
    </row>
    <row r="4967" spans="1:5" x14ac:dyDescent="0.2">
      <c r="A4967" t="s">
        <v>1319</v>
      </c>
      <c r="B4967" t="s">
        <v>1320</v>
      </c>
      <c r="C4967" t="s">
        <v>328</v>
      </c>
      <c r="D4967" t="e">
        <f>VLOOKUP(C4967,'lookup table'!$A$2:$B$19,2,FALSE)</f>
        <v>#N/A</v>
      </c>
      <c r="E4967" t="str">
        <f t="shared" si="77"/>
        <v/>
      </c>
    </row>
    <row r="4968" spans="1:5" x14ac:dyDescent="0.2">
      <c r="A4968" t="s">
        <v>1319</v>
      </c>
      <c r="B4968" t="s">
        <v>1320</v>
      </c>
      <c r="C4968" t="s">
        <v>329</v>
      </c>
      <c r="D4968" t="e">
        <f>VLOOKUP(C4968,'lookup table'!$A$2:$B$19,2,FALSE)</f>
        <v>#N/A</v>
      </c>
      <c r="E4968" t="str">
        <f t="shared" si="77"/>
        <v/>
      </c>
    </row>
    <row r="4969" spans="1:5" x14ac:dyDescent="0.2">
      <c r="A4969" t="s">
        <v>1319</v>
      </c>
      <c r="B4969" t="s">
        <v>1320</v>
      </c>
      <c r="C4969" t="s">
        <v>331</v>
      </c>
      <c r="D4969" t="str">
        <f>VLOOKUP(C4969,'lookup table'!$A$2:$B$19,2,FALSE)</f>
        <v>FS Item</v>
      </c>
      <c r="E4969" t="str">
        <f t="shared" si="77"/>
        <v>DR2REX_00|FS Item</v>
      </c>
    </row>
    <row r="4970" spans="1:5" x14ac:dyDescent="0.2">
      <c r="A4970" t="s">
        <v>1319</v>
      </c>
      <c r="B4970" t="s">
        <v>1320</v>
      </c>
      <c r="C4970" t="s">
        <v>422</v>
      </c>
      <c r="D4970" t="e">
        <f>VLOOKUP(C4970,'lookup table'!$A$2:$B$19,2,FALSE)</f>
        <v>#N/A</v>
      </c>
      <c r="E4970" t="str">
        <f t="shared" si="77"/>
        <v/>
      </c>
    </row>
    <row r="4971" spans="1:5" x14ac:dyDescent="0.2">
      <c r="A4971" t="s">
        <v>1319</v>
      </c>
      <c r="B4971" t="s">
        <v>1320</v>
      </c>
      <c r="C4971" t="s">
        <v>423</v>
      </c>
      <c r="D4971" t="str">
        <f>VLOOKUP(C4971,'lookup table'!$A$2:$B$19,2,FALSE)</f>
        <v>ignore</v>
      </c>
      <c r="E4971" t="str">
        <f t="shared" si="77"/>
        <v>DR2REX_00|ignore</v>
      </c>
    </row>
    <row r="4972" spans="1:5" x14ac:dyDescent="0.2">
      <c r="A4972" t="s">
        <v>1319</v>
      </c>
      <c r="B4972" t="s">
        <v>1320</v>
      </c>
      <c r="C4972" t="s">
        <v>424</v>
      </c>
      <c r="D4972" t="str">
        <f>VLOOKUP(C4972,'lookup table'!$A$2:$B$19,2,FALSE)</f>
        <v>GRC</v>
      </c>
      <c r="E4972" t="str">
        <f t="shared" si="77"/>
        <v>DR2REX_00|GRC</v>
      </c>
    </row>
    <row r="4973" spans="1:5" x14ac:dyDescent="0.2">
      <c r="A4973" t="s">
        <v>1319</v>
      </c>
      <c r="B4973" t="s">
        <v>1320</v>
      </c>
      <c r="C4973" t="s">
        <v>425</v>
      </c>
      <c r="D4973" t="str">
        <f>VLOOKUP(C4973,'lookup table'!$A$2:$B$19,2,FALSE)</f>
        <v>Investee Segment</v>
      </c>
      <c r="E4973" t="str">
        <f t="shared" si="77"/>
        <v>DR2REX_00|Investee Segment</v>
      </c>
    </row>
    <row r="4974" spans="1:5" x14ac:dyDescent="0.2">
      <c r="A4974" t="s">
        <v>1319</v>
      </c>
      <c r="B4974" t="s">
        <v>1320</v>
      </c>
      <c r="C4974" t="s">
        <v>426</v>
      </c>
      <c r="D4974" t="str">
        <f>VLOOKUP(C4974,'lookup table'!$A$2:$B$19,2,FALSE)</f>
        <v>Investee Unit</v>
      </c>
      <c r="E4974" t="str">
        <f t="shared" si="77"/>
        <v>DR2REX_00|Investee Unit</v>
      </c>
    </row>
    <row r="4975" spans="1:5" x14ac:dyDescent="0.2">
      <c r="A4975" t="s">
        <v>1319</v>
      </c>
      <c r="B4975" t="s">
        <v>1320</v>
      </c>
      <c r="C4975" t="s">
        <v>428</v>
      </c>
      <c r="D4975" t="str">
        <f>VLOOKUP(C4975,'lookup table'!$A$2:$B$19,2,FALSE)</f>
        <v>LoB</v>
      </c>
      <c r="E4975" t="str">
        <f t="shared" si="77"/>
        <v>DR2REX_00|LoB</v>
      </c>
    </row>
    <row r="4976" spans="1:5" x14ac:dyDescent="0.2">
      <c r="A4976" t="s">
        <v>1319</v>
      </c>
      <c r="B4976" t="s">
        <v>1320</v>
      </c>
      <c r="C4976" t="s">
        <v>436</v>
      </c>
      <c r="D4976" t="str">
        <f>VLOOKUP(C4976,'lookup table'!$A$2:$B$19,2,FALSE)</f>
        <v>MAT</v>
      </c>
      <c r="E4976" t="str">
        <f t="shared" si="77"/>
        <v>DR2REX_00|MAT</v>
      </c>
    </row>
    <row r="4977" spans="1:5" x14ac:dyDescent="0.2">
      <c r="A4977" t="s">
        <v>1319</v>
      </c>
      <c r="B4977" t="s">
        <v>1320</v>
      </c>
      <c r="C4977" t="s">
        <v>438</v>
      </c>
      <c r="D4977" t="str">
        <f>VLOOKUP(C4977,'lookup table'!$A$2:$B$19,2,FALSE)</f>
        <v>ToM</v>
      </c>
      <c r="E4977" t="str">
        <f t="shared" si="77"/>
        <v>DR2REX_00|ToM</v>
      </c>
    </row>
    <row r="4978" spans="1:5" x14ac:dyDescent="0.2">
      <c r="A4978" t="s">
        <v>1319</v>
      </c>
      <c r="B4978" t="s">
        <v>1320</v>
      </c>
      <c r="C4978" t="s">
        <v>441</v>
      </c>
      <c r="D4978" t="str">
        <f>VLOOKUP(C4978,'lookup table'!$A$2:$B$19,2,FALSE)</f>
        <v>Partner Segment</v>
      </c>
      <c r="E4978" t="str">
        <f t="shared" si="77"/>
        <v>DR2REX_00|Partner Segment</v>
      </c>
    </row>
    <row r="4979" spans="1:5" x14ac:dyDescent="0.2">
      <c r="A4979" t="s">
        <v>1319</v>
      </c>
      <c r="B4979" t="s">
        <v>1320</v>
      </c>
      <c r="C4979" t="s">
        <v>442</v>
      </c>
      <c r="D4979" t="str">
        <f>VLOOKUP(C4979,'lookup table'!$A$2:$B$19,2,FALSE)</f>
        <v>Partner Unit</v>
      </c>
      <c r="E4979" t="str">
        <f t="shared" si="77"/>
        <v>DR2REX_00|Partner Unit</v>
      </c>
    </row>
    <row r="4980" spans="1:5" x14ac:dyDescent="0.2">
      <c r="A4980" t="s">
        <v>1319</v>
      </c>
      <c r="B4980" t="s">
        <v>1320</v>
      </c>
      <c r="C4980" t="s">
        <v>447</v>
      </c>
      <c r="D4980" t="str">
        <f>VLOOKUP(C4980,'lookup table'!$A$2:$B$19,2,FALSE)</f>
        <v>REX</v>
      </c>
      <c r="E4980" t="str">
        <f t="shared" si="77"/>
        <v>DR2REX_00|REX</v>
      </c>
    </row>
    <row r="4981" spans="1:5" x14ac:dyDescent="0.2">
      <c r="A4981" t="s">
        <v>1319</v>
      </c>
      <c r="B4981" t="s">
        <v>1320</v>
      </c>
      <c r="C4981" t="s">
        <v>448</v>
      </c>
      <c r="D4981" t="e">
        <f>VLOOKUP(C4981,'lookup table'!$A$2:$B$19,2,FALSE)</f>
        <v>#N/A</v>
      </c>
      <c r="E4981" t="str">
        <f t="shared" si="77"/>
        <v/>
      </c>
    </row>
    <row r="4982" spans="1:5" x14ac:dyDescent="0.2">
      <c r="A4982" t="s">
        <v>1319</v>
      </c>
      <c r="B4982" t="s">
        <v>1320</v>
      </c>
      <c r="C4982" t="s">
        <v>449</v>
      </c>
      <c r="D4982" t="e">
        <f>VLOOKUP(C4982,'lookup table'!$A$2:$B$19,2,FALSE)</f>
        <v>#N/A</v>
      </c>
      <c r="E4982" t="str">
        <f t="shared" si="77"/>
        <v/>
      </c>
    </row>
    <row r="4983" spans="1:5" x14ac:dyDescent="0.2">
      <c r="A4983" t="s">
        <v>1319</v>
      </c>
      <c r="B4983" t="s">
        <v>1320</v>
      </c>
      <c r="C4983" t="s">
        <v>451</v>
      </c>
      <c r="D4983" t="str">
        <f>VLOOKUP(C4983,'lookup table'!$A$2:$B$19,2,FALSE)</f>
        <v>Segment</v>
      </c>
      <c r="E4983" t="str">
        <f t="shared" si="77"/>
        <v>DR2REX_00|Segment</v>
      </c>
    </row>
    <row r="4984" spans="1:5" x14ac:dyDescent="0.2">
      <c r="A4984" t="s">
        <v>1319</v>
      </c>
      <c r="B4984" t="s">
        <v>1320</v>
      </c>
      <c r="C4984" t="s">
        <v>455</v>
      </c>
      <c r="D4984" t="e">
        <f>VLOOKUP(C4984,'lookup table'!$A$2:$B$19,2,FALSE)</f>
        <v>#N/A</v>
      </c>
      <c r="E4984" t="str">
        <f t="shared" si="77"/>
        <v/>
      </c>
    </row>
    <row r="4985" spans="1:5" x14ac:dyDescent="0.2">
      <c r="A4985" t="s">
        <v>1319</v>
      </c>
      <c r="B4985" t="s">
        <v>1320</v>
      </c>
      <c r="C4985" t="s">
        <v>456</v>
      </c>
      <c r="D4985" t="e">
        <f>VLOOKUP(C4985,'lookup table'!$A$2:$B$19,2,FALSE)</f>
        <v>#N/A</v>
      </c>
      <c r="E4985" t="str">
        <f t="shared" si="77"/>
        <v/>
      </c>
    </row>
    <row r="4986" spans="1:5" x14ac:dyDescent="0.2">
      <c r="A4986" t="s">
        <v>1319</v>
      </c>
      <c r="B4986" t="s">
        <v>1320</v>
      </c>
      <c r="C4986" t="s">
        <v>457</v>
      </c>
      <c r="D4986" t="str">
        <f>VLOOKUP(C4986,'lookup table'!$A$2:$B$19,2,FALSE)</f>
        <v>VLT</v>
      </c>
      <c r="E4986" t="str">
        <f t="shared" si="77"/>
        <v>DR2REX_00|VLT</v>
      </c>
    </row>
    <row r="4987" spans="1:5" x14ac:dyDescent="0.2">
      <c r="A4987" t="s">
        <v>1319</v>
      </c>
      <c r="B4987" t="s">
        <v>1320</v>
      </c>
      <c r="C4987" t="s">
        <v>458</v>
      </c>
      <c r="D4987" t="str">
        <f>VLOOKUP(C4987,'lookup table'!$A$2:$B$19,2,FALSE)</f>
        <v>VAR</v>
      </c>
      <c r="E4987" t="str">
        <f t="shared" si="77"/>
        <v>DR2REX_00|VAR</v>
      </c>
    </row>
    <row r="4988" spans="1:5" x14ac:dyDescent="0.2">
      <c r="A4988" t="s">
        <v>1319</v>
      </c>
      <c r="B4988" t="s">
        <v>1320</v>
      </c>
      <c r="C4988" t="s">
        <v>459</v>
      </c>
      <c r="D4988" t="e">
        <f>VLOOKUP(C4988,'lookup table'!$A$2:$B$19,2,FALSE)</f>
        <v>#N/A</v>
      </c>
      <c r="E4988" t="str">
        <f t="shared" si="77"/>
        <v/>
      </c>
    </row>
    <row r="4989" spans="1:5" x14ac:dyDescent="0.2">
      <c r="A4989" t="s">
        <v>1319</v>
      </c>
      <c r="B4989" t="s">
        <v>1320</v>
      </c>
      <c r="C4989" t="s">
        <v>460</v>
      </c>
      <c r="D4989" t="e">
        <f>VLOOKUP(C4989,'lookup table'!$A$2:$B$19,2,FALSE)</f>
        <v>#N/A</v>
      </c>
      <c r="E4989" t="str">
        <f t="shared" si="77"/>
        <v/>
      </c>
    </row>
    <row r="4990" spans="1:5" x14ac:dyDescent="0.2">
      <c r="A4990" t="s">
        <v>1319</v>
      </c>
      <c r="B4990" t="s">
        <v>1320</v>
      </c>
      <c r="C4990" t="s">
        <v>461</v>
      </c>
      <c r="D4990" t="str">
        <f>VLOOKUP(C4990,'lookup table'!$A$2:$B$19,2,FALSE)</f>
        <v>Posting Level</v>
      </c>
      <c r="E4990" t="str">
        <f t="shared" si="77"/>
        <v>DR2REX_00|Posting Level</v>
      </c>
    </row>
    <row r="4991" spans="1:5" x14ac:dyDescent="0.2">
      <c r="A4991" t="s">
        <v>1319</v>
      </c>
      <c r="B4991" t="s">
        <v>1320</v>
      </c>
      <c r="C4991" t="s">
        <v>462</v>
      </c>
      <c r="D4991" t="e">
        <f>VLOOKUP(C4991,'lookup table'!$A$2:$B$19,2,FALSE)</f>
        <v>#N/A</v>
      </c>
      <c r="E4991" t="str">
        <f t="shared" si="77"/>
        <v/>
      </c>
    </row>
    <row r="4992" spans="1:5" x14ac:dyDescent="0.2">
      <c r="A4992" t="s">
        <v>1319</v>
      </c>
      <c r="B4992" t="s">
        <v>1320</v>
      </c>
      <c r="C4992" t="s">
        <v>463</v>
      </c>
      <c r="D4992" t="e">
        <f>VLOOKUP(C4992,'lookup table'!$A$2:$B$19,2,FALSE)</f>
        <v>#N/A</v>
      </c>
      <c r="E4992" t="str">
        <f t="shared" si="77"/>
        <v/>
      </c>
    </row>
    <row r="4993" spans="1:5" x14ac:dyDescent="0.2">
      <c r="A4993" t="s">
        <v>1319</v>
      </c>
      <c r="B4993" t="s">
        <v>1320</v>
      </c>
      <c r="C4993" t="s">
        <v>464</v>
      </c>
      <c r="D4993" t="e">
        <f>VLOOKUP(C4993,'lookup table'!$A$2:$B$19,2,FALSE)</f>
        <v>#N/A</v>
      </c>
      <c r="E4993" t="str">
        <f t="shared" si="77"/>
        <v/>
      </c>
    </row>
    <row r="4994" spans="1:5" x14ac:dyDescent="0.2">
      <c r="A4994" t="s">
        <v>1319</v>
      </c>
      <c r="B4994" t="s">
        <v>1320</v>
      </c>
      <c r="C4994" t="s">
        <v>465</v>
      </c>
      <c r="D4994" t="e">
        <f>VLOOKUP(C4994,'lookup table'!$A$2:$B$19,2,FALSE)</f>
        <v>#N/A</v>
      </c>
      <c r="E4994" t="str">
        <f t="shared" si="77"/>
        <v/>
      </c>
    </row>
    <row r="4995" spans="1:5" x14ac:dyDescent="0.2">
      <c r="A4995" t="s">
        <v>1321</v>
      </c>
      <c r="B4995" t="s">
        <v>1322</v>
      </c>
      <c r="C4995" t="s">
        <v>2</v>
      </c>
      <c r="D4995" t="e">
        <f>VLOOKUP(C4995,'lookup table'!$A$2:$B$19,2,FALSE)</f>
        <v>#N/A</v>
      </c>
      <c r="E4995" t="str">
        <f t="shared" ref="E4995:E5058" si="78">IF(ISNA(D4995),"",IF(A4995="","",A4995) &amp; "|" &amp; D4995)</f>
        <v/>
      </c>
    </row>
    <row r="4996" spans="1:5" x14ac:dyDescent="0.2">
      <c r="A4996" t="s">
        <v>1321</v>
      </c>
      <c r="B4996" t="s">
        <v>1322</v>
      </c>
      <c r="C4996" t="s">
        <v>5</v>
      </c>
      <c r="D4996" t="e">
        <f>VLOOKUP(C4996,'lookup table'!$A$2:$B$19,2,FALSE)</f>
        <v>#N/A</v>
      </c>
      <c r="E4996" t="str">
        <f t="shared" si="78"/>
        <v/>
      </c>
    </row>
    <row r="4997" spans="1:5" x14ac:dyDescent="0.2">
      <c r="A4997" t="s">
        <v>1321</v>
      </c>
      <c r="B4997" t="s">
        <v>1322</v>
      </c>
      <c r="C4997" t="s">
        <v>6</v>
      </c>
      <c r="D4997" t="e">
        <f>VLOOKUP(C4997,'lookup table'!$A$2:$B$19,2,FALSE)</f>
        <v>#N/A</v>
      </c>
      <c r="E4997" t="str">
        <f t="shared" si="78"/>
        <v/>
      </c>
    </row>
    <row r="4998" spans="1:5" x14ac:dyDescent="0.2">
      <c r="A4998" t="s">
        <v>1321</v>
      </c>
      <c r="B4998" t="s">
        <v>1322</v>
      </c>
      <c r="C4998" t="s">
        <v>9</v>
      </c>
      <c r="D4998" t="e">
        <f>VLOOKUP(C4998,'lookup table'!$A$2:$B$19,2,FALSE)</f>
        <v>#N/A</v>
      </c>
      <c r="E4998" t="str">
        <f t="shared" si="78"/>
        <v/>
      </c>
    </row>
    <row r="4999" spans="1:5" x14ac:dyDescent="0.2">
      <c r="A4999" t="s">
        <v>1321</v>
      </c>
      <c r="B4999" t="s">
        <v>1322</v>
      </c>
      <c r="C4999" t="s">
        <v>10</v>
      </c>
      <c r="D4999" t="e">
        <f>VLOOKUP(C4999,'lookup table'!$A$2:$B$19,2,FALSE)</f>
        <v>#N/A</v>
      </c>
      <c r="E4999" t="str">
        <f t="shared" si="78"/>
        <v/>
      </c>
    </row>
    <row r="5000" spans="1:5" x14ac:dyDescent="0.2">
      <c r="A5000" t="s">
        <v>1321</v>
      </c>
      <c r="B5000" t="s">
        <v>1322</v>
      </c>
      <c r="C5000" t="s">
        <v>11</v>
      </c>
      <c r="D5000" t="e">
        <f>VLOOKUP(C5000,'lookup table'!$A$2:$B$19,2,FALSE)</f>
        <v>#N/A</v>
      </c>
      <c r="E5000" t="str">
        <f t="shared" si="78"/>
        <v/>
      </c>
    </row>
    <row r="5001" spans="1:5" x14ac:dyDescent="0.2">
      <c r="A5001" t="s">
        <v>1321</v>
      </c>
      <c r="B5001" t="s">
        <v>1322</v>
      </c>
      <c r="C5001" t="s">
        <v>12</v>
      </c>
      <c r="D5001" t="e">
        <f>VLOOKUP(C5001,'lookup table'!$A$2:$B$19,2,FALSE)</f>
        <v>#N/A</v>
      </c>
      <c r="E5001" t="str">
        <f t="shared" si="78"/>
        <v/>
      </c>
    </row>
    <row r="5002" spans="1:5" x14ac:dyDescent="0.2">
      <c r="A5002" t="s">
        <v>1321</v>
      </c>
      <c r="B5002" t="s">
        <v>1322</v>
      </c>
      <c r="C5002" t="s">
        <v>14</v>
      </c>
      <c r="D5002" t="str">
        <f>VLOOKUP(C5002,'lookup table'!$A$2:$B$19,2,FALSE)</f>
        <v>ALC</v>
      </c>
      <c r="E5002" t="str">
        <f t="shared" si="78"/>
        <v>DR2TOM_00|ALC</v>
      </c>
    </row>
    <row r="5003" spans="1:5" x14ac:dyDescent="0.2">
      <c r="A5003" t="s">
        <v>1321</v>
      </c>
      <c r="B5003" t="s">
        <v>1322</v>
      </c>
      <c r="C5003" t="s">
        <v>20</v>
      </c>
      <c r="D5003" t="str">
        <f>VLOOKUP(C5003,'lookup table'!$A$2:$B$19,2,FALSE)</f>
        <v>AY</v>
      </c>
      <c r="E5003" t="str">
        <f t="shared" si="78"/>
        <v>DR2TOM_00|AY</v>
      </c>
    </row>
    <row r="5004" spans="1:5" x14ac:dyDescent="0.2">
      <c r="A5004" t="s">
        <v>1321</v>
      </c>
      <c r="B5004" t="s">
        <v>1322</v>
      </c>
      <c r="C5004" t="s">
        <v>324</v>
      </c>
      <c r="D5004" t="e">
        <f>VLOOKUP(C5004,'lookup table'!$A$2:$B$19,2,FALSE)</f>
        <v>#N/A</v>
      </c>
      <c r="E5004" t="str">
        <f t="shared" si="78"/>
        <v/>
      </c>
    </row>
    <row r="5005" spans="1:5" x14ac:dyDescent="0.2">
      <c r="A5005" t="s">
        <v>1321</v>
      </c>
      <c r="B5005" t="s">
        <v>1322</v>
      </c>
      <c r="C5005" t="s">
        <v>325</v>
      </c>
      <c r="D5005" t="e">
        <f>VLOOKUP(C5005,'lookup table'!$A$2:$B$19,2,FALSE)</f>
        <v>#N/A</v>
      </c>
      <c r="E5005" t="str">
        <f t="shared" si="78"/>
        <v/>
      </c>
    </row>
    <row r="5006" spans="1:5" x14ac:dyDescent="0.2">
      <c r="A5006" t="s">
        <v>1321</v>
      </c>
      <c r="B5006" t="s">
        <v>1322</v>
      </c>
      <c r="C5006" t="s">
        <v>326</v>
      </c>
      <c r="D5006" t="e">
        <f>VLOOKUP(C5006,'lookup table'!$A$2:$B$19,2,FALSE)</f>
        <v>#N/A</v>
      </c>
      <c r="E5006" t="str">
        <f t="shared" si="78"/>
        <v/>
      </c>
    </row>
    <row r="5007" spans="1:5" x14ac:dyDescent="0.2">
      <c r="A5007" t="s">
        <v>1321</v>
      </c>
      <c r="B5007" t="s">
        <v>1322</v>
      </c>
      <c r="C5007" t="s">
        <v>327</v>
      </c>
      <c r="D5007" t="e">
        <f>VLOOKUP(C5007,'lookup table'!$A$2:$B$19,2,FALSE)</f>
        <v>#N/A</v>
      </c>
      <c r="E5007" t="str">
        <f t="shared" si="78"/>
        <v/>
      </c>
    </row>
    <row r="5008" spans="1:5" x14ac:dyDescent="0.2">
      <c r="A5008" t="s">
        <v>1321</v>
      </c>
      <c r="B5008" t="s">
        <v>1322</v>
      </c>
      <c r="C5008" t="s">
        <v>328</v>
      </c>
      <c r="D5008" t="e">
        <f>VLOOKUP(C5008,'lookup table'!$A$2:$B$19,2,FALSE)</f>
        <v>#N/A</v>
      </c>
      <c r="E5008" t="str">
        <f t="shared" si="78"/>
        <v/>
      </c>
    </row>
    <row r="5009" spans="1:5" x14ac:dyDescent="0.2">
      <c r="A5009" t="s">
        <v>1321</v>
      </c>
      <c r="B5009" t="s">
        <v>1322</v>
      </c>
      <c r="C5009" t="s">
        <v>329</v>
      </c>
      <c r="D5009" t="e">
        <f>VLOOKUP(C5009,'lookup table'!$A$2:$B$19,2,FALSE)</f>
        <v>#N/A</v>
      </c>
      <c r="E5009" t="str">
        <f t="shared" si="78"/>
        <v/>
      </c>
    </row>
    <row r="5010" spans="1:5" x14ac:dyDescent="0.2">
      <c r="A5010" t="s">
        <v>1321</v>
      </c>
      <c r="B5010" t="s">
        <v>1322</v>
      </c>
      <c r="C5010" t="s">
        <v>331</v>
      </c>
      <c r="D5010" t="str">
        <f>VLOOKUP(C5010,'lookup table'!$A$2:$B$19,2,FALSE)</f>
        <v>FS Item</v>
      </c>
      <c r="E5010" t="str">
        <f t="shared" si="78"/>
        <v>DR2TOM_00|FS Item</v>
      </c>
    </row>
    <row r="5011" spans="1:5" x14ac:dyDescent="0.2">
      <c r="A5011" t="s">
        <v>1321</v>
      </c>
      <c r="B5011" t="s">
        <v>1322</v>
      </c>
      <c r="C5011" t="s">
        <v>422</v>
      </c>
      <c r="D5011" t="e">
        <f>VLOOKUP(C5011,'lookup table'!$A$2:$B$19,2,FALSE)</f>
        <v>#N/A</v>
      </c>
      <c r="E5011" t="str">
        <f t="shared" si="78"/>
        <v/>
      </c>
    </row>
    <row r="5012" spans="1:5" x14ac:dyDescent="0.2">
      <c r="A5012" t="s">
        <v>1321</v>
      </c>
      <c r="B5012" t="s">
        <v>1322</v>
      </c>
      <c r="C5012" t="s">
        <v>423</v>
      </c>
      <c r="D5012" t="str">
        <f>VLOOKUP(C5012,'lookup table'!$A$2:$B$19,2,FALSE)</f>
        <v>ignore</v>
      </c>
      <c r="E5012" t="str">
        <f t="shared" si="78"/>
        <v>DR2TOM_00|ignore</v>
      </c>
    </row>
    <row r="5013" spans="1:5" x14ac:dyDescent="0.2">
      <c r="A5013" t="s">
        <v>1321</v>
      </c>
      <c r="B5013" t="s">
        <v>1322</v>
      </c>
      <c r="C5013" t="s">
        <v>424</v>
      </c>
      <c r="D5013" t="str">
        <f>VLOOKUP(C5013,'lookup table'!$A$2:$B$19,2,FALSE)</f>
        <v>GRC</v>
      </c>
      <c r="E5013" t="str">
        <f t="shared" si="78"/>
        <v>DR2TOM_00|GRC</v>
      </c>
    </row>
    <row r="5014" spans="1:5" x14ac:dyDescent="0.2">
      <c r="A5014" t="s">
        <v>1321</v>
      </c>
      <c r="B5014" t="s">
        <v>1322</v>
      </c>
      <c r="C5014" t="s">
        <v>425</v>
      </c>
      <c r="D5014" t="str">
        <f>VLOOKUP(C5014,'lookup table'!$A$2:$B$19,2,FALSE)</f>
        <v>Investee Segment</v>
      </c>
      <c r="E5014" t="str">
        <f t="shared" si="78"/>
        <v>DR2TOM_00|Investee Segment</v>
      </c>
    </row>
    <row r="5015" spans="1:5" x14ac:dyDescent="0.2">
      <c r="A5015" t="s">
        <v>1321</v>
      </c>
      <c r="B5015" t="s">
        <v>1322</v>
      </c>
      <c r="C5015" t="s">
        <v>426</v>
      </c>
      <c r="D5015" t="str">
        <f>VLOOKUP(C5015,'lookup table'!$A$2:$B$19,2,FALSE)</f>
        <v>Investee Unit</v>
      </c>
      <c r="E5015" t="str">
        <f t="shared" si="78"/>
        <v>DR2TOM_00|Investee Unit</v>
      </c>
    </row>
    <row r="5016" spans="1:5" x14ac:dyDescent="0.2">
      <c r="A5016" t="s">
        <v>1321</v>
      </c>
      <c r="B5016" t="s">
        <v>1322</v>
      </c>
      <c r="C5016" t="s">
        <v>428</v>
      </c>
      <c r="D5016" t="str">
        <f>VLOOKUP(C5016,'lookup table'!$A$2:$B$19,2,FALSE)</f>
        <v>LoB</v>
      </c>
      <c r="E5016" t="str">
        <f t="shared" si="78"/>
        <v>DR2TOM_00|LoB</v>
      </c>
    </row>
    <row r="5017" spans="1:5" x14ac:dyDescent="0.2">
      <c r="A5017" t="s">
        <v>1321</v>
      </c>
      <c r="B5017" t="s">
        <v>1322</v>
      </c>
      <c r="C5017" t="s">
        <v>436</v>
      </c>
      <c r="D5017" t="str">
        <f>VLOOKUP(C5017,'lookup table'!$A$2:$B$19,2,FALSE)</f>
        <v>MAT</v>
      </c>
      <c r="E5017" t="str">
        <f t="shared" si="78"/>
        <v>DR2TOM_00|MAT</v>
      </c>
    </row>
    <row r="5018" spans="1:5" x14ac:dyDescent="0.2">
      <c r="A5018" t="s">
        <v>1321</v>
      </c>
      <c r="B5018" t="s">
        <v>1322</v>
      </c>
      <c r="C5018" t="s">
        <v>438</v>
      </c>
      <c r="D5018" t="str">
        <f>VLOOKUP(C5018,'lookup table'!$A$2:$B$19,2,FALSE)</f>
        <v>ToM</v>
      </c>
      <c r="E5018" t="str">
        <f t="shared" si="78"/>
        <v>DR2TOM_00|ToM</v>
      </c>
    </row>
    <row r="5019" spans="1:5" x14ac:dyDescent="0.2">
      <c r="A5019" t="s">
        <v>1321</v>
      </c>
      <c r="B5019" t="s">
        <v>1322</v>
      </c>
      <c r="C5019" t="s">
        <v>441</v>
      </c>
      <c r="D5019" t="str">
        <f>VLOOKUP(C5019,'lookup table'!$A$2:$B$19,2,FALSE)</f>
        <v>Partner Segment</v>
      </c>
      <c r="E5019" t="str">
        <f t="shared" si="78"/>
        <v>DR2TOM_00|Partner Segment</v>
      </c>
    </row>
    <row r="5020" spans="1:5" x14ac:dyDescent="0.2">
      <c r="A5020" t="s">
        <v>1321</v>
      </c>
      <c r="B5020" t="s">
        <v>1322</v>
      </c>
      <c r="C5020" t="s">
        <v>442</v>
      </c>
      <c r="D5020" t="str">
        <f>VLOOKUP(C5020,'lookup table'!$A$2:$B$19,2,FALSE)</f>
        <v>Partner Unit</v>
      </c>
      <c r="E5020" t="str">
        <f t="shared" si="78"/>
        <v>DR2TOM_00|Partner Unit</v>
      </c>
    </row>
    <row r="5021" spans="1:5" x14ac:dyDescent="0.2">
      <c r="A5021" t="s">
        <v>1321</v>
      </c>
      <c r="B5021" t="s">
        <v>1322</v>
      </c>
      <c r="C5021" t="s">
        <v>447</v>
      </c>
      <c r="D5021" t="str">
        <f>VLOOKUP(C5021,'lookup table'!$A$2:$B$19,2,FALSE)</f>
        <v>REX</v>
      </c>
      <c r="E5021" t="str">
        <f t="shared" si="78"/>
        <v>DR2TOM_00|REX</v>
      </c>
    </row>
    <row r="5022" spans="1:5" x14ac:dyDescent="0.2">
      <c r="A5022" t="s">
        <v>1321</v>
      </c>
      <c r="B5022" t="s">
        <v>1322</v>
      </c>
      <c r="C5022" t="s">
        <v>448</v>
      </c>
      <c r="D5022" t="e">
        <f>VLOOKUP(C5022,'lookup table'!$A$2:$B$19,2,FALSE)</f>
        <v>#N/A</v>
      </c>
      <c r="E5022" t="str">
        <f t="shared" si="78"/>
        <v/>
      </c>
    </row>
    <row r="5023" spans="1:5" x14ac:dyDescent="0.2">
      <c r="A5023" t="s">
        <v>1321</v>
      </c>
      <c r="B5023" t="s">
        <v>1322</v>
      </c>
      <c r="C5023" t="s">
        <v>449</v>
      </c>
      <c r="D5023" t="e">
        <f>VLOOKUP(C5023,'lookup table'!$A$2:$B$19,2,FALSE)</f>
        <v>#N/A</v>
      </c>
      <c r="E5023" t="str">
        <f t="shared" si="78"/>
        <v/>
      </c>
    </row>
    <row r="5024" spans="1:5" x14ac:dyDescent="0.2">
      <c r="A5024" t="s">
        <v>1321</v>
      </c>
      <c r="B5024" t="s">
        <v>1322</v>
      </c>
      <c r="C5024" t="s">
        <v>451</v>
      </c>
      <c r="D5024" t="str">
        <f>VLOOKUP(C5024,'lookup table'!$A$2:$B$19,2,FALSE)</f>
        <v>Segment</v>
      </c>
      <c r="E5024" t="str">
        <f t="shared" si="78"/>
        <v>DR2TOM_00|Segment</v>
      </c>
    </row>
    <row r="5025" spans="1:5" x14ac:dyDescent="0.2">
      <c r="A5025" t="s">
        <v>1321</v>
      </c>
      <c r="B5025" t="s">
        <v>1322</v>
      </c>
      <c r="C5025" t="s">
        <v>455</v>
      </c>
      <c r="D5025" t="e">
        <f>VLOOKUP(C5025,'lookup table'!$A$2:$B$19,2,FALSE)</f>
        <v>#N/A</v>
      </c>
      <c r="E5025" t="str">
        <f t="shared" si="78"/>
        <v/>
      </c>
    </row>
    <row r="5026" spans="1:5" x14ac:dyDescent="0.2">
      <c r="A5026" t="s">
        <v>1321</v>
      </c>
      <c r="B5026" t="s">
        <v>1322</v>
      </c>
      <c r="C5026" t="s">
        <v>456</v>
      </c>
      <c r="D5026" t="e">
        <f>VLOOKUP(C5026,'lookup table'!$A$2:$B$19,2,FALSE)</f>
        <v>#N/A</v>
      </c>
      <c r="E5026" t="str">
        <f t="shared" si="78"/>
        <v/>
      </c>
    </row>
    <row r="5027" spans="1:5" x14ac:dyDescent="0.2">
      <c r="A5027" t="s">
        <v>1321</v>
      </c>
      <c r="B5027" t="s">
        <v>1322</v>
      </c>
      <c r="C5027" t="s">
        <v>457</v>
      </c>
      <c r="D5027" t="str">
        <f>VLOOKUP(C5027,'lookup table'!$A$2:$B$19,2,FALSE)</f>
        <v>VLT</v>
      </c>
      <c r="E5027" t="str">
        <f t="shared" si="78"/>
        <v>DR2TOM_00|VLT</v>
      </c>
    </row>
    <row r="5028" spans="1:5" x14ac:dyDescent="0.2">
      <c r="A5028" t="s">
        <v>1321</v>
      </c>
      <c r="B5028" t="s">
        <v>1322</v>
      </c>
      <c r="C5028" t="s">
        <v>458</v>
      </c>
      <c r="D5028" t="str">
        <f>VLOOKUP(C5028,'lookup table'!$A$2:$B$19,2,FALSE)</f>
        <v>VAR</v>
      </c>
      <c r="E5028" t="str">
        <f t="shared" si="78"/>
        <v>DR2TOM_00|VAR</v>
      </c>
    </row>
    <row r="5029" spans="1:5" x14ac:dyDescent="0.2">
      <c r="A5029" t="s">
        <v>1321</v>
      </c>
      <c r="B5029" t="s">
        <v>1322</v>
      </c>
      <c r="C5029" t="s">
        <v>459</v>
      </c>
      <c r="D5029" t="e">
        <f>VLOOKUP(C5029,'lookup table'!$A$2:$B$19,2,FALSE)</f>
        <v>#N/A</v>
      </c>
      <c r="E5029" t="str">
        <f t="shared" si="78"/>
        <v/>
      </c>
    </row>
    <row r="5030" spans="1:5" x14ac:dyDescent="0.2">
      <c r="A5030" t="s">
        <v>1321</v>
      </c>
      <c r="B5030" t="s">
        <v>1322</v>
      </c>
      <c r="C5030" t="s">
        <v>460</v>
      </c>
      <c r="D5030" t="e">
        <f>VLOOKUP(C5030,'lookup table'!$A$2:$B$19,2,FALSE)</f>
        <v>#N/A</v>
      </c>
      <c r="E5030" t="str">
        <f t="shared" si="78"/>
        <v/>
      </c>
    </row>
    <row r="5031" spans="1:5" x14ac:dyDescent="0.2">
      <c r="A5031" t="s">
        <v>1321</v>
      </c>
      <c r="B5031" t="s">
        <v>1322</v>
      </c>
      <c r="C5031" t="s">
        <v>461</v>
      </c>
      <c r="D5031" t="str">
        <f>VLOOKUP(C5031,'lookup table'!$A$2:$B$19,2,FALSE)</f>
        <v>Posting Level</v>
      </c>
      <c r="E5031" t="str">
        <f t="shared" si="78"/>
        <v>DR2TOM_00|Posting Level</v>
      </c>
    </row>
    <row r="5032" spans="1:5" x14ac:dyDescent="0.2">
      <c r="A5032" t="s">
        <v>1321</v>
      </c>
      <c r="B5032" t="s">
        <v>1322</v>
      </c>
      <c r="C5032" t="s">
        <v>462</v>
      </c>
      <c r="D5032" t="e">
        <f>VLOOKUP(C5032,'lookup table'!$A$2:$B$19,2,FALSE)</f>
        <v>#N/A</v>
      </c>
      <c r="E5032" t="str">
        <f t="shared" si="78"/>
        <v/>
      </c>
    </row>
    <row r="5033" spans="1:5" x14ac:dyDescent="0.2">
      <c r="A5033" t="s">
        <v>1321</v>
      </c>
      <c r="B5033" t="s">
        <v>1322</v>
      </c>
      <c r="C5033" t="s">
        <v>463</v>
      </c>
      <c r="D5033" t="e">
        <f>VLOOKUP(C5033,'lookup table'!$A$2:$B$19,2,FALSE)</f>
        <v>#N/A</v>
      </c>
      <c r="E5033" t="str">
        <f t="shared" si="78"/>
        <v/>
      </c>
    </row>
    <row r="5034" spans="1:5" x14ac:dyDescent="0.2">
      <c r="A5034" t="s">
        <v>1321</v>
      </c>
      <c r="B5034" t="s">
        <v>1322</v>
      </c>
      <c r="C5034" t="s">
        <v>464</v>
      </c>
      <c r="D5034" t="e">
        <f>VLOOKUP(C5034,'lookup table'!$A$2:$B$19,2,FALSE)</f>
        <v>#N/A</v>
      </c>
      <c r="E5034" t="str">
        <f t="shared" si="78"/>
        <v/>
      </c>
    </row>
    <row r="5035" spans="1:5" x14ac:dyDescent="0.2">
      <c r="A5035" t="s">
        <v>1321</v>
      </c>
      <c r="B5035" t="s">
        <v>1322</v>
      </c>
      <c r="C5035" t="s">
        <v>465</v>
      </c>
      <c r="D5035" t="e">
        <f>VLOOKUP(C5035,'lookup table'!$A$2:$B$19,2,FALSE)</f>
        <v>#N/A</v>
      </c>
      <c r="E5035" t="str">
        <f t="shared" si="78"/>
        <v/>
      </c>
    </row>
    <row r="5036" spans="1:5" x14ac:dyDescent="0.2">
      <c r="A5036" t="s">
        <v>1323</v>
      </c>
      <c r="B5036" t="s">
        <v>1324</v>
      </c>
      <c r="C5036" t="s">
        <v>2</v>
      </c>
      <c r="D5036" t="e">
        <f>VLOOKUP(C5036,'lookup table'!$A$2:$B$19,2,FALSE)</f>
        <v>#N/A</v>
      </c>
      <c r="E5036" t="str">
        <f t="shared" si="78"/>
        <v/>
      </c>
    </row>
    <row r="5037" spans="1:5" x14ac:dyDescent="0.2">
      <c r="A5037" t="s">
        <v>1323</v>
      </c>
      <c r="B5037" t="s">
        <v>1324</v>
      </c>
      <c r="C5037" t="s">
        <v>5</v>
      </c>
      <c r="D5037" t="e">
        <f>VLOOKUP(C5037,'lookup table'!$A$2:$B$19,2,FALSE)</f>
        <v>#N/A</v>
      </c>
      <c r="E5037" t="str">
        <f t="shared" si="78"/>
        <v/>
      </c>
    </row>
    <row r="5038" spans="1:5" x14ac:dyDescent="0.2">
      <c r="A5038" t="s">
        <v>1323</v>
      </c>
      <c r="B5038" t="s">
        <v>1324</v>
      </c>
      <c r="C5038" t="s">
        <v>6</v>
      </c>
      <c r="D5038" t="e">
        <f>VLOOKUP(C5038,'lookup table'!$A$2:$B$19,2,FALSE)</f>
        <v>#N/A</v>
      </c>
      <c r="E5038" t="str">
        <f t="shared" si="78"/>
        <v/>
      </c>
    </row>
    <row r="5039" spans="1:5" x14ac:dyDescent="0.2">
      <c r="A5039" t="s">
        <v>1323</v>
      </c>
      <c r="B5039" t="s">
        <v>1324</v>
      </c>
      <c r="C5039" t="s">
        <v>9</v>
      </c>
      <c r="D5039" t="e">
        <f>VLOOKUP(C5039,'lookup table'!$A$2:$B$19,2,FALSE)</f>
        <v>#N/A</v>
      </c>
      <c r="E5039" t="str">
        <f t="shared" si="78"/>
        <v/>
      </c>
    </row>
    <row r="5040" spans="1:5" x14ac:dyDescent="0.2">
      <c r="A5040" t="s">
        <v>1323</v>
      </c>
      <c r="B5040" t="s">
        <v>1324</v>
      </c>
      <c r="C5040" t="s">
        <v>10</v>
      </c>
      <c r="D5040" t="e">
        <f>VLOOKUP(C5040,'lookup table'!$A$2:$B$19,2,FALSE)</f>
        <v>#N/A</v>
      </c>
      <c r="E5040" t="str">
        <f t="shared" si="78"/>
        <v/>
      </c>
    </row>
    <row r="5041" spans="1:5" x14ac:dyDescent="0.2">
      <c r="A5041" t="s">
        <v>1323</v>
      </c>
      <c r="B5041" t="s">
        <v>1324</v>
      </c>
      <c r="C5041" t="s">
        <v>11</v>
      </c>
      <c r="D5041" t="e">
        <f>VLOOKUP(C5041,'lookup table'!$A$2:$B$19,2,FALSE)</f>
        <v>#N/A</v>
      </c>
      <c r="E5041" t="str">
        <f t="shared" si="78"/>
        <v/>
      </c>
    </row>
    <row r="5042" spans="1:5" x14ac:dyDescent="0.2">
      <c r="A5042" t="s">
        <v>1323</v>
      </c>
      <c r="B5042" t="s">
        <v>1324</v>
      </c>
      <c r="C5042" t="s">
        <v>12</v>
      </c>
      <c r="D5042" t="e">
        <f>VLOOKUP(C5042,'lookup table'!$A$2:$B$19,2,FALSE)</f>
        <v>#N/A</v>
      </c>
      <c r="E5042" t="str">
        <f t="shared" si="78"/>
        <v/>
      </c>
    </row>
    <row r="5043" spans="1:5" x14ac:dyDescent="0.2">
      <c r="A5043" t="s">
        <v>1323</v>
      </c>
      <c r="B5043" t="s">
        <v>1324</v>
      </c>
      <c r="C5043" t="s">
        <v>14</v>
      </c>
      <c r="D5043" t="str">
        <f>VLOOKUP(C5043,'lookup table'!$A$2:$B$19,2,FALSE)</f>
        <v>ALC</v>
      </c>
      <c r="E5043" t="str">
        <f t="shared" si="78"/>
        <v>DR2VAR_00|ALC</v>
      </c>
    </row>
    <row r="5044" spans="1:5" x14ac:dyDescent="0.2">
      <c r="A5044" t="s">
        <v>1323</v>
      </c>
      <c r="B5044" t="s">
        <v>1324</v>
      </c>
      <c r="C5044" t="s">
        <v>20</v>
      </c>
      <c r="D5044" t="str">
        <f>VLOOKUP(C5044,'lookup table'!$A$2:$B$19,2,FALSE)</f>
        <v>AY</v>
      </c>
      <c r="E5044" t="str">
        <f t="shared" si="78"/>
        <v>DR2VAR_00|AY</v>
      </c>
    </row>
    <row r="5045" spans="1:5" x14ac:dyDescent="0.2">
      <c r="A5045" t="s">
        <v>1323</v>
      </c>
      <c r="B5045" t="s">
        <v>1324</v>
      </c>
      <c r="C5045" t="s">
        <v>324</v>
      </c>
      <c r="D5045" t="e">
        <f>VLOOKUP(C5045,'lookup table'!$A$2:$B$19,2,FALSE)</f>
        <v>#N/A</v>
      </c>
      <c r="E5045" t="str">
        <f t="shared" si="78"/>
        <v/>
      </c>
    </row>
    <row r="5046" spans="1:5" x14ac:dyDescent="0.2">
      <c r="A5046" t="s">
        <v>1323</v>
      </c>
      <c r="B5046" t="s">
        <v>1324</v>
      </c>
      <c r="C5046" t="s">
        <v>325</v>
      </c>
      <c r="D5046" t="e">
        <f>VLOOKUP(C5046,'lookup table'!$A$2:$B$19,2,FALSE)</f>
        <v>#N/A</v>
      </c>
      <c r="E5046" t="str">
        <f t="shared" si="78"/>
        <v/>
      </c>
    </row>
    <row r="5047" spans="1:5" x14ac:dyDescent="0.2">
      <c r="A5047" t="s">
        <v>1323</v>
      </c>
      <c r="B5047" t="s">
        <v>1324</v>
      </c>
      <c r="C5047" t="s">
        <v>326</v>
      </c>
      <c r="D5047" t="e">
        <f>VLOOKUP(C5047,'lookup table'!$A$2:$B$19,2,FALSE)</f>
        <v>#N/A</v>
      </c>
      <c r="E5047" t="str">
        <f t="shared" si="78"/>
        <v/>
      </c>
    </row>
    <row r="5048" spans="1:5" x14ac:dyDescent="0.2">
      <c r="A5048" t="s">
        <v>1323</v>
      </c>
      <c r="B5048" t="s">
        <v>1324</v>
      </c>
      <c r="C5048" t="s">
        <v>327</v>
      </c>
      <c r="D5048" t="e">
        <f>VLOOKUP(C5048,'lookup table'!$A$2:$B$19,2,FALSE)</f>
        <v>#N/A</v>
      </c>
      <c r="E5048" t="str">
        <f t="shared" si="78"/>
        <v/>
      </c>
    </row>
    <row r="5049" spans="1:5" x14ac:dyDescent="0.2">
      <c r="A5049" t="s">
        <v>1323</v>
      </c>
      <c r="B5049" t="s">
        <v>1324</v>
      </c>
      <c r="C5049" t="s">
        <v>328</v>
      </c>
      <c r="D5049" t="e">
        <f>VLOOKUP(C5049,'lookup table'!$A$2:$B$19,2,FALSE)</f>
        <v>#N/A</v>
      </c>
      <c r="E5049" t="str">
        <f t="shared" si="78"/>
        <v/>
      </c>
    </row>
    <row r="5050" spans="1:5" x14ac:dyDescent="0.2">
      <c r="A5050" t="s">
        <v>1323</v>
      </c>
      <c r="B5050" t="s">
        <v>1324</v>
      </c>
      <c r="C5050" t="s">
        <v>329</v>
      </c>
      <c r="D5050" t="e">
        <f>VLOOKUP(C5050,'lookup table'!$A$2:$B$19,2,FALSE)</f>
        <v>#N/A</v>
      </c>
      <c r="E5050" t="str">
        <f t="shared" si="78"/>
        <v/>
      </c>
    </row>
    <row r="5051" spans="1:5" x14ac:dyDescent="0.2">
      <c r="A5051" t="s">
        <v>1323</v>
      </c>
      <c r="B5051" t="s">
        <v>1324</v>
      </c>
      <c r="C5051" t="s">
        <v>331</v>
      </c>
      <c r="D5051" t="str">
        <f>VLOOKUP(C5051,'lookup table'!$A$2:$B$19,2,FALSE)</f>
        <v>FS Item</v>
      </c>
      <c r="E5051" t="str">
        <f t="shared" si="78"/>
        <v>DR2VAR_00|FS Item</v>
      </c>
    </row>
    <row r="5052" spans="1:5" x14ac:dyDescent="0.2">
      <c r="A5052" t="s">
        <v>1323</v>
      </c>
      <c r="B5052" t="s">
        <v>1324</v>
      </c>
      <c r="C5052" t="s">
        <v>422</v>
      </c>
      <c r="D5052" t="e">
        <f>VLOOKUP(C5052,'lookup table'!$A$2:$B$19,2,FALSE)</f>
        <v>#N/A</v>
      </c>
      <c r="E5052" t="str">
        <f t="shared" si="78"/>
        <v/>
      </c>
    </row>
    <row r="5053" spans="1:5" x14ac:dyDescent="0.2">
      <c r="A5053" t="s">
        <v>1323</v>
      </c>
      <c r="B5053" t="s">
        <v>1324</v>
      </c>
      <c r="C5053" t="s">
        <v>423</v>
      </c>
      <c r="D5053" t="str">
        <f>VLOOKUP(C5053,'lookup table'!$A$2:$B$19,2,FALSE)</f>
        <v>ignore</v>
      </c>
      <c r="E5053" t="str">
        <f t="shared" si="78"/>
        <v>DR2VAR_00|ignore</v>
      </c>
    </row>
    <row r="5054" spans="1:5" x14ac:dyDescent="0.2">
      <c r="A5054" t="s">
        <v>1323</v>
      </c>
      <c r="B5054" t="s">
        <v>1324</v>
      </c>
      <c r="C5054" t="s">
        <v>424</v>
      </c>
      <c r="D5054" t="str">
        <f>VLOOKUP(C5054,'lookup table'!$A$2:$B$19,2,FALSE)</f>
        <v>GRC</v>
      </c>
      <c r="E5054" t="str">
        <f t="shared" si="78"/>
        <v>DR2VAR_00|GRC</v>
      </c>
    </row>
    <row r="5055" spans="1:5" x14ac:dyDescent="0.2">
      <c r="A5055" t="s">
        <v>1323</v>
      </c>
      <c r="B5055" t="s">
        <v>1324</v>
      </c>
      <c r="C5055" t="s">
        <v>425</v>
      </c>
      <c r="D5055" t="str">
        <f>VLOOKUP(C5055,'lookup table'!$A$2:$B$19,2,FALSE)</f>
        <v>Investee Segment</v>
      </c>
      <c r="E5055" t="str">
        <f t="shared" si="78"/>
        <v>DR2VAR_00|Investee Segment</v>
      </c>
    </row>
    <row r="5056" spans="1:5" x14ac:dyDescent="0.2">
      <c r="A5056" t="s">
        <v>1323</v>
      </c>
      <c r="B5056" t="s">
        <v>1324</v>
      </c>
      <c r="C5056" t="s">
        <v>426</v>
      </c>
      <c r="D5056" t="str">
        <f>VLOOKUP(C5056,'lookup table'!$A$2:$B$19,2,FALSE)</f>
        <v>Investee Unit</v>
      </c>
      <c r="E5056" t="str">
        <f t="shared" si="78"/>
        <v>DR2VAR_00|Investee Unit</v>
      </c>
    </row>
    <row r="5057" spans="1:5" x14ac:dyDescent="0.2">
      <c r="A5057" t="s">
        <v>1323</v>
      </c>
      <c r="B5057" t="s">
        <v>1324</v>
      </c>
      <c r="C5057" t="s">
        <v>428</v>
      </c>
      <c r="D5057" t="str">
        <f>VLOOKUP(C5057,'lookup table'!$A$2:$B$19,2,FALSE)</f>
        <v>LoB</v>
      </c>
      <c r="E5057" t="str">
        <f t="shared" si="78"/>
        <v>DR2VAR_00|LoB</v>
      </c>
    </row>
    <row r="5058" spans="1:5" x14ac:dyDescent="0.2">
      <c r="A5058" t="s">
        <v>1323</v>
      </c>
      <c r="B5058" t="s">
        <v>1324</v>
      </c>
      <c r="C5058" t="s">
        <v>436</v>
      </c>
      <c r="D5058" t="str">
        <f>VLOOKUP(C5058,'lookup table'!$A$2:$B$19,2,FALSE)</f>
        <v>MAT</v>
      </c>
      <c r="E5058" t="str">
        <f t="shared" si="78"/>
        <v>DR2VAR_00|MAT</v>
      </c>
    </row>
    <row r="5059" spans="1:5" x14ac:dyDescent="0.2">
      <c r="A5059" t="s">
        <v>1323</v>
      </c>
      <c r="B5059" t="s">
        <v>1324</v>
      </c>
      <c r="C5059" t="s">
        <v>438</v>
      </c>
      <c r="D5059" t="str">
        <f>VLOOKUP(C5059,'lookup table'!$A$2:$B$19,2,FALSE)</f>
        <v>ToM</v>
      </c>
      <c r="E5059" t="str">
        <f t="shared" ref="E5059:E5122" si="79">IF(ISNA(D5059),"",IF(A5059="","",A5059) &amp; "|" &amp; D5059)</f>
        <v>DR2VAR_00|ToM</v>
      </c>
    </row>
    <row r="5060" spans="1:5" x14ac:dyDescent="0.2">
      <c r="A5060" t="s">
        <v>1323</v>
      </c>
      <c r="B5060" t="s">
        <v>1324</v>
      </c>
      <c r="C5060" t="s">
        <v>441</v>
      </c>
      <c r="D5060" t="str">
        <f>VLOOKUP(C5060,'lookup table'!$A$2:$B$19,2,FALSE)</f>
        <v>Partner Segment</v>
      </c>
      <c r="E5060" t="str">
        <f t="shared" si="79"/>
        <v>DR2VAR_00|Partner Segment</v>
      </c>
    </row>
    <row r="5061" spans="1:5" x14ac:dyDescent="0.2">
      <c r="A5061" t="s">
        <v>1323</v>
      </c>
      <c r="B5061" t="s">
        <v>1324</v>
      </c>
      <c r="C5061" t="s">
        <v>442</v>
      </c>
      <c r="D5061" t="str">
        <f>VLOOKUP(C5061,'lookup table'!$A$2:$B$19,2,FALSE)</f>
        <v>Partner Unit</v>
      </c>
      <c r="E5061" t="str">
        <f t="shared" si="79"/>
        <v>DR2VAR_00|Partner Unit</v>
      </c>
    </row>
    <row r="5062" spans="1:5" x14ac:dyDescent="0.2">
      <c r="A5062" t="s">
        <v>1323</v>
      </c>
      <c r="B5062" t="s">
        <v>1324</v>
      </c>
      <c r="C5062" t="s">
        <v>447</v>
      </c>
      <c r="D5062" t="str">
        <f>VLOOKUP(C5062,'lookup table'!$A$2:$B$19,2,FALSE)</f>
        <v>REX</v>
      </c>
      <c r="E5062" t="str">
        <f t="shared" si="79"/>
        <v>DR2VAR_00|REX</v>
      </c>
    </row>
    <row r="5063" spans="1:5" x14ac:dyDescent="0.2">
      <c r="A5063" t="s">
        <v>1323</v>
      </c>
      <c r="B5063" t="s">
        <v>1324</v>
      </c>
      <c r="C5063" t="s">
        <v>448</v>
      </c>
      <c r="D5063" t="e">
        <f>VLOOKUP(C5063,'lookup table'!$A$2:$B$19,2,FALSE)</f>
        <v>#N/A</v>
      </c>
      <c r="E5063" t="str">
        <f t="shared" si="79"/>
        <v/>
      </c>
    </row>
    <row r="5064" spans="1:5" x14ac:dyDescent="0.2">
      <c r="A5064" t="s">
        <v>1323</v>
      </c>
      <c r="B5064" t="s">
        <v>1324</v>
      </c>
      <c r="C5064" t="s">
        <v>449</v>
      </c>
      <c r="D5064" t="e">
        <f>VLOOKUP(C5064,'lookup table'!$A$2:$B$19,2,FALSE)</f>
        <v>#N/A</v>
      </c>
      <c r="E5064" t="str">
        <f t="shared" si="79"/>
        <v/>
      </c>
    </row>
    <row r="5065" spans="1:5" x14ac:dyDescent="0.2">
      <c r="A5065" t="s">
        <v>1323</v>
      </c>
      <c r="B5065" t="s">
        <v>1324</v>
      </c>
      <c r="C5065" t="s">
        <v>451</v>
      </c>
      <c r="D5065" t="str">
        <f>VLOOKUP(C5065,'lookup table'!$A$2:$B$19,2,FALSE)</f>
        <v>Segment</v>
      </c>
      <c r="E5065" t="str">
        <f t="shared" si="79"/>
        <v>DR2VAR_00|Segment</v>
      </c>
    </row>
    <row r="5066" spans="1:5" x14ac:dyDescent="0.2">
      <c r="A5066" t="s">
        <v>1323</v>
      </c>
      <c r="B5066" t="s">
        <v>1324</v>
      </c>
      <c r="C5066" t="s">
        <v>455</v>
      </c>
      <c r="D5066" t="e">
        <f>VLOOKUP(C5066,'lookup table'!$A$2:$B$19,2,FALSE)</f>
        <v>#N/A</v>
      </c>
      <c r="E5066" t="str">
        <f t="shared" si="79"/>
        <v/>
      </c>
    </row>
    <row r="5067" spans="1:5" x14ac:dyDescent="0.2">
      <c r="A5067" t="s">
        <v>1323</v>
      </c>
      <c r="B5067" t="s">
        <v>1324</v>
      </c>
      <c r="C5067" t="s">
        <v>456</v>
      </c>
      <c r="D5067" t="e">
        <f>VLOOKUP(C5067,'lookup table'!$A$2:$B$19,2,FALSE)</f>
        <v>#N/A</v>
      </c>
      <c r="E5067" t="str">
        <f t="shared" si="79"/>
        <v/>
      </c>
    </row>
    <row r="5068" spans="1:5" x14ac:dyDescent="0.2">
      <c r="A5068" t="s">
        <v>1323</v>
      </c>
      <c r="B5068" t="s">
        <v>1324</v>
      </c>
      <c r="C5068" t="s">
        <v>457</v>
      </c>
      <c r="D5068" t="str">
        <f>VLOOKUP(C5068,'lookup table'!$A$2:$B$19,2,FALSE)</f>
        <v>VLT</v>
      </c>
      <c r="E5068" t="str">
        <f t="shared" si="79"/>
        <v>DR2VAR_00|VLT</v>
      </c>
    </row>
    <row r="5069" spans="1:5" x14ac:dyDescent="0.2">
      <c r="A5069" t="s">
        <v>1323</v>
      </c>
      <c r="B5069" t="s">
        <v>1324</v>
      </c>
      <c r="C5069" t="s">
        <v>458</v>
      </c>
      <c r="D5069" t="str">
        <f>VLOOKUP(C5069,'lookup table'!$A$2:$B$19,2,FALSE)</f>
        <v>VAR</v>
      </c>
      <c r="E5069" t="str">
        <f t="shared" si="79"/>
        <v>DR2VAR_00|VAR</v>
      </c>
    </row>
    <row r="5070" spans="1:5" x14ac:dyDescent="0.2">
      <c r="A5070" t="s">
        <v>1323</v>
      </c>
      <c r="B5070" t="s">
        <v>1324</v>
      </c>
      <c r="C5070" t="s">
        <v>459</v>
      </c>
      <c r="D5070" t="e">
        <f>VLOOKUP(C5070,'lookup table'!$A$2:$B$19,2,FALSE)</f>
        <v>#N/A</v>
      </c>
      <c r="E5070" t="str">
        <f t="shared" si="79"/>
        <v/>
      </c>
    </row>
    <row r="5071" spans="1:5" x14ac:dyDescent="0.2">
      <c r="A5071" t="s">
        <v>1323</v>
      </c>
      <c r="B5071" t="s">
        <v>1324</v>
      </c>
      <c r="C5071" t="s">
        <v>460</v>
      </c>
      <c r="D5071" t="e">
        <f>VLOOKUP(C5071,'lookup table'!$A$2:$B$19,2,FALSE)</f>
        <v>#N/A</v>
      </c>
      <c r="E5071" t="str">
        <f t="shared" si="79"/>
        <v/>
      </c>
    </row>
    <row r="5072" spans="1:5" x14ac:dyDescent="0.2">
      <c r="A5072" t="s">
        <v>1323</v>
      </c>
      <c r="B5072" t="s">
        <v>1324</v>
      </c>
      <c r="C5072" t="s">
        <v>461</v>
      </c>
      <c r="D5072" t="str">
        <f>VLOOKUP(C5072,'lookup table'!$A$2:$B$19,2,FALSE)</f>
        <v>Posting Level</v>
      </c>
      <c r="E5072" t="str">
        <f t="shared" si="79"/>
        <v>DR2VAR_00|Posting Level</v>
      </c>
    </row>
    <row r="5073" spans="1:5" x14ac:dyDescent="0.2">
      <c r="A5073" t="s">
        <v>1323</v>
      </c>
      <c r="B5073" t="s">
        <v>1324</v>
      </c>
      <c r="C5073" t="s">
        <v>462</v>
      </c>
      <c r="D5073" t="e">
        <f>VLOOKUP(C5073,'lookup table'!$A$2:$B$19,2,FALSE)</f>
        <v>#N/A</v>
      </c>
      <c r="E5073" t="str">
        <f t="shared" si="79"/>
        <v/>
      </c>
    </row>
    <row r="5074" spans="1:5" x14ac:dyDescent="0.2">
      <c r="A5074" t="s">
        <v>1323</v>
      </c>
      <c r="B5074" t="s">
        <v>1324</v>
      </c>
      <c r="C5074" t="s">
        <v>463</v>
      </c>
      <c r="D5074" t="e">
        <f>VLOOKUP(C5074,'lookup table'!$A$2:$B$19,2,FALSE)</f>
        <v>#N/A</v>
      </c>
      <c r="E5074" t="str">
        <f t="shared" si="79"/>
        <v/>
      </c>
    </row>
    <row r="5075" spans="1:5" x14ac:dyDescent="0.2">
      <c r="A5075" t="s">
        <v>1323</v>
      </c>
      <c r="B5075" t="s">
        <v>1324</v>
      </c>
      <c r="C5075" t="s">
        <v>464</v>
      </c>
      <c r="D5075" t="e">
        <f>VLOOKUP(C5075,'lookup table'!$A$2:$B$19,2,FALSE)</f>
        <v>#N/A</v>
      </c>
      <c r="E5075" t="str">
        <f t="shared" si="79"/>
        <v/>
      </c>
    </row>
    <row r="5076" spans="1:5" x14ac:dyDescent="0.2">
      <c r="A5076" t="s">
        <v>1323</v>
      </c>
      <c r="B5076" t="s">
        <v>1324</v>
      </c>
      <c r="C5076" t="s">
        <v>465</v>
      </c>
      <c r="D5076" t="e">
        <f>VLOOKUP(C5076,'lookup table'!$A$2:$B$19,2,FALSE)</f>
        <v>#N/A</v>
      </c>
      <c r="E5076" t="str">
        <f t="shared" si="79"/>
        <v/>
      </c>
    </row>
    <row r="5077" spans="1:5" x14ac:dyDescent="0.2">
      <c r="A5077" t="s">
        <v>1325</v>
      </c>
      <c r="B5077" t="s">
        <v>1326</v>
      </c>
      <c r="C5077" t="s">
        <v>2</v>
      </c>
      <c r="D5077" t="e">
        <f>VLOOKUP(C5077,'lookup table'!$A$2:$B$19,2,FALSE)</f>
        <v>#N/A</v>
      </c>
      <c r="E5077" t="str">
        <f t="shared" si="79"/>
        <v/>
      </c>
    </row>
    <row r="5078" spans="1:5" x14ac:dyDescent="0.2">
      <c r="A5078" t="s">
        <v>1325</v>
      </c>
      <c r="B5078" t="s">
        <v>1326</v>
      </c>
      <c r="C5078" t="s">
        <v>2</v>
      </c>
      <c r="D5078" t="e">
        <f>VLOOKUP(C5078,'lookup table'!$A$2:$B$19,2,FALSE)</f>
        <v>#N/A</v>
      </c>
      <c r="E5078" t="str">
        <f t="shared" si="79"/>
        <v/>
      </c>
    </row>
    <row r="5079" spans="1:5" x14ac:dyDescent="0.2">
      <c r="A5079" t="s">
        <v>1325</v>
      </c>
      <c r="B5079" t="s">
        <v>1326</v>
      </c>
      <c r="C5079" t="s">
        <v>5</v>
      </c>
      <c r="D5079" t="e">
        <f>VLOOKUP(C5079,'lookup table'!$A$2:$B$19,2,FALSE)</f>
        <v>#N/A</v>
      </c>
      <c r="E5079" t="str">
        <f t="shared" si="79"/>
        <v/>
      </c>
    </row>
    <row r="5080" spans="1:5" x14ac:dyDescent="0.2">
      <c r="A5080" t="s">
        <v>1325</v>
      </c>
      <c r="B5080" t="s">
        <v>1326</v>
      </c>
      <c r="C5080" t="s">
        <v>5</v>
      </c>
      <c r="D5080" t="e">
        <f>VLOOKUP(C5080,'lookup table'!$A$2:$B$19,2,FALSE)</f>
        <v>#N/A</v>
      </c>
      <c r="E5080" t="str">
        <f t="shared" si="79"/>
        <v/>
      </c>
    </row>
    <row r="5081" spans="1:5" x14ac:dyDescent="0.2">
      <c r="A5081" t="s">
        <v>1325</v>
      </c>
      <c r="B5081" t="s">
        <v>1326</v>
      </c>
      <c r="C5081" t="s">
        <v>6</v>
      </c>
      <c r="D5081" t="e">
        <f>VLOOKUP(C5081,'lookup table'!$A$2:$B$19,2,FALSE)</f>
        <v>#N/A</v>
      </c>
      <c r="E5081" t="str">
        <f t="shared" si="79"/>
        <v/>
      </c>
    </row>
    <row r="5082" spans="1:5" x14ac:dyDescent="0.2">
      <c r="A5082" t="s">
        <v>1325</v>
      </c>
      <c r="B5082" t="s">
        <v>1326</v>
      </c>
      <c r="C5082" t="s">
        <v>6</v>
      </c>
      <c r="D5082" t="e">
        <f>VLOOKUP(C5082,'lookup table'!$A$2:$B$19,2,FALSE)</f>
        <v>#N/A</v>
      </c>
      <c r="E5082" t="str">
        <f t="shared" si="79"/>
        <v/>
      </c>
    </row>
    <row r="5083" spans="1:5" x14ac:dyDescent="0.2">
      <c r="A5083" t="s">
        <v>1325</v>
      </c>
      <c r="B5083" t="s">
        <v>1326</v>
      </c>
      <c r="C5083" t="s">
        <v>9</v>
      </c>
      <c r="D5083" t="e">
        <f>VLOOKUP(C5083,'lookup table'!$A$2:$B$19,2,FALSE)</f>
        <v>#N/A</v>
      </c>
      <c r="E5083" t="str">
        <f t="shared" si="79"/>
        <v/>
      </c>
    </row>
    <row r="5084" spans="1:5" x14ac:dyDescent="0.2">
      <c r="A5084" t="s">
        <v>1325</v>
      </c>
      <c r="B5084" t="s">
        <v>1326</v>
      </c>
      <c r="C5084" t="s">
        <v>9</v>
      </c>
      <c r="D5084" t="e">
        <f>VLOOKUP(C5084,'lookup table'!$A$2:$B$19,2,FALSE)</f>
        <v>#N/A</v>
      </c>
      <c r="E5084" t="str">
        <f t="shared" si="79"/>
        <v/>
      </c>
    </row>
    <row r="5085" spans="1:5" x14ac:dyDescent="0.2">
      <c r="A5085" t="s">
        <v>1325</v>
      </c>
      <c r="B5085" t="s">
        <v>1326</v>
      </c>
      <c r="C5085" t="s">
        <v>10</v>
      </c>
      <c r="D5085" t="e">
        <f>VLOOKUP(C5085,'lookup table'!$A$2:$B$19,2,FALSE)</f>
        <v>#N/A</v>
      </c>
      <c r="E5085" t="str">
        <f t="shared" si="79"/>
        <v/>
      </c>
    </row>
    <row r="5086" spans="1:5" x14ac:dyDescent="0.2">
      <c r="A5086" t="s">
        <v>1325</v>
      </c>
      <c r="B5086" t="s">
        <v>1326</v>
      </c>
      <c r="C5086" t="s">
        <v>10</v>
      </c>
      <c r="D5086" t="e">
        <f>VLOOKUP(C5086,'lookup table'!$A$2:$B$19,2,FALSE)</f>
        <v>#N/A</v>
      </c>
      <c r="E5086" t="str">
        <f t="shared" si="79"/>
        <v/>
      </c>
    </row>
    <row r="5087" spans="1:5" x14ac:dyDescent="0.2">
      <c r="A5087" t="s">
        <v>1325</v>
      </c>
      <c r="B5087" t="s">
        <v>1326</v>
      </c>
      <c r="C5087" t="s">
        <v>11</v>
      </c>
      <c r="D5087" t="e">
        <f>VLOOKUP(C5087,'lookup table'!$A$2:$B$19,2,FALSE)</f>
        <v>#N/A</v>
      </c>
      <c r="E5087" t="str">
        <f t="shared" si="79"/>
        <v/>
      </c>
    </row>
    <row r="5088" spans="1:5" x14ac:dyDescent="0.2">
      <c r="A5088" t="s">
        <v>1325</v>
      </c>
      <c r="B5088" t="s">
        <v>1326</v>
      </c>
      <c r="C5088" t="s">
        <v>11</v>
      </c>
      <c r="D5088" t="e">
        <f>VLOOKUP(C5088,'lookup table'!$A$2:$B$19,2,FALSE)</f>
        <v>#N/A</v>
      </c>
      <c r="E5088" t="str">
        <f t="shared" si="79"/>
        <v/>
      </c>
    </row>
    <row r="5089" spans="1:5" x14ac:dyDescent="0.2">
      <c r="A5089" t="s">
        <v>1325</v>
      </c>
      <c r="B5089" t="s">
        <v>1326</v>
      </c>
      <c r="C5089" t="s">
        <v>12</v>
      </c>
      <c r="D5089" t="e">
        <f>VLOOKUP(C5089,'lookup table'!$A$2:$B$19,2,FALSE)</f>
        <v>#N/A</v>
      </c>
      <c r="E5089" t="str">
        <f t="shared" si="79"/>
        <v/>
      </c>
    </row>
    <row r="5090" spans="1:5" x14ac:dyDescent="0.2">
      <c r="A5090" t="s">
        <v>1325</v>
      </c>
      <c r="B5090" t="s">
        <v>1326</v>
      </c>
      <c r="C5090" t="s">
        <v>12</v>
      </c>
      <c r="D5090" t="e">
        <f>VLOOKUP(C5090,'lookup table'!$A$2:$B$19,2,FALSE)</f>
        <v>#N/A</v>
      </c>
      <c r="E5090" t="str">
        <f t="shared" si="79"/>
        <v/>
      </c>
    </row>
    <row r="5091" spans="1:5" x14ac:dyDescent="0.2">
      <c r="A5091" t="s">
        <v>1325</v>
      </c>
      <c r="B5091" t="s">
        <v>1326</v>
      </c>
      <c r="C5091" t="s">
        <v>14</v>
      </c>
      <c r="D5091" t="str">
        <f>VLOOKUP(C5091,'lookup table'!$A$2:$B$19,2,FALSE)</f>
        <v>ALC</v>
      </c>
      <c r="E5091" t="str">
        <f t="shared" si="79"/>
        <v>DR3ACA_00|ALC</v>
      </c>
    </row>
    <row r="5092" spans="1:5" x14ac:dyDescent="0.2">
      <c r="A5092" t="s">
        <v>1325</v>
      </c>
      <c r="B5092" t="s">
        <v>1326</v>
      </c>
      <c r="C5092" t="s">
        <v>14</v>
      </c>
      <c r="D5092" t="str">
        <f>VLOOKUP(C5092,'lookup table'!$A$2:$B$19,2,FALSE)</f>
        <v>ALC</v>
      </c>
      <c r="E5092" t="str">
        <f t="shared" si="79"/>
        <v>DR3ACA_00|ALC</v>
      </c>
    </row>
    <row r="5093" spans="1:5" x14ac:dyDescent="0.2">
      <c r="A5093" t="s">
        <v>1325</v>
      </c>
      <c r="B5093" t="s">
        <v>1326</v>
      </c>
      <c r="C5093" t="s">
        <v>20</v>
      </c>
      <c r="D5093" t="str">
        <f>VLOOKUP(C5093,'lookup table'!$A$2:$B$19,2,FALSE)</f>
        <v>AY</v>
      </c>
      <c r="E5093" t="str">
        <f t="shared" si="79"/>
        <v>DR3ACA_00|AY</v>
      </c>
    </row>
    <row r="5094" spans="1:5" x14ac:dyDescent="0.2">
      <c r="A5094" t="s">
        <v>1325</v>
      </c>
      <c r="B5094" t="s">
        <v>1326</v>
      </c>
      <c r="C5094" t="s">
        <v>20</v>
      </c>
      <c r="D5094" t="str">
        <f>VLOOKUP(C5094,'lookup table'!$A$2:$B$19,2,FALSE)</f>
        <v>AY</v>
      </c>
      <c r="E5094" t="str">
        <f t="shared" si="79"/>
        <v>DR3ACA_00|AY</v>
      </c>
    </row>
    <row r="5095" spans="1:5" x14ac:dyDescent="0.2">
      <c r="A5095" t="s">
        <v>1325</v>
      </c>
      <c r="B5095" t="s">
        <v>1326</v>
      </c>
      <c r="C5095" t="s">
        <v>136</v>
      </c>
      <c r="D5095" t="str">
        <f>VLOOKUP(C5095,'lookup table'!$A$2:$B$19,2,FALSE)</f>
        <v>BBA Set</v>
      </c>
      <c r="E5095" t="str">
        <f t="shared" si="79"/>
        <v>DR3ACA_00|BBA Set</v>
      </c>
    </row>
    <row r="5096" spans="1:5" x14ac:dyDescent="0.2">
      <c r="A5096" t="s">
        <v>1325</v>
      </c>
      <c r="B5096" t="s">
        <v>1326</v>
      </c>
      <c r="C5096" t="s">
        <v>136</v>
      </c>
      <c r="D5096" t="str">
        <f>VLOOKUP(C5096,'lookup table'!$A$2:$B$19,2,FALSE)</f>
        <v>BBA Set</v>
      </c>
      <c r="E5096" t="str">
        <f t="shared" si="79"/>
        <v>DR3ACA_00|BBA Set</v>
      </c>
    </row>
    <row r="5097" spans="1:5" x14ac:dyDescent="0.2">
      <c r="A5097" t="s">
        <v>1325</v>
      </c>
      <c r="B5097" t="s">
        <v>1326</v>
      </c>
      <c r="C5097" t="s">
        <v>324</v>
      </c>
      <c r="D5097" t="e">
        <f>VLOOKUP(C5097,'lookup table'!$A$2:$B$19,2,FALSE)</f>
        <v>#N/A</v>
      </c>
      <c r="E5097" t="str">
        <f t="shared" si="79"/>
        <v/>
      </c>
    </row>
    <row r="5098" spans="1:5" x14ac:dyDescent="0.2">
      <c r="A5098" t="s">
        <v>1325</v>
      </c>
      <c r="B5098" t="s">
        <v>1326</v>
      </c>
      <c r="C5098" t="s">
        <v>324</v>
      </c>
      <c r="D5098" t="e">
        <f>VLOOKUP(C5098,'lookup table'!$A$2:$B$19,2,FALSE)</f>
        <v>#N/A</v>
      </c>
      <c r="E5098" t="str">
        <f t="shared" si="79"/>
        <v/>
      </c>
    </row>
    <row r="5099" spans="1:5" x14ac:dyDescent="0.2">
      <c r="A5099" t="s">
        <v>1325</v>
      </c>
      <c r="B5099" t="s">
        <v>1326</v>
      </c>
      <c r="C5099" t="s">
        <v>325</v>
      </c>
      <c r="D5099" t="e">
        <f>VLOOKUP(C5099,'lookup table'!$A$2:$B$19,2,FALSE)</f>
        <v>#N/A</v>
      </c>
      <c r="E5099" t="str">
        <f t="shared" si="79"/>
        <v/>
      </c>
    </row>
    <row r="5100" spans="1:5" x14ac:dyDescent="0.2">
      <c r="A5100" t="s">
        <v>1325</v>
      </c>
      <c r="B5100" t="s">
        <v>1326</v>
      </c>
      <c r="C5100" t="s">
        <v>325</v>
      </c>
      <c r="D5100" t="e">
        <f>VLOOKUP(C5100,'lookup table'!$A$2:$B$19,2,FALSE)</f>
        <v>#N/A</v>
      </c>
      <c r="E5100" t="str">
        <f t="shared" si="79"/>
        <v/>
      </c>
    </row>
    <row r="5101" spans="1:5" x14ac:dyDescent="0.2">
      <c r="A5101" t="s">
        <v>1325</v>
      </c>
      <c r="B5101" t="s">
        <v>1326</v>
      </c>
      <c r="C5101" t="s">
        <v>326</v>
      </c>
      <c r="D5101" t="e">
        <f>VLOOKUP(C5101,'lookup table'!$A$2:$B$19,2,FALSE)</f>
        <v>#N/A</v>
      </c>
      <c r="E5101" t="str">
        <f t="shared" si="79"/>
        <v/>
      </c>
    </row>
    <row r="5102" spans="1:5" x14ac:dyDescent="0.2">
      <c r="A5102" t="s">
        <v>1325</v>
      </c>
      <c r="B5102" t="s">
        <v>1326</v>
      </c>
      <c r="C5102" t="s">
        <v>326</v>
      </c>
      <c r="D5102" t="e">
        <f>VLOOKUP(C5102,'lookup table'!$A$2:$B$19,2,FALSE)</f>
        <v>#N/A</v>
      </c>
      <c r="E5102" t="str">
        <f t="shared" si="79"/>
        <v/>
      </c>
    </row>
    <row r="5103" spans="1:5" x14ac:dyDescent="0.2">
      <c r="A5103" t="s">
        <v>1325</v>
      </c>
      <c r="B5103" t="s">
        <v>1326</v>
      </c>
      <c r="C5103" t="s">
        <v>327</v>
      </c>
      <c r="D5103" t="e">
        <f>VLOOKUP(C5103,'lookup table'!$A$2:$B$19,2,FALSE)</f>
        <v>#N/A</v>
      </c>
      <c r="E5103" t="str">
        <f t="shared" si="79"/>
        <v/>
      </c>
    </row>
    <row r="5104" spans="1:5" x14ac:dyDescent="0.2">
      <c r="A5104" t="s">
        <v>1325</v>
      </c>
      <c r="B5104" t="s">
        <v>1326</v>
      </c>
      <c r="C5104" t="s">
        <v>327</v>
      </c>
      <c r="D5104" t="e">
        <f>VLOOKUP(C5104,'lookup table'!$A$2:$B$19,2,FALSE)</f>
        <v>#N/A</v>
      </c>
      <c r="E5104" t="str">
        <f t="shared" si="79"/>
        <v/>
      </c>
    </row>
    <row r="5105" spans="1:5" x14ac:dyDescent="0.2">
      <c r="A5105" t="s">
        <v>1325</v>
      </c>
      <c r="B5105" t="s">
        <v>1326</v>
      </c>
      <c r="C5105" t="s">
        <v>328</v>
      </c>
      <c r="D5105" t="e">
        <f>VLOOKUP(C5105,'lookup table'!$A$2:$B$19,2,FALSE)</f>
        <v>#N/A</v>
      </c>
      <c r="E5105" t="str">
        <f t="shared" si="79"/>
        <v/>
      </c>
    </row>
    <row r="5106" spans="1:5" x14ac:dyDescent="0.2">
      <c r="A5106" t="s">
        <v>1325</v>
      </c>
      <c r="B5106" t="s">
        <v>1326</v>
      </c>
      <c r="C5106" t="s">
        <v>328</v>
      </c>
      <c r="D5106" t="e">
        <f>VLOOKUP(C5106,'lookup table'!$A$2:$B$19,2,FALSE)</f>
        <v>#N/A</v>
      </c>
      <c r="E5106" t="str">
        <f t="shared" si="79"/>
        <v/>
      </c>
    </row>
    <row r="5107" spans="1:5" x14ac:dyDescent="0.2">
      <c r="A5107" t="s">
        <v>1325</v>
      </c>
      <c r="B5107" t="s">
        <v>1326</v>
      </c>
      <c r="C5107" t="s">
        <v>329</v>
      </c>
      <c r="D5107" t="e">
        <f>VLOOKUP(C5107,'lookup table'!$A$2:$B$19,2,FALSE)</f>
        <v>#N/A</v>
      </c>
      <c r="E5107" t="str">
        <f t="shared" si="79"/>
        <v/>
      </c>
    </row>
    <row r="5108" spans="1:5" x14ac:dyDescent="0.2">
      <c r="A5108" t="s">
        <v>1325</v>
      </c>
      <c r="B5108" t="s">
        <v>1326</v>
      </c>
      <c r="C5108" t="s">
        <v>329</v>
      </c>
      <c r="D5108" t="e">
        <f>VLOOKUP(C5108,'lookup table'!$A$2:$B$19,2,FALSE)</f>
        <v>#N/A</v>
      </c>
      <c r="E5108" t="str">
        <f t="shared" si="79"/>
        <v/>
      </c>
    </row>
    <row r="5109" spans="1:5" x14ac:dyDescent="0.2">
      <c r="A5109" t="s">
        <v>1325</v>
      </c>
      <c r="B5109" t="s">
        <v>1326</v>
      </c>
      <c r="C5109" t="s">
        <v>331</v>
      </c>
      <c r="D5109" t="str">
        <f>VLOOKUP(C5109,'lookup table'!$A$2:$B$19,2,FALSE)</f>
        <v>FS Item</v>
      </c>
      <c r="E5109" t="str">
        <f t="shared" si="79"/>
        <v>DR3ACA_00|FS Item</v>
      </c>
    </row>
    <row r="5110" spans="1:5" x14ac:dyDescent="0.2">
      <c r="A5110" t="s">
        <v>1325</v>
      </c>
      <c r="B5110" t="s">
        <v>1326</v>
      </c>
      <c r="C5110" t="s">
        <v>331</v>
      </c>
      <c r="D5110" t="str">
        <f>VLOOKUP(C5110,'lookup table'!$A$2:$B$19,2,FALSE)</f>
        <v>FS Item</v>
      </c>
      <c r="E5110" t="str">
        <f t="shared" si="79"/>
        <v>DR3ACA_00|FS Item</v>
      </c>
    </row>
    <row r="5111" spans="1:5" x14ac:dyDescent="0.2">
      <c r="A5111" t="s">
        <v>1325</v>
      </c>
      <c r="B5111" t="s">
        <v>1326</v>
      </c>
      <c r="C5111" t="s">
        <v>422</v>
      </c>
      <c r="D5111" t="e">
        <f>VLOOKUP(C5111,'lookup table'!$A$2:$B$19,2,FALSE)</f>
        <v>#N/A</v>
      </c>
      <c r="E5111" t="str">
        <f t="shared" si="79"/>
        <v/>
      </c>
    </row>
    <row r="5112" spans="1:5" x14ac:dyDescent="0.2">
      <c r="A5112" t="s">
        <v>1325</v>
      </c>
      <c r="B5112" t="s">
        <v>1326</v>
      </c>
      <c r="C5112" t="s">
        <v>422</v>
      </c>
      <c r="D5112" t="e">
        <f>VLOOKUP(C5112,'lookup table'!$A$2:$B$19,2,FALSE)</f>
        <v>#N/A</v>
      </c>
      <c r="E5112" t="str">
        <f t="shared" si="79"/>
        <v/>
      </c>
    </row>
    <row r="5113" spans="1:5" x14ac:dyDescent="0.2">
      <c r="A5113" t="s">
        <v>1325</v>
      </c>
      <c r="B5113" t="s">
        <v>1326</v>
      </c>
      <c r="C5113" t="s">
        <v>423</v>
      </c>
      <c r="D5113" t="str">
        <f>VLOOKUP(C5113,'lookup table'!$A$2:$B$19,2,FALSE)</f>
        <v>ignore</v>
      </c>
      <c r="E5113" t="str">
        <f t="shared" si="79"/>
        <v>DR3ACA_00|ignore</v>
      </c>
    </row>
    <row r="5114" spans="1:5" x14ac:dyDescent="0.2">
      <c r="A5114" t="s">
        <v>1325</v>
      </c>
      <c r="B5114" t="s">
        <v>1326</v>
      </c>
      <c r="C5114" t="s">
        <v>423</v>
      </c>
      <c r="D5114" t="str">
        <f>VLOOKUP(C5114,'lookup table'!$A$2:$B$19,2,FALSE)</f>
        <v>ignore</v>
      </c>
      <c r="E5114" t="str">
        <f t="shared" si="79"/>
        <v>DR3ACA_00|ignore</v>
      </c>
    </row>
    <row r="5115" spans="1:5" x14ac:dyDescent="0.2">
      <c r="A5115" t="s">
        <v>1325</v>
      </c>
      <c r="B5115" t="s">
        <v>1326</v>
      </c>
      <c r="C5115" t="s">
        <v>424</v>
      </c>
      <c r="D5115" t="str">
        <f>VLOOKUP(C5115,'lookup table'!$A$2:$B$19,2,FALSE)</f>
        <v>GRC</v>
      </c>
      <c r="E5115" t="str">
        <f t="shared" si="79"/>
        <v>DR3ACA_00|GRC</v>
      </c>
    </row>
    <row r="5116" spans="1:5" x14ac:dyDescent="0.2">
      <c r="A5116" t="s">
        <v>1325</v>
      </c>
      <c r="B5116" t="s">
        <v>1326</v>
      </c>
      <c r="C5116" t="s">
        <v>424</v>
      </c>
      <c r="D5116" t="str">
        <f>VLOOKUP(C5116,'lookup table'!$A$2:$B$19,2,FALSE)</f>
        <v>GRC</v>
      </c>
      <c r="E5116" t="str">
        <f t="shared" si="79"/>
        <v>DR3ACA_00|GRC</v>
      </c>
    </row>
    <row r="5117" spans="1:5" x14ac:dyDescent="0.2">
      <c r="A5117" t="s">
        <v>1325</v>
      </c>
      <c r="B5117" t="s">
        <v>1326</v>
      </c>
      <c r="C5117" t="s">
        <v>425</v>
      </c>
      <c r="D5117" t="str">
        <f>VLOOKUP(C5117,'lookup table'!$A$2:$B$19,2,FALSE)</f>
        <v>Investee Segment</v>
      </c>
      <c r="E5117" t="str">
        <f t="shared" si="79"/>
        <v>DR3ACA_00|Investee Segment</v>
      </c>
    </row>
    <row r="5118" spans="1:5" x14ac:dyDescent="0.2">
      <c r="A5118" t="s">
        <v>1325</v>
      </c>
      <c r="B5118" t="s">
        <v>1326</v>
      </c>
      <c r="C5118" t="s">
        <v>425</v>
      </c>
      <c r="D5118" t="str">
        <f>VLOOKUP(C5118,'lookup table'!$A$2:$B$19,2,FALSE)</f>
        <v>Investee Segment</v>
      </c>
      <c r="E5118" t="str">
        <f t="shared" si="79"/>
        <v>DR3ACA_00|Investee Segment</v>
      </c>
    </row>
    <row r="5119" spans="1:5" x14ac:dyDescent="0.2">
      <c r="A5119" t="s">
        <v>1325</v>
      </c>
      <c r="B5119" t="s">
        <v>1326</v>
      </c>
      <c r="C5119" t="s">
        <v>426</v>
      </c>
      <c r="D5119" t="str">
        <f>VLOOKUP(C5119,'lookup table'!$A$2:$B$19,2,FALSE)</f>
        <v>Investee Unit</v>
      </c>
      <c r="E5119" t="str">
        <f t="shared" si="79"/>
        <v>DR3ACA_00|Investee Unit</v>
      </c>
    </row>
    <row r="5120" spans="1:5" x14ac:dyDescent="0.2">
      <c r="A5120" t="s">
        <v>1325</v>
      </c>
      <c r="B5120" t="s">
        <v>1326</v>
      </c>
      <c r="C5120" t="s">
        <v>426</v>
      </c>
      <c r="D5120" t="str">
        <f>VLOOKUP(C5120,'lookup table'!$A$2:$B$19,2,FALSE)</f>
        <v>Investee Unit</v>
      </c>
      <c r="E5120" t="str">
        <f t="shared" si="79"/>
        <v>DR3ACA_00|Investee Unit</v>
      </c>
    </row>
    <row r="5121" spans="1:5" x14ac:dyDescent="0.2">
      <c r="A5121" t="s">
        <v>1325</v>
      </c>
      <c r="B5121" t="s">
        <v>1326</v>
      </c>
      <c r="C5121" t="s">
        <v>428</v>
      </c>
      <c r="D5121" t="str">
        <f>VLOOKUP(C5121,'lookup table'!$A$2:$B$19,2,FALSE)</f>
        <v>LoB</v>
      </c>
      <c r="E5121" t="str">
        <f t="shared" si="79"/>
        <v>DR3ACA_00|LoB</v>
      </c>
    </row>
    <row r="5122" spans="1:5" x14ac:dyDescent="0.2">
      <c r="A5122" t="s">
        <v>1325</v>
      </c>
      <c r="B5122" t="s">
        <v>1326</v>
      </c>
      <c r="C5122" t="s">
        <v>428</v>
      </c>
      <c r="D5122" t="str">
        <f>VLOOKUP(C5122,'lookup table'!$A$2:$B$19,2,FALSE)</f>
        <v>LoB</v>
      </c>
      <c r="E5122" t="str">
        <f t="shared" si="79"/>
        <v>DR3ACA_00|LoB</v>
      </c>
    </row>
    <row r="5123" spans="1:5" x14ac:dyDescent="0.2">
      <c r="A5123" t="s">
        <v>1325</v>
      </c>
      <c r="B5123" t="s">
        <v>1326</v>
      </c>
      <c r="C5123" t="s">
        <v>436</v>
      </c>
      <c r="D5123" t="str">
        <f>VLOOKUP(C5123,'lookup table'!$A$2:$B$19,2,FALSE)</f>
        <v>MAT</v>
      </c>
      <c r="E5123" t="str">
        <f t="shared" ref="E5123:E5186" si="80">IF(ISNA(D5123),"",IF(A5123="","",A5123) &amp; "|" &amp; D5123)</f>
        <v>DR3ACA_00|MAT</v>
      </c>
    </row>
    <row r="5124" spans="1:5" x14ac:dyDescent="0.2">
      <c r="A5124" t="s">
        <v>1325</v>
      </c>
      <c r="B5124" t="s">
        <v>1326</v>
      </c>
      <c r="C5124" t="s">
        <v>436</v>
      </c>
      <c r="D5124" t="str">
        <f>VLOOKUP(C5124,'lookup table'!$A$2:$B$19,2,FALSE)</f>
        <v>MAT</v>
      </c>
      <c r="E5124" t="str">
        <f t="shared" si="80"/>
        <v>DR3ACA_00|MAT</v>
      </c>
    </row>
    <row r="5125" spans="1:5" x14ac:dyDescent="0.2">
      <c r="A5125" t="s">
        <v>1325</v>
      </c>
      <c r="B5125" t="s">
        <v>1326</v>
      </c>
      <c r="C5125" t="s">
        <v>441</v>
      </c>
      <c r="D5125" t="str">
        <f>VLOOKUP(C5125,'lookup table'!$A$2:$B$19,2,FALSE)</f>
        <v>Partner Segment</v>
      </c>
      <c r="E5125" t="str">
        <f t="shared" si="80"/>
        <v>DR3ACA_00|Partner Segment</v>
      </c>
    </row>
    <row r="5126" spans="1:5" x14ac:dyDescent="0.2">
      <c r="A5126" t="s">
        <v>1325</v>
      </c>
      <c r="B5126" t="s">
        <v>1326</v>
      </c>
      <c r="C5126" t="s">
        <v>441</v>
      </c>
      <c r="D5126" t="str">
        <f>VLOOKUP(C5126,'lookup table'!$A$2:$B$19,2,FALSE)</f>
        <v>Partner Segment</v>
      </c>
      <c r="E5126" t="str">
        <f t="shared" si="80"/>
        <v>DR3ACA_00|Partner Segment</v>
      </c>
    </row>
    <row r="5127" spans="1:5" x14ac:dyDescent="0.2">
      <c r="A5127" t="s">
        <v>1325</v>
      </c>
      <c r="B5127" t="s">
        <v>1326</v>
      </c>
      <c r="C5127" t="s">
        <v>442</v>
      </c>
      <c r="D5127" t="str">
        <f>VLOOKUP(C5127,'lookup table'!$A$2:$B$19,2,FALSE)</f>
        <v>Partner Unit</v>
      </c>
      <c r="E5127" t="str">
        <f t="shared" si="80"/>
        <v>DR3ACA_00|Partner Unit</v>
      </c>
    </row>
    <row r="5128" spans="1:5" x14ac:dyDescent="0.2">
      <c r="A5128" t="s">
        <v>1325</v>
      </c>
      <c r="B5128" t="s">
        <v>1326</v>
      </c>
      <c r="C5128" t="s">
        <v>442</v>
      </c>
      <c r="D5128" t="str">
        <f>VLOOKUP(C5128,'lookup table'!$A$2:$B$19,2,FALSE)</f>
        <v>Partner Unit</v>
      </c>
      <c r="E5128" t="str">
        <f t="shared" si="80"/>
        <v>DR3ACA_00|Partner Unit</v>
      </c>
    </row>
    <row r="5129" spans="1:5" x14ac:dyDescent="0.2">
      <c r="A5129" t="s">
        <v>1325</v>
      </c>
      <c r="B5129" t="s">
        <v>1326</v>
      </c>
      <c r="C5129" t="s">
        <v>447</v>
      </c>
      <c r="D5129" t="str">
        <f>VLOOKUP(C5129,'lookup table'!$A$2:$B$19,2,FALSE)</f>
        <v>REX</v>
      </c>
      <c r="E5129" t="str">
        <f t="shared" si="80"/>
        <v>DR3ACA_00|REX</v>
      </c>
    </row>
    <row r="5130" spans="1:5" x14ac:dyDescent="0.2">
      <c r="A5130" t="s">
        <v>1325</v>
      </c>
      <c r="B5130" t="s">
        <v>1326</v>
      </c>
      <c r="C5130" t="s">
        <v>447</v>
      </c>
      <c r="D5130" t="str">
        <f>VLOOKUP(C5130,'lookup table'!$A$2:$B$19,2,FALSE)</f>
        <v>REX</v>
      </c>
      <c r="E5130" t="str">
        <f t="shared" si="80"/>
        <v>DR3ACA_00|REX</v>
      </c>
    </row>
    <row r="5131" spans="1:5" x14ac:dyDescent="0.2">
      <c r="A5131" t="s">
        <v>1325</v>
      </c>
      <c r="B5131" t="s">
        <v>1326</v>
      </c>
      <c r="C5131" t="s">
        <v>448</v>
      </c>
      <c r="D5131" t="e">
        <f>VLOOKUP(C5131,'lookup table'!$A$2:$B$19,2,FALSE)</f>
        <v>#N/A</v>
      </c>
      <c r="E5131" t="str">
        <f t="shared" si="80"/>
        <v/>
      </c>
    </row>
    <row r="5132" spans="1:5" x14ac:dyDescent="0.2">
      <c r="A5132" t="s">
        <v>1325</v>
      </c>
      <c r="B5132" t="s">
        <v>1326</v>
      </c>
      <c r="C5132" t="s">
        <v>448</v>
      </c>
      <c r="D5132" t="e">
        <f>VLOOKUP(C5132,'lookup table'!$A$2:$B$19,2,FALSE)</f>
        <v>#N/A</v>
      </c>
      <c r="E5132" t="str">
        <f t="shared" si="80"/>
        <v/>
      </c>
    </row>
    <row r="5133" spans="1:5" x14ac:dyDescent="0.2">
      <c r="A5133" t="s">
        <v>1325</v>
      </c>
      <c r="B5133" t="s">
        <v>1326</v>
      </c>
      <c r="C5133" t="s">
        <v>449</v>
      </c>
      <c r="D5133" t="e">
        <f>VLOOKUP(C5133,'lookup table'!$A$2:$B$19,2,FALSE)</f>
        <v>#N/A</v>
      </c>
      <c r="E5133" t="str">
        <f t="shared" si="80"/>
        <v/>
      </c>
    </row>
    <row r="5134" spans="1:5" x14ac:dyDescent="0.2">
      <c r="A5134" t="s">
        <v>1325</v>
      </c>
      <c r="B5134" t="s">
        <v>1326</v>
      </c>
      <c r="C5134" t="s">
        <v>449</v>
      </c>
      <c r="D5134" t="e">
        <f>VLOOKUP(C5134,'lookup table'!$A$2:$B$19,2,FALSE)</f>
        <v>#N/A</v>
      </c>
      <c r="E5134" t="str">
        <f t="shared" si="80"/>
        <v/>
      </c>
    </row>
    <row r="5135" spans="1:5" x14ac:dyDescent="0.2">
      <c r="A5135" t="s">
        <v>1325</v>
      </c>
      <c r="B5135" t="s">
        <v>1326</v>
      </c>
      <c r="C5135" t="s">
        <v>451</v>
      </c>
      <c r="D5135" t="str">
        <f>VLOOKUP(C5135,'lookup table'!$A$2:$B$19,2,FALSE)</f>
        <v>Segment</v>
      </c>
      <c r="E5135" t="str">
        <f t="shared" si="80"/>
        <v>DR3ACA_00|Segment</v>
      </c>
    </row>
    <row r="5136" spans="1:5" x14ac:dyDescent="0.2">
      <c r="A5136" t="s">
        <v>1325</v>
      </c>
      <c r="B5136" t="s">
        <v>1326</v>
      </c>
      <c r="C5136" t="s">
        <v>451</v>
      </c>
      <c r="D5136" t="str">
        <f>VLOOKUP(C5136,'lookup table'!$A$2:$B$19,2,FALSE)</f>
        <v>Segment</v>
      </c>
      <c r="E5136" t="str">
        <f t="shared" si="80"/>
        <v>DR3ACA_00|Segment</v>
      </c>
    </row>
    <row r="5137" spans="1:5" x14ac:dyDescent="0.2">
      <c r="A5137" t="s">
        <v>1325</v>
      </c>
      <c r="B5137" t="s">
        <v>1326</v>
      </c>
      <c r="C5137" t="s">
        <v>455</v>
      </c>
      <c r="D5137" t="e">
        <f>VLOOKUP(C5137,'lookup table'!$A$2:$B$19,2,FALSE)</f>
        <v>#N/A</v>
      </c>
      <c r="E5137" t="str">
        <f t="shared" si="80"/>
        <v/>
      </c>
    </row>
    <row r="5138" spans="1:5" x14ac:dyDescent="0.2">
      <c r="A5138" t="s">
        <v>1325</v>
      </c>
      <c r="B5138" t="s">
        <v>1326</v>
      </c>
      <c r="C5138" t="s">
        <v>455</v>
      </c>
      <c r="D5138" t="e">
        <f>VLOOKUP(C5138,'lookup table'!$A$2:$B$19,2,FALSE)</f>
        <v>#N/A</v>
      </c>
      <c r="E5138" t="str">
        <f t="shared" si="80"/>
        <v/>
      </c>
    </row>
    <row r="5139" spans="1:5" x14ac:dyDescent="0.2">
      <c r="A5139" t="s">
        <v>1325</v>
      </c>
      <c r="B5139" t="s">
        <v>1326</v>
      </c>
      <c r="C5139" t="s">
        <v>456</v>
      </c>
      <c r="D5139" t="e">
        <f>VLOOKUP(C5139,'lookup table'!$A$2:$B$19,2,FALSE)</f>
        <v>#N/A</v>
      </c>
      <c r="E5139" t="str">
        <f t="shared" si="80"/>
        <v/>
      </c>
    </row>
    <row r="5140" spans="1:5" x14ac:dyDescent="0.2">
      <c r="A5140" t="s">
        <v>1325</v>
      </c>
      <c r="B5140" t="s">
        <v>1326</v>
      </c>
      <c r="C5140" t="s">
        <v>456</v>
      </c>
      <c r="D5140" t="e">
        <f>VLOOKUP(C5140,'lookup table'!$A$2:$B$19,2,FALSE)</f>
        <v>#N/A</v>
      </c>
      <c r="E5140" t="str">
        <f t="shared" si="80"/>
        <v/>
      </c>
    </row>
    <row r="5141" spans="1:5" x14ac:dyDescent="0.2">
      <c r="A5141" t="s">
        <v>1325</v>
      </c>
      <c r="B5141" t="s">
        <v>1326</v>
      </c>
      <c r="C5141" t="s">
        <v>457</v>
      </c>
      <c r="D5141" t="str">
        <f>VLOOKUP(C5141,'lookup table'!$A$2:$B$19,2,FALSE)</f>
        <v>VLT</v>
      </c>
      <c r="E5141" t="str">
        <f t="shared" si="80"/>
        <v>DR3ACA_00|VLT</v>
      </c>
    </row>
    <row r="5142" spans="1:5" x14ac:dyDescent="0.2">
      <c r="A5142" t="s">
        <v>1325</v>
      </c>
      <c r="B5142" t="s">
        <v>1326</v>
      </c>
      <c r="C5142" t="s">
        <v>457</v>
      </c>
      <c r="D5142" t="str">
        <f>VLOOKUP(C5142,'lookup table'!$A$2:$B$19,2,FALSE)</f>
        <v>VLT</v>
      </c>
      <c r="E5142" t="str">
        <f t="shared" si="80"/>
        <v>DR3ACA_00|VLT</v>
      </c>
    </row>
    <row r="5143" spans="1:5" x14ac:dyDescent="0.2">
      <c r="A5143" t="s">
        <v>1325</v>
      </c>
      <c r="B5143" t="s">
        <v>1326</v>
      </c>
      <c r="C5143" t="s">
        <v>458</v>
      </c>
      <c r="D5143" t="str">
        <f>VLOOKUP(C5143,'lookup table'!$A$2:$B$19,2,FALSE)</f>
        <v>VAR</v>
      </c>
      <c r="E5143" t="str">
        <f t="shared" si="80"/>
        <v>DR3ACA_00|VAR</v>
      </c>
    </row>
    <row r="5144" spans="1:5" x14ac:dyDescent="0.2">
      <c r="A5144" t="s">
        <v>1325</v>
      </c>
      <c r="B5144" t="s">
        <v>1326</v>
      </c>
      <c r="C5144" t="s">
        <v>458</v>
      </c>
      <c r="D5144" t="str">
        <f>VLOOKUP(C5144,'lookup table'!$A$2:$B$19,2,FALSE)</f>
        <v>VAR</v>
      </c>
      <c r="E5144" t="str">
        <f t="shared" si="80"/>
        <v>DR3ACA_00|VAR</v>
      </c>
    </row>
    <row r="5145" spans="1:5" x14ac:dyDescent="0.2">
      <c r="A5145" t="s">
        <v>1325</v>
      </c>
      <c r="B5145" t="s">
        <v>1326</v>
      </c>
      <c r="C5145" t="s">
        <v>459</v>
      </c>
      <c r="D5145" t="e">
        <f>VLOOKUP(C5145,'lookup table'!$A$2:$B$19,2,FALSE)</f>
        <v>#N/A</v>
      </c>
      <c r="E5145" t="str">
        <f t="shared" si="80"/>
        <v/>
      </c>
    </row>
    <row r="5146" spans="1:5" x14ac:dyDescent="0.2">
      <c r="A5146" t="s">
        <v>1325</v>
      </c>
      <c r="B5146" t="s">
        <v>1326</v>
      </c>
      <c r="C5146" t="s">
        <v>459</v>
      </c>
      <c r="D5146" t="e">
        <f>VLOOKUP(C5146,'lookup table'!$A$2:$B$19,2,FALSE)</f>
        <v>#N/A</v>
      </c>
      <c r="E5146" t="str">
        <f t="shared" si="80"/>
        <v/>
      </c>
    </row>
    <row r="5147" spans="1:5" x14ac:dyDescent="0.2">
      <c r="A5147" t="s">
        <v>1325</v>
      </c>
      <c r="B5147" t="s">
        <v>1326</v>
      </c>
      <c r="C5147" t="s">
        <v>460</v>
      </c>
      <c r="D5147" t="e">
        <f>VLOOKUP(C5147,'lookup table'!$A$2:$B$19,2,FALSE)</f>
        <v>#N/A</v>
      </c>
      <c r="E5147" t="str">
        <f t="shared" si="80"/>
        <v/>
      </c>
    </row>
    <row r="5148" spans="1:5" x14ac:dyDescent="0.2">
      <c r="A5148" t="s">
        <v>1325</v>
      </c>
      <c r="B5148" t="s">
        <v>1326</v>
      </c>
      <c r="C5148" t="s">
        <v>460</v>
      </c>
      <c r="D5148" t="e">
        <f>VLOOKUP(C5148,'lookup table'!$A$2:$B$19,2,FALSE)</f>
        <v>#N/A</v>
      </c>
      <c r="E5148" t="str">
        <f t="shared" si="80"/>
        <v/>
      </c>
    </row>
    <row r="5149" spans="1:5" x14ac:dyDescent="0.2">
      <c r="A5149" t="s">
        <v>1325</v>
      </c>
      <c r="B5149" t="s">
        <v>1326</v>
      </c>
      <c r="C5149" t="s">
        <v>461</v>
      </c>
      <c r="D5149" t="str">
        <f>VLOOKUP(C5149,'lookup table'!$A$2:$B$19,2,FALSE)</f>
        <v>Posting Level</v>
      </c>
      <c r="E5149" t="str">
        <f t="shared" si="80"/>
        <v>DR3ACA_00|Posting Level</v>
      </c>
    </row>
    <row r="5150" spans="1:5" x14ac:dyDescent="0.2">
      <c r="A5150" t="s">
        <v>1325</v>
      </c>
      <c r="B5150" t="s">
        <v>1326</v>
      </c>
      <c r="C5150" t="s">
        <v>461</v>
      </c>
      <c r="D5150" t="str">
        <f>VLOOKUP(C5150,'lookup table'!$A$2:$B$19,2,FALSE)</f>
        <v>Posting Level</v>
      </c>
      <c r="E5150" t="str">
        <f t="shared" si="80"/>
        <v>DR3ACA_00|Posting Level</v>
      </c>
    </row>
    <row r="5151" spans="1:5" x14ac:dyDescent="0.2">
      <c r="A5151" t="s">
        <v>1325</v>
      </c>
      <c r="B5151" t="s">
        <v>1326</v>
      </c>
      <c r="C5151" t="s">
        <v>462</v>
      </c>
      <c r="D5151" t="e">
        <f>VLOOKUP(C5151,'lookup table'!$A$2:$B$19,2,FALSE)</f>
        <v>#N/A</v>
      </c>
      <c r="E5151" t="str">
        <f t="shared" si="80"/>
        <v/>
      </c>
    </row>
    <row r="5152" spans="1:5" x14ac:dyDescent="0.2">
      <c r="A5152" t="s">
        <v>1325</v>
      </c>
      <c r="B5152" t="s">
        <v>1326</v>
      </c>
      <c r="C5152" t="s">
        <v>462</v>
      </c>
      <c r="D5152" t="e">
        <f>VLOOKUP(C5152,'lookup table'!$A$2:$B$19,2,FALSE)</f>
        <v>#N/A</v>
      </c>
      <c r="E5152" t="str">
        <f t="shared" si="80"/>
        <v/>
      </c>
    </row>
    <row r="5153" spans="1:5" x14ac:dyDescent="0.2">
      <c r="A5153" t="s">
        <v>1325</v>
      </c>
      <c r="B5153" t="s">
        <v>1326</v>
      </c>
      <c r="C5153" t="s">
        <v>463</v>
      </c>
      <c r="D5153" t="e">
        <f>VLOOKUP(C5153,'lookup table'!$A$2:$B$19,2,FALSE)</f>
        <v>#N/A</v>
      </c>
      <c r="E5153" t="str">
        <f t="shared" si="80"/>
        <v/>
      </c>
    </row>
    <row r="5154" spans="1:5" x14ac:dyDescent="0.2">
      <c r="A5154" t="s">
        <v>1325</v>
      </c>
      <c r="B5154" t="s">
        <v>1326</v>
      </c>
      <c r="C5154" t="s">
        <v>463</v>
      </c>
      <c r="D5154" t="e">
        <f>VLOOKUP(C5154,'lookup table'!$A$2:$B$19,2,FALSE)</f>
        <v>#N/A</v>
      </c>
      <c r="E5154" t="str">
        <f t="shared" si="80"/>
        <v/>
      </c>
    </row>
    <row r="5155" spans="1:5" x14ac:dyDescent="0.2">
      <c r="A5155" t="s">
        <v>1325</v>
      </c>
      <c r="B5155" t="s">
        <v>1326</v>
      </c>
      <c r="C5155" t="s">
        <v>464</v>
      </c>
      <c r="D5155" t="e">
        <f>VLOOKUP(C5155,'lookup table'!$A$2:$B$19,2,FALSE)</f>
        <v>#N/A</v>
      </c>
      <c r="E5155" t="str">
        <f t="shared" si="80"/>
        <v/>
      </c>
    </row>
    <row r="5156" spans="1:5" x14ac:dyDescent="0.2">
      <c r="A5156" t="s">
        <v>1325</v>
      </c>
      <c r="B5156" t="s">
        <v>1326</v>
      </c>
      <c r="C5156" t="s">
        <v>464</v>
      </c>
      <c r="D5156" t="e">
        <f>VLOOKUP(C5156,'lookup table'!$A$2:$B$19,2,FALSE)</f>
        <v>#N/A</v>
      </c>
      <c r="E5156" t="str">
        <f t="shared" si="80"/>
        <v/>
      </c>
    </row>
    <row r="5157" spans="1:5" x14ac:dyDescent="0.2">
      <c r="A5157" t="s">
        <v>1325</v>
      </c>
      <c r="B5157" t="s">
        <v>1326</v>
      </c>
      <c r="C5157" t="s">
        <v>465</v>
      </c>
      <c r="D5157" t="e">
        <f>VLOOKUP(C5157,'lookup table'!$A$2:$B$19,2,FALSE)</f>
        <v>#N/A</v>
      </c>
      <c r="E5157" t="str">
        <f t="shared" si="80"/>
        <v/>
      </c>
    </row>
    <row r="5158" spans="1:5" x14ac:dyDescent="0.2">
      <c r="A5158" t="s">
        <v>1325</v>
      </c>
      <c r="B5158" t="s">
        <v>1326</v>
      </c>
      <c r="C5158" t="s">
        <v>465</v>
      </c>
      <c r="D5158" t="e">
        <f>VLOOKUP(C5158,'lookup table'!$A$2:$B$19,2,FALSE)</f>
        <v>#N/A</v>
      </c>
      <c r="E5158" t="str">
        <f t="shared" si="80"/>
        <v/>
      </c>
    </row>
    <row r="5159" spans="1:5" x14ac:dyDescent="0.2">
      <c r="A5159" t="s">
        <v>1327</v>
      </c>
      <c r="B5159" t="s">
        <v>1328</v>
      </c>
      <c r="C5159" t="s">
        <v>2</v>
      </c>
      <c r="D5159" t="e">
        <f>VLOOKUP(C5159,'lookup table'!$A$2:$B$19,2,FALSE)</f>
        <v>#N/A</v>
      </c>
      <c r="E5159" t="str">
        <f t="shared" si="80"/>
        <v/>
      </c>
    </row>
    <row r="5160" spans="1:5" x14ac:dyDescent="0.2">
      <c r="A5160" t="s">
        <v>1327</v>
      </c>
      <c r="B5160" t="s">
        <v>1328</v>
      </c>
      <c r="C5160" t="s">
        <v>5</v>
      </c>
      <c r="D5160" t="e">
        <f>VLOOKUP(C5160,'lookup table'!$A$2:$B$19,2,FALSE)</f>
        <v>#N/A</v>
      </c>
      <c r="E5160" t="str">
        <f t="shared" si="80"/>
        <v/>
      </c>
    </row>
    <row r="5161" spans="1:5" x14ac:dyDescent="0.2">
      <c r="A5161" t="s">
        <v>1327</v>
      </c>
      <c r="B5161" t="s">
        <v>1328</v>
      </c>
      <c r="C5161" t="s">
        <v>6</v>
      </c>
      <c r="D5161" t="e">
        <f>VLOOKUP(C5161,'lookup table'!$A$2:$B$19,2,FALSE)</f>
        <v>#N/A</v>
      </c>
      <c r="E5161" t="str">
        <f t="shared" si="80"/>
        <v/>
      </c>
    </row>
    <row r="5162" spans="1:5" x14ac:dyDescent="0.2">
      <c r="A5162" t="s">
        <v>1327</v>
      </c>
      <c r="B5162" t="s">
        <v>1328</v>
      </c>
      <c r="C5162" t="s">
        <v>9</v>
      </c>
      <c r="D5162" t="e">
        <f>VLOOKUP(C5162,'lookup table'!$A$2:$B$19,2,FALSE)</f>
        <v>#N/A</v>
      </c>
      <c r="E5162" t="str">
        <f t="shared" si="80"/>
        <v/>
      </c>
    </row>
    <row r="5163" spans="1:5" x14ac:dyDescent="0.2">
      <c r="A5163" t="s">
        <v>1327</v>
      </c>
      <c r="B5163" t="s">
        <v>1328</v>
      </c>
      <c r="C5163" t="s">
        <v>10</v>
      </c>
      <c r="D5163" t="e">
        <f>VLOOKUP(C5163,'lookup table'!$A$2:$B$19,2,FALSE)</f>
        <v>#N/A</v>
      </c>
      <c r="E5163" t="str">
        <f t="shared" si="80"/>
        <v/>
      </c>
    </row>
    <row r="5164" spans="1:5" x14ac:dyDescent="0.2">
      <c r="A5164" t="s">
        <v>1327</v>
      </c>
      <c r="B5164" t="s">
        <v>1328</v>
      </c>
      <c r="C5164" t="s">
        <v>11</v>
      </c>
      <c r="D5164" t="e">
        <f>VLOOKUP(C5164,'lookup table'!$A$2:$B$19,2,FALSE)</f>
        <v>#N/A</v>
      </c>
      <c r="E5164" t="str">
        <f t="shared" si="80"/>
        <v/>
      </c>
    </row>
    <row r="5165" spans="1:5" x14ac:dyDescent="0.2">
      <c r="A5165" t="s">
        <v>1327</v>
      </c>
      <c r="B5165" t="s">
        <v>1328</v>
      </c>
      <c r="C5165" t="s">
        <v>12</v>
      </c>
      <c r="D5165" t="e">
        <f>VLOOKUP(C5165,'lookup table'!$A$2:$B$19,2,FALSE)</f>
        <v>#N/A</v>
      </c>
      <c r="E5165" t="str">
        <f t="shared" si="80"/>
        <v/>
      </c>
    </row>
    <row r="5166" spans="1:5" x14ac:dyDescent="0.2">
      <c r="A5166" t="s">
        <v>1327</v>
      </c>
      <c r="B5166" t="s">
        <v>1328</v>
      </c>
      <c r="C5166" t="s">
        <v>14</v>
      </c>
      <c r="D5166" t="str">
        <f>VLOOKUP(C5166,'lookup table'!$A$2:$B$19,2,FALSE)</f>
        <v>ALC</v>
      </c>
      <c r="E5166" t="str">
        <f t="shared" si="80"/>
        <v>DR3ACY_00|ALC</v>
      </c>
    </row>
    <row r="5167" spans="1:5" x14ac:dyDescent="0.2">
      <c r="A5167" t="s">
        <v>1327</v>
      </c>
      <c r="B5167" t="s">
        <v>1328</v>
      </c>
      <c r="C5167" t="s">
        <v>20</v>
      </c>
      <c r="D5167" t="str">
        <f>VLOOKUP(C5167,'lookup table'!$A$2:$B$19,2,FALSE)</f>
        <v>AY</v>
      </c>
      <c r="E5167" t="str">
        <f t="shared" si="80"/>
        <v>DR3ACY_00|AY</v>
      </c>
    </row>
    <row r="5168" spans="1:5" x14ac:dyDescent="0.2">
      <c r="A5168" t="s">
        <v>1327</v>
      </c>
      <c r="B5168" t="s">
        <v>1328</v>
      </c>
      <c r="C5168" t="s">
        <v>324</v>
      </c>
      <c r="D5168" t="e">
        <f>VLOOKUP(C5168,'lookup table'!$A$2:$B$19,2,FALSE)</f>
        <v>#N/A</v>
      </c>
      <c r="E5168" t="str">
        <f t="shared" si="80"/>
        <v/>
      </c>
    </row>
    <row r="5169" spans="1:5" x14ac:dyDescent="0.2">
      <c r="A5169" t="s">
        <v>1327</v>
      </c>
      <c r="B5169" t="s">
        <v>1328</v>
      </c>
      <c r="C5169" t="s">
        <v>325</v>
      </c>
      <c r="D5169" t="e">
        <f>VLOOKUP(C5169,'lookup table'!$A$2:$B$19,2,FALSE)</f>
        <v>#N/A</v>
      </c>
      <c r="E5169" t="str">
        <f t="shared" si="80"/>
        <v/>
      </c>
    </row>
    <row r="5170" spans="1:5" x14ac:dyDescent="0.2">
      <c r="A5170" t="s">
        <v>1327</v>
      </c>
      <c r="B5170" t="s">
        <v>1328</v>
      </c>
      <c r="C5170" t="s">
        <v>326</v>
      </c>
      <c r="D5170" t="e">
        <f>VLOOKUP(C5170,'lookup table'!$A$2:$B$19,2,FALSE)</f>
        <v>#N/A</v>
      </c>
      <c r="E5170" t="str">
        <f t="shared" si="80"/>
        <v/>
      </c>
    </row>
    <row r="5171" spans="1:5" x14ac:dyDescent="0.2">
      <c r="A5171" t="s">
        <v>1327</v>
      </c>
      <c r="B5171" t="s">
        <v>1328</v>
      </c>
      <c r="C5171" t="s">
        <v>327</v>
      </c>
      <c r="D5171" t="e">
        <f>VLOOKUP(C5171,'lookup table'!$A$2:$B$19,2,FALSE)</f>
        <v>#N/A</v>
      </c>
      <c r="E5171" t="str">
        <f t="shared" si="80"/>
        <v/>
      </c>
    </row>
    <row r="5172" spans="1:5" x14ac:dyDescent="0.2">
      <c r="A5172" t="s">
        <v>1327</v>
      </c>
      <c r="B5172" t="s">
        <v>1328</v>
      </c>
      <c r="C5172" t="s">
        <v>328</v>
      </c>
      <c r="D5172" t="e">
        <f>VLOOKUP(C5172,'lookup table'!$A$2:$B$19,2,FALSE)</f>
        <v>#N/A</v>
      </c>
      <c r="E5172" t="str">
        <f t="shared" si="80"/>
        <v/>
      </c>
    </row>
    <row r="5173" spans="1:5" x14ac:dyDescent="0.2">
      <c r="A5173" t="s">
        <v>1327</v>
      </c>
      <c r="B5173" t="s">
        <v>1328</v>
      </c>
      <c r="C5173" t="s">
        <v>329</v>
      </c>
      <c r="D5173" t="e">
        <f>VLOOKUP(C5173,'lookup table'!$A$2:$B$19,2,FALSE)</f>
        <v>#N/A</v>
      </c>
      <c r="E5173" t="str">
        <f t="shared" si="80"/>
        <v/>
      </c>
    </row>
    <row r="5174" spans="1:5" x14ac:dyDescent="0.2">
      <c r="A5174" t="s">
        <v>1327</v>
      </c>
      <c r="B5174" t="s">
        <v>1328</v>
      </c>
      <c r="C5174" t="s">
        <v>331</v>
      </c>
      <c r="D5174" t="str">
        <f>VLOOKUP(C5174,'lookup table'!$A$2:$B$19,2,FALSE)</f>
        <v>FS Item</v>
      </c>
      <c r="E5174" t="str">
        <f t="shared" si="80"/>
        <v>DR3ACY_00|FS Item</v>
      </c>
    </row>
    <row r="5175" spans="1:5" x14ac:dyDescent="0.2">
      <c r="A5175" t="s">
        <v>1327</v>
      </c>
      <c r="B5175" t="s">
        <v>1328</v>
      </c>
      <c r="C5175" t="s">
        <v>422</v>
      </c>
      <c r="D5175" t="e">
        <f>VLOOKUP(C5175,'lookup table'!$A$2:$B$19,2,FALSE)</f>
        <v>#N/A</v>
      </c>
      <c r="E5175" t="str">
        <f t="shared" si="80"/>
        <v/>
      </c>
    </row>
    <row r="5176" spans="1:5" x14ac:dyDescent="0.2">
      <c r="A5176" t="s">
        <v>1327</v>
      </c>
      <c r="B5176" t="s">
        <v>1328</v>
      </c>
      <c r="C5176" t="s">
        <v>423</v>
      </c>
      <c r="D5176" t="str">
        <f>VLOOKUP(C5176,'lookup table'!$A$2:$B$19,2,FALSE)</f>
        <v>ignore</v>
      </c>
      <c r="E5176" t="str">
        <f t="shared" si="80"/>
        <v>DR3ACY_00|ignore</v>
      </c>
    </row>
    <row r="5177" spans="1:5" x14ac:dyDescent="0.2">
      <c r="A5177" t="s">
        <v>1327</v>
      </c>
      <c r="B5177" t="s">
        <v>1328</v>
      </c>
      <c r="C5177" t="s">
        <v>424</v>
      </c>
      <c r="D5177" t="str">
        <f>VLOOKUP(C5177,'lookup table'!$A$2:$B$19,2,FALSE)</f>
        <v>GRC</v>
      </c>
      <c r="E5177" t="str">
        <f t="shared" si="80"/>
        <v>DR3ACY_00|GRC</v>
      </c>
    </row>
    <row r="5178" spans="1:5" x14ac:dyDescent="0.2">
      <c r="A5178" t="s">
        <v>1327</v>
      </c>
      <c r="B5178" t="s">
        <v>1328</v>
      </c>
      <c r="C5178" t="s">
        <v>425</v>
      </c>
      <c r="D5178" t="str">
        <f>VLOOKUP(C5178,'lookup table'!$A$2:$B$19,2,FALSE)</f>
        <v>Investee Segment</v>
      </c>
      <c r="E5178" t="str">
        <f t="shared" si="80"/>
        <v>DR3ACY_00|Investee Segment</v>
      </c>
    </row>
    <row r="5179" spans="1:5" x14ac:dyDescent="0.2">
      <c r="A5179" t="s">
        <v>1327</v>
      </c>
      <c r="B5179" t="s">
        <v>1328</v>
      </c>
      <c r="C5179" t="s">
        <v>426</v>
      </c>
      <c r="D5179" t="str">
        <f>VLOOKUP(C5179,'lookup table'!$A$2:$B$19,2,FALSE)</f>
        <v>Investee Unit</v>
      </c>
      <c r="E5179" t="str">
        <f t="shared" si="80"/>
        <v>DR3ACY_00|Investee Unit</v>
      </c>
    </row>
    <row r="5180" spans="1:5" x14ac:dyDescent="0.2">
      <c r="A5180" t="s">
        <v>1327</v>
      </c>
      <c r="B5180" t="s">
        <v>1328</v>
      </c>
      <c r="C5180" t="s">
        <v>428</v>
      </c>
      <c r="D5180" t="str">
        <f>VLOOKUP(C5180,'lookup table'!$A$2:$B$19,2,FALSE)</f>
        <v>LoB</v>
      </c>
      <c r="E5180" t="str">
        <f t="shared" si="80"/>
        <v>DR3ACY_00|LoB</v>
      </c>
    </row>
    <row r="5181" spans="1:5" x14ac:dyDescent="0.2">
      <c r="A5181" t="s">
        <v>1327</v>
      </c>
      <c r="B5181" t="s">
        <v>1328</v>
      </c>
      <c r="C5181" t="s">
        <v>436</v>
      </c>
      <c r="D5181" t="str">
        <f>VLOOKUP(C5181,'lookup table'!$A$2:$B$19,2,FALSE)</f>
        <v>MAT</v>
      </c>
      <c r="E5181" t="str">
        <f t="shared" si="80"/>
        <v>DR3ACY_00|MAT</v>
      </c>
    </row>
    <row r="5182" spans="1:5" x14ac:dyDescent="0.2">
      <c r="A5182" t="s">
        <v>1327</v>
      </c>
      <c r="B5182" t="s">
        <v>1328</v>
      </c>
      <c r="C5182" t="s">
        <v>441</v>
      </c>
      <c r="D5182" t="str">
        <f>VLOOKUP(C5182,'lookup table'!$A$2:$B$19,2,FALSE)</f>
        <v>Partner Segment</v>
      </c>
      <c r="E5182" t="str">
        <f t="shared" si="80"/>
        <v>DR3ACY_00|Partner Segment</v>
      </c>
    </row>
    <row r="5183" spans="1:5" x14ac:dyDescent="0.2">
      <c r="A5183" t="s">
        <v>1327</v>
      </c>
      <c r="B5183" t="s">
        <v>1328</v>
      </c>
      <c r="C5183" t="s">
        <v>442</v>
      </c>
      <c r="D5183" t="str">
        <f>VLOOKUP(C5183,'lookup table'!$A$2:$B$19,2,FALSE)</f>
        <v>Partner Unit</v>
      </c>
      <c r="E5183" t="str">
        <f t="shared" si="80"/>
        <v>DR3ACY_00|Partner Unit</v>
      </c>
    </row>
    <row r="5184" spans="1:5" x14ac:dyDescent="0.2">
      <c r="A5184" t="s">
        <v>1327</v>
      </c>
      <c r="B5184" t="s">
        <v>1328</v>
      </c>
      <c r="C5184" t="s">
        <v>447</v>
      </c>
      <c r="D5184" t="str">
        <f>VLOOKUP(C5184,'lookup table'!$A$2:$B$19,2,FALSE)</f>
        <v>REX</v>
      </c>
      <c r="E5184" t="str">
        <f t="shared" si="80"/>
        <v>DR3ACY_00|REX</v>
      </c>
    </row>
    <row r="5185" spans="1:5" x14ac:dyDescent="0.2">
      <c r="A5185" t="s">
        <v>1327</v>
      </c>
      <c r="B5185" t="s">
        <v>1328</v>
      </c>
      <c r="C5185" t="s">
        <v>448</v>
      </c>
      <c r="D5185" t="e">
        <f>VLOOKUP(C5185,'lookup table'!$A$2:$B$19,2,FALSE)</f>
        <v>#N/A</v>
      </c>
      <c r="E5185" t="str">
        <f t="shared" si="80"/>
        <v/>
      </c>
    </row>
    <row r="5186" spans="1:5" x14ac:dyDescent="0.2">
      <c r="A5186" t="s">
        <v>1327</v>
      </c>
      <c r="B5186" t="s">
        <v>1328</v>
      </c>
      <c r="C5186" t="s">
        <v>449</v>
      </c>
      <c r="D5186" t="e">
        <f>VLOOKUP(C5186,'lookup table'!$A$2:$B$19,2,FALSE)</f>
        <v>#N/A</v>
      </c>
      <c r="E5186" t="str">
        <f t="shared" si="80"/>
        <v/>
      </c>
    </row>
    <row r="5187" spans="1:5" x14ac:dyDescent="0.2">
      <c r="A5187" t="s">
        <v>1327</v>
      </c>
      <c r="B5187" t="s">
        <v>1328</v>
      </c>
      <c r="C5187" t="s">
        <v>451</v>
      </c>
      <c r="D5187" t="str">
        <f>VLOOKUP(C5187,'lookup table'!$A$2:$B$19,2,FALSE)</f>
        <v>Segment</v>
      </c>
      <c r="E5187" t="str">
        <f t="shared" ref="E5187:E5250" si="81">IF(ISNA(D5187),"",IF(A5187="","",A5187) &amp; "|" &amp; D5187)</f>
        <v>DR3ACY_00|Segment</v>
      </c>
    </row>
    <row r="5188" spans="1:5" x14ac:dyDescent="0.2">
      <c r="A5188" t="s">
        <v>1327</v>
      </c>
      <c r="B5188" t="s">
        <v>1328</v>
      </c>
      <c r="C5188" t="s">
        <v>455</v>
      </c>
      <c r="D5188" t="e">
        <f>VLOOKUP(C5188,'lookup table'!$A$2:$B$19,2,FALSE)</f>
        <v>#N/A</v>
      </c>
      <c r="E5188" t="str">
        <f t="shared" si="81"/>
        <v/>
      </c>
    </row>
    <row r="5189" spans="1:5" x14ac:dyDescent="0.2">
      <c r="A5189" t="s">
        <v>1327</v>
      </c>
      <c r="B5189" t="s">
        <v>1328</v>
      </c>
      <c r="C5189" t="s">
        <v>456</v>
      </c>
      <c r="D5189" t="e">
        <f>VLOOKUP(C5189,'lookup table'!$A$2:$B$19,2,FALSE)</f>
        <v>#N/A</v>
      </c>
      <c r="E5189" t="str">
        <f t="shared" si="81"/>
        <v/>
      </c>
    </row>
    <row r="5190" spans="1:5" x14ac:dyDescent="0.2">
      <c r="A5190" t="s">
        <v>1327</v>
      </c>
      <c r="B5190" t="s">
        <v>1328</v>
      </c>
      <c r="C5190" t="s">
        <v>457</v>
      </c>
      <c r="D5190" t="str">
        <f>VLOOKUP(C5190,'lookup table'!$A$2:$B$19,2,FALSE)</f>
        <v>VLT</v>
      </c>
      <c r="E5190" t="str">
        <f t="shared" si="81"/>
        <v>DR3ACY_00|VLT</v>
      </c>
    </row>
    <row r="5191" spans="1:5" x14ac:dyDescent="0.2">
      <c r="A5191" t="s">
        <v>1327</v>
      </c>
      <c r="B5191" t="s">
        <v>1328</v>
      </c>
      <c r="C5191" t="s">
        <v>458</v>
      </c>
      <c r="D5191" t="str">
        <f>VLOOKUP(C5191,'lookup table'!$A$2:$B$19,2,FALSE)</f>
        <v>VAR</v>
      </c>
      <c r="E5191" t="str">
        <f t="shared" si="81"/>
        <v>DR3ACY_00|VAR</v>
      </c>
    </row>
    <row r="5192" spans="1:5" x14ac:dyDescent="0.2">
      <c r="A5192" t="s">
        <v>1327</v>
      </c>
      <c r="B5192" t="s">
        <v>1328</v>
      </c>
      <c r="C5192" t="s">
        <v>459</v>
      </c>
      <c r="D5192" t="e">
        <f>VLOOKUP(C5192,'lookup table'!$A$2:$B$19,2,FALSE)</f>
        <v>#N/A</v>
      </c>
      <c r="E5192" t="str">
        <f t="shared" si="81"/>
        <v/>
      </c>
    </row>
    <row r="5193" spans="1:5" x14ac:dyDescent="0.2">
      <c r="A5193" t="s">
        <v>1327</v>
      </c>
      <c r="B5193" t="s">
        <v>1328</v>
      </c>
      <c r="C5193" t="s">
        <v>460</v>
      </c>
      <c r="D5193" t="e">
        <f>VLOOKUP(C5193,'lookup table'!$A$2:$B$19,2,FALSE)</f>
        <v>#N/A</v>
      </c>
      <c r="E5193" t="str">
        <f t="shared" si="81"/>
        <v/>
      </c>
    </row>
    <row r="5194" spans="1:5" x14ac:dyDescent="0.2">
      <c r="A5194" t="s">
        <v>1327</v>
      </c>
      <c r="B5194" t="s">
        <v>1328</v>
      </c>
      <c r="C5194" t="s">
        <v>461</v>
      </c>
      <c r="D5194" t="str">
        <f>VLOOKUP(C5194,'lookup table'!$A$2:$B$19,2,FALSE)</f>
        <v>Posting Level</v>
      </c>
      <c r="E5194" t="str">
        <f t="shared" si="81"/>
        <v>DR3ACY_00|Posting Level</v>
      </c>
    </row>
    <row r="5195" spans="1:5" x14ac:dyDescent="0.2">
      <c r="A5195" t="s">
        <v>1327</v>
      </c>
      <c r="B5195" t="s">
        <v>1328</v>
      </c>
      <c r="C5195" t="s">
        <v>462</v>
      </c>
      <c r="D5195" t="e">
        <f>VLOOKUP(C5195,'lookup table'!$A$2:$B$19,2,FALSE)</f>
        <v>#N/A</v>
      </c>
      <c r="E5195" t="str">
        <f t="shared" si="81"/>
        <v/>
      </c>
    </row>
    <row r="5196" spans="1:5" x14ac:dyDescent="0.2">
      <c r="A5196" t="s">
        <v>1327</v>
      </c>
      <c r="B5196" t="s">
        <v>1328</v>
      </c>
      <c r="C5196" t="s">
        <v>463</v>
      </c>
      <c r="D5196" t="e">
        <f>VLOOKUP(C5196,'lookup table'!$A$2:$B$19,2,FALSE)</f>
        <v>#N/A</v>
      </c>
      <c r="E5196" t="str">
        <f t="shared" si="81"/>
        <v/>
      </c>
    </row>
    <row r="5197" spans="1:5" x14ac:dyDescent="0.2">
      <c r="A5197" t="s">
        <v>1327</v>
      </c>
      <c r="B5197" t="s">
        <v>1328</v>
      </c>
      <c r="C5197" t="s">
        <v>464</v>
      </c>
      <c r="D5197" t="e">
        <f>VLOOKUP(C5197,'lookup table'!$A$2:$B$19,2,FALSE)</f>
        <v>#N/A</v>
      </c>
      <c r="E5197" t="str">
        <f t="shared" si="81"/>
        <v/>
      </c>
    </row>
    <row r="5198" spans="1:5" x14ac:dyDescent="0.2">
      <c r="A5198" t="s">
        <v>1327</v>
      </c>
      <c r="B5198" t="s">
        <v>1328</v>
      </c>
      <c r="C5198" t="s">
        <v>465</v>
      </c>
      <c r="D5198" t="e">
        <f>VLOOKUP(C5198,'lookup table'!$A$2:$B$19,2,FALSE)</f>
        <v>#N/A</v>
      </c>
      <c r="E5198" t="str">
        <f t="shared" si="81"/>
        <v/>
      </c>
    </row>
    <row r="5199" spans="1:5" x14ac:dyDescent="0.2">
      <c r="A5199" t="s">
        <v>1329</v>
      </c>
      <c r="B5199" t="s">
        <v>1330</v>
      </c>
      <c r="C5199" t="s">
        <v>2</v>
      </c>
      <c r="D5199" t="e">
        <f>VLOOKUP(C5199,'lookup table'!$A$2:$B$19,2,FALSE)</f>
        <v>#N/A</v>
      </c>
      <c r="E5199" t="str">
        <f t="shared" si="81"/>
        <v/>
      </c>
    </row>
    <row r="5200" spans="1:5" x14ac:dyDescent="0.2">
      <c r="A5200" t="s">
        <v>1329</v>
      </c>
      <c r="B5200" t="s">
        <v>1330</v>
      </c>
      <c r="C5200" t="s">
        <v>5</v>
      </c>
      <c r="D5200" t="e">
        <f>VLOOKUP(C5200,'lookup table'!$A$2:$B$19,2,FALSE)</f>
        <v>#N/A</v>
      </c>
      <c r="E5200" t="str">
        <f t="shared" si="81"/>
        <v/>
      </c>
    </row>
    <row r="5201" spans="1:5" x14ac:dyDescent="0.2">
      <c r="A5201" t="s">
        <v>1329</v>
      </c>
      <c r="B5201" t="s">
        <v>1330</v>
      </c>
      <c r="C5201" t="s">
        <v>6</v>
      </c>
      <c r="D5201" t="e">
        <f>VLOOKUP(C5201,'lookup table'!$A$2:$B$19,2,FALSE)</f>
        <v>#N/A</v>
      </c>
      <c r="E5201" t="str">
        <f t="shared" si="81"/>
        <v/>
      </c>
    </row>
    <row r="5202" spans="1:5" x14ac:dyDescent="0.2">
      <c r="A5202" t="s">
        <v>1329</v>
      </c>
      <c r="B5202" t="s">
        <v>1330</v>
      </c>
      <c r="C5202" t="s">
        <v>9</v>
      </c>
      <c r="D5202" t="e">
        <f>VLOOKUP(C5202,'lookup table'!$A$2:$B$19,2,FALSE)</f>
        <v>#N/A</v>
      </c>
      <c r="E5202" t="str">
        <f t="shared" si="81"/>
        <v/>
      </c>
    </row>
    <row r="5203" spans="1:5" x14ac:dyDescent="0.2">
      <c r="A5203" t="s">
        <v>1329</v>
      </c>
      <c r="B5203" t="s">
        <v>1330</v>
      </c>
      <c r="C5203" t="s">
        <v>10</v>
      </c>
      <c r="D5203" t="e">
        <f>VLOOKUP(C5203,'lookup table'!$A$2:$B$19,2,FALSE)</f>
        <v>#N/A</v>
      </c>
      <c r="E5203" t="str">
        <f t="shared" si="81"/>
        <v/>
      </c>
    </row>
    <row r="5204" spans="1:5" x14ac:dyDescent="0.2">
      <c r="A5204" t="s">
        <v>1329</v>
      </c>
      <c r="B5204" t="s">
        <v>1330</v>
      </c>
      <c r="C5204" t="s">
        <v>11</v>
      </c>
      <c r="D5204" t="e">
        <f>VLOOKUP(C5204,'lookup table'!$A$2:$B$19,2,FALSE)</f>
        <v>#N/A</v>
      </c>
      <c r="E5204" t="str">
        <f t="shared" si="81"/>
        <v/>
      </c>
    </row>
    <row r="5205" spans="1:5" x14ac:dyDescent="0.2">
      <c r="A5205" t="s">
        <v>1329</v>
      </c>
      <c r="B5205" t="s">
        <v>1330</v>
      </c>
      <c r="C5205" t="s">
        <v>12</v>
      </c>
      <c r="D5205" t="e">
        <f>VLOOKUP(C5205,'lookup table'!$A$2:$B$19,2,FALSE)</f>
        <v>#N/A</v>
      </c>
      <c r="E5205" t="str">
        <f t="shared" si="81"/>
        <v/>
      </c>
    </row>
    <row r="5206" spans="1:5" x14ac:dyDescent="0.2">
      <c r="A5206" t="s">
        <v>1329</v>
      </c>
      <c r="B5206" t="s">
        <v>1330</v>
      </c>
      <c r="C5206" t="s">
        <v>14</v>
      </c>
      <c r="D5206" t="str">
        <f>VLOOKUP(C5206,'lookup table'!$A$2:$B$19,2,FALSE)</f>
        <v>ALC</v>
      </c>
      <c r="E5206" t="str">
        <f t="shared" si="81"/>
        <v>DR3LOB_00|ALC</v>
      </c>
    </row>
    <row r="5207" spans="1:5" x14ac:dyDescent="0.2">
      <c r="A5207" t="s">
        <v>1329</v>
      </c>
      <c r="B5207" t="s">
        <v>1330</v>
      </c>
      <c r="C5207" t="s">
        <v>20</v>
      </c>
      <c r="D5207" t="str">
        <f>VLOOKUP(C5207,'lookup table'!$A$2:$B$19,2,FALSE)</f>
        <v>AY</v>
      </c>
      <c r="E5207" t="str">
        <f t="shared" si="81"/>
        <v>DR3LOB_00|AY</v>
      </c>
    </row>
    <row r="5208" spans="1:5" x14ac:dyDescent="0.2">
      <c r="A5208" t="s">
        <v>1329</v>
      </c>
      <c r="B5208" t="s">
        <v>1330</v>
      </c>
      <c r="C5208" t="s">
        <v>324</v>
      </c>
      <c r="D5208" t="e">
        <f>VLOOKUP(C5208,'lookup table'!$A$2:$B$19,2,FALSE)</f>
        <v>#N/A</v>
      </c>
      <c r="E5208" t="str">
        <f t="shared" si="81"/>
        <v/>
      </c>
    </row>
    <row r="5209" spans="1:5" x14ac:dyDescent="0.2">
      <c r="A5209" t="s">
        <v>1329</v>
      </c>
      <c r="B5209" t="s">
        <v>1330</v>
      </c>
      <c r="C5209" t="s">
        <v>325</v>
      </c>
      <c r="D5209" t="e">
        <f>VLOOKUP(C5209,'lookup table'!$A$2:$B$19,2,FALSE)</f>
        <v>#N/A</v>
      </c>
      <c r="E5209" t="str">
        <f t="shared" si="81"/>
        <v/>
      </c>
    </row>
    <row r="5210" spans="1:5" x14ac:dyDescent="0.2">
      <c r="A5210" t="s">
        <v>1329</v>
      </c>
      <c r="B5210" t="s">
        <v>1330</v>
      </c>
      <c r="C5210" t="s">
        <v>326</v>
      </c>
      <c r="D5210" t="e">
        <f>VLOOKUP(C5210,'lookup table'!$A$2:$B$19,2,FALSE)</f>
        <v>#N/A</v>
      </c>
      <c r="E5210" t="str">
        <f t="shared" si="81"/>
        <v/>
      </c>
    </row>
    <row r="5211" spans="1:5" x14ac:dyDescent="0.2">
      <c r="A5211" t="s">
        <v>1329</v>
      </c>
      <c r="B5211" t="s">
        <v>1330</v>
      </c>
      <c r="C5211" t="s">
        <v>327</v>
      </c>
      <c r="D5211" t="e">
        <f>VLOOKUP(C5211,'lookup table'!$A$2:$B$19,2,FALSE)</f>
        <v>#N/A</v>
      </c>
      <c r="E5211" t="str">
        <f t="shared" si="81"/>
        <v/>
      </c>
    </row>
    <row r="5212" spans="1:5" x14ac:dyDescent="0.2">
      <c r="A5212" t="s">
        <v>1329</v>
      </c>
      <c r="B5212" t="s">
        <v>1330</v>
      </c>
      <c r="C5212" t="s">
        <v>328</v>
      </c>
      <c r="D5212" t="e">
        <f>VLOOKUP(C5212,'lookup table'!$A$2:$B$19,2,FALSE)</f>
        <v>#N/A</v>
      </c>
      <c r="E5212" t="str">
        <f t="shared" si="81"/>
        <v/>
      </c>
    </row>
    <row r="5213" spans="1:5" x14ac:dyDescent="0.2">
      <c r="A5213" t="s">
        <v>1329</v>
      </c>
      <c r="B5213" t="s">
        <v>1330</v>
      </c>
      <c r="C5213" t="s">
        <v>329</v>
      </c>
      <c r="D5213" t="e">
        <f>VLOOKUP(C5213,'lookup table'!$A$2:$B$19,2,FALSE)</f>
        <v>#N/A</v>
      </c>
      <c r="E5213" t="str">
        <f t="shared" si="81"/>
        <v/>
      </c>
    </row>
    <row r="5214" spans="1:5" x14ac:dyDescent="0.2">
      <c r="A5214" t="s">
        <v>1329</v>
      </c>
      <c r="B5214" t="s">
        <v>1330</v>
      </c>
      <c r="C5214" t="s">
        <v>331</v>
      </c>
      <c r="D5214" t="str">
        <f>VLOOKUP(C5214,'lookup table'!$A$2:$B$19,2,FALSE)</f>
        <v>FS Item</v>
      </c>
      <c r="E5214" t="str">
        <f t="shared" si="81"/>
        <v>DR3LOB_00|FS Item</v>
      </c>
    </row>
    <row r="5215" spans="1:5" x14ac:dyDescent="0.2">
      <c r="A5215" t="s">
        <v>1329</v>
      </c>
      <c r="B5215" t="s">
        <v>1330</v>
      </c>
      <c r="C5215" t="s">
        <v>422</v>
      </c>
      <c r="D5215" t="e">
        <f>VLOOKUP(C5215,'lookup table'!$A$2:$B$19,2,FALSE)</f>
        <v>#N/A</v>
      </c>
      <c r="E5215" t="str">
        <f t="shared" si="81"/>
        <v/>
      </c>
    </row>
    <row r="5216" spans="1:5" x14ac:dyDescent="0.2">
      <c r="A5216" t="s">
        <v>1329</v>
      </c>
      <c r="B5216" t="s">
        <v>1330</v>
      </c>
      <c r="C5216" t="s">
        <v>423</v>
      </c>
      <c r="D5216" t="str">
        <f>VLOOKUP(C5216,'lookup table'!$A$2:$B$19,2,FALSE)</f>
        <v>ignore</v>
      </c>
      <c r="E5216" t="str">
        <f t="shared" si="81"/>
        <v>DR3LOB_00|ignore</v>
      </c>
    </row>
    <row r="5217" spans="1:5" x14ac:dyDescent="0.2">
      <c r="A5217" t="s">
        <v>1329</v>
      </c>
      <c r="B5217" t="s">
        <v>1330</v>
      </c>
      <c r="C5217" t="s">
        <v>424</v>
      </c>
      <c r="D5217" t="str">
        <f>VLOOKUP(C5217,'lookup table'!$A$2:$B$19,2,FALSE)</f>
        <v>GRC</v>
      </c>
      <c r="E5217" t="str">
        <f t="shared" si="81"/>
        <v>DR3LOB_00|GRC</v>
      </c>
    </row>
    <row r="5218" spans="1:5" x14ac:dyDescent="0.2">
      <c r="A5218" t="s">
        <v>1329</v>
      </c>
      <c r="B5218" t="s">
        <v>1330</v>
      </c>
      <c r="C5218" t="s">
        <v>425</v>
      </c>
      <c r="D5218" t="str">
        <f>VLOOKUP(C5218,'lookup table'!$A$2:$B$19,2,FALSE)</f>
        <v>Investee Segment</v>
      </c>
      <c r="E5218" t="str">
        <f t="shared" si="81"/>
        <v>DR3LOB_00|Investee Segment</v>
      </c>
    </row>
    <row r="5219" spans="1:5" x14ac:dyDescent="0.2">
      <c r="A5219" t="s">
        <v>1329</v>
      </c>
      <c r="B5219" t="s">
        <v>1330</v>
      </c>
      <c r="C5219" t="s">
        <v>426</v>
      </c>
      <c r="D5219" t="str">
        <f>VLOOKUP(C5219,'lookup table'!$A$2:$B$19,2,FALSE)</f>
        <v>Investee Unit</v>
      </c>
      <c r="E5219" t="str">
        <f t="shared" si="81"/>
        <v>DR3LOB_00|Investee Unit</v>
      </c>
    </row>
    <row r="5220" spans="1:5" x14ac:dyDescent="0.2">
      <c r="A5220" t="s">
        <v>1329</v>
      </c>
      <c r="B5220" t="s">
        <v>1330</v>
      </c>
      <c r="C5220" t="s">
        <v>428</v>
      </c>
      <c r="D5220" t="str">
        <f>VLOOKUP(C5220,'lookup table'!$A$2:$B$19,2,FALSE)</f>
        <v>LoB</v>
      </c>
      <c r="E5220" t="str">
        <f t="shared" si="81"/>
        <v>DR3LOB_00|LoB</v>
      </c>
    </row>
    <row r="5221" spans="1:5" x14ac:dyDescent="0.2">
      <c r="A5221" t="s">
        <v>1329</v>
      </c>
      <c r="B5221" t="s">
        <v>1330</v>
      </c>
      <c r="C5221" t="s">
        <v>436</v>
      </c>
      <c r="D5221" t="str">
        <f>VLOOKUP(C5221,'lookup table'!$A$2:$B$19,2,FALSE)</f>
        <v>MAT</v>
      </c>
      <c r="E5221" t="str">
        <f t="shared" si="81"/>
        <v>DR3LOB_00|MAT</v>
      </c>
    </row>
    <row r="5222" spans="1:5" x14ac:dyDescent="0.2">
      <c r="A5222" t="s">
        <v>1329</v>
      </c>
      <c r="B5222" t="s">
        <v>1330</v>
      </c>
      <c r="C5222" t="s">
        <v>441</v>
      </c>
      <c r="D5222" t="str">
        <f>VLOOKUP(C5222,'lookup table'!$A$2:$B$19,2,FALSE)</f>
        <v>Partner Segment</v>
      </c>
      <c r="E5222" t="str">
        <f t="shared" si="81"/>
        <v>DR3LOB_00|Partner Segment</v>
      </c>
    </row>
    <row r="5223" spans="1:5" x14ac:dyDescent="0.2">
      <c r="A5223" t="s">
        <v>1329</v>
      </c>
      <c r="B5223" t="s">
        <v>1330</v>
      </c>
      <c r="C5223" t="s">
        <v>442</v>
      </c>
      <c r="D5223" t="str">
        <f>VLOOKUP(C5223,'lookup table'!$A$2:$B$19,2,FALSE)</f>
        <v>Partner Unit</v>
      </c>
      <c r="E5223" t="str">
        <f t="shared" si="81"/>
        <v>DR3LOB_00|Partner Unit</v>
      </c>
    </row>
    <row r="5224" spans="1:5" x14ac:dyDescent="0.2">
      <c r="A5224" t="s">
        <v>1329</v>
      </c>
      <c r="B5224" t="s">
        <v>1330</v>
      </c>
      <c r="C5224" t="s">
        <v>447</v>
      </c>
      <c r="D5224" t="str">
        <f>VLOOKUP(C5224,'lookup table'!$A$2:$B$19,2,FALSE)</f>
        <v>REX</v>
      </c>
      <c r="E5224" t="str">
        <f t="shared" si="81"/>
        <v>DR3LOB_00|REX</v>
      </c>
    </row>
    <row r="5225" spans="1:5" x14ac:dyDescent="0.2">
      <c r="A5225" t="s">
        <v>1329</v>
      </c>
      <c r="B5225" t="s">
        <v>1330</v>
      </c>
      <c r="C5225" t="s">
        <v>448</v>
      </c>
      <c r="D5225" t="e">
        <f>VLOOKUP(C5225,'lookup table'!$A$2:$B$19,2,FALSE)</f>
        <v>#N/A</v>
      </c>
      <c r="E5225" t="str">
        <f t="shared" si="81"/>
        <v/>
      </c>
    </row>
    <row r="5226" spans="1:5" x14ac:dyDescent="0.2">
      <c r="A5226" t="s">
        <v>1329</v>
      </c>
      <c r="B5226" t="s">
        <v>1330</v>
      </c>
      <c r="C5226" t="s">
        <v>449</v>
      </c>
      <c r="D5226" t="e">
        <f>VLOOKUP(C5226,'lookup table'!$A$2:$B$19,2,FALSE)</f>
        <v>#N/A</v>
      </c>
      <c r="E5226" t="str">
        <f t="shared" si="81"/>
        <v/>
      </c>
    </row>
    <row r="5227" spans="1:5" x14ac:dyDescent="0.2">
      <c r="A5227" t="s">
        <v>1329</v>
      </c>
      <c r="B5227" t="s">
        <v>1330</v>
      </c>
      <c r="C5227" t="s">
        <v>451</v>
      </c>
      <c r="D5227" t="str">
        <f>VLOOKUP(C5227,'lookup table'!$A$2:$B$19,2,FALSE)</f>
        <v>Segment</v>
      </c>
      <c r="E5227" t="str">
        <f t="shared" si="81"/>
        <v>DR3LOB_00|Segment</v>
      </c>
    </row>
    <row r="5228" spans="1:5" x14ac:dyDescent="0.2">
      <c r="A5228" t="s">
        <v>1329</v>
      </c>
      <c r="B5228" t="s">
        <v>1330</v>
      </c>
      <c r="C5228" t="s">
        <v>455</v>
      </c>
      <c r="D5228" t="e">
        <f>VLOOKUP(C5228,'lookup table'!$A$2:$B$19,2,FALSE)</f>
        <v>#N/A</v>
      </c>
      <c r="E5228" t="str">
        <f t="shared" si="81"/>
        <v/>
      </c>
    </row>
    <row r="5229" spans="1:5" x14ac:dyDescent="0.2">
      <c r="A5229" t="s">
        <v>1329</v>
      </c>
      <c r="B5229" t="s">
        <v>1330</v>
      </c>
      <c r="C5229" t="s">
        <v>456</v>
      </c>
      <c r="D5229" t="e">
        <f>VLOOKUP(C5229,'lookup table'!$A$2:$B$19,2,FALSE)</f>
        <v>#N/A</v>
      </c>
      <c r="E5229" t="str">
        <f t="shared" si="81"/>
        <v/>
      </c>
    </row>
    <row r="5230" spans="1:5" x14ac:dyDescent="0.2">
      <c r="A5230" t="s">
        <v>1329</v>
      </c>
      <c r="B5230" t="s">
        <v>1330</v>
      </c>
      <c r="C5230" t="s">
        <v>457</v>
      </c>
      <c r="D5230" t="str">
        <f>VLOOKUP(C5230,'lookup table'!$A$2:$B$19,2,FALSE)</f>
        <v>VLT</v>
      </c>
      <c r="E5230" t="str">
        <f t="shared" si="81"/>
        <v>DR3LOB_00|VLT</v>
      </c>
    </row>
    <row r="5231" spans="1:5" x14ac:dyDescent="0.2">
      <c r="A5231" t="s">
        <v>1329</v>
      </c>
      <c r="B5231" t="s">
        <v>1330</v>
      </c>
      <c r="C5231" t="s">
        <v>458</v>
      </c>
      <c r="D5231" t="str">
        <f>VLOOKUP(C5231,'lookup table'!$A$2:$B$19,2,FALSE)</f>
        <v>VAR</v>
      </c>
      <c r="E5231" t="str">
        <f t="shared" si="81"/>
        <v>DR3LOB_00|VAR</v>
      </c>
    </row>
    <row r="5232" spans="1:5" x14ac:dyDescent="0.2">
      <c r="A5232" t="s">
        <v>1329</v>
      </c>
      <c r="B5232" t="s">
        <v>1330</v>
      </c>
      <c r="C5232" t="s">
        <v>459</v>
      </c>
      <c r="D5232" t="e">
        <f>VLOOKUP(C5232,'lookup table'!$A$2:$B$19,2,FALSE)</f>
        <v>#N/A</v>
      </c>
      <c r="E5232" t="str">
        <f t="shared" si="81"/>
        <v/>
      </c>
    </row>
    <row r="5233" spans="1:5" x14ac:dyDescent="0.2">
      <c r="A5233" t="s">
        <v>1329</v>
      </c>
      <c r="B5233" t="s">
        <v>1330</v>
      </c>
      <c r="C5233" t="s">
        <v>460</v>
      </c>
      <c r="D5233" t="e">
        <f>VLOOKUP(C5233,'lookup table'!$A$2:$B$19,2,FALSE)</f>
        <v>#N/A</v>
      </c>
      <c r="E5233" t="str">
        <f t="shared" si="81"/>
        <v/>
      </c>
    </row>
    <row r="5234" spans="1:5" x14ac:dyDescent="0.2">
      <c r="A5234" t="s">
        <v>1329</v>
      </c>
      <c r="B5234" t="s">
        <v>1330</v>
      </c>
      <c r="C5234" t="s">
        <v>461</v>
      </c>
      <c r="D5234" t="str">
        <f>VLOOKUP(C5234,'lookup table'!$A$2:$B$19,2,FALSE)</f>
        <v>Posting Level</v>
      </c>
      <c r="E5234" t="str">
        <f t="shared" si="81"/>
        <v>DR3LOB_00|Posting Level</v>
      </c>
    </row>
    <row r="5235" spans="1:5" x14ac:dyDescent="0.2">
      <c r="A5235" t="s">
        <v>1329</v>
      </c>
      <c r="B5235" t="s">
        <v>1330</v>
      </c>
      <c r="C5235" t="s">
        <v>462</v>
      </c>
      <c r="D5235" t="e">
        <f>VLOOKUP(C5235,'lookup table'!$A$2:$B$19,2,FALSE)</f>
        <v>#N/A</v>
      </c>
      <c r="E5235" t="str">
        <f t="shared" si="81"/>
        <v/>
      </c>
    </row>
    <row r="5236" spans="1:5" x14ac:dyDescent="0.2">
      <c r="A5236" t="s">
        <v>1329</v>
      </c>
      <c r="B5236" t="s">
        <v>1330</v>
      </c>
      <c r="C5236" t="s">
        <v>463</v>
      </c>
      <c r="D5236" t="e">
        <f>VLOOKUP(C5236,'lookup table'!$A$2:$B$19,2,FALSE)</f>
        <v>#N/A</v>
      </c>
      <c r="E5236" t="str">
        <f t="shared" si="81"/>
        <v/>
      </c>
    </row>
    <row r="5237" spans="1:5" x14ac:dyDescent="0.2">
      <c r="A5237" t="s">
        <v>1329</v>
      </c>
      <c r="B5237" t="s">
        <v>1330</v>
      </c>
      <c r="C5237" t="s">
        <v>464</v>
      </c>
      <c r="D5237" t="e">
        <f>VLOOKUP(C5237,'lookup table'!$A$2:$B$19,2,FALSE)</f>
        <v>#N/A</v>
      </c>
      <c r="E5237" t="str">
        <f t="shared" si="81"/>
        <v/>
      </c>
    </row>
    <row r="5238" spans="1:5" x14ac:dyDescent="0.2">
      <c r="A5238" t="s">
        <v>1329</v>
      </c>
      <c r="B5238" t="s">
        <v>1330</v>
      </c>
      <c r="C5238" t="s">
        <v>465</v>
      </c>
      <c r="D5238" t="e">
        <f>VLOOKUP(C5238,'lookup table'!$A$2:$B$19,2,FALSE)</f>
        <v>#N/A</v>
      </c>
      <c r="E5238" t="str">
        <f t="shared" si="81"/>
        <v/>
      </c>
    </row>
    <row r="5239" spans="1:5" x14ac:dyDescent="0.2">
      <c r="A5239" t="s">
        <v>1331</v>
      </c>
      <c r="B5239" t="s">
        <v>1330</v>
      </c>
      <c r="C5239" t="s">
        <v>2</v>
      </c>
      <c r="D5239" t="e">
        <f>VLOOKUP(C5239,'lookup table'!$A$2:$B$19,2,FALSE)</f>
        <v>#N/A</v>
      </c>
      <c r="E5239" t="str">
        <f t="shared" si="81"/>
        <v/>
      </c>
    </row>
    <row r="5240" spans="1:5" x14ac:dyDescent="0.2">
      <c r="A5240" t="s">
        <v>1331</v>
      </c>
      <c r="B5240" t="s">
        <v>1330</v>
      </c>
      <c r="C5240" t="s">
        <v>5</v>
      </c>
      <c r="D5240" t="e">
        <f>VLOOKUP(C5240,'lookup table'!$A$2:$B$19,2,FALSE)</f>
        <v>#N/A</v>
      </c>
      <c r="E5240" t="str">
        <f t="shared" si="81"/>
        <v/>
      </c>
    </row>
    <row r="5241" spans="1:5" x14ac:dyDescent="0.2">
      <c r="A5241" t="s">
        <v>1331</v>
      </c>
      <c r="B5241" t="s">
        <v>1330</v>
      </c>
      <c r="C5241" t="s">
        <v>6</v>
      </c>
      <c r="D5241" t="e">
        <f>VLOOKUP(C5241,'lookup table'!$A$2:$B$19,2,FALSE)</f>
        <v>#N/A</v>
      </c>
      <c r="E5241" t="str">
        <f t="shared" si="81"/>
        <v/>
      </c>
    </row>
    <row r="5242" spans="1:5" x14ac:dyDescent="0.2">
      <c r="A5242" t="s">
        <v>1331</v>
      </c>
      <c r="B5242" t="s">
        <v>1330</v>
      </c>
      <c r="C5242" t="s">
        <v>9</v>
      </c>
      <c r="D5242" t="e">
        <f>VLOOKUP(C5242,'lookup table'!$A$2:$B$19,2,FALSE)</f>
        <v>#N/A</v>
      </c>
      <c r="E5242" t="str">
        <f t="shared" si="81"/>
        <v/>
      </c>
    </row>
    <row r="5243" spans="1:5" x14ac:dyDescent="0.2">
      <c r="A5243" t="s">
        <v>1331</v>
      </c>
      <c r="B5243" t="s">
        <v>1330</v>
      </c>
      <c r="C5243" t="s">
        <v>10</v>
      </c>
      <c r="D5243" t="e">
        <f>VLOOKUP(C5243,'lookup table'!$A$2:$B$19,2,FALSE)</f>
        <v>#N/A</v>
      </c>
      <c r="E5243" t="str">
        <f t="shared" si="81"/>
        <v/>
      </c>
    </row>
    <row r="5244" spans="1:5" x14ac:dyDescent="0.2">
      <c r="A5244" t="s">
        <v>1331</v>
      </c>
      <c r="B5244" t="s">
        <v>1330</v>
      </c>
      <c r="C5244" t="s">
        <v>11</v>
      </c>
      <c r="D5244" t="e">
        <f>VLOOKUP(C5244,'lookup table'!$A$2:$B$19,2,FALSE)</f>
        <v>#N/A</v>
      </c>
      <c r="E5244" t="str">
        <f t="shared" si="81"/>
        <v/>
      </c>
    </row>
    <row r="5245" spans="1:5" x14ac:dyDescent="0.2">
      <c r="A5245" t="s">
        <v>1331</v>
      </c>
      <c r="B5245" t="s">
        <v>1330</v>
      </c>
      <c r="C5245" t="s">
        <v>12</v>
      </c>
      <c r="D5245" t="e">
        <f>VLOOKUP(C5245,'lookup table'!$A$2:$B$19,2,FALSE)</f>
        <v>#N/A</v>
      </c>
      <c r="E5245" t="str">
        <f t="shared" si="81"/>
        <v/>
      </c>
    </row>
    <row r="5246" spans="1:5" x14ac:dyDescent="0.2">
      <c r="A5246" t="s">
        <v>1331</v>
      </c>
      <c r="B5246" t="s">
        <v>1330</v>
      </c>
      <c r="C5246" t="s">
        <v>14</v>
      </c>
      <c r="D5246" t="str">
        <f>VLOOKUP(C5246,'lookup table'!$A$2:$B$19,2,FALSE)</f>
        <v>ALC</v>
      </c>
      <c r="E5246" t="str">
        <f t="shared" si="81"/>
        <v>DR3LOB_14|ALC</v>
      </c>
    </row>
    <row r="5247" spans="1:5" x14ac:dyDescent="0.2">
      <c r="A5247" t="s">
        <v>1331</v>
      </c>
      <c r="B5247" t="s">
        <v>1330</v>
      </c>
      <c r="C5247" t="s">
        <v>20</v>
      </c>
      <c r="D5247" t="str">
        <f>VLOOKUP(C5247,'lookup table'!$A$2:$B$19,2,FALSE)</f>
        <v>AY</v>
      </c>
      <c r="E5247" t="str">
        <f t="shared" si="81"/>
        <v>DR3LOB_14|AY</v>
      </c>
    </row>
    <row r="5248" spans="1:5" x14ac:dyDescent="0.2">
      <c r="A5248" t="s">
        <v>1331</v>
      </c>
      <c r="B5248" t="s">
        <v>1330</v>
      </c>
      <c r="C5248" t="s">
        <v>324</v>
      </c>
      <c r="D5248" t="e">
        <f>VLOOKUP(C5248,'lookup table'!$A$2:$B$19,2,FALSE)</f>
        <v>#N/A</v>
      </c>
      <c r="E5248" t="str">
        <f t="shared" si="81"/>
        <v/>
      </c>
    </row>
    <row r="5249" spans="1:5" x14ac:dyDescent="0.2">
      <c r="A5249" t="s">
        <v>1331</v>
      </c>
      <c r="B5249" t="s">
        <v>1330</v>
      </c>
      <c r="C5249" t="s">
        <v>325</v>
      </c>
      <c r="D5249" t="e">
        <f>VLOOKUP(C5249,'lookup table'!$A$2:$B$19,2,FALSE)</f>
        <v>#N/A</v>
      </c>
      <c r="E5249" t="str">
        <f t="shared" si="81"/>
        <v/>
      </c>
    </row>
    <row r="5250" spans="1:5" x14ac:dyDescent="0.2">
      <c r="A5250" t="s">
        <v>1331</v>
      </c>
      <c r="B5250" t="s">
        <v>1330</v>
      </c>
      <c r="C5250" t="s">
        <v>326</v>
      </c>
      <c r="D5250" t="e">
        <f>VLOOKUP(C5250,'lookup table'!$A$2:$B$19,2,FALSE)</f>
        <v>#N/A</v>
      </c>
      <c r="E5250" t="str">
        <f t="shared" si="81"/>
        <v/>
      </c>
    </row>
    <row r="5251" spans="1:5" x14ac:dyDescent="0.2">
      <c r="A5251" t="s">
        <v>1331</v>
      </c>
      <c r="B5251" t="s">
        <v>1330</v>
      </c>
      <c r="C5251" t="s">
        <v>327</v>
      </c>
      <c r="D5251" t="e">
        <f>VLOOKUP(C5251,'lookup table'!$A$2:$B$19,2,FALSE)</f>
        <v>#N/A</v>
      </c>
      <c r="E5251" t="str">
        <f t="shared" ref="E5251:E5314" si="82">IF(ISNA(D5251),"",IF(A5251="","",A5251) &amp; "|" &amp; D5251)</f>
        <v/>
      </c>
    </row>
    <row r="5252" spans="1:5" x14ac:dyDescent="0.2">
      <c r="A5252" t="s">
        <v>1331</v>
      </c>
      <c r="B5252" t="s">
        <v>1330</v>
      </c>
      <c r="C5252" t="s">
        <v>328</v>
      </c>
      <c r="D5252" t="e">
        <f>VLOOKUP(C5252,'lookup table'!$A$2:$B$19,2,FALSE)</f>
        <v>#N/A</v>
      </c>
      <c r="E5252" t="str">
        <f t="shared" si="82"/>
        <v/>
      </c>
    </row>
    <row r="5253" spans="1:5" x14ac:dyDescent="0.2">
      <c r="A5253" t="s">
        <v>1331</v>
      </c>
      <c r="B5253" t="s">
        <v>1330</v>
      </c>
      <c r="C5253" t="s">
        <v>329</v>
      </c>
      <c r="D5253" t="e">
        <f>VLOOKUP(C5253,'lookup table'!$A$2:$B$19,2,FALSE)</f>
        <v>#N/A</v>
      </c>
      <c r="E5253" t="str">
        <f t="shared" si="82"/>
        <v/>
      </c>
    </row>
    <row r="5254" spans="1:5" x14ac:dyDescent="0.2">
      <c r="A5254" t="s">
        <v>1331</v>
      </c>
      <c r="B5254" t="s">
        <v>1330</v>
      </c>
      <c r="C5254" t="s">
        <v>331</v>
      </c>
      <c r="D5254" t="str">
        <f>VLOOKUP(C5254,'lookup table'!$A$2:$B$19,2,FALSE)</f>
        <v>FS Item</v>
      </c>
      <c r="E5254" t="str">
        <f t="shared" si="82"/>
        <v>DR3LOB_14|FS Item</v>
      </c>
    </row>
    <row r="5255" spans="1:5" x14ac:dyDescent="0.2">
      <c r="A5255" t="s">
        <v>1331</v>
      </c>
      <c r="B5255" t="s">
        <v>1330</v>
      </c>
      <c r="C5255" t="s">
        <v>422</v>
      </c>
      <c r="D5255" t="e">
        <f>VLOOKUP(C5255,'lookup table'!$A$2:$B$19,2,FALSE)</f>
        <v>#N/A</v>
      </c>
      <c r="E5255" t="str">
        <f t="shared" si="82"/>
        <v/>
      </c>
    </row>
    <row r="5256" spans="1:5" x14ac:dyDescent="0.2">
      <c r="A5256" t="s">
        <v>1331</v>
      </c>
      <c r="B5256" t="s">
        <v>1330</v>
      </c>
      <c r="C5256" t="s">
        <v>423</v>
      </c>
      <c r="D5256" t="str">
        <f>VLOOKUP(C5256,'lookup table'!$A$2:$B$19,2,FALSE)</f>
        <v>ignore</v>
      </c>
      <c r="E5256" t="str">
        <f t="shared" si="82"/>
        <v>DR3LOB_14|ignore</v>
      </c>
    </row>
    <row r="5257" spans="1:5" x14ac:dyDescent="0.2">
      <c r="A5257" t="s">
        <v>1331</v>
      </c>
      <c r="B5257" t="s">
        <v>1330</v>
      </c>
      <c r="C5257" t="s">
        <v>424</v>
      </c>
      <c r="D5257" t="str">
        <f>VLOOKUP(C5257,'lookup table'!$A$2:$B$19,2,FALSE)</f>
        <v>GRC</v>
      </c>
      <c r="E5257" t="str">
        <f t="shared" si="82"/>
        <v>DR3LOB_14|GRC</v>
      </c>
    </row>
    <row r="5258" spans="1:5" x14ac:dyDescent="0.2">
      <c r="A5258" t="s">
        <v>1331</v>
      </c>
      <c r="B5258" t="s">
        <v>1330</v>
      </c>
      <c r="C5258" t="s">
        <v>425</v>
      </c>
      <c r="D5258" t="str">
        <f>VLOOKUP(C5258,'lookup table'!$A$2:$B$19,2,FALSE)</f>
        <v>Investee Segment</v>
      </c>
      <c r="E5258" t="str">
        <f t="shared" si="82"/>
        <v>DR3LOB_14|Investee Segment</v>
      </c>
    </row>
    <row r="5259" spans="1:5" x14ac:dyDescent="0.2">
      <c r="A5259" t="s">
        <v>1331</v>
      </c>
      <c r="B5259" t="s">
        <v>1330</v>
      </c>
      <c r="C5259" t="s">
        <v>426</v>
      </c>
      <c r="D5259" t="str">
        <f>VLOOKUP(C5259,'lookup table'!$A$2:$B$19,2,FALSE)</f>
        <v>Investee Unit</v>
      </c>
      <c r="E5259" t="str">
        <f t="shared" si="82"/>
        <v>DR3LOB_14|Investee Unit</v>
      </c>
    </row>
    <row r="5260" spans="1:5" x14ac:dyDescent="0.2">
      <c r="A5260" t="s">
        <v>1331</v>
      </c>
      <c r="B5260" t="s">
        <v>1330</v>
      </c>
      <c r="C5260" t="s">
        <v>428</v>
      </c>
      <c r="D5260" t="str">
        <f>VLOOKUP(C5260,'lookup table'!$A$2:$B$19,2,FALSE)</f>
        <v>LoB</v>
      </c>
      <c r="E5260" t="str">
        <f t="shared" si="82"/>
        <v>DR3LOB_14|LoB</v>
      </c>
    </row>
    <row r="5261" spans="1:5" x14ac:dyDescent="0.2">
      <c r="A5261" t="s">
        <v>1331</v>
      </c>
      <c r="B5261" t="s">
        <v>1330</v>
      </c>
      <c r="C5261" t="s">
        <v>436</v>
      </c>
      <c r="D5261" t="str">
        <f>VLOOKUP(C5261,'lookup table'!$A$2:$B$19,2,FALSE)</f>
        <v>MAT</v>
      </c>
      <c r="E5261" t="str">
        <f t="shared" si="82"/>
        <v>DR3LOB_14|MAT</v>
      </c>
    </row>
    <row r="5262" spans="1:5" x14ac:dyDescent="0.2">
      <c r="A5262" t="s">
        <v>1331</v>
      </c>
      <c r="B5262" t="s">
        <v>1330</v>
      </c>
      <c r="C5262" t="s">
        <v>441</v>
      </c>
      <c r="D5262" t="str">
        <f>VLOOKUP(C5262,'lookup table'!$A$2:$B$19,2,FALSE)</f>
        <v>Partner Segment</v>
      </c>
      <c r="E5262" t="str">
        <f t="shared" si="82"/>
        <v>DR3LOB_14|Partner Segment</v>
      </c>
    </row>
    <row r="5263" spans="1:5" x14ac:dyDescent="0.2">
      <c r="A5263" t="s">
        <v>1331</v>
      </c>
      <c r="B5263" t="s">
        <v>1330</v>
      </c>
      <c r="C5263" t="s">
        <v>442</v>
      </c>
      <c r="D5263" t="str">
        <f>VLOOKUP(C5263,'lookup table'!$A$2:$B$19,2,FALSE)</f>
        <v>Partner Unit</v>
      </c>
      <c r="E5263" t="str">
        <f t="shared" si="82"/>
        <v>DR3LOB_14|Partner Unit</v>
      </c>
    </row>
    <row r="5264" spans="1:5" x14ac:dyDescent="0.2">
      <c r="A5264" t="s">
        <v>1331</v>
      </c>
      <c r="B5264" t="s">
        <v>1330</v>
      </c>
      <c r="C5264" t="s">
        <v>447</v>
      </c>
      <c r="D5264" t="str">
        <f>VLOOKUP(C5264,'lookup table'!$A$2:$B$19,2,FALSE)</f>
        <v>REX</v>
      </c>
      <c r="E5264" t="str">
        <f t="shared" si="82"/>
        <v>DR3LOB_14|REX</v>
      </c>
    </row>
    <row r="5265" spans="1:5" x14ac:dyDescent="0.2">
      <c r="A5265" t="s">
        <v>1331</v>
      </c>
      <c r="B5265" t="s">
        <v>1330</v>
      </c>
      <c r="C5265" t="s">
        <v>448</v>
      </c>
      <c r="D5265" t="e">
        <f>VLOOKUP(C5265,'lookup table'!$A$2:$B$19,2,FALSE)</f>
        <v>#N/A</v>
      </c>
      <c r="E5265" t="str">
        <f t="shared" si="82"/>
        <v/>
      </c>
    </row>
    <row r="5266" spans="1:5" x14ac:dyDescent="0.2">
      <c r="A5266" t="s">
        <v>1331</v>
      </c>
      <c r="B5266" t="s">
        <v>1330</v>
      </c>
      <c r="C5266" t="s">
        <v>449</v>
      </c>
      <c r="D5266" t="e">
        <f>VLOOKUP(C5266,'lookup table'!$A$2:$B$19,2,FALSE)</f>
        <v>#N/A</v>
      </c>
      <c r="E5266" t="str">
        <f t="shared" si="82"/>
        <v/>
      </c>
    </row>
    <row r="5267" spans="1:5" x14ac:dyDescent="0.2">
      <c r="A5267" t="s">
        <v>1331</v>
      </c>
      <c r="B5267" t="s">
        <v>1330</v>
      </c>
      <c r="C5267" t="s">
        <v>451</v>
      </c>
      <c r="D5267" t="str">
        <f>VLOOKUP(C5267,'lookup table'!$A$2:$B$19,2,FALSE)</f>
        <v>Segment</v>
      </c>
      <c r="E5267" t="str">
        <f t="shared" si="82"/>
        <v>DR3LOB_14|Segment</v>
      </c>
    </row>
    <row r="5268" spans="1:5" x14ac:dyDescent="0.2">
      <c r="A5268" t="s">
        <v>1331</v>
      </c>
      <c r="B5268" t="s">
        <v>1330</v>
      </c>
      <c r="C5268" t="s">
        <v>455</v>
      </c>
      <c r="D5268" t="e">
        <f>VLOOKUP(C5268,'lookup table'!$A$2:$B$19,2,FALSE)</f>
        <v>#N/A</v>
      </c>
      <c r="E5268" t="str">
        <f t="shared" si="82"/>
        <v/>
      </c>
    </row>
    <row r="5269" spans="1:5" x14ac:dyDescent="0.2">
      <c r="A5269" t="s">
        <v>1331</v>
      </c>
      <c r="B5269" t="s">
        <v>1330</v>
      </c>
      <c r="C5269" t="s">
        <v>456</v>
      </c>
      <c r="D5269" t="e">
        <f>VLOOKUP(C5269,'lookup table'!$A$2:$B$19,2,FALSE)</f>
        <v>#N/A</v>
      </c>
      <c r="E5269" t="str">
        <f t="shared" si="82"/>
        <v/>
      </c>
    </row>
    <row r="5270" spans="1:5" x14ac:dyDescent="0.2">
      <c r="A5270" t="s">
        <v>1331</v>
      </c>
      <c r="B5270" t="s">
        <v>1330</v>
      </c>
      <c r="C5270" t="s">
        <v>457</v>
      </c>
      <c r="D5270" t="str">
        <f>VLOOKUP(C5270,'lookup table'!$A$2:$B$19,2,FALSE)</f>
        <v>VLT</v>
      </c>
      <c r="E5270" t="str">
        <f t="shared" si="82"/>
        <v>DR3LOB_14|VLT</v>
      </c>
    </row>
    <row r="5271" spans="1:5" x14ac:dyDescent="0.2">
      <c r="A5271" t="s">
        <v>1331</v>
      </c>
      <c r="B5271" t="s">
        <v>1330</v>
      </c>
      <c r="C5271" t="s">
        <v>458</v>
      </c>
      <c r="D5271" t="str">
        <f>VLOOKUP(C5271,'lookup table'!$A$2:$B$19,2,FALSE)</f>
        <v>VAR</v>
      </c>
      <c r="E5271" t="str">
        <f t="shared" si="82"/>
        <v>DR3LOB_14|VAR</v>
      </c>
    </row>
    <row r="5272" spans="1:5" x14ac:dyDescent="0.2">
      <c r="A5272" t="s">
        <v>1331</v>
      </c>
      <c r="B5272" t="s">
        <v>1330</v>
      </c>
      <c r="C5272" t="s">
        <v>459</v>
      </c>
      <c r="D5272" t="e">
        <f>VLOOKUP(C5272,'lookup table'!$A$2:$B$19,2,FALSE)</f>
        <v>#N/A</v>
      </c>
      <c r="E5272" t="str">
        <f t="shared" si="82"/>
        <v/>
      </c>
    </row>
    <row r="5273" spans="1:5" x14ac:dyDescent="0.2">
      <c r="A5273" t="s">
        <v>1331</v>
      </c>
      <c r="B5273" t="s">
        <v>1330</v>
      </c>
      <c r="C5273" t="s">
        <v>460</v>
      </c>
      <c r="D5273" t="e">
        <f>VLOOKUP(C5273,'lookup table'!$A$2:$B$19,2,FALSE)</f>
        <v>#N/A</v>
      </c>
      <c r="E5273" t="str">
        <f t="shared" si="82"/>
        <v/>
      </c>
    </row>
    <row r="5274" spans="1:5" x14ac:dyDescent="0.2">
      <c r="A5274" t="s">
        <v>1331</v>
      </c>
      <c r="B5274" t="s">
        <v>1330</v>
      </c>
      <c r="C5274" t="s">
        <v>461</v>
      </c>
      <c r="D5274" t="str">
        <f>VLOOKUP(C5274,'lookup table'!$A$2:$B$19,2,FALSE)</f>
        <v>Posting Level</v>
      </c>
      <c r="E5274" t="str">
        <f t="shared" si="82"/>
        <v>DR3LOB_14|Posting Level</v>
      </c>
    </row>
    <row r="5275" spans="1:5" x14ac:dyDescent="0.2">
      <c r="A5275" t="s">
        <v>1331</v>
      </c>
      <c r="B5275" t="s">
        <v>1330</v>
      </c>
      <c r="C5275" t="s">
        <v>462</v>
      </c>
      <c r="D5275" t="e">
        <f>VLOOKUP(C5275,'lookup table'!$A$2:$B$19,2,FALSE)</f>
        <v>#N/A</v>
      </c>
      <c r="E5275" t="str">
        <f t="shared" si="82"/>
        <v/>
      </c>
    </row>
    <row r="5276" spans="1:5" x14ac:dyDescent="0.2">
      <c r="A5276" t="s">
        <v>1331</v>
      </c>
      <c r="B5276" t="s">
        <v>1330</v>
      </c>
      <c r="C5276" t="s">
        <v>463</v>
      </c>
      <c r="D5276" t="e">
        <f>VLOOKUP(C5276,'lookup table'!$A$2:$B$19,2,FALSE)</f>
        <v>#N/A</v>
      </c>
      <c r="E5276" t="str">
        <f t="shared" si="82"/>
        <v/>
      </c>
    </row>
    <row r="5277" spans="1:5" x14ac:dyDescent="0.2">
      <c r="A5277" t="s">
        <v>1331</v>
      </c>
      <c r="B5277" t="s">
        <v>1330</v>
      </c>
      <c r="C5277" t="s">
        <v>464</v>
      </c>
      <c r="D5277" t="e">
        <f>VLOOKUP(C5277,'lookup table'!$A$2:$B$19,2,FALSE)</f>
        <v>#N/A</v>
      </c>
      <c r="E5277" t="str">
        <f t="shared" si="82"/>
        <v/>
      </c>
    </row>
    <row r="5278" spans="1:5" x14ac:dyDescent="0.2">
      <c r="A5278" t="s">
        <v>1331</v>
      </c>
      <c r="B5278" t="s">
        <v>1330</v>
      </c>
      <c r="C5278" t="s">
        <v>465</v>
      </c>
      <c r="D5278" t="e">
        <f>VLOOKUP(C5278,'lookup table'!$A$2:$B$19,2,FALSE)</f>
        <v>#N/A</v>
      </c>
      <c r="E5278" t="str">
        <f t="shared" si="82"/>
        <v/>
      </c>
    </row>
    <row r="5279" spans="1:5" x14ac:dyDescent="0.2">
      <c r="A5279" t="s">
        <v>1332</v>
      </c>
      <c r="B5279" t="s">
        <v>1333</v>
      </c>
      <c r="C5279" t="s">
        <v>2</v>
      </c>
      <c r="D5279" t="e">
        <f>VLOOKUP(C5279,'lookup table'!$A$2:$B$19,2,FALSE)</f>
        <v>#N/A</v>
      </c>
      <c r="E5279" t="str">
        <f t="shared" si="82"/>
        <v/>
      </c>
    </row>
    <row r="5280" spans="1:5" x14ac:dyDescent="0.2">
      <c r="A5280" t="s">
        <v>1332</v>
      </c>
      <c r="B5280" t="s">
        <v>1333</v>
      </c>
      <c r="C5280" t="s">
        <v>5</v>
      </c>
      <c r="D5280" t="e">
        <f>VLOOKUP(C5280,'lookup table'!$A$2:$B$19,2,FALSE)</f>
        <v>#N/A</v>
      </c>
      <c r="E5280" t="str">
        <f t="shared" si="82"/>
        <v/>
      </c>
    </row>
    <row r="5281" spans="1:5" x14ac:dyDescent="0.2">
      <c r="A5281" t="s">
        <v>1332</v>
      </c>
      <c r="B5281" t="s">
        <v>1333</v>
      </c>
      <c r="C5281" t="s">
        <v>6</v>
      </c>
      <c r="D5281" t="e">
        <f>VLOOKUP(C5281,'lookup table'!$A$2:$B$19,2,FALSE)</f>
        <v>#N/A</v>
      </c>
      <c r="E5281" t="str">
        <f t="shared" si="82"/>
        <v/>
      </c>
    </row>
    <row r="5282" spans="1:5" x14ac:dyDescent="0.2">
      <c r="A5282" t="s">
        <v>1332</v>
      </c>
      <c r="B5282" t="s">
        <v>1333</v>
      </c>
      <c r="C5282" t="s">
        <v>9</v>
      </c>
      <c r="D5282" t="e">
        <f>VLOOKUP(C5282,'lookup table'!$A$2:$B$19,2,FALSE)</f>
        <v>#N/A</v>
      </c>
      <c r="E5282" t="str">
        <f t="shared" si="82"/>
        <v/>
      </c>
    </row>
    <row r="5283" spans="1:5" x14ac:dyDescent="0.2">
      <c r="A5283" t="s">
        <v>1332</v>
      </c>
      <c r="B5283" t="s">
        <v>1333</v>
      </c>
      <c r="C5283" t="s">
        <v>10</v>
      </c>
      <c r="D5283" t="e">
        <f>VLOOKUP(C5283,'lookup table'!$A$2:$B$19,2,FALSE)</f>
        <v>#N/A</v>
      </c>
      <c r="E5283" t="str">
        <f t="shared" si="82"/>
        <v/>
      </c>
    </row>
    <row r="5284" spans="1:5" x14ac:dyDescent="0.2">
      <c r="A5284" t="s">
        <v>1332</v>
      </c>
      <c r="B5284" t="s">
        <v>1333</v>
      </c>
      <c r="C5284" t="s">
        <v>11</v>
      </c>
      <c r="D5284" t="e">
        <f>VLOOKUP(C5284,'lookup table'!$A$2:$B$19,2,FALSE)</f>
        <v>#N/A</v>
      </c>
      <c r="E5284" t="str">
        <f t="shared" si="82"/>
        <v/>
      </c>
    </row>
    <row r="5285" spans="1:5" x14ac:dyDescent="0.2">
      <c r="A5285" t="s">
        <v>1332</v>
      </c>
      <c r="B5285" t="s">
        <v>1333</v>
      </c>
      <c r="C5285" t="s">
        <v>12</v>
      </c>
      <c r="D5285" t="e">
        <f>VLOOKUP(C5285,'lookup table'!$A$2:$B$19,2,FALSE)</f>
        <v>#N/A</v>
      </c>
      <c r="E5285" t="str">
        <f t="shared" si="82"/>
        <v/>
      </c>
    </row>
    <row r="5286" spans="1:5" x14ac:dyDescent="0.2">
      <c r="A5286" t="s">
        <v>1332</v>
      </c>
      <c r="B5286" t="s">
        <v>1333</v>
      </c>
      <c r="C5286" t="s">
        <v>14</v>
      </c>
      <c r="D5286" t="str">
        <f>VLOOKUP(C5286,'lookup table'!$A$2:$B$19,2,FALSE)</f>
        <v>ALC</v>
      </c>
      <c r="E5286" t="str">
        <f t="shared" si="82"/>
        <v>DR3PRU_00|ALC</v>
      </c>
    </row>
    <row r="5287" spans="1:5" x14ac:dyDescent="0.2">
      <c r="A5287" t="s">
        <v>1332</v>
      </c>
      <c r="B5287" t="s">
        <v>1333</v>
      </c>
      <c r="C5287" t="s">
        <v>20</v>
      </c>
      <c r="D5287" t="str">
        <f>VLOOKUP(C5287,'lookup table'!$A$2:$B$19,2,FALSE)</f>
        <v>AY</v>
      </c>
      <c r="E5287" t="str">
        <f t="shared" si="82"/>
        <v>DR3PRU_00|AY</v>
      </c>
    </row>
    <row r="5288" spans="1:5" x14ac:dyDescent="0.2">
      <c r="A5288" t="s">
        <v>1332</v>
      </c>
      <c r="B5288" t="s">
        <v>1333</v>
      </c>
      <c r="C5288" t="s">
        <v>324</v>
      </c>
      <c r="D5288" t="e">
        <f>VLOOKUP(C5288,'lookup table'!$A$2:$B$19,2,FALSE)</f>
        <v>#N/A</v>
      </c>
      <c r="E5288" t="str">
        <f t="shared" si="82"/>
        <v/>
      </c>
    </row>
    <row r="5289" spans="1:5" x14ac:dyDescent="0.2">
      <c r="A5289" t="s">
        <v>1332</v>
      </c>
      <c r="B5289" t="s">
        <v>1333</v>
      </c>
      <c r="C5289" t="s">
        <v>325</v>
      </c>
      <c r="D5289" t="e">
        <f>VLOOKUP(C5289,'lookup table'!$A$2:$B$19,2,FALSE)</f>
        <v>#N/A</v>
      </c>
      <c r="E5289" t="str">
        <f t="shared" si="82"/>
        <v/>
      </c>
    </row>
    <row r="5290" spans="1:5" x14ac:dyDescent="0.2">
      <c r="A5290" t="s">
        <v>1332</v>
      </c>
      <c r="B5290" t="s">
        <v>1333</v>
      </c>
      <c r="C5290" t="s">
        <v>326</v>
      </c>
      <c r="D5290" t="e">
        <f>VLOOKUP(C5290,'lookup table'!$A$2:$B$19,2,FALSE)</f>
        <v>#N/A</v>
      </c>
      <c r="E5290" t="str">
        <f t="shared" si="82"/>
        <v/>
      </c>
    </row>
    <row r="5291" spans="1:5" x14ac:dyDescent="0.2">
      <c r="A5291" t="s">
        <v>1332</v>
      </c>
      <c r="B5291" t="s">
        <v>1333</v>
      </c>
      <c r="C5291" t="s">
        <v>327</v>
      </c>
      <c r="D5291" t="e">
        <f>VLOOKUP(C5291,'lookup table'!$A$2:$B$19,2,FALSE)</f>
        <v>#N/A</v>
      </c>
      <c r="E5291" t="str">
        <f t="shared" si="82"/>
        <v/>
      </c>
    </row>
    <row r="5292" spans="1:5" x14ac:dyDescent="0.2">
      <c r="A5292" t="s">
        <v>1332</v>
      </c>
      <c r="B5292" t="s">
        <v>1333</v>
      </c>
      <c r="C5292" t="s">
        <v>328</v>
      </c>
      <c r="D5292" t="e">
        <f>VLOOKUP(C5292,'lookup table'!$A$2:$B$19,2,FALSE)</f>
        <v>#N/A</v>
      </c>
      <c r="E5292" t="str">
        <f t="shared" si="82"/>
        <v/>
      </c>
    </row>
    <row r="5293" spans="1:5" x14ac:dyDescent="0.2">
      <c r="A5293" t="s">
        <v>1332</v>
      </c>
      <c r="B5293" t="s">
        <v>1333</v>
      </c>
      <c r="C5293" t="s">
        <v>329</v>
      </c>
      <c r="D5293" t="e">
        <f>VLOOKUP(C5293,'lookup table'!$A$2:$B$19,2,FALSE)</f>
        <v>#N/A</v>
      </c>
      <c r="E5293" t="str">
        <f t="shared" si="82"/>
        <v/>
      </c>
    </row>
    <row r="5294" spans="1:5" x14ac:dyDescent="0.2">
      <c r="A5294" t="s">
        <v>1332</v>
      </c>
      <c r="B5294" t="s">
        <v>1333</v>
      </c>
      <c r="C5294" t="s">
        <v>331</v>
      </c>
      <c r="D5294" t="str">
        <f>VLOOKUP(C5294,'lookup table'!$A$2:$B$19,2,FALSE)</f>
        <v>FS Item</v>
      </c>
      <c r="E5294" t="str">
        <f t="shared" si="82"/>
        <v>DR3PRU_00|FS Item</v>
      </c>
    </row>
    <row r="5295" spans="1:5" x14ac:dyDescent="0.2">
      <c r="A5295" t="s">
        <v>1332</v>
      </c>
      <c r="B5295" t="s">
        <v>1333</v>
      </c>
      <c r="C5295" t="s">
        <v>422</v>
      </c>
      <c r="D5295" t="e">
        <f>VLOOKUP(C5295,'lookup table'!$A$2:$B$19,2,FALSE)</f>
        <v>#N/A</v>
      </c>
      <c r="E5295" t="str">
        <f t="shared" si="82"/>
        <v/>
      </c>
    </row>
    <row r="5296" spans="1:5" x14ac:dyDescent="0.2">
      <c r="A5296" t="s">
        <v>1332</v>
      </c>
      <c r="B5296" t="s">
        <v>1333</v>
      </c>
      <c r="C5296" t="s">
        <v>423</v>
      </c>
      <c r="D5296" t="str">
        <f>VLOOKUP(C5296,'lookup table'!$A$2:$B$19,2,FALSE)</f>
        <v>ignore</v>
      </c>
      <c r="E5296" t="str">
        <f t="shared" si="82"/>
        <v>DR3PRU_00|ignore</v>
      </c>
    </row>
    <row r="5297" spans="1:5" x14ac:dyDescent="0.2">
      <c r="A5297" t="s">
        <v>1332</v>
      </c>
      <c r="B5297" t="s">
        <v>1333</v>
      </c>
      <c r="C5297" t="s">
        <v>424</v>
      </c>
      <c r="D5297" t="str">
        <f>VLOOKUP(C5297,'lookup table'!$A$2:$B$19,2,FALSE)</f>
        <v>GRC</v>
      </c>
      <c r="E5297" t="str">
        <f t="shared" si="82"/>
        <v>DR3PRU_00|GRC</v>
      </c>
    </row>
    <row r="5298" spans="1:5" x14ac:dyDescent="0.2">
      <c r="A5298" t="s">
        <v>1332</v>
      </c>
      <c r="B5298" t="s">
        <v>1333</v>
      </c>
      <c r="C5298" t="s">
        <v>425</v>
      </c>
      <c r="D5298" t="str">
        <f>VLOOKUP(C5298,'lookup table'!$A$2:$B$19,2,FALSE)</f>
        <v>Investee Segment</v>
      </c>
      <c r="E5298" t="str">
        <f t="shared" si="82"/>
        <v>DR3PRU_00|Investee Segment</v>
      </c>
    </row>
    <row r="5299" spans="1:5" x14ac:dyDescent="0.2">
      <c r="A5299" t="s">
        <v>1332</v>
      </c>
      <c r="B5299" t="s">
        <v>1333</v>
      </c>
      <c r="C5299" t="s">
        <v>426</v>
      </c>
      <c r="D5299" t="str">
        <f>VLOOKUP(C5299,'lookup table'!$A$2:$B$19,2,FALSE)</f>
        <v>Investee Unit</v>
      </c>
      <c r="E5299" t="str">
        <f t="shared" si="82"/>
        <v>DR3PRU_00|Investee Unit</v>
      </c>
    </row>
    <row r="5300" spans="1:5" x14ac:dyDescent="0.2">
      <c r="A5300" t="s">
        <v>1332</v>
      </c>
      <c r="B5300" t="s">
        <v>1333</v>
      </c>
      <c r="C5300" t="s">
        <v>428</v>
      </c>
      <c r="D5300" t="str">
        <f>VLOOKUP(C5300,'lookup table'!$A$2:$B$19,2,FALSE)</f>
        <v>LoB</v>
      </c>
      <c r="E5300" t="str">
        <f t="shared" si="82"/>
        <v>DR3PRU_00|LoB</v>
      </c>
    </row>
    <row r="5301" spans="1:5" x14ac:dyDescent="0.2">
      <c r="A5301" t="s">
        <v>1332</v>
      </c>
      <c r="B5301" t="s">
        <v>1333</v>
      </c>
      <c r="C5301" t="s">
        <v>436</v>
      </c>
      <c r="D5301" t="str">
        <f>VLOOKUP(C5301,'lookup table'!$A$2:$B$19,2,FALSE)</f>
        <v>MAT</v>
      </c>
      <c r="E5301" t="str">
        <f t="shared" si="82"/>
        <v>DR3PRU_00|MAT</v>
      </c>
    </row>
    <row r="5302" spans="1:5" x14ac:dyDescent="0.2">
      <c r="A5302" t="s">
        <v>1332</v>
      </c>
      <c r="B5302" t="s">
        <v>1333</v>
      </c>
      <c r="C5302" t="s">
        <v>441</v>
      </c>
      <c r="D5302" t="str">
        <f>VLOOKUP(C5302,'lookup table'!$A$2:$B$19,2,FALSE)</f>
        <v>Partner Segment</v>
      </c>
      <c r="E5302" t="str">
        <f t="shared" si="82"/>
        <v>DR3PRU_00|Partner Segment</v>
      </c>
    </row>
    <row r="5303" spans="1:5" x14ac:dyDescent="0.2">
      <c r="A5303" t="s">
        <v>1332</v>
      </c>
      <c r="B5303" t="s">
        <v>1333</v>
      </c>
      <c r="C5303" t="s">
        <v>442</v>
      </c>
      <c r="D5303" t="str">
        <f>VLOOKUP(C5303,'lookup table'!$A$2:$B$19,2,FALSE)</f>
        <v>Partner Unit</v>
      </c>
      <c r="E5303" t="str">
        <f t="shared" si="82"/>
        <v>DR3PRU_00|Partner Unit</v>
      </c>
    </row>
    <row r="5304" spans="1:5" x14ac:dyDescent="0.2">
      <c r="A5304" t="s">
        <v>1332</v>
      </c>
      <c r="B5304" t="s">
        <v>1333</v>
      </c>
      <c r="C5304" t="s">
        <v>447</v>
      </c>
      <c r="D5304" t="str">
        <f>VLOOKUP(C5304,'lookup table'!$A$2:$B$19,2,FALSE)</f>
        <v>REX</v>
      </c>
      <c r="E5304" t="str">
        <f t="shared" si="82"/>
        <v>DR3PRU_00|REX</v>
      </c>
    </row>
    <row r="5305" spans="1:5" x14ac:dyDescent="0.2">
      <c r="A5305" t="s">
        <v>1332</v>
      </c>
      <c r="B5305" t="s">
        <v>1333</v>
      </c>
      <c r="C5305" t="s">
        <v>448</v>
      </c>
      <c r="D5305" t="e">
        <f>VLOOKUP(C5305,'lookup table'!$A$2:$B$19,2,FALSE)</f>
        <v>#N/A</v>
      </c>
      <c r="E5305" t="str">
        <f t="shared" si="82"/>
        <v/>
      </c>
    </row>
    <row r="5306" spans="1:5" x14ac:dyDescent="0.2">
      <c r="A5306" t="s">
        <v>1332</v>
      </c>
      <c r="B5306" t="s">
        <v>1333</v>
      </c>
      <c r="C5306" t="s">
        <v>449</v>
      </c>
      <c r="D5306" t="e">
        <f>VLOOKUP(C5306,'lookup table'!$A$2:$B$19,2,FALSE)</f>
        <v>#N/A</v>
      </c>
      <c r="E5306" t="str">
        <f t="shared" si="82"/>
        <v/>
      </c>
    </row>
    <row r="5307" spans="1:5" x14ac:dyDescent="0.2">
      <c r="A5307" t="s">
        <v>1332</v>
      </c>
      <c r="B5307" t="s">
        <v>1333</v>
      </c>
      <c r="C5307" t="s">
        <v>451</v>
      </c>
      <c r="D5307" t="str">
        <f>VLOOKUP(C5307,'lookup table'!$A$2:$B$19,2,FALSE)</f>
        <v>Segment</v>
      </c>
      <c r="E5307" t="str">
        <f t="shared" si="82"/>
        <v>DR3PRU_00|Segment</v>
      </c>
    </row>
    <row r="5308" spans="1:5" x14ac:dyDescent="0.2">
      <c r="A5308" t="s">
        <v>1332</v>
      </c>
      <c r="B5308" t="s">
        <v>1333</v>
      </c>
      <c r="C5308" t="s">
        <v>455</v>
      </c>
      <c r="D5308" t="e">
        <f>VLOOKUP(C5308,'lookup table'!$A$2:$B$19,2,FALSE)</f>
        <v>#N/A</v>
      </c>
      <c r="E5308" t="str">
        <f t="shared" si="82"/>
        <v/>
      </c>
    </row>
    <row r="5309" spans="1:5" x14ac:dyDescent="0.2">
      <c r="A5309" t="s">
        <v>1332</v>
      </c>
      <c r="B5309" t="s">
        <v>1333</v>
      </c>
      <c r="C5309" t="s">
        <v>456</v>
      </c>
      <c r="D5309" t="e">
        <f>VLOOKUP(C5309,'lookup table'!$A$2:$B$19,2,FALSE)</f>
        <v>#N/A</v>
      </c>
      <c r="E5309" t="str">
        <f t="shared" si="82"/>
        <v/>
      </c>
    </row>
    <row r="5310" spans="1:5" x14ac:dyDescent="0.2">
      <c r="A5310" t="s">
        <v>1332</v>
      </c>
      <c r="B5310" t="s">
        <v>1333</v>
      </c>
      <c r="C5310" t="s">
        <v>457</v>
      </c>
      <c r="D5310" t="str">
        <f>VLOOKUP(C5310,'lookup table'!$A$2:$B$19,2,FALSE)</f>
        <v>VLT</v>
      </c>
      <c r="E5310" t="str">
        <f t="shared" si="82"/>
        <v>DR3PRU_00|VLT</v>
      </c>
    </row>
    <row r="5311" spans="1:5" x14ac:dyDescent="0.2">
      <c r="A5311" t="s">
        <v>1332</v>
      </c>
      <c r="B5311" t="s">
        <v>1333</v>
      </c>
      <c r="C5311" t="s">
        <v>458</v>
      </c>
      <c r="D5311" t="str">
        <f>VLOOKUP(C5311,'lookup table'!$A$2:$B$19,2,FALSE)</f>
        <v>VAR</v>
      </c>
      <c r="E5311" t="str">
        <f t="shared" si="82"/>
        <v>DR3PRU_00|VAR</v>
      </c>
    </row>
    <row r="5312" spans="1:5" x14ac:dyDescent="0.2">
      <c r="A5312" t="s">
        <v>1332</v>
      </c>
      <c r="B5312" t="s">
        <v>1333</v>
      </c>
      <c r="C5312" t="s">
        <v>459</v>
      </c>
      <c r="D5312" t="e">
        <f>VLOOKUP(C5312,'lookup table'!$A$2:$B$19,2,FALSE)</f>
        <v>#N/A</v>
      </c>
      <c r="E5312" t="str">
        <f t="shared" si="82"/>
        <v/>
      </c>
    </row>
    <row r="5313" spans="1:5" x14ac:dyDescent="0.2">
      <c r="A5313" t="s">
        <v>1332</v>
      </c>
      <c r="B5313" t="s">
        <v>1333</v>
      </c>
      <c r="C5313" t="s">
        <v>460</v>
      </c>
      <c r="D5313" t="e">
        <f>VLOOKUP(C5313,'lookup table'!$A$2:$B$19,2,FALSE)</f>
        <v>#N/A</v>
      </c>
      <c r="E5313" t="str">
        <f t="shared" si="82"/>
        <v/>
      </c>
    </row>
    <row r="5314" spans="1:5" x14ac:dyDescent="0.2">
      <c r="A5314" t="s">
        <v>1332</v>
      </c>
      <c r="B5314" t="s">
        <v>1333</v>
      </c>
      <c r="C5314" t="s">
        <v>461</v>
      </c>
      <c r="D5314" t="str">
        <f>VLOOKUP(C5314,'lookup table'!$A$2:$B$19,2,FALSE)</f>
        <v>Posting Level</v>
      </c>
      <c r="E5314" t="str">
        <f t="shared" si="82"/>
        <v>DR3PRU_00|Posting Level</v>
      </c>
    </row>
    <row r="5315" spans="1:5" x14ac:dyDescent="0.2">
      <c r="A5315" t="s">
        <v>1332</v>
      </c>
      <c r="B5315" t="s">
        <v>1333</v>
      </c>
      <c r="C5315" t="s">
        <v>462</v>
      </c>
      <c r="D5315" t="e">
        <f>VLOOKUP(C5315,'lookup table'!$A$2:$B$19,2,FALSE)</f>
        <v>#N/A</v>
      </c>
      <c r="E5315" t="str">
        <f t="shared" ref="E5315:E5378" si="83">IF(ISNA(D5315),"",IF(A5315="","",A5315) &amp; "|" &amp; D5315)</f>
        <v/>
      </c>
    </row>
    <row r="5316" spans="1:5" x14ac:dyDescent="0.2">
      <c r="A5316" t="s">
        <v>1332</v>
      </c>
      <c r="B5316" t="s">
        <v>1333</v>
      </c>
      <c r="C5316" t="s">
        <v>463</v>
      </c>
      <c r="D5316" t="e">
        <f>VLOOKUP(C5316,'lookup table'!$A$2:$B$19,2,FALSE)</f>
        <v>#N/A</v>
      </c>
      <c r="E5316" t="str">
        <f t="shared" si="83"/>
        <v/>
      </c>
    </row>
    <row r="5317" spans="1:5" x14ac:dyDescent="0.2">
      <c r="A5317" t="s">
        <v>1332</v>
      </c>
      <c r="B5317" t="s">
        <v>1333</v>
      </c>
      <c r="C5317" t="s">
        <v>464</v>
      </c>
      <c r="D5317" t="e">
        <f>VLOOKUP(C5317,'lookup table'!$A$2:$B$19,2,FALSE)</f>
        <v>#N/A</v>
      </c>
      <c r="E5317" t="str">
        <f t="shared" si="83"/>
        <v/>
      </c>
    </row>
    <row r="5318" spans="1:5" x14ac:dyDescent="0.2">
      <c r="A5318" t="s">
        <v>1332</v>
      </c>
      <c r="B5318" t="s">
        <v>1333</v>
      </c>
      <c r="C5318" t="s">
        <v>465</v>
      </c>
      <c r="D5318" t="e">
        <f>VLOOKUP(C5318,'lookup table'!$A$2:$B$19,2,FALSE)</f>
        <v>#N/A</v>
      </c>
      <c r="E5318" t="str">
        <f t="shared" si="83"/>
        <v/>
      </c>
    </row>
    <row r="5319" spans="1:5" x14ac:dyDescent="0.2">
      <c r="A5319" t="s">
        <v>1334</v>
      </c>
      <c r="B5319" t="s">
        <v>1333</v>
      </c>
      <c r="C5319" t="s">
        <v>2</v>
      </c>
      <c r="D5319" t="e">
        <f>VLOOKUP(C5319,'lookup table'!$A$2:$B$19,2,FALSE)</f>
        <v>#N/A</v>
      </c>
      <c r="E5319" t="str">
        <f t="shared" si="83"/>
        <v/>
      </c>
    </row>
    <row r="5320" spans="1:5" x14ac:dyDescent="0.2">
      <c r="A5320" t="s">
        <v>1334</v>
      </c>
      <c r="B5320" t="s">
        <v>1333</v>
      </c>
      <c r="C5320" t="s">
        <v>5</v>
      </c>
      <c r="D5320" t="e">
        <f>VLOOKUP(C5320,'lookup table'!$A$2:$B$19,2,FALSE)</f>
        <v>#N/A</v>
      </c>
      <c r="E5320" t="str">
        <f t="shared" si="83"/>
        <v/>
      </c>
    </row>
    <row r="5321" spans="1:5" x14ac:dyDescent="0.2">
      <c r="A5321" t="s">
        <v>1334</v>
      </c>
      <c r="B5321" t="s">
        <v>1333</v>
      </c>
      <c r="C5321" t="s">
        <v>6</v>
      </c>
      <c r="D5321" t="e">
        <f>VLOOKUP(C5321,'lookup table'!$A$2:$B$19,2,FALSE)</f>
        <v>#N/A</v>
      </c>
      <c r="E5321" t="str">
        <f t="shared" si="83"/>
        <v/>
      </c>
    </row>
    <row r="5322" spans="1:5" x14ac:dyDescent="0.2">
      <c r="A5322" t="s">
        <v>1334</v>
      </c>
      <c r="B5322" t="s">
        <v>1333</v>
      </c>
      <c r="C5322" t="s">
        <v>9</v>
      </c>
      <c r="D5322" t="e">
        <f>VLOOKUP(C5322,'lookup table'!$A$2:$B$19,2,FALSE)</f>
        <v>#N/A</v>
      </c>
      <c r="E5322" t="str">
        <f t="shared" si="83"/>
        <v/>
      </c>
    </row>
    <row r="5323" spans="1:5" x14ac:dyDescent="0.2">
      <c r="A5323" t="s">
        <v>1334</v>
      </c>
      <c r="B5323" t="s">
        <v>1333</v>
      </c>
      <c r="C5323" t="s">
        <v>10</v>
      </c>
      <c r="D5323" t="e">
        <f>VLOOKUP(C5323,'lookup table'!$A$2:$B$19,2,FALSE)</f>
        <v>#N/A</v>
      </c>
      <c r="E5323" t="str">
        <f t="shared" si="83"/>
        <v/>
      </c>
    </row>
    <row r="5324" spans="1:5" x14ac:dyDescent="0.2">
      <c r="A5324" t="s">
        <v>1334</v>
      </c>
      <c r="B5324" t="s">
        <v>1333</v>
      </c>
      <c r="C5324" t="s">
        <v>11</v>
      </c>
      <c r="D5324" t="e">
        <f>VLOOKUP(C5324,'lookup table'!$A$2:$B$19,2,FALSE)</f>
        <v>#N/A</v>
      </c>
      <c r="E5324" t="str">
        <f t="shared" si="83"/>
        <v/>
      </c>
    </row>
    <row r="5325" spans="1:5" x14ac:dyDescent="0.2">
      <c r="A5325" t="s">
        <v>1334</v>
      </c>
      <c r="B5325" t="s">
        <v>1333</v>
      </c>
      <c r="C5325" t="s">
        <v>12</v>
      </c>
      <c r="D5325" t="e">
        <f>VLOOKUP(C5325,'lookup table'!$A$2:$B$19,2,FALSE)</f>
        <v>#N/A</v>
      </c>
      <c r="E5325" t="str">
        <f t="shared" si="83"/>
        <v/>
      </c>
    </row>
    <row r="5326" spans="1:5" x14ac:dyDescent="0.2">
      <c r="A5326" t="s">
        <v>1334</v>
      </c>
      <c r="B5326" t="s">
        <v>1333</v>
      </c>
      <c r="C5326" t="s">
        <v>14</v>
      </c>
      <c r="D5326" t="str">
        <f>VLOOKUP(C5326,'lookup table'!$A$2:$B$19,2,FALSE)</f>
        <v>ALC</v>
      </c>
      <c r="E5326" t="str">
        <f t="shared" si="83"/>
        <v>DR3PRU_14|ALC</v>
      </c>
    </row>
    <row r="5327" spans="1:5" x14ac:dyDescent="0.2">
      <c r="A5327" t="s">
        <v>1334</v>
      </c>
      <c r="B5327" t="s">
        <v>1333</v>
      </c>
      <c r="C5327" t="s">
        <v>20</v>
      </c>
      <c r="D5327" t="str">
        <f>VLOOKUP(C5327,'lookup table'!$A$2:$B$19,2,FALSE)</f>
        <v>AY</v>
      </c>
      <c r="E5327" t="str">
        <f t="shared" si="83"/>
        <v>DR3PRU_14|AY</v>
      </c>
    </row>
    <row r="5328" spans="1:5" x14ac:dyDescent="0.2">
      <c r="A5328" t="s">
        <v>1334</v>
      </c>
      <c r="B5328" t="s">
        <v>1333</v>
      </c>
      <c r="C5328" t="s">
        <v>324</v>
      </c>
      <c r="D5328" t="e">
        <f>VLOOKUP(C5328,'lookup table'!$A$2:$B$19,2,FALSE)</f>
        <v>#N/A</v>
      </c>
      <c r="E5328" t="str">
        <f t="shared" si="83"/>
        <v/>
      </c>
    </row>
    <row r="5329" spans="1:5" x14ac:dyDescent="0.2">
      <c r="A5329" t="s">
        <v>1334</v>
      </c>
      <c r="B5329" t="s">
        <v>1333</v>
      </c>
      <c r="C5329" t="s">
        <v>325</v>
      </c>
      <c r="D5329" t="e">
        <f>VLOOKUP(C5329,'lookup table'!$A$2:$B$19,2,FALSE)</f>
        <v>#N/A</v>
      </c>
      <c r="E5329" t="str">
        <f t="shared" si="83"/>
        <v/>
      </c>
    </row>
    <row r="5330" spans="1:5" x14ac:dyDescent="0.2">
      <c r="A5330" t="s">
        <v>1334</v>
      </c>
      <c r="B5330" t="s">
        <v>1333</v>
      </c>
      <c r="C5330" t="s">
        <v>326</v>
      </c>
      <c r="D5330" t="e">
        <f>VLOOKUP(C5330,'lookup table'!$A$2:$B$19,2,FALSE)</f>
        <v>#N/A</v>
      </c>
      <c r="E5330" t="str">
        <f t="shared" si="83"/>
        <v/>
      </c>
    </row>
    <row r="5331" spans="1:5" x14ac:dyDescent="0.2">
      <c r="A5331" t="s">
        <v>1334</v>
      </c>
      <c r="B5331" t="s">
        <v>1333</v>
      </c>
      <c r="C5331" t="s">
        <v>327</v>
      </c>
      <c r="D5331" t="e">
        <f>VLOOKUP(C5331,'lookup table'!$A$2:$B$19,2,FALSE)</f>
        <v>#N/A</v>
      </c>
      <c r="E5331" t="str">
        <f t="shared" si="83"/>
        <v/>
      </c>
    </row>
    <row r="5332" spans="1:5" x14ac:dyDescent="0.2">
      <c r="A5332" t="s">
        <v>1334</v>
      </c>
      <c r="B5332" t="s">
        <v>1333</v>
      </c>
      <c r="C5332" t="s">
        <v>328</v>
      </c>
      <c r="D5332" t="e">
        <f>VLOOKUP(C5332,'lookup table'!$A$2:$B$19,2,FALSE)</f>
        <v>#N/A</v>
      </c>
      <c r="E5332" t="str">
        <f t="shared" si="83"/>
        <v/>
      </c>
    </row>
    <row r="5333" spans="1:5" x14ac:dyDescent="0.2">
      <c r="A5333" t="s">
        <v>1334</v>
      </c>
      <c r="B5333" t="s">
        <v>1333</v>
      </c>
      <c r="C5333" t="s">
        <v>329</v>
      </c>
      <c r="D5333" t="e">
        <f>VLOOKUP(C5333,'lookup table'!$A$2:$B$19,2,FALSE)</f>
        <v>#N/A</v>
      </c>
      <c r="E5333" t="str">
        <f t="shared" si="83"/>
        <v/>
      </c>
    </row>
    <row r="5334" spans="1:5" x14ac:dyDescent="0.2">
      <c r="A5334" t="s">
        <v>1334</v>
      </c>
      <c r="B5334" t="s">
        <v>1333</v>
      </c>
      <c r="C5334" t="s">
        <v>331</v>
      </c>
      <c r="D5334" t="str">
        <f>VLOOKUP(C5334,'lookup table'!$A$2:$B$19,2,FALSE)</f>
        <v>FS Item</v>
      </c>
      <c r="E5334" t="str">
        <f t="shared" si="83"/>
        <v>DR3PRU_14|FS Item</v>
      </c>
    </row>
    <row r="5335" spans="1:5" x14ac:dyDescent="0.2">
      <c r="A5335" t="s">
        <v>1334</v>
      </c>
      <c r="B5335" t="s">
        <v>1333</v>
      </c>
      <c r="C5335" t="s">
        <v>422</v>
      </c>
      <c r="D5335" t="e">
        <f>VLOOKUP(C5335,'lookup table'!$A$2:$B$19,2,FALSE)</f>
        <v>#N/A</v>
      </c>
      <c r="E5335" t="str">
        <f t="shared" si="83"/>
        <v/>
      </c>
    </row>
    <row r="5336" spans="1:5" x14ac:dyDescent="0.2">
      <c r="A5336" t="s">
        <v>1334</v>
      </c>
      <c r="B5336" t="s">
        <v>1333</v>
      </c>
      <c r="C5336" t="s">
        <v>423</v>
      </c>
      <c r="D5336" t="str">
        <f>VLOOKUP(C5336,'lookup table'!$A$2:$B$19,2,FALSE)</f>
        <v>ignore</v>
      </c>
      <c r="E5336" t="str">
        <f t="shared" si="83"/>
        <v>DR3PRU_14|ignore</v>
      </c>
    </row>
    <row r="5337" spans="1:5" x14ac:dyDescent="0.2">
      <c r="A5337" t="s">
        <v>1334</v>
      </c>
      <c r="B5337" t="s">
        <v>1333</v>
      </c>
      <c r="C5337" t="s">
        <v>424</v>
      </c>
      <c r="D5337" t="str">
        <f>VLOOKUP(C5337,'lookup table'!$A$2:$B$19,2,FALSE)</f>
        <v>GRC</v>
      </c>
      <c r="E5337" t="str">
        <f t="shared" si="83"/>
        <v>DR3PRU_14|GRC</v>
      </c>
    </row>
    <row r="5338" spans="1:5" x14ac:dyDescent="0.2">
      <c r="A5338" t="s">
        <v>1334</v>
      </c>
      <c r="B5338" t="s">
        <v>1333</v>
      </c>
      <c r="C5338" t="s">
        <v>425</v>
      </c>
      <c r="D5338" t="str">
        <f>VLOOKUP(C5338,'lookup table'!$A$2:$B$19,2,FALSE)</f>
        <v>Investee Segment</v>
      </c>
      <c r="E5338" t="str">
        <f t="shared" si="83"/>
        <v>DR3PRU_14|Investee Segment</v>
      </c>
    </row>
    <row r="5339" spans="1:5" x14ac:dyDescent="0.2">
      <c r="A5339" t="s">
        <v>1334</v>
      </c>
      <c r="B5339" t="s">
        <v>1333</v>
      </c>
      <c r="C5339" t="s">
        <v>426</v>
      </c>
      <c r="D5339" t="str">
        <f>VLOOKUP(C5339,'lookup table'!$A$2:$B$19,2,FALSE)</f>
        <v>Investee Unit</v>
      </c>
      <c r="E5339" t="str">
        <f t="shared" si="83"/>
        <v>DR3PRU_14|Investee Unit</v>
      </c>
    </row>
    <row r="5340" spans="1:5" x14ac:dyDescent="0.2">
      <c r="A5340" t="s">
        <v>1334</v>
      </c>
      <c r="B5340" t="s">
        <v>1333</v>
      </c>
      <c r="C5340" t="s">
        <v>428</v>
      </c>
      <c r="D5340" t="str">
        <f>VLOOKUP(C5340,'lookup table'!$A$2:$B$19,2,FALSE)</f>
        <v>LoB</v>
      </c>
      <c r="E5340" t="str">
        <f t="shared" si="83"/>
        <v>DR3PRU_14|LoB</v>
      </c>
    </row>
    <row r="5341" spans="1:5" x14ac:dyDescent="0.2">
      <c r="A5341" t="s">
        <v>1334</v>
      </c>
      <c r="B5341" t="s">
        <v>1333</v>
      </c>
      <c r="C5341" t="s">
        <v>436</v>
      </c>
      <c r="D5341" t="str">
        <f>VLOOKUP(C5341,'lookup table'!$A$2:$B$19,2,FALSE)</f>
        <v>MAT</v>
      </c>
      <c r="E5341" t="str">
        <f t="shared" si="83"/>
        <v>DR3PRU_14|MAT</v>
      </c>
    </row>
    <row r="5342" spans="1:5" x14ac:dyDescent="0.2">
      <c r="A5342" t="s">
        <v>1334</v>
      </c>
      <c r="B5342" t="s">
        <v>1333</v>
      </c>
      <c r="C5342" t="s">
        <v>441</v>
      </c>
      <c r="D5342" t="str">
        <f>VLOOKUP(C5342,'lookup table'!$A$2:$B$19,2,FALSE)</f>
        <v>Partner Segment</v>
      </c>
      <c r="E5342" t="str">
        <f t="shared" si="83"/>
        <v>DR3PRU_14|Partner Segment</v>
      </c>
    </row>
    <row r="5343" spans="1:5" x14ac:dyDescent="0.2">
      <c r="A5343" t="s">
        <v>1334</v>
      </c>
      <c r="B5343" t="s">
        <v>1333</v>
      </c>
      <c r="C5343" t="s">
        <v>442</v>
      </c>
      <c r="D5343" t="str">
        <f>VLOOKUP(C5343,'lookup table'!$A$2:$B$19,2,FALSE)</f>
        <v>Partner Unit</v>
      </c>
      <c r="E5343" t="str">
        <f t="shared" si="83"/>
        <v>DR3PRU_14|Partner Unit</v>
      </c>
    </row>
    <row r="5344" spans="1:5" x14ac:dyDescent="0.2">
      <c r="A5344" t="s">
        <v>1334</v>
      </c>
      <c r="B5344" t="s">
        <v>1333</v>
      </c>
      <c r="C5344" t="s">
        <v>447</v>
      </c>
      <c r="D5344" t="str">
        <f>VLOOKUP(C5344,'lookup table'!$A$2:$B$19,2,FALSE)</f>
        <v>REX</v>
      </c>
      <c r="E5344" t="str">
        <f t="shared" si="83"/>
        <v>DR3PRU_14|REX</v>
      </c>
    </row>
    <row r="5345" spans="1:5" x14ac:dyDescent="0.2">
      <c r="A5345" t="s">
        <v>1334</v>
      </c>
      <c r="B5345" t="s">
        <v>1333</v>
      </c>
      <c r="C5345" t="s">
        <v>448</v>
      </c>
      <c r="D5345" t="e">
        <f>VLOOKUP(C5345,'lookup table'!$A$2:$B$19,2,FALSE)</f>
        <v>#N/A</v>
      </c>
      <c r="E5345" t="str">
        <f t="shared" si="83"/>
        <v/>
      </c>
    </row>
    <row r="5346" spans="1:5" x14ac:dyDescent="0.2">
      <c r="A5346" t="s">
        <v>1334</v>
      </c>
      <c r="B5346" t="s">
        <v>1333</v>
      </c>
      <c r="C5346" t="s">
        <v>449</v>
      </c>
      <c r="D5346" t="e">
        <f>VLOOKUP(C5346,'lookup table'!$A$2:$B$19,2,FALSE)</f>
        <v>#N/A</v>
      </c>
      <c r="E5346" t="str">
        <f t="shared" si="83"/>
        <v/>
      </c>
    </row>
    <row r="5347" spans="1:5" x14ac:dyDescent="0.2">
      <c r="A5347" t="s">
        <v>1334</v>
      </c>
      <c r="B5347" t="s">
        <v>1333</v>
      </c>
      <c r="C5347" t="s">
        <v>451</v>
      </c>
      <c r="D5347" t="str">
        <f>VLOOKUP(C5347,'lookup table'!$A$2:$B$19,2,FALSE)</f>
        <v>Segment</v>
      </c>
      <c r="E5347" t="str">
        <f t="shared" si="83"/>
        <v>DR3PRU_14|Segment</v>
      </c>
    </row>
    <row r="5348" spans="1:5" x14ac:dyDescent="0.2">
      <c r="A5348" t="s">
        <v>1334</v>
      </c>
      <c r="B5348" t="s">
        <v>1333</v>
      </c>
      <c r="C5348" t="s">
        <v>455</v>
      </c>
      <c r="D5348" t="e">
        <f>VLOOKUP(C5348,'lookup table'!$A$2:$B$19,2,FALSE)</f>
        <v>#N/A</v>
      </c>
      <c r="E5348" t="str">
        <f t="shared" si="83"/>
        <v/>
      </c>
    </row>
    <row r="5349" spans="1:5" x14ac:dyDescent="0.2">
      <c r="A5349" t="s">
        <v>1334</v>
      </c>
      <c r="B5349" t="s">
        <v>1333</v>
      </c>
      <c r="C5349" t="s">
        <v>456</v>
      </c>
      <c r="D5349" t="e">
        <f>VLOOKUP(C5349,'lookup table'!$A$2:$B$19,2,FALSE)</f>
        <v>#N/A</v>
      </c>
      <c r="E5349" t="str">
        <f t="shared" si="83"/>
        <v/>
      </c>
    </row>
    <row r="5350" spans="1:5" x14ac:dyDescent="0.2">
      <c r="A5350" t="s">
        <v>1334</v>
      </c>
      <c r="B5350" t="s">
        <v>1333</v>
      </c>
      <c r="C5350" t="s">
        <v>457</v>
      </c>
      <c r="D5350" t="str">
        <f>VLOOKUP(C5350,'lookup table'!$A$2:$B$19,2,FALSE)</f>
        <v>VLT</v>
      </c>
      <c r="E5350" t="str">
        <f t="shared" si="83"/>
        <v>DR3PRU_14|VLT</v>
      </c>
    </row>
    <row r="5351" spans="1:5" x14ac:dyDescent="0.2">
      <c r="A5351" t="s">
        <v>1334</v>
      </c>
      <c r="B5351" t="s">
        <v>1333</v>
      </c>
      <c r="C5351" t="s">
        <v>458</v>
      </c>
      <c r="D5351" t="str">
        <f>VLOOKUP(C5351,'lookup table'!$A$2:$B$19,2,FALSE)</f>
        <v>VAR</v>
      </c>
      <c r="E5351" t="str">
        <f t="shared" si="83"/>
        <v>DR3PRU_14|VAR</v>
      </c>
    </row>
    <row r="5352" spans="1:5" x14ac:dyDescent="0.2">
      <c r="A5352" t="s">
        <v>1334</v>
      </c>
      <c r="B5352" t="s">
        <v>1333</v>
      </c>
      <c r="C5352" t="s">
        <v>459</v>
      </c>
      <c r="D5352" t="e">
        <f>VLOOKUP(C5352,'lookup table'!$A$2:$B$19,2,FALSE)</f>
        <v>#N/A</v>
      </c>
      <c r="E5352" t="str">
        <f t="shared" si="83"/>
        <v/>
      </c>
    </row>
    <row r="5353" spans="1:5" x14ac:dyDescent="0.2">
      <c r="A5353" t="s">
        <v>1334</v>
      </c>
      <c r="B5353" t="s">
        <v>1333</v>
      </c>
      <c r="C5353" t="s">
        <v>460</v>
      </c>
      <c r="D5353" t="e">
        <f>VLOOKUP(C5353,'lookup table'!$A$2:$B$19,2,FALSE)</f>
        <v>#N/A</v>
      </c>
      <c r="E5353" t="str">
        <f t="shared" si="83"/>
        <v/>
      </c>
    </row>
    <row r="5354" spans="1:5" x14ac:dyDescent="0.2">
      <c r="A5354" t="s">
        <v>1334</v>
      </c>
      <c r="B5354" t="s">
        <v>1333</v>
      </c>
      <c r="C5354" t="s">
        <v>461</v>
      </c>
      <c r="D5354" t="str">
        <f>VLOOKUP(C5354,'lookup table'!$A$2:$B$19,2,FALSE)</f>
        <v>Posting Level</v>
      </c>
      <c r="E5354" t="str">
        <f t="shared" si="83"/>
        <v>DR3PRU_14|Posting Level</v>
      </c>
    </row>
    <row r="5355" spans="1:5" x14ac:dyDescent="0.2">
      <c r="A5355" t="s">
        <v>1334</v>
      </c>
      <c r="B5355" t="s">
        <v>1333</v>
      </c>
      <c r="C5355" t="s">
        <v>462</v>
      </c>
      <c r="D5355" t="e">
        <f>VLOOKUP(C5355,'lookup table'!$A$2:$B$19,2,FALSE)</f>
        <v>#N/A</v>
      </c>
      <c r="E5355" t="str">
        <f t="shared" si="83"/>
        <v/>
      </c>
    </row>
    <row r="5356" spans="1:5" x14ac:dyDescent="0.2">
      <c r="A5356" t="s">
        <v>1334</v>
      </c>
      <c r="B5356" t="s">
        <v>1333</v>
      </c>
      <c r="C5356" t="s">
        <v>463</v>
      </c>
      <c r="D5356" t="e">
        <f>VLOOKUP(C5356,'lookup table'!$A$2:$B$19,2,FALSE)</f>
        <v>#N/A</v>
      </c>
      <c r="E5356" t="str">
        <f t="shared" si="83"/>
        <v/>
      </c>
    </row>
    <row r="5357" spans="1:5" x14ac:dyDescent="0.2">
      <c r="A5357" t="s">
        <v>1334</v>
      </c>
      <c r="B5357" t="s">
        <v>1333</v>
      </c>
      <c r="C5357" t="s">
        <v>464</v>
      </c>
      <c r="D5357" t="e">
        <f>VLOOKUP(C5357,'lookup table'!$A$2:$B$19,2,FALSE)</f>
        <v>#N/A</v>
      </c>
      <c r="E5357" t="str">
        <f t="shared" si="83"/>
        <v/>
      </c>
    </row>
    <row r="5358" spans="1:5" x14ac:dyDescent="0.2">
      <c r="A5358" t="s">
        <v>1334</v>
      </c>
      <c r="B5358" t="s">
        <v>1333</v>
      </c>
      <c r="C5358" t="s">
        <v>465</v>
      </c>
      <c r="D5358" t="e">
        <f>VLOOKUP(C5358,'lookup table'!$A$2:$B$19,2,FALSE)</f>
        <v>#N/A</v>
      </c>
      <c r="E5358" t="str">
        <f t="shared" si="83"/>
        <v/>
      </c>
    </row>
    <row r="5359" spans="1:5" x14ac:dyDescent="0.2">
      <c r="A5359" t="s">
        <v>1335</v>
      </c>
      <c r="B5359" t="s">
        <v>1336</v>
      </c>
      <c r="C5359" t="s">
        <v>2</v>
      </c>
      <c r="D5359" t="e">
        <f>VLOOKUP(C5359,'lookup table'!$A$2:$B$19,2,FALSE)</f>
        <v>#N/A</v>
      </c>
      <c r="E5359" t="str">
        <f t="shared" si="83"/>
        <v/>
      </c>
    </row>
    <row r="5360" spans="1:5" x14ac:dyDescent="0.2">
      <c r="A5360" t="s">
        <v>1335</v>
      </c>
      <c r="B5360" t="s">
        <v>1336</v>
      </c>
      <c r="C5360" t="s">
        <v>5</v>
      </c>
      <c r="D5360" t="e">
        <f>VLOOKUP(C5360,'lookup table'!$A$2:$B$19,2,FALSE)</f>
        <v>#N/A</v>
      </c>
      <c r="E5360" t="str">
        <f t="shared" si="83"/>
        <v/>
      </c>
    </row>
    <row r="5361" spans="1:5" x14ac:dyDescent="0.2">
      <c r="A5361" t="s">
        <v>1335</v>
      </c>
      <c r="B5361" t="s">
        <v>1336</v>
      </c>
      <c r="C5361" t="s">
        <v>6</v>
      </c>
      <c r="D5361" t="e">
        <f>VLOOKUP(C5361,'lookup table'!$A$2:$B$19,2,FALSE)</f>
        <v>#N/A</v>
      </c>
      <c r="E5361" t="str">
        <f t="shared" si="83"/>
        <v/>
      </c>
    </row>
    <row r="5362" spans="1:5" x14ac:dyDescent="0.2">
      <c r="A5362" t="s">
        <v>1335</v>
      </c>
      <c r="B5362" t="s">
        <v>1336</v>
      </c>
      <c r="C5362" t="s">
        <v>9</v>
      </c>
      <c r="D5362" t="e">
        <f>VLOOKUP(C5362,'lookup table'!$A$2:$B$19,2,FALSE)</f>
        <v>#N/A</v>
      </c>
      <c r="E5362" t="str">
        <f t="shared" si="83"/>
        <v/>
      </c>
    </row>
    <row r="5363" spans="1:5" x14ac:dyDescent="0.2">
      <c r="A5363" t="s">
        <v>1335</v>
      </c>
      <c r="B5363" t="s">
        <v>1336</v>
      </c>
      <c r="C5363" t="s">
        <v>10</v>
      </c>
      <c r="D5363" t="e">
        <f>VLOOKUP(C5363,'lookup table'!$A$2:$B$19,2,FALSE)</f>
        <v>#N/A</v>
      </c>
      <c r="E5363" t="str">
        <f t="shared" si="83"/>
        <v/>
      </c>
    </row>
    <row r="5364" spans="1:5" x14ac:dyDescent="0.2">
      <c r="A5364" t="s">
        <v>1335</v>
      </c>
      <c r="B5364" t="s">
        <v>1336</v>
      </c>
      <c r="C5364" t="s">
        <v>11</v>
      </c>
      <c r="D5364" t="e">
        <f>VLOOKUP(C5364,'lookup table'!$A$2:$B$19,2,FALSE)</f>
        <v>#N/A</v>
      </c>
      <c r="E5364" t="str">
        <f t="shared" si="83"/>
        <v/>
      </c>
    </row>
    <row r="5365" spans="1:5" x14ac:dyDescent="0.2">
      <c r="A5365" t="s">
        <v>1335</v>
      </c>
      <c r="B5365" t="s">
        <v>1336</v>
      </c>
      <c r="C5365" t="s">
        <v>12</v>
      </c>
      <c r="D5365" t="e">
        <f>VLOOKUP(C5365,'lookup table'!$A$2:$B$19,2,FALSE)</f>
        <v>#N/A</v>
      </c>
      <c r="E5365" t="str">
        <f t="shared" si="83"/>
        <v/>
      </c>
    </row>
    <row r="5366" spans="1:5" x14ac:dyDescent="0.2">
      <c r="A5366" t="s">
        <v>1335</v>
      </c>
      <c r="B5366" t="s">
        <v>1336</v>
      </c>
      <c r="C5366" t="s">
        <v>14</v>
      </c>
      <c r="D5366" t="str">
        <f>VLOOKUP(C5366,'lookup table'!$A$2:$B$19,2,FALSE)</f>
        <v>ALC</v>
      </c>
      <c r="E5366" t="str">
        <f t="shared" si="83"/>
        <v>DR3PSE_00|ALC</v>
      </c>
    </row>
    <row r="5367" spans="1:5" x14ac:dyDescent="0.2">
      <c r="A5367" t="s">
        <v>1335</v>
      </c>
      <c r="B5367" t="s">
        <v>1336</v>
      </c>
      <c r="C5367" t="s">
        <v>20</v>
      </c>
      <c r="D5367" t="str">
        <f>VLOOKUP(C5367,'lookup table'!$A$2:$B$19,2,FALSE)</f>
        <v>AY</v>
      </c>
      <c r="E5367" t="str">
        <f t="shared" si="83"/>
        <v>DR3PSE_00|AY</v>
      </c>
    </row>
    <row r="5368" spans="1:5" x14ac:dyDescent="0.2">
      <c r="A5368" t="s">
        <v>1335</v>
      </c>
      <c r="B5368" t="s">
        <v>1336</v>
      </c>
      <c r="C5368" t="s">
        <v>324</v>
      </c>
      <c r="D5368" t="e">
        <f>VLOOKUP(C5368,'lookup table'!$A$2:$B$19,2,FALSE)</f>
        <v>#N/A</v>
      </c>
      <c r="E5368" t="str">
        <f t="shared" si="83"/>
        <v/>
      </c>
    </row>
    <row r="5369" spans="1:5" x14ac:dyDescent="0.2">
      <c r="A5369" t="s">
        <v>1335</v>
      </c>
      <c r="B5369" t="s">
        <v>1336</v>
      </c>
      <c r="C5369" t="s">
        <v>325</v>
      </c>
      <c r="D5369" t="e">
        <f>VLOOKUP(C5369,'lookup table'!$A$2:$B$19,2,FALSE)</f>
        <v>#N/A</v>
      </c>
      <c r="E5369" t="str">
        <f t="shared" si="83"/>
        <v/>
      </c>
    </row>
    <row r="5370" spans="1:5" x14ac:dyDescent="0.2">
      <c r="A5370" t="s">
        <v>1335</v>
      </c>
      <c r="B5370" t="s">
        <v>1336</v>
      </c>
      <c r="C5370" t="s">
        <v>326</v>
      </c>
      <c r="D5370" t="e">
        <f>VLOOKUP(C5370,'lookup table'!$A$2:$B$19,2,FALSE)</f>
        <v>#N/A</v>
      </c>
      <c r="E5370" t="str">
        <f t="shared" si="83"/>
        <v/>
      </c>
    </row>
    <row r="5371" spans="1:5" x14ac:dyDescent="0.2">
      <c r="A5371" t="s">
        <v>1335</v>
      </c>
      <c r="B5371" t="s">
        <v>1336</v>
      </c>
      <c r="C5371" t="s">
        <v>327</v>
      </c>
      <c r="D5371" t="e">
        <f>VLOOKUP(C5371,'lookup table'!$A$2:$B$19,2,FALSE)</f>
        <v>#N/A</v>
      </c>
      <c r="E5371" t="str">
        <f t="shared" si="83"/>
        <v/>
      </c>
    </row>
    <row r="5372" spans="1:5" x14ac:dyDescent="0.2">
      <c r="A5372" t="s">
        <v>1335</v>
      </c>
      <c r="B5372" t="s">
        <v>1336</v>
      </c>
      <c r="C5372" t="s">
        <v>328</v>
      </c>
      <c r="D5372" t="e">
        <f>VLOOKUP(C5372,'lookup table'!$A$2:$B$19,2,FALSE)</f>
        <v>#N/A</v>
      </c>
      <c r="E5372" t="str">
        <f t="shared" si="83"/>
        <v/>
      </c>
    </row>
    <row r="5373" spans="1:5" x14ac:dyDescent="0.2">
      <c r="A5373" t="s">
        <v>1335</v>
      </c>
      <c r="B5373" t="s">
        <v>1336</v>
      </c>
      <c r="C5373" t="s">
        <v>329</v>
      </c>
      <c r="D5373" t="e">
        <f>VLOOKUP(C5373,'lookup table'!$A$2:$B$19,2,FALSE)</f>
        <v>#N/A</v>
      </c>
      <c r="E5373" t="str">
        <f t="shared" si="83"/>
        <v/>
      </c>
    </row>
    <row r="5374" spans="1:5" x14ac:dyDescent="0.2">
      <c r="A5374" t="s">
        <v>1335</v>
      </c>
      <c r="B5374" t="s">
        <v>1336</v>
      </c>
      <c r="C5374" t="s">
        <v>331</v>
      </c>
      <c r="D5374" t="str">
        <f>VLOOKUP(C5374,'lookup table'!$A$2:$B$19,2,FALSE)</f>
        <v>FS Item</v>
      </c>
      <c r="E5374" t="str">
        <f t="shared" si="83"/>
        <v>DR3PSE_00|FS Item</v>
      </c>
    </row>
    <row r="5375" spans="1:5" x14ac:dyDescent="0.2">
      <c r="A5375" t="s">
        <v>1335</v>
      </c>
      <c r="B5375" t="s">
        <v>1336</v>
      </c>
      <c r="C5375" t="s">
        <v>422</v>
      </c>
      <c r="D5375" t="e">
        <f>VLOOKUP(C5375,'lookup table'!$A$2:$B$19,2,FALSE)</f>
        <v>#N/A</v>
      </c>
      <c r="E5375" t="str">
        <f t="shared" si="83"/>
        <v/>
      </c>
    </row>
    <row r="5376" spans="1:5" x14ac:dyDescent="0.2">
      <c r="A5376" t="s">
        <v>1335</v>
      </c>
      <c r="B5376" t="s">
        <v>1336</v>
      </c>
      <c r="C5376" t="s">
        <v>423</v>
      </c>
      <c r="D5376" t="str">
        <f>VLOOKUP(C5376,'lookup table'!$A$2:$B$19,2,FALSE)</f>
        <v>ignore</v>
      </c>
      <c r="E5376" t="str">
        <f t="shared" si="83"/>
        <v>DR3PSE_00|ignore</v>
      </c>
    </row>
    <row r="5377" spans="1:5" x14ac:dyDescent="0.2">
      <c r="A5377" t="s">
        <v>1335</v>
      </c>
      <c r="B5377" t="s">
        <v>1336</v>
      </c>
      <c r="C5377" t="s">
        <v>424</v>
      </c>
      <c r="D5377" t="str">
        <f>VLOOKUP(C5377,'lookup table'!$A$2:$B$19,2,FALSE)</f>
        <v>GRC</v>
      </c>
      <c r="E5377" t="str">
        <f t="shared" si="83"/>
        <v>DR3PSE_00|GRC</v>
      </c>
    </row>
    <row r="5378" spans="1:5" x14ac:dyDescent="0.2">
      <c r="A5378" t="s">
        <v>1335</v>
      </c>
      <c r="B5378" t="s">
        <v>1336</v>
      </c>
      <c r="C5378" t="s">
        <v>425</v>
      </c>
      <c r="D5378" t="str">
        <f>VLOOKUP(C5378,'lookup table'!$A$2:$B$19,2,FALSE)</f>
        <v>Investee Segment</v>
      </c>
      <c r="E5378" t="str">
        <f t="shared" si="83"/>
        <v>DR3PSE_00|Investee Segment</v>
      </c>
    </row>
    <row r="5379" spans="1:5" x14ac:dyDescent="0.2">
      <c r="A5379" t="s">
        <v>1335</v>
      </c>
      <c r="B5379" t="s">
        <v>1336</v>
      </c>
      <c r="C5379" t="s">
        <v>426</v>
      </c>
      <c r="D5379" t="str">
        <f>VLOOKUP(C5379,'lookup table'!$A$2:$B$19,2,FALSE)</f>
        <v>Investee Unit</v>
      </c>
      <c r="E5379" t="str">
        <f t="shared" ref="E5379:E5442" si="84">IF(ISNA(D5379),"",IF(A5379="","",A5379) &amp; "|" &amp; D5379)</f>
        <v>DR3PSE_00|Investee Unit</v>
      </c>
    </row>
    <row r="5380" spans="1:5" x14ac:dyDescent="0.2">
      <c r="A5380" t="s">
        <v>1335</v>
      </c>
      <c r="B5380" t="s">
        <v>1336</v>
      </c>
      <c r="C5380" t="s">
        <v>428</v>
      </c>
      <c r="D5380" t="str">
        <f>VLOOKUP(C5380,'lookup table'!$A$2:$B$19,2,FALSE)</f>
        <v>LoB</v>
      </c>
      <c r="E5380" t="str">
        <f t="shared" si="84"/>
        <v>DR3PSE_00|LoB</v>
      </c>
    </row>
    <row r="5381" spans="1:5" x14ac:dyDescent="0.2">
      <c r="A5381" t="s">
        <v>1335</v>
      </c>
      <c r="B5381" t="s">
        <v>1336</v>
      </c>
      <c r="C5381" t="s">
        <v>436</v>
      </c>
      <c r="D5381" t="str">
        <f>VLOOKUP(C5381,'lookup table'!$A$2:$B$19,2,FALSE)</f>
        <v>MAT</v>
      </c>
      <c r="E5381" t="str">
        <f t="shared" si="84"/>
        <v>DR3PSE_00|MAT</v>
      </c>
    </row>
    <row r="5382" spans="1:5" x14ac:dyDescent="0.2">
      <c r="A5382" t="s">
        <v>1335</v>
      </c>
      <c r="B5382" t="s">
        <v>1336</v>
      </c>
      <c r="C5382" t="s">
        <v>441</v>
      </c>
      <c r="D5382" t="str">
        <f>VLOOKUP(C5382,'lookup table'!$A$2:$B$19,2,FALSE)</f>
        <v>Partner Segment</v>
      </c>
      <c r="E5382" t="str">
        <f t="shared" si="84"/>
        <v>DR3PSE_00|Partner Segment</v>
      </c>
    </row>
    <row r="5383" spans="1:5" x14ac:dyDescent="0.2">
      <c r="A5383" t="s">
        <v>1335</v>
      </c>
      <c r="B5383" t="s">
        <v>1336</v>
      </c>
      <c r="C5383" t="s">
        <v>442</v>
      </c>
      <c r="D5383" t="str">
        <f>VLOOKUP(C5383,'lookup table'!$A$2:$B$19,2,FALSE)</f>
        <v>Partner Unit</v>
      </c>
      <c r="E5383" t="str">
        <f t="shared" si="84"/>
        <v>DR3PSE_00|Partner Unit</v>
      </c>
    </row>
    <row r="5384" spans="1:5" x14ac:dyDescent="0.2">
      <c r="A5384" t="s">
        <v>1335</v>
      </c>
      <c r="B5384" t="s">
        <v>1336</v>
      </c>
      <c r="C5384" t="s">
        <v>447</v>
      </c>
      <c r="D5384" t="str">
        <f>VLOOKUP(C5384,'lookup table'!$A$2:$B$19,2,FALSE)</f>
        <v>REX</v>
      </c>
      <c r="E5384" t="str">
        <f t="shared" si="84"/>
        <v>DR3PSE_00|REX</v>
      </c>
    </row>
    <row r="5385" spans="1:5" x14ac:dyDescent="0.2">
      <c r="A5385" t="s">
        <v>1335</v>
      </c>
      <c r="B5385" t="s">
        <v>1336</v>
      </c>
      <c r="C5385" t="s">
        <v>448</v>
      </c>
      <c r="D5385" t="e">
        <f>VLOOKUP(C5385,'lookup table'!$A$2:$B$19,2,FALSE)</f>
        <v>#N/A</v>
      </c>
      <c r="E5385" t="str">
        <f t="shared" si="84"/>
        <v/>
      </c>
    </row>
    <row r="5386" spans="1:5" x14ac:dyDescent="0.2">
      <c r="A5386" t="s">
        <v>1335</v>
      </c>
      <c r="B5386" t="s">
        <v>1336</v>
      </c>
      <c r="C5386" t="s">
        <v>449</v>
      </c>
      <c r="D5386" t="e">
        <f>VLOOKUP(C5386,'lookup table'!$A$2:$B$19,2,FALSE)</f>
        <v>#N/A</v>
      </c>
      <c r="E5386" t="str">
        <f t="shared" si="84"/>
        <v/>
      </c>
    </row>
    <row r="5387" spans="1:5" x14ac:dyDescent="0.2">
      <c r="A5387" t="s">
        <v>1335</v>
      </c>
      <c r="B5387" t="s">
        <v>1336</v>
      </c>
      <c r="C5387" t="s">
        <v>451</v>
      </c>
      <c r="D5387" t="str">
        <f>VLOOKUP(C5387,'lookup table'!$A$2:$B$19,2,FALSE)</f>
        <v>Segment</v>
      </c>
      <c r="E5387" t="str">
        <f t="shared" si="84"/>
        <v>DR3PSE_00|Segment</v>
      </c>
    </row>
    <row r="5388" spans="1:5" x14ac:dyDescent="0.2">
      <c r="A5388" t="s">
        <v>1335</v>
      </c>
      <c r="B5388" t="s">
        <v>1336</v>
      </c>
      <c r="C5388" t="s">
        <v>455</v>
      </c>
      <c r="D5388" t="e">
        <f>VLOOKUP(C5388,'lookup table'!$A$2:$B$19,2,FALSE)</f>
        <v>#N/A</v>
      </c>
      <c r="E5388" t="str">
        <f t="shared" si="84"/>
        <v/>
      </c>
    </row>
    <row r="5389" spans="1:5" x14ac:dyDescent="0.2">
      <c r="A5389" t="s">
        <v>1335</v>
      </c>
      <c r="B5389" t="s">
        <v>1336</v>
      </c>
      <c r="C5389" t="s">
        <v>456</v>
      </c>
      <c r="D5389" t="e">
        <f>VLOOKUP(C5389,'lookup table'!$A$2:$B$19,2,FALSE)</f>
        <v>#N/A</v>
      </c>
      <c r="E5389" t="str">
        <f t="shared" si="84"/>
        <v/>
      </c>
    </row>
    <row r="5390" spans="1:5" x14ac:dyDescent="0.2">
      <c r="A5390" t="s">
        <v>1335</v>
      </c>
      <c r="B5390" t="s">
        <v>1336</v>
      </c>
      <c r="C5390" t="s">
        <v>457</v>
      </c>
      <c r="D5390" t="str">
        <f>VLOOKUP(C5390,'lookup table'!$A$2:$B$19,2,FALSE)</f>
        <v>VLT</v>
      </c>
      <c r="E5390" t="str">
        <f t="shared" si="84"/>
        <v>DR3PSE_00|VLT</v>
      </c>
    </row>
    <row r="5391" spans="1:5" x14ac:dyDescent="0.2">
      <c r="A5391" t="s">
        <v>1335</v>
      </c>
      <c r="B5391" t="s">
        <v>1336</v>
      </c>
      <c r="C5391" t="s">
        <v>458</v>
      </c>
      <c r="D5391" t="str">
        <f>VLOOKUP(C5391,'lookup table'!$A$2:$B$19,2,FALSE)</f>
        <v>VAR</v>
      </c>
      <c r="E5391" t="str">
        <f t="shared" si="84"/>
        <v>DR3PSE_00|VAR</v>
      </c>
    </row>
    <row r="5392" spans="1:5" x14ac:dyDescent="0.2">
      <c r="A5392" t="s">
        <v>1335</v>
      </c>
      <c r="B5392" t="s">
        <v>1336</v>
      </c>
      <c r="C5392" t="s">
        <v>459</v>
      </c>
      <c r="D5392" t="e">
        <f>VLOOKUP(C5392,'lookup table'!$A$2:$B$19,2,FALSE)</f>
        <v>#N/A</v>
      </c>
      <c r="E5392" t="str">
        <f t="shared" si="84"/>
        <v/>
      </c>
    </row>
    <row r="5393" spans="1:5" x14ac:dyDescent="0.2">
      <c r="A5393" t="s">
        <v>1335</v>
      </c>
      <c r="B5393" t="s">
        <v>1336</v>
      </c>
      <c r="C5393" t="s">
        <v>460</v>
      </c>
      <c r="D5393" t="e">
        <f>VLOOKUP(C5393,'lookup table'!$A$2:$B$19,2,FALSE)</f>
        <v>#N/A</v>
      </c>
      <c r="E5393" t="str">
        <f t="shared" si="84"/>
        <v/>
      </c>
    </row>
    <row r="5394" spans="1:5" x14ac:dyDescent="0.2">
      <c r="A5394" t="s">
        <v>1335</v>
      </c>
      <c r="B5394" t="s">
        <v>1336</v>
      </c>
      <c r="C5394" t="s">
        <v>461</v>
      </c>
      <c r="D5394" t="str">
        <f>VLOOKUP(C5394,'lookup table'!$A$2:$B$19,2,FALSE)</f>
        <v>Posting Level</v>
      </c>
      <c r="E5394" t="str">
        <f t="shared" si="84"/>
        <v>DR3PSE_00|Posting Level</v>
      </c>
    </row>
    <row r="5395" spans="1:5" x14ac:dyDescent="0.2">
      <c r="A5395" t="s">
        <v>1335</v>
      </c>
      <c r="B5395" t="s">
        <v>1336</v>
      </c>
      <c r="C5395" t="s">
        <v>462</v>
      </c>
      <c r="D5395" t="e">
        <f>VLOOKUP(C5395,'lookup table'!$A$2:$B$19,2,FALSE)</f>
        <v>#N/A</v>
      </c>
      <c r="E5395" t="str">
        <f t="shared" si="84"/>
        <v/>
      </c>
    </row>
    <row r="5396" spans="1:5" x14ac:dyDescent="0.2">
      <c r="A5396" t="s">
        <v>1335</v>
      </c>
      <c r="B5396" t="s">
        <v>1336</v>
      </c>
      <c r="C5396" t="s">
        <v>463</v>
      </c>
      <c r="D5396" t="e">
        <f>VLOOKUP(C5396,'lookup table'!$A$2:$B$19,2,FALSE)</f>
        <v>#N/A</v>
      </c>
      <c r="E5396" t="str">
        <f t="shared" si="84"/>
        <v/>
      </c>
    </row>
    <row r="5397" spans="1:5" x14ac:dyDescent="0.2">
      <c r="A5397" t="s">
        <v>1335</v>
      </c>
      <c r="B5397" t="s">
        <v>1336</v>
      </c>
      <c r="C5397" t="s">
        <v>464</v>
      </c>
      <c r="D5397" t="e">
        <f>VLOOKUP(C5397,'lookup table'!$A$2:$B$19,2,FALSE)</f>
        <v>#N/A</v>
      </c>
      <c r="E5397" t="str">
        <f t="shared" si="84"/>
        <v/>
      </c>
    </row>
    <row r="5398" spans="1:5" x14ac:dyDescent="0.2">
      <c r="A5398" t="s">
        <v>1335</v>
      </c>
      <c r="B5398" t="s">
        <v>1336</v>
      </c>
      <c r="C5398" t="s">
        <v>465</v>
      </c>
      <c r="D5398" t="e">
        <f>VLOOKUP(C5398,'lookup table'!$A$2:$B$19,2,FALSE)</f>
        <v>#N/A</v>
      </c>
      <c r="E5398" t="str">
        <f t="shared" si="84"/>
        <v/>
      </c>
    </row>
    <row r="5399" spans="1:5" x14ac:dyDescent="0.2">
      <c r="A5399" t="s">
        <v>1337</v>
      </c>
      <c r="B5399" t="s">
        <v>1336</v>
      </c>
      <c r="C5399" t="s">
        <v>2</v>
      </c>
      <c r="D5399" t="e">
        <f>VLOOKUP(C5399,'lookup table'!$A$2:$B$19,2,FALSE)</f>
        <v>#N/A</v>
      </c>
      <c r="E5399" t="str">
        <f t="shared" si="84"/>
        <v/>
      </c>
    </row>
    <row r="5400" spans="1:5" x14ac:dyDescent="0.2">
      <c r="A5400" t="s">
        <v>1337</v>
      </c>
      <c r="B5400" t="s">
        <v>1336</v>
      </c>
      <c r="C5400" t="s">
        <v>5</v>
      </c>
      <c r="D5400" t="e">
        <f>VLOOKUP(C5400,'lookup table'!$A$2:$B$19,2,FALSE)</f>
        <v>#N/A</v>
      </c>
      <c r="E5400" t="str">
        <f t="shared" si="84"/>
        <v/>
      </c>
    </row>
    <row r="5401" spans="1:5" x14ac:dyDescent="0.2">
      <c r="A5401" t="s">
        <v>1337</v>
      </c>
      <c r="B5401" t="s">
        <v>1336</v>
      </c>
      <c r="C5401" t="s">
        <v>6</v>
      </c>
      <c r="D5401" t="e">
        <f>VLOOKUP(C5401,'lookup table'!$A$2:$B$19,2,FALSE)</f>
        <v>#N/A</v>
      </c>
      <c r="E5401" t="str">
        <f t="shared" si="84"/>
        <v/>
      </c>
    </row>
    <row r="5402" spans="1:5" x14ac:dyDescent="0.2">
      <c r="A5402" t="s">
        <v>1337</v>
      </c>
      <c r="B5402" t="s">
        <v>1336</v>
      </c>
      <c r="C5402" t="s">
        <v>9</v>
      </c>
      <c r="D5402" t="e">
        <f>VLOOKUP(C5402,'lookup table'!$A$2:$B$19,2,FALSE)</f>
        <v>#N/A</v>
      </c>
      <c r="E5402" t="str">
        <f t="shared" si="84"/>
        <v/>
      </c>
    </row>
    <row r="5403" spans="1:5" x14ac:dyDescent="0.2">
      <c r="A5403" t="s">
        <v>1337</v>
      </c>
      <c r="B5403" t="s">
        <v>1336</v>
      </c>
      <c r="C5403" t="s">
        <v>10</v>
      </c>
      <c r="D5403" t="e">
        <f>VLOOKUP(C5403,'lookup table'!$A$2:$B$19,2,FALSE)</f>
        <v>#N/A</v>
      </c>
      <c r="E5403" t="str">
        <f t="shared" si="84"/>
        <v/>
      </c>
    </row>
    <row r="5404" spans="1:5" x14ac:dyDescent="0.2">
      <c r="A5404" t="s">
        <v>1337</v>
      </c>
      <c r="B5404" t="s">
        <v>1336</v>
      </c>
      <c r="C5404" t="s">
        <v>11</v>
      </c>
      <c r="D5404" t="e">
        <f>VLOOKUP(C5404,'lookup table'!$A$2:$B$19,2,FALSE)</f>
        <v>#N/A</v>
      </c>
      <c r="E5404" t="str">
        <f t="shared" si="84"/>
        <v/>
      </c>
    </row>
    <row r="5405" spans="1:5" x14ac:dyDescent="0.2">
      <c r="A5405" t="s">
        <v>1337</v>
      </c>
      <c r="B5405" t="s">
        <v>1336</v>
      </c>
      <c r="C5405" t="s">
        <v>12</v>
      </c>
      <c r="D5405" t="e">
        <f>VLOOKUP(C5405,'lookup table'!$A$2:$B$19,2,FALSE)</f>
        <v>#N/A</v>
      </c>
      <c r="E5405" t="str">
        <f t="shared" si="84"/>
        <v/>
      </c>
    </row>
    <row r="5406" spans="1:5" x14ac:dyDescent="0.2">
      <c r="A5406" t="s">
        <v>1337</v>
      </c>
      <c r="B5406" t="s">
        <v>1336</v>
      </c>
      <c r="C5406" t="s">
        <v>14</v>
      </c>
      <c r="D5406" t="str">
        <f>VLOOKUP(C5406,'lookup table'!$A$2:$B$19,2,FALSE)</f>
        <v>ALC</v>
      </c>
      <c r="E5406" t="str">
        <f t="shared" si="84"/>
        <v>DR3PSE_14|ALC</v>
      </c>
    </row>
    <row r="5407" spans="1:5" x14ac:dyDescent="0.2">
      <c r="A5407" t="s">
        <v>1337</v>
      </c>
      <c r="B5407" t="s">
        <v>1336</v>
      </c>
      <c r="C5407" t="s">
        <v>20</v>
      </c>
      <c r="D5407" t="str">
        <f>VLOOKUP(C5407,'lookup table'!$A$2:$B$19,2,FALSE)</f>
        <v>AY</v>
      </c>
      <c r="E5407" t="str">
        <f t="shared" si="84"/>
        <v>DR3PSE_14|AY</v>
      </c>
    </row>
    <row r="5408" spans="1:5" x14ac:dyDescent="0.2">
      <c r="A5408" t="s">
        <v>1337</v>
      </c>
      <c r="B5408" t="s">
        <v>1336</v>
      </c>
      <c r="C5408" t="s">
        <v>324</v>
      </c>
      <c r="D5408" t="e">
        <f>VLOOKUP(C5408,'lookup table'!$A$2:$B$19,2,FALSE)</f>
        <v>#N/A</v>
      </c>
      <c r="E5408" t="str">
        <f t="shared" si="84"/>
        <v/>
      </c>
    </row>
    <row r="5409" spans="1:5" x14ac:dyDescent="0.2">
      <c r="A5409" t="s">
        <v>1337</v>
      </c>
      <c r="B5409" t="s">
        <v>1336</v>
      </c>
      <c r="C5409" t="s">
        <v>325</v>
      </c>
      <c r="D5409" t="e">
        <f>VLOOKUP(C5409,'lookup table'!$A$2:$B$19,2,FALSE)</f>
        <v>#N/A</v>
      </c>
      <c r="E5409" t="str">
        <f t="shared" si="84"/>
        <v/>
      </c>
    </row>
    <row r="5410" spans="1:5" x14ac:dyDescent="0.2">
      <c r="A5410" t="s">
        <v>1337</v>
      </c>
      <c r="B5410" t="s">
        <v>1336</v>
      </c>
      <c r="C5410" t="s">
        <v>326</v>
      </c>
      <c r="D5410" t="e">
        <f>VLOOKUP(C5410,'lookup table'!$A$2:$B$19,2,FALSE)</f>
        <v>#N/A</v>
      </c>
      <c r="E5410" t="str">
        <f t="shared" si="84"/>
        <v/>
      </c>
    </row>
    <row r="5411" spans="1:5" x14ac:dyDescent="0.2">
      <c r="A5411" t="s">
        <v>1337</v>
      </c>
      <c r="B5411" t="s">
        <v>1336</v>
      </c>
      <c r="C5411" t="s">
        <v>327</v>
      </c>
      <c r="D5411" t="e">
        <f>VLOOKUP(C5411,'lookup table'!$A$2:$B$19,2,FALSE)</f>
        <v>#N/A</v>
      </c>
      <c r="E5411" t="str">
        <f t="shared" si="84"/>
        <v/>
      </c>
    </row>
    <row r="5412" spans="1:5" x14ac:dyDescent="0.2">
      <c r="A5412" t="s">
        <v>1337</v>
      </c>
      <c r="B5412" t="s">
        <v>1336</v>
      </c>
      <c r="C5412" t="s">
        <v>328</v>
      </c>
      <c r="D5412" t="e">
        <f>VLOOKUP(C5412,'lookup table'!$A$2:$B$19,2,FALSE)</f>
        <v>#N/A</v>
      </c>
      <c r="E5412" t="str">
        <f t="shared" si="84"/>
        <v/>
      </c>
    </row>
    <row r="5413" spans="1:5" x14ac:dyDescent="0.2">
      <c r="A5413" t="s">
        <v>1337</v>
      </c>
      <c r="B5413" t="s">
        <v>1336</v>
      </c>
      <c r="C5413" t="s">
        <v>329</v>
      </c>
      <c r="D5413" t="e">
        <f>VLOOKUP(C5413,'lookup table'!$A$2:$B$19,2,FALSE)</f>
        <v>#N/A</v>
      </c>
      <c r="E5413" t="str">
        <f t="shared" si="84"/>
        <v/>
      </c>
    </row>
    <row r="5414" spans="1:5" x14ac:dyDescent="0.2">
      <c r="A5414" t="s">
        <v>1337</v>
      </c>
      <c r="B5414" t="s">
        <v>1336</v>
      </c>
      <c r="C5414" t="s">
        <v>331</v>
      </c>
      <c r="D5414" t="str">
        <f>VLOOKUP(C5414,'lookup table'!$A$2:$B$19,2,FALSE)</f>
        <v>FS Item</v>
      </c>
      <c r="E5414" t="str">
        <f t="shared" si="84"/>
        <v>DR3PSE_14|FS Item</v>
      </c>
    </row>
    <row r="5415" spans="1:5" x14ac:dyDescent="0.2">
      <c r="A5415" t="s">
        <v>1337</v>
      </c>
      <c r="B5415" t="s">
        <v>1336</v>
      </c>
      <c r="C5415" t="s">
        <v>422</v>
      </c>
      <c r="D5415" t="e">
        <f>VLOOKUP(C5415,'lookup table'!$A$2:$B$19,2,FALSE)</f>
        <v>#N/A</v>
      </c>
      <c r="E5415" t="str">
        <f t="shared" si="84"/>
        <v/>
      </c>
    </row>
    <row r="5416" spans="1:5" x14ac:dyDescent="0.2">
      <c r="A5416" t="s">
        <v>1337</v>
      </c>
      <c r="B5416" t="s">
        <v>1336</v>
      </c>
      <c r="C5416" t="s">
        <v>423</v>
      </c>
      <c r="D5416" t="str">
        <f>VLOOKUP(C5416,'lookup table'!$A$2:$B$19,2,FALSE)</f>
        <v>ignore</v>
      </c>
      <c r="E5416" t="str">
        <f t="shared" si="84"/>
        <v>DR3PSE_14|ignore</v>
      </c>
    </row>
    <row r="5417" spans="1:5" x14ac:dyDescent="0.2">
      <c r="A5417" t="s">
        <v>1337</v>
      </c>
      <c r="B5417" t="s">
        <v>1336</v>
      </c>
      <c r="C5417" t="s">
        <v>424</v>
      </c>
      <c r="D5417" t="str">
        <f>VLOOKUP(C5417,'lookup table'!$A$2:$B$19,2,FALSE)</f>
        <v>GRC</v>
      </c>
      <c r="E5417" t="str">
        <f t="shared" si="84"/>
        <v>DR3PSE_14|GRC</v>
      </c>
    </row>
    <row r="5418" spans="1:5" x14ac:dyDescent="0.2">
      <c r="A5418" t="s">
        <v>1337</v>
      </c>
      <c r="B5418" t="s">
        <v>1336</v>
      </c>
      <c r="C5418" t="s">
        <v>425</v>
      </c>
      <c r="D5418" t="str">
        <f>VLOOKUP(C5418,'lookup table'!$A$2:$B$19,2,FALSE)</f>
        <v>Investee Segment</v>
      </c>
      <c r="E5418" t="str">
        <f t="shared" si="84"/>
        <v>DR3PSE_14|Investee Segment</v>
      </c>
    </row>
    <row r="5419" spans="1:5" x14ac:dyDescent="0.2">
      <c r="A5419" t="s">
        <v>1337</v>
      </c>
      <c r="B5419" t="s">
        <v>1336</v>
      </c>
      <c r="C5419" t="s">
        <v>426</v>
      </c>
      <c r="D5419" t="str">
        <f>VLOOKUP(C5419,'lookup table'!$A$2:$B$19,2,FALSE)</f>
        <v>Investee Unit</v>
      </c>
      <c r="E5419" t="str">
        <f t="shared" si="84"/>
        <v>DR3PSE_14|Investee Unit</v>
      </c>
    </row>
    <row r="5420" spans="1:5" x14ac:dyDescent="0.2">
      <c r="A5420" t="s">
        <v>1337</v>
      </c>
      <c r="B5420" t="s">
        <v>1336</v>
      </c>
      <c r="C5420" t="s">
        <v>428</v>
      </c>
      <c r="D5420" t="str">
        <f>VLOOKUP(C5420,'lookup table'!$A$2:$B$19,2,FALSE)</f>
        <v>LoB</v>
      </c>
      <c r="E5420" t="str">
        <f t="shared" si="84"/>
        <v>DR3PSE_14|LoB</v>
      </c>
    </row>
    <row r="5421" spans="1:5" x14ac:dyDescent="0.2">
      <c r="A5421" t="s">
        <v>1337</v>
      </c>
      <c r="B5421" t="s">
        <v>1336</v>
      </c>
      <c r="C5421" t="s">
        <v>436</v>
      </c>
      <c r="D5421" t="str">
        <f>VLOOKUP(C5421,'lookup table'!$A$2:$B$19,2,FALSE)</f>
        <v>MAT</v>
      </c>
      <c r="E5421" t="str">
        <f t="shared" si="84"/>
        <v>DR3PSE_14|MAT</v>
      </c>
    </row>
    <row r="5422" spans="1:5" x14ac:dyDescent="0.2">
      <c r="A5422" t="s">
        <v>1337</v>
      </c>
      <c r="B5422" t="s">
        <v>1336</v>
      </c>
      <c r="C5422" t="s">
        <v>441</v>
      </c>
      <c r="D5422" t="str">
        <f>VLOOKUP(C5422,'lookup table'!$A$2:$B$19,2,FALSE)</f>
        <v>Partner Segment</v>
      </c>
      <c r="E5422" t="str">
        <f t="shared" si="84"/>
        <v>DR3PSE_14|Partner Segment</v>
      </c>
    </row>
    <row r="5423" spans="1:5" x14ac:dyDescent="0.2">
      <c r="A5423" t="s">
        <v>1337</v>
      </c>
      <c r="B5423" t="s">
        <v>1336</v>
      </c>
      <c r="C5423" t="s">
        <v>442</v>
      </c>
      <c r="D5423" t="str">
        <f>VLOOKUP(C5423,'lookup table'!$A$2:$B$19,2,FALSE)</f>
        <v>Partner Unit</v>
      </c>
      <c r="E5423" t="str">
        <f t="shared" si="84"/>
        <v>DR3PSE_14|Partner Unit</v>
      </c>
    </row>
    <row r="5424" spans="1:5" x14ac:dyDescent="0.2">
      <c r="A5424" t="s">
        <v>1337</v>
      </c>
      <c r="B5424" t="s">
        <v>1336</v>
      </c>
      <c r="C5424" t="s">
        <v>447</v>
      </c>
      <c r="D5424" t="str">
        <f>VLOOKUP(C5424,'lookup table'!$A$2:$B$19,2,FALSE)</f>
        <v>REX</v>
      </c>
      <c r="E5424" t="str">
        <f t="shared" si="84"/>
        <v>DR3PSE_14|REX</v>
      </c>
    </row>
    <row r="5425" spans="1:5" x14ac:dyDescent="0.2">
      <c r="A5425" t="s">
        <v>1337</v>
      </c>
      <c r="B5425" t="s">
        <v>1336</v>
      </c>
      <c r="C5425" t="s">
        <v>448</v>
      </c>
      <c r="D5425" t="e">
        <f>VLOOKUP(C5425,'lookup table'!$A$2:$B$19,2,FALSE)</f>
        <v>#N/A</v>
      </c>
      <c r="E5425" t="str">
        <f t="shared" si="84"/>
        <v/>
      </c>
    </row>
    <row r="5426" spans="1:5" x14ac:dyDescent="0.2">
      <c r="A5426" t="s">
        <v>1337</v>
      </c>
      <c r="B5426" t="s">
        <v>1336</v>
      </c>
      <c r="C5426" t="s">
        <v>449</v>
      </c>
      <c r="D5426" t="e">
        <f>VLOOKUP(C5426,'lookup table'!$A$2:$B$19,2,FALSE)</f>
        <v>#N/A</v>
      </c>
      <c r="E5426" t="str">
        <f t="shared" si="84"/>
        <v/>
      </c>
    </row>
    <row r="5427" spans="1:5" x14ac:dyDescent="0.2">
      <c r="A5427" t="s">
        <v>1337</v>
      </c>
      <c r="B5427" t="s">
        <v>1336</v>
      </c>
      <c r="C5427" t="s">
        <v>451</v>
      </c>
      <c r="D5427" t="str">
        <f>VLOOKUP(C5427,'lookup table'!$A$2:$B$19,2,FALSE)</f>
        <v>Segment</v>
      </c>
      <c r="E5427" t="str">
        <f t="shared" si="84"/>
        <v>DR3PSE_14|Segment</v>
      </c>
    </row>
    <row r="5428" spans="1:5" x14ac:dyDescent="0.2">
      <c r="A5428" t="s">
        <v>1337</v>
      </c>
      <c r="B5428" t="s">
        <v>1336</v>
      </c>
      <c r="C5428" t="s">
        <v>455</v>
      </c>
      <c r="D5428" t="e">
        <f>VLOOKUP(C5428,'lookup table'!$A$2:$B$19,2,FALSE)</f>
        <v>#N/A</v>
      </c>
      <c r="E5428" t="str">
        <f t="shared" si="84"/>
        <v/>
      </c>
    </row>
    <row r="5429" spans="1:5" x14ac:dyDescent="0.2">
      <c r="A5429" t="s">
        <v>1337</v>
      </c>
      <c r="B5429" t="s">
        <v>1336</v>
      </c>
      <c r="C5429" t="s">
        <v>456</v>
      </c>
      <c r="D5429" t="e">
        <f>VLOOKUP(C5429,'lookup table'!$A$2:$B$19,2,FALSE)</f>
        <v>#N/A</v>
      </c>
      <c r="E5429" t="str">
        <f t="shared" si="84"/>
        <v/>
      </c>
    </row>
    <row r="5430" spans="1:5" x14ac:dyDescent="0.2">
      <c r="A5430" t="s">
        <v>1337</v>
      </c>
      <c r="B5430" t="s">
        <v>1336</v>
      </c>
      <c r="C5430" t="s">
        <v>457</v>
      </c>
      <c r="D5430" t="str">
        <f>VLOOKUP(C5430,'lookup table'!$A$2:$B$19,2,FALSE)</f>
        <v>VLT</v>
      </c>
      <c r="E5430" t="str">
        <f t="shared" si="84"/>
        <v>DR3PSE_14|VLT</v>
      </c>
    </row>
    <row r="5431" spans="1:5" x14ac:dyDescent="0.2">
      <c r="A5431" t="s">
        <v>1337</v>
      </c>
      <c r="B5431" t="s">
        <v>1336</v>
      </c>
      <c r="C5431" t="s">
        <v>458</v>
      </c>
      <c r="D5431" t="str">
        <f>VLOOKUP(C5431,'lookup table'!$A$2:$B$19,2,FALSE)</f>
        <v>VAR</v>
      </c>
      <c r="E5431" t="str">
        <f t="shared" si="84"/>
        <v>DR3PSE_14|VAR</v>
      </c>
    </row>
    <row r="5432" spans="1:5" x14ac:dyDescent="0.2">
      <c r="A5432" t="s">
        <v>1337</v>
      </c>
      <c r="B5432" t="s">
        <v>1336</v>
      </c>
      <c r="C5432" t="s">
        <v>459</v>
      </c>
      <c r="D5432" t="e">
        <f>VLOOKUP(C5432,'lookup table'!$A$2:$B$19,2,FALSE)</f>
        <v>#N/A</v>
      </c>
      <c r="E5432" t="str">
        <f t="shared" si="84"/>
        <v/>
      </c>
    </row>
    <row r="5433" spans="1:5" x14ac:dyDescent="0.2">
      <c r="A5433" t="s">
        <v>1337</v>
      </c>
      <c r="B5433" t="s">
        <v>1336</v>
      </c>
      <c r="C5433" t="s">
        <v>460</v>
      </c>
      <c r="D5433" t="e">
        <f>VLOOKUP(C5433,'lookup table'!$A$2:$B$19,2,FALSE)</f>
        <v>#N/A</v>
      </c>
      <c r="E5433" t="str">
        <f t="shared" si="84"/>
        <v/>
      </c>
    </row>
    <row r="5434" spans="1:5" x14ac:dyDescent="0.2">
      <c r="A5434" t="s">
        <v>1337</v>
      </c>
      <c r="B5434" t="s">
        <v>1336</v>
      </c>
      <c r="C5434" t="s">
        <v>461</v>
      </c>
      <c r="D5434" t="str">
        <f>VLOOKUP(C5434,'lookup table'!$A$2:$B$19,2,FALSE)</f>
        <v>Posting Level</v>
      </c>
      <c r="E5434" t="str">
        <f t="shared" si="84"/>
        <v>DR3PSE_14|Posting Level</v>
      </c>
    </row>
    <row r="5435" spans="1:5" x14ac:dyDescent="0.2">
      <c r="A5435" t="s">
        <v>1337</v>
      </c>
      <c r="B5435" t="s">
        <v>1336</v>
      </c>
      <c r="C5435" t="s">
        <v>462</v>
      </c>
      <c r="D5435" t="e">
        <f>VLOOKUP(C5435,'lookup table'!$A$2:$B$19,2,FALSE)</f>
        <v>#N/A</v>
      </c>
      <c r="E5435" t="str">
        <f t="shared" si="84"/>
        <v/>
      </c>
    </row>
    <row r="5436" spans="1:5" x14ac:dyDescent="0.2">
      <c r="A5436" t="s">
        <v>1337</v>
      </c>
      <c r="B5436" t="s">
        <v>1336</v>
      </c>
      <c r="C5436" t="s">
        <v>463</v>
      </c>
      <c r="D5436" t="e">
        <f>VLOOKUP(C5436,'lookup table'!$A$2:$B$19,2,FALSE)</f>
        <v>#N/A</v>
      </c>
      <c r="E5436" t="str">
        <f t="shared" si="84"/>
        <v/>
      </c>
    </row>
    <row r="5437" spans="1:5" x14ac:dyDescent="0.2">
      <c r="A5437" t="s">
        <v>1337</v>
      </c>
      <c r="B5437" t="s">
        <v>1336</v>
      </c>
      <c r="C5437" t="s">
        <v>464</v>
      </c>
      <c r="D5437" t="e">
        <f>VLOOKUP(C5437,'lookup table'!$A$2:$B$19,2,FALSE)</f>
        <v>#N/A</v>
      </c>
      <c r="E5437" t="str">
        <f t="shared" si="84"/>
        <v/>
      </c>
    </row>
    <row r="5438" spans="1:5" x14ac:dyDescent="0.2">
      <c r="A5438" t="s">
        <v>1337</v>
      </c>
      <c r="B5438" t="s">
        <v>1336</v>
      </c>
      <c r="C5438" t="s">
        <v>465</v>
      </c>
      <c r="D5438" t="e">
        <f>VLOOKUP(C5438,'lookup table'!$A$2:$B$19,2,FALSE)</f>
        <v>#N/A</v>
      </c>
      <c r="E5438" t="str">
        <f t="shared" si="84"/>
        <v/>
      </c>
    </row>
    <row r="5439" spans="1:5" x14ac:dyDescent="0.2">
      <c r="A5439" t="s">
        <v>1338</v>
      </c>
      <c r="B5439" t="s">
        <v>1339</v>
      </c>
      <c r="C5439" t="s">
        <v>2</v>
      </c>
      <c r="D5439" t="e">
        <f>VLOOKUP(C5439,'lookup table'!$A$2:$B$19,2,FALSE)</f>
        <v>#N/A</v>
      </c>
      <c r="E5439" t="str">
        <f t="shared" si="84"/>
        <v/>
      </c>
    </row>
    <row r="5440" spans="1:5" x14ac:dyDescent="0.2">
      <c r="A5440" t="s">
        <v>1338</v>
      </c>
      <c r="B5440" t="s">
        <v>1339</v>
      </c>
      <c r="C5440" t="s">
        <v>5</v>
      </c>
      <c r="D5440" t="e">
        <f>VLOOKUP(C5440,'lookup table'!$A$2:$B$19,2,FALSE)</f>
        <v>#N/A</v>
      </c>
      <c r="E5440" t="str">
        <f t="shared" si="84"/>
        <v/>
      </c>
    </row>
    <row r="5441" spans="1:5" x14ac:dyDescent="0.2">
      <c r="A5441" t="s">
        <v>1338</v>
      </c>
      <c r="B5441" t="s">
        <v>1339</v>
      </c>
      <c r="C5441" t="s">
        <v>6</v>
      </c>
      <c r="D5441" t="e">
        <f>VLOOKUP(C5441,'lookup table'!$A$2:$B$19,2,FALSE)</f>
        <v>#N/A</v>
      </c>
      <c r="E5441" t="str">
        <f t="shared" si="84"/>
        <v/>
      </c>
    </row>
    <row r="5442" spans="1:5" x14ac:dyDescent="0.2">
      <c r="A5442" t="s">
        <v>1338</v>
      </c>
      <c r="B5442" t="s">
        <v>1339</v>
      </c>
      <c r="C5442" t="s">
        <v>9</v>
      </c>
      <c r="D5442" t="e">
        <f>VLOOKUP(C5442,'lookup table'!$A$2:$B$19,2,FALSE)</f>
        <v>#N/A</v>
      </c>
      <c r="E5442" t="str">
        <f t="shared" si="84"/>
        <v/>
      </c>
    </row>
    <row r="5443" spans="1:5" x14ac:dyDescent="0.2">
      <c r="A5443" t="s">
        <v>1338</v>
      </c>
      <c r="B5443" t="s">
        <v>1339</v>
      </c>
      <c r="C5443" t="s">
        <v>10</v>
      </c>
      <c r="D5443" t="e">
        <f>VLOOKUP(C5443,'lookup table'!$A$2:$B$19,2,FALSE)</f>
        <v>#N/A</v>
      </c>
      <c r="E5443" t="str">
        <f t="shared" ref="E5443:E5506" si="85">IF(ISNA(D5443),"",IF(A5443="","",A5443) &amp; "|" &amp; D5443)</f>
        <v/>
      </c>
    </row>
    <row r="5444" spans="1:5" x14ac:dyDescent="0.2">
      <c r="A5444" t="s">
        <v>1338</v>
      </c>
      <c r="B5444" t="s">
        <v>1339</v>
      </c>
      <c r="C5444" t="s">
        <v>11</v>
      </c>
      <c r="D5444" t="e">
        <f>VLOOKUP(C5444,'lookup table'!$A$2:$B$19,2,FALSE)</f>
        <v>#N/A</v>
      </c>
      <c r="E5444" t="str">
        <f t="shared" si="85"/>
        <v/>
      </c>
    </row>
    <row r="5445" spans="1:5" x14ac:dyDescent="0.2">
      <c r="A5445" t="s">
        <v>1338</v>
      </c>
      <c r="B5445" t="s">
        <v>1339</v>
      </c>
      <c r="C5445" t="s">
        <v>12</v>
      </c>
      <c r="D5445" t="e">
        <f>VLOOKUP(C5445,'lookup table'!$A$2:$B$19,2,FALSE)</f>
        <v>#N/A</v>
      </c>
      <c r="E5445" t="str">
        <f t="shared" si="85"/>
        <v/>
      </c>
    </row>
    <row r="5446" spans="1:5" x14ac:dyDescent="0.2">
      <c r="A5446" t="s">
        <v>1338</v>
      </c>
      <c r="B5446" t="s">
        <v>1339</v>
      </c>
      <c r="C5446" t="s">
        <v>14</v>
      </c>
      <c r="D5446" t="str">
        <f>VLOOKUP(C5446,'lookup table'!$A$2:$B$19,2,FALSE)</f>
        <v>ALC</v>
      </c>
      <c r="E5446" t="str">
        <f t="shared" si="85"/>
        <v>DR3REX_00|ALC</v>
      </c>
    </row>
    <row r="5447" spans="1:5" x14ac:dyDescent="0.2">
      <c r="A5447" t="s">
        <v>1338</v>
      </c>
      <c r="B5447" t="s">
        <v>1339</v>
      </c>
      <c r="C5447" t="s">
        <v>20</v>
      </c>
      <c r="D5447" t="str">
        <f>VLOOKUP(C5447,'lookup table'!$A$2:$B$19,2,FALSE)</f>
        <v>AY</v>
      </c>
      <c r="E5447" t="str">
        <f t="shared" si="85"/>
        <v>DR3REX_00|AY</v>
      </c>
    </row>
    <row r="5448" spans="1:5" x14ac:dyDescent="0.2">
      <c r="A5448" t="s">
        <v>1338</v>
      </c>
      <c r="B5448" t="s">
        <v>1339</v>
      </c>
      <c r="C5448" t="s">
        <v>324</v>
      </c>
      <c r="D5448" t="e">
        <f>VLOOKUP(C5448,'lookup table'!$A$2:$B$19,2,FALSE)</f>
        <v>#N/A</v>
      </c>
      <c r="E5448" t="str">
        <f t="shared" si="85"/>
        <v/>
      </c>
    </row>
    <row r="5449" spans="1:5" x14ac:dyDescent="0.2">
      <c r="A5449" t="s">
        <v>1338</v>
      </c>
      <c r="B5449" t="s">
        <v>1339</v>
      </c>
      <c r="C5449" t="s">
        <v>325</v>
      </c>
      <c r="D5449" t="e">
        <f>VLOOKUP(C5449,'lookup table'!$A$2:$B$19,2,FALSE)</f>
        <v>#N/A</v>
      </c>
      <c r="E5449" t="str">
        <f t="shared" si="85"/>
        <v/>
      </c>
    </row>
    <row r="5450" spans="1:5" x14ac:dyDescent="0.2">
      <c r="A5450" t="s">
        <v>1338</v>
      </c>
      <c r="B5450" t="s">
        <v>1339</v>
      </c>
      <c r="C5450" t="s">
        <v>326</v>
      </c>
      <c r="D5450" t="e">
        <f>VLOOKUP(C5450,'lookup table'!$A$2:$B$19,2,FALSE)</f>
        <v>#N/A</v>
      </c>
      <c r="E5450" t="str">
        <f t="shared" si="85"/>
        <v/>
      </c>
    </row>
    <row r="5451" spans="1:5" x14ac:dyDescent="0.2">
      <c r="A5451" t="s">
        <v>1338</v>
      </c>
      <c r="B5451" t="s">
        <v>1339</v>
      </c>
      <c r="C5451" t="s">
        <v>327</v>
      </c>
      <c r="D5451" t="e">
        <f>VLOOKUP(C5451,'lookup table'!$A$2:$B$19,2,FALSE)</f>
        <v>#N/A</v>
      </c>
      <c r="E5451" t="str">
        <f t="shared" si="85"/>
        <v/>
      </c>
    </row>
    <row r="5452" spans="1:5" x14ac:dyDescent="0.2">
      <c r="A5452" t="s">
        <v>1338</v>
      </c>
      <c r="B5452" t="s">
        <v>1339</v>
      </c>
      <c r="C5452" t="s">
        <v>328</v>
      </c>
      <c r="D5452" t="e">
        <f>VLOOKUP(C5452,'lookup table'!$A$2:$B$19,2,FALSE)</f>
        <v>#N/A</v>
      </c>
      <c r="E5452" t="str">
        <f t="shared" si="85"/>
        <v/>
      </c>
    </row>
    <row r="5453" spans="1:5" x14ac:dyDescent="0.2">
      <c r="A5453" t="s">
        <v>1338</v>
      </c>
      <c r="B5453" t="s">
        <v>1339</v>
      </c>
      <c r="C5453" t="s">
        <v>329</v>
      </c>
      <c r="D5453" t="e">
        <f>VLOOKUP(C5453,'lookup table'!$A$2:$B$19,2,FALSE)</f>
        <v>#N/A</v>
      </c>
      <c r="E5453" t="str">
        <f t="shared" si="85"/>
        <v/>
      </c>
    </row>
    <row r="5454" spans="1:5" x14ac:dyDescent="0.2">
      <c r="A5454" t="s">
        <v>1338</v>
      </c>
      <c r="B5454" t="s">
        <v>1339</v>
      </c>
      <c r="C5454" t="s">
        <v>331</v>
      </c>
      <c r="D5454" t="str">
        <f>VLOOKUP(C5454,'lookup table'!$A$2:$B$19,2,FALSE)</f>
        <v>FS Item</v>
      </c>
      <c r="E5454" t="str">
        <f t="shared" si="85"/>
        <v>DR3REX_00|FS Item</v>
      </c>
    </row>
    <row r="5455" spans="1:5" x14ac:dyDescent="0.2">
      <c r="A5455" t="s">
        <v>1338</v>
      </c>
      <c r="B5455" t="s">
        <v>1339</v>
      </c>
      <c r="C5455" t="s">
        <v>422</v>
      </c>
      <c r="D5455" t="e">
        <f>VLOOKUP(C5455,'lookup table'!$A$2:$B$19,2,FALSE)</f>
        <v>#N/A</v>
      </c>
      <c r="E5455" t="str">
        <f t="shared" si="85"/>
        <v/>
      </c>
    </row>
    <row r="5456" spans="1:5" x14ac:dyDescent="0.2">
      <c r="A5456" t="s">
        <v>1338</v>
      </c>
      <c r="B5456" t="s">
        <v>1339</v>
      </c>
      <c r="C5456" t="s">
        <v>423</v>
      </c>
      <c r="D5456" t="str">
        <f>VLOOKUP(C5456,'lookup table'!$A$2:$B$19,2,FALSE)</f>
        <v>ignore</v>
      </c>
      <c r="E5456" t="str">
        <f t="shared" si="85"/>
        <v>DR3REX_00|ignore</v>
      </c>
    </row>
    <row r="5457" spans="1:5" x14ac:dyDescent="0.2">
      <c r="A5457" t="s">
        <v>1338</v>
      </c>
      <c r="B5457" t="s">
        <v>1339</v>
      </c>
      <c r="C5457" t="s">
        <v>424</v>
      </c>
      <c r="D5457" t="str">
        <f>VLOOKUP(C5457,'lookup table'!$A$2:$B$19,2,FALSE)</f>
        <v>GRC</v>
      </c>
      <c r="E5457" t="str">
        <f t="shared" si="85"/>
        <v>DR3REX_00|GRC</v>
      </c>
    </row>
    <row r="5458" spans="1:5" x14ac:dyDescent="0.2">
      <c r="A5458" t="s">
        <v>1338</v>
      </c>
      <c r="B5458" t="s">
        <v>1339</v>
      </c>
      <c r="C5458" t="s">
        <v>425</v>
      </c>
      <c r="D5458" t="str">
        <f>VLOOKUP(C5458,'lookup table'!$A$2:$B$19,2,FALSE)</f>
        <v>Investee Segment</v>
      </c>
      <c r="E5458" t="str">
        <f t="shared" si="85"/>
        <v>DR3REX_00|Investee Segment</v>
      </c>
    </row>
    <row r="5459" spans="1:5" x14ac:dyDescent="0.2">
      <c r="A5459" t="s">
        <v>1338</v>
      </c>
      <c r="B5459" t="s">
        <v>1339</v>
      </c>
      <c r="C5459" t="s">
        <v>426</v>
      </c>
      <c r="D5459" t="str">
        <f>VLOOKUP(C5459,'lookup table'!$A$2:$B$19,2,FALSE)</f>
        <v>Investee Unit</v>
      </c>
      <c r="E5459" t="str">
        <f t="shared" si="85"/>
        <v>DR3REX_00|Investee Unit</v>
      </c>
    </row>
    <row r="5460" spans="1:5" x14ac:dyDescent="0.2">
      <c r="A5460" t="s">
        <v>1338</v>
      </c>
      <c r="B5460" t="s">
        <v>1339</v>
      </c>
      <c r="C5460" t="s">
        <v>428</v>
      </c>
      <c r="D5460" t="str">
        <f>VLOOKUP(C5460,'lookup table'!$A$2:$B$19,2,FALSE)</f>
        <v>LoB</v>
      </c>
      <c r="E5460" t="str">
        <f t="shared" si="85"/>
        <v>DR3REX_00|LoB</v>
      </c>
    </row>
    <row r="5461" spans="1:5" x14ac:dyDescent="0.2">
      <c r="A5461" t="s">
        <v>1338</v>
      </c>
      <c r="B5461" t="s">
        <v>1339</v>
      </c>
      <c r="C5461" t="s">
        <v>436</v>
      </c>
      <c r="D5461" t="str">
        <f>VLOOKUP(C5461,'lookup table'!$A$2:$B$19,2,FALSE)</f>
        <v>MAT</v>
      </c>
      <c r="E5461" t="str">
        <f t="shared" si="85"/>
        <v>DR3REX_00|MAT</v>
      </c>
    </row>
    <row r="5462" spans="1:5" x14ac:dyDescent="0.2">
      <c r="A5462" t="s">
        <v>1338</v>
      </c>
      <c r="B5462" t="s">
        <v>1339</v>
      </c>
      <c r="C5462" t="s">
        <v>438</v>
      </c>
      <c r="D5462" t="str">
        <f>VLOOKUP(C5462,'lookup table'!$A$2:$B$19,2,FALSE)</f>
        <v>ToM</v>
      </c>
      <c r="E5462" t="str">
        <f t="shared" si="85"/>
        <v>DR3REX_00|ToM</v>
      </c>
    </row>
    <row r="5463" spans="1:5" x14ac:dyDescent="0.2">
      <c r="A5463" t="s">
        <v>1338</v>
      </c>
      <c r="B5463" t="s">
        <v>1339</v>
      </c>
      <c r="C5463" t="s">
        <v>441</v>
      </c>
      <c r="D5463" t="str">
        <f>VLOOKUP(C5463,'lookup table'!$A$2:$B$19,2,FALSE)</f>
        <v>Partner Segment</v>
      </c>
      <c r="E5463" t="str">
        <f t="shared" si="85"/>
        <v>DR3REX_00|Partner Segment</v>
      </c>
    </row>
    <row r="5464" spans="1:5" x14ac:dyDescent="0.2">
      <c r="A5464" t="s">
        <v>1338</v>
      </c>
      <c r="B5464" t="s">
        <v>1339</v>
      </c>
      <c r="C5464" t="s">
        <v>442</v>
      </c>
      <c r="D5464" t="str">
        <f>VLOOKUP(C5464,'lookup table'!$A$2:$B$19,2,FALSE)</f>
        <v>Partner Unit</v>
      </c>
      <c r="E5464" t="str">
        <f t="shared" si="85"/>
        <v>DR3REX_00|Partner Unit</v>
      </c>
    </row>
    <row r="5465" spans="1:5" x14ac:dyDescent="0.2">
      <c r="A5465" t="s">
        <v>1338</v>
      </c>
      <c r="B5465" t="s">
        <v>1339</v>
      </c>
      <c r="C5465" t="s">
        <v>447</v>
      </c>
      <c r="D5465" t="str">
        <f>VLOOKUP(C5465,'lookup table'!$A$2:$B$19,2,FALSE)</f>
        <v>REX</v>
      </c>
      <c r="E5465" t="str">
        <f t="shared" si="85"/>
        <v>DR3REX_00|REX</v>
      </c>
    </row>
    <row r="5466" spans="1:5" x14ac:dyDescent="0.2">
      <c r="A5466" t="s">
        <v>1338</v>
      </c>
      <c r="B5466" t="s">
        <v>1339</v>
      </c>
      <c r="C5466" t="s">
        <v>448</v>
      </c>
      <c r="D5466" t="e">
        <f>VLOOKUP(C5466,'lookup table'!$A$2:$B$19,2,FALSE)</f>
        <v>#N/A</v>
      </c>
      <c r="E5466" t="str">
        <f t="shared" si="85"/>
        <v/>
      </c>
    </row>
    <row r="5467" spans="1:5" x14ac:dyDescent="0.2">
      <c r="A5467" t="s">
        <v>1338</v>
      </c>
      <c r="B5467" t="s">
        <v>1339</v>
      </c>
      <c r="C5467" t="s">
        <v>449</v>
      </c>
      <c r="D5467" t="e">
        <f>VLOOKUP(C5467,'lookup table'!$A$2:$B$19,2,FALSE)</f>
        <v>#N/A</v>
      </c>
      <c r="E5467" t="str">
        <f t="shared" si="85"/>
        <v/>
      </c>
    </row>
    <row r="5468" spans="1:5" x14ac:dyDescent="0.2">
      <c r="A5468" t="s">
        <v>1338</v>
      </c>
      <c r="B5468" t="s">
        <v>1339</v>
      </c>
      <c r="C5468" t="s">
        <v>451</v>
      </c>
      <c r="D5468" t="str">
        <f>VLOOKUP(C5468,'lookup table'!$A$2:$B$19,2,FALSE)</f>
        <v>Segment</v>
      </c>
      <c r="E5468" t="str">
        <f t="shared" si="85"/>
        <v>DR3REX_00|Segment</v>
      </c>
    </row>
    <row r="5469" spans="1:5" x14ac:dyDescent="0.2">
      <c r="A5469" t="s">
        <v>1338</v>
      </c>
      <c r="B5469" t="s">
        <v>1339</v>
      </c>
      <c r="C5469" t="s">
        <v>455</v>
      </c>
      <c r="D5469" t="e">
        <f>VLOOKUP(C5469,'lookup table'!$A$2:$B$19,2,FALSE)</f>
        <v>#N/A</v>
      </c>
      <c r="E5469" t="str">
        <f t="shared" si="85"/>
        <v/>
      </c>
    </row>
    <row r="5470" spans="1:5" x14ac:dyDescent="0.2">
      <c r="A5470" t="s">
        <v>1338</v>
      </c>
      <c r="B5470" t="s">
        <v>1339</v>
      </c>
      <c r="C5470" t="s">
        <v>456</v>
      </c>
      <c r="D5470" t="e">
        <f>VLOOKUP(C5470,'lookup table'!$A$2:$B$19,2,FALSE)</f>
        <v>#N/A</v>
      </c>
      <c r="E5470" t="str">
        <f t="shared" si="85"/>
        <v/>
      </c>
    </row>
    <row r="5471" spans="1:5" x14ac:dyDescent="0.2">
      <c r="A5471" t="s">
        <v>1338</v>
      </c>
      <c r="B5471" t="s">
        <v>1339</v>
      </c>
      <c r="C5471" t="s">
        <v>457</v>
      </c>
      <c r="D5471" t="str">
        <f>VLOOKUP(C5471,'lookup table'!$A$2:$B$19,2,FALSE)</f>
        <v>VLT</v>
      </c>
      <c r="E5471" t="str">
        <f t="shared" si="85"/>
        <v>DR3REX_00|VLT</v>
      </c>
    </row>
    <row r="5472" spans="1:5" x14ac:dyDescent="0.2">
      <c r="A5472" t="s">
        <v>1338</v>
      </c>
      <c r="B5472" t="s">
        <v>1339</v>
      </c>
      <c r="C5472" t="s">
        <v>458</v>
      </c>
      <c r="D5472" t="str">
        <f>VLOOKUP(C5472,'lookup table'!$A$2:$B$19,2,FALSE)</f>
        <v>VAR</v>
      </c>
      <c r="E5472" t="str">
        <f t="shared" si="85"/>
        <v>DR3REX_00|VAR</v>
      </c>
    </row>
    <row r="5473" spans="1:5" x14ac:dyDescent="0.2">
      <c r="A5473" t="s">
        <v>1338</v>
      </c>
      <c r="B5473" t="s">
        <v>1339</v>
      </c>
      <c r="C5473" t="s">
        <v>459</v>
      </c>
      <c r="D5473" t="e">
        <f>VLOOKUP(C5473,'lookup table'!$A$2:$B$19,2,FALSE)</f>
        <v>#N/A</v>
      </c>
      <c r="E5473" t="str">
        <f t="shared" si="85"/>
        <v/>
      </c>
    </row>
    <row r="5474" spans="1:5" x14ac:dyDescent="0.2">
      <c r="A5474" t="s">
        <v>1338</v>
      </c>
      <c r="B5474" t="s">
        <v>1339</v>
      </c>
      <c r="C5474" t="s">
        <v>460</v>
      </c>
      <c r="D5474" t="e">
        <f>VLOOKUP(C5474,'lookup table'!$A$2:$B$19,2,FALSE)</f>
        <v>#N/A</v>
      </c>
      <c r="E5474" t="str">
        <f t="shared" si="85"/>
        <v/>
      </c>
    </row>
    <row r="5475" spans="1:5" x14ac:dyDescent="0.2">
      <c r="A5475" t="s">
        <v>1338</v>
      </c>
      <c r="B5475" t="s">
        <v>1339</v>
      </c>
      <c r="C5475" t="s">
        <v>461</v>
      </c>
      <c r="D5475" t="str">
        <f>VLOOKUP(C5475,'lookup table'!$A$2:$B$19,2,FALSE)</f>
        <v>Posting Level</v>
      </c>
      <c r="E5475" t="str">
        <f t="shared" si="85"/>
        <v>DR3REX_00|Posting Level</v>
      </c>
    </row>
    <row r="5476" spans="1:5" x14ac:dyDescent="0.2">
      <c r="A5476" t="s">
        <v>1338</v>
      </c>
      <c r="B5476" t="s">
        <v>1339</v>
      </c>
      <c r="C5476" t="s">
        <v>462</v>
      </c>
      <c r="D5476" t="e">
        <f>VLOOKUP(C5476,'lookup table'!$A$2:$B$19,2,FALSE)</f>
        <v>#N/A</v>
      </c>
      <c r="E5476" t="str">
        <f t="shared" si="85"/>
        <v/>
      </c>
    </row>
    <row r="5477" spans="1:5" x14ac:dyDescent="0.2">
      <c r="A5477" t="s">
        <v>1338</v>
      </c>
      <c r="B5477" t="s">
        <v>1339</v>
      </c>
      <c r="C5477" t="s">
        <v>463</v>
      </c>
      <c r="D5477" t="e">
        <f>VLOOKUP(C5477,'lookup table'!$A$2:$B$19,2,FALSE)</f>
        <v>#N/A</v>
      </c>
      <c r="E5477" t="str">
        <f t="shared" si="85"/>
        <v/>
      </c>
    </row>
    <row r="5478" spans="1:5" x14ac:dyDescent="0.2">
      <c r="A5478" t="s">
        <v>1338</v>
      </c>
      <c r="B5478" t="s">
        <v>1339</v>
      </c>
      <c r="C5478" t="s">
        <v>464</v>
      </c>
      <c r="D5478" t="e">
        <f>VLOOKUP(C5478,'lookup table'!$A$2:$B$19,2,FALSE)</f>
        <v>#N/A</v>
      </c>
      <c r="E5478" t="str">
        <f t="shared" si="85"/>
        <v/>
      </c>
    </row>
    <row r="5479" spans="1:5" x14ac:dyDescent="0.2">
      <c r="A5479" t="s">
        <v>1338</v>
      </c>
      <c r="B5479" t="s">
        <v>1339</v>
      </c>
      <c r="C5479" t="s">
        <v>465</v>
      </c>
      <c r="D5479" t="e">
        <f>VLOOKUP(C5479,'lookup table'!$A$2:$B$19,2,FALSE)</f>
        <v>#N/A</v>
      </c>
      <c r="E5479" t="str">
        <f t="shared" si="85"/>
        <v/>
      </c>
    </row>
    <row r="5480" spans="1:5" x14ac:dyDescent="0.2">
      <c r="A5480" t="s">
        <v>1340</v>
      </c>
      <c r="B5480" t="s">
        <v>1341</v>
      </c>
      <c r="C5480" t="s">
        <v>2</v>
      </c>
      <c r="D5480" t="e">
        <f>VLOOKUP(C5480,'lookup table'!$A$2:$B$19,2,FALSE)</f>
        <v>#N/A</v>
      </c>
      <c r="E5480" t="str">
        <f t="shared" si="85"/>
        <v/>
      </c>
    </row>
    <row r="5481" spans="1:5" x14ac:dyDescent="0.2">
      <c r="A5481" t="s">
        <v>1340</v>
      </c>
      <c r="B5481" t="s">
        <v>1341</v>
      </c>
      <c r="C5481" t="s">
        <v>5</v>
      </c>
      <c r="D5481" t="e">
        <f>VLOOKUP(C5481,'lookup table'!$A$2:$B$19,2,FALSE)</f>
        <v>#N/A</v>
      </c>
      <c r="E5481" t="str">
        <f t="shared" si="85"/>
        <v/>
      </c>
    </row>
    <row r="5482" spans="1:5" x14ac:dyDescent="0.2">
      <c r="A5482" t="s">
        <v>1340</v>
      </c>
      <c r="B5482" t="s">
        <v>1341</v>
      </c>
      <c r="C5482" t="s">
        <v>6</v>
      </c>
      <c r="D5482" t="e">
        <f>VLOOKUP(C5482,'lookup table'!$A$2:$B$19,2,FALSE)</f>
        <v>#N/A</v>
      </c>
      <c r="E5482" t="str">
        <f t="shared" si="85"/>
        <v/>
      </c>
    </row>
    <row r="5483" spans="1:5" x14ac:dyDescent="0.2">
      <c r="A5483" t="s">
        <v>1340</v>
      </c>
      <c r="B5483" t="s">
        <v>1341</v>
      </c>
      <c r="C5483" t="s">
        <v>9</v>
      </c>
      <c r="D5483" t="e">
        <f>VLOOKUP(C5483,'lookup table'!$A$2:$B$19,2,FALSE)</f>
        <v>#N/A</v>
      </c>
      <c r="E5483" t="str">
        <f t="shared" si="85"/>
        <v/>
      </c>
    </row>
    <row r="5484" spans="1:5" x14ac:dyDescent="0.2">
      <c r="A5484" t="s">
        <v>1340</v>
      </c>
      <c r="B5484" t="s">
        <v>1341</v>
      </c>
      <c r="C5484" t="s">
        <v>10</v>
      </c>
      <c r="D5484" t="e">
        <f>VLOOKUP(C5484,'lookup table'!$A$2:$B$19,2,FALSE)</f>
        <v>#N/A</v>
      </c>
      <c r="E5484" t="str">
        <f t="shared" si="85"/>
        <v/>
      </c>
    </row>
    <row r="5485" spans="1:5" x14ac:dyDescent="0.2">
      <c r="A5485" t="s">
        <v>1340</v>
      </c>
      <c r="B5485" t="s">
        <v>1341</v>
      </c>
      <c r="C5485" t="s">
        <v>11</v>
      </c>
      <c r="D5485" t="e">
        <f>VLOOKUP(C5485,'lookup table'!$A$2:$B$19,2,FALSE)</f>
        <v>#N/A</v>
      </c>
      <c r="E5485" t="str">
        <f t="shared" si="85"/>
        <v/>
      </c>
    </row>
    <row r="5486" spans="1:5" x14ac:dyDescent="0.2">
      <c r="A5486" t="s">
        <v>1340</v>
      </c>
      <c r="B5486" t="s">
        <v>1341</v>
      </c>
      <c r="C5486" t="s">
        <v>12</v>
      </c>
      <c r="D5486" t="e">
        <f>VLOOKUP(C5486,'lookup table'!$A$2:$B$19,2,FALSE)</f>
        <v>#N/A</v>
      </c>
      <c r="E5486" t="str">
        <f t="shared" si="85"/>
        <v/>
      </c>
    </row>
    <row r="5487" spans="1:5" x14ac:dyDescent="0.2">
      <c r="A5487" t="s">
        <v>1340</v>
      </c>
      <c r="B5487" t="s">
        <v>1341</v>
      </c>
      <c r="C5487" t="s">
        <v>14</v>
      </c>
      <c r="D5487" t="str">
        <f>VLOOKUP(C5487,'lookup table'!$A$2:$B$19,2,FALSE)</f>
        <v>ALC</v>
      </c>
      <c r="E5487" t="str">
        <f t="shared" si="85"/>
        <v>DR3TOM_00|ALC</v>
      </c>
    </row>
    <row r="5488" spans="1:5" x14ac:dyDescent="0.2">
      <c r="A5488" t="s">
        <v>1340</v>
      </c>
      <c r="B5488" t="s">
        <v>1341</v>
      </c>
      <c r="C5488" t="s">
        <v>20</v>
      </c>
      <c r="D5488" t="str">
        <f>VLOOKUP(C5488,'lookup table'!$A$2:$B$19,2,FALSE)</f>
        <v>AY</v>
      </c>
      <c r="E5488" t="str">
        <f t="shared" si="85"/>
        <v>DR3TOM_00|AY</v>
      </c>
    </row>
    <row r="5489" spans="1:5" x14ac:dyDescent="0.2">
      <c r="A5489" t="s">
        <v>1340</v>
      </c>
      <c r="B5489" t="s">
        <v>1341</v>
      </c>
      <c r="C5489" t="s">
        <v>324</v>
      </c>
      <c r="D5489" t="e">
        <f>VLOOKUP(C5489,'lookup table'!$A$2:$B$19,2,FALSE)</f>
        <v>#N/A</v>
      </c>
      <c r="E5489" t="str">
        <f t="shared" si="85"/>
        <v/>
      </c>
    </row>
    <row r="5490" spans="1:5" x14ac:dyDescent="0.2">
      <c r="A5490" t="s">
        <v>1340</v>
      </c>
      <c r="B5490" t="s">
        <v>1341</v>
      </c>
      <c r="C5490" t="s">
        <v>325</v>
      </c>
      <c r="D5490" t="e">
        <f>VLOOKUP(C5490,'lookup table'!$A$2:$B$19,2,FALSE)</f>
        <v>#N/A</v>
      </c>
      <c r="E5490" t="str">
        <f t="shared" si="85"/>
        <v/>
      </c>
    </row>
    <row r="5491" spans="1:5" x14ac:dyDescent="0.2">
      <c r="A5491" t="s">
        <v>1340</v>
      </c>
      <c r="B5491" t="s">
        <v>1341</v>
      </c>
      <c r="C5491" t="s">
        <v>326</v>
      </c>
      <c r="D5491" t="e">
        <f>VLOOKUP(C5491,'lookup table'!$A$2:$B$19,2,FALSE)</f>
        <v>#N/A</v>
      </c>
      <c r="E5491" t="str">
        <f t="shared" si="85"/>
        <v/>
      </c>
    </row>
    <row r="5492" spans="1:5" x14ac:dyDescent="0.2">
      <c r="A5492" t="s">
        <v>1340</v>
      </c>
      <c r="B5492" t="s">
        <v>1341</v>
      </c>
      <c r="C5492" t="s">
        <v>327</v>
      </c>
      <c r="D5492" t="e">
        <f>VLOOKUP(C5492,'lookup table'!$A$2:$B$19,2,FALSE)</f>
        <v>#N/A</v>
      </c>
      <c r="E5492" t="str">
        <f t="shared" si="85"/>
        <v/>
      </c>
    </row>
    <row r="5493" spans="1:5" x14ac:dyDescent="0.2">
      <c r="A5493" t="s">
        <v>1340</v>
      </c>
      <c r="B5493" t="s">
        <v>1341</v>
      </c>
      <c r="C5493" t="s">
        <v>328</v>
      </c>
      <c r="D5493" t="e">
        <f>VLOOKUP(C5493,'lookup table'!$A$2:$B$19,2,FALSE)</f>
        <v>#N/A</v>
      </c>
      <c r="E5493" t="str">
        <f t="shared" si="85"/>
        <v/>
      </c>
    </row>
    <row r="5494" spans="1:5" x14ac:dyDescent="0.2">
      <c r="A5494" t="s">
        <v>1340</v>
      </c>
      <c r="B5494" t="s">
        <v>1341</v>
      </c>
      <c r="C5494" t="s">
        <v>329</v>
      </c>
      <c r="D5494" t="e">
        <f>VLOOKUP(C5494,'lookup table'!$A$2:$B$19,2,FALSE)</f>
        <v>#N/A</v>
      </c>
      <c r="E5494" t="str">
        <f t="shared" si="85"/>
        <v/>
      </c>
    </row>
    <row r="5495" spans="1:5" x14ac:dyDescent="0.2">
      <c r="A5495" t="s">
        <v>1340</v>
      </c>
      <c r="B5495" t="s">
        <v>1341</v>
      </c>
      <c r="C5495" t="s">
        <v>331</v>
      </c>
      <c r="D5495" t="str">
        <f>VLOOKUP(C5495,'lookup table'!$A$2:$B$19,2,FALSE)</f>
        <v>FS Item</v>
      </c>
      <c r="E5495" t="str">
        <f t="shared" si="85"/>
        <v>DR3TOM_00|FS Item</v>
      </c>
    </row>
    <row r="5496" spans="1:5" x14ac:dyDescent="0.2">
      <c r="A5496" t="s">
        <v>1340</v>
      </c>
      <c r="B5496" t="s">
        <v>1341</v>
      </c>
      <c r="C5496" t="s">
        <v>422</v>
      </c>
      <c r="D5496" t="e">
        <f>VLOOKUP(C5496,'lookup table'!$A$2:$B$19,2,FALSE)</f>
        <v>#N/A</v>
      </c>
      <c r="E5496" t="str">
        <f t="shared" si="85"/>
        <v/>
      </c>
    </row>
    <row r="5497" spans="1:5" x14ac:dyDescent="0.2">
      <c r="A5497" t="s">
        <v>1340</v>
      </c>
      <c r="B5497" t="s">
        <v>1341</v>
      </c>
      <c r="C5497" t="s">
        <v>423</v>
      </c>
      <c r="D5497" t="str">
        <f>VLOOKUP(C5497,'lookup table'!$A$2:$B$19,2,FALSE)</f>
        <v>ignore</v>
      </c>
      <c r="E5497" t="str">
        <f t="shared" si="85"/>
        <v>DR3TOM_00|ignore</v>
      </c>
    </row>
    <row r="5498" spans="1:5" x14ac:dyDescent="0.2">
      <c r="A5498" t="s">
        <v>1340</v>
      </c>
      <c r="B5498" t="s">
        <v>1341</v>
      </c>
      <c r="C5498" t="s">
        <v>424</v>
      </c>
      <c r="D5498" t="str">
        <f>VLOOKUP(C5498,'lookup table'!$A$2:$B$19,2,FALSE)</f>
        <v>GRC</v>
      </c>
      <c r="E5498" t="str">
        <f t="shared" si="85"/>
        <v>DR3TOM_00|GRC</v>
      </c>
    </row>
    <row r="5499" spans="1:5" x14ac:dyDescent="0.2">
      <c r="A5499" t="s">
        <v>1340</v>
      </c>
      <c r="B5499" t="s">
        <v>1341</v>
      </c>
      <c r="C5499" t="s">
        <v>425</v>
      </c>
      <c r="D5499" t="str">
        <f>VLOOKUP(C5499,'lookup table'!$A$2:$B$19,2,FALSE)</f>
        <v>Investee Segment</v>
      </c>
      <c r="E5499" t="str">
        <f t="shared" si="85"/>
        <v>DR3TOM_00|Investee Segment</v>
      </c>
    </row>
    <row r="5500" spans="1:5" x14ac:dyDescent="0.2">
      <c r="A5500" t="s">
        <v>1340</v>
      </c>
      <c r="B5500" t="s">
        <v>1341</v>
      </c>
      <c r="C5500" t="s">
        <v>426</v>
      </c>
      <c r="D5500" t="str">
        <f>VLOOKUP(C5500,'lookup table'!$A$2:$B$19,2,FALSE)</f>
        <v>Investee Unit</v>
      </c>
      <c r="E5500" t="str">
        <f t="shared" si="85"/>
        <v>DR3TOM_00|Investee Unit</v>
      </c>
    </row>
    <row r="5501" spans="1:5" x14ac:dyDescent="0.2">
      <c r="A5501" t="s">
        <v>1340</v>
      </c>
      <c r="B5501" t="s">
        <v>1341</v>
      </c>
      <c r="C5501" t="s">
        <v>428</v>
      </c>
      <c r="D5501" t="str">
        <f>VLOOKUP(C5501,'lookup table'!$A$2:$B$19,2,FALSE)</f>
        <v>LoB</v>
      </c>
      <c r="E5501" t="str">
        <f t="shared" si="85"/>
        <v>DR3TOM_00|LoB</v>
      </c>
    </row>
    <row r="5502" spans="1:5" x14ac:dyDescent="0.2">
      <c r="A5502" t="s">
        <v>1340</v>
      </c>
      <c r="B5502" t="s">
        <v>1341</v>
      </c>
      <c r="C5502" t="s">
        <v>436</v>
      </c>
      <c r="D5502" t="str">
        <f>VLOOKUP(C5502,'lookup table'!$A$2:$B$19,2,FALSE)</f>
        <v>MAT</v>
      </c>
      <c r="E5502" t="str">
        <f t="shared" si="85"/>
        <v>DR3TOM_00|MAT</v>
      </c>
    </row>
    <row r="5503" spans="1:5" x14ac:dyDescent="0.2">
      <c r="A5503" t="s">
        <v>1340</v>
      </c>
      <c r="B5503" t="s">
        <v>1341</v>
      </c>
      <c r="C5503" t="s">
        <v>438</v>
      </c>
      <c r="D5503" t="str">
        <f>VLOOKUP(C5503,'lookup table'!$A$2:$B$19,2,FALSE)</f>
        <v>ToM</v>
      </c>
      <c r="E5503" t="str">
        <f t="shared" si="85"/>
        <v>DR3TOM_00|ToM</v>
      </c>
    </row>
    <row r="5504" spans="1:5" x14ac:dyDescent="0.2">
      <c r="A5504" t="s">
        <v>1340</v>
      </c>
      <c r="B5504" t="s">
        <v>1341</v>
      </c>
      <c r="C5504" t="s">
        <v>441</v>
      </c>
      <c r="D5504" t="str">
        <f>VLOOKUP(C5504,'lookup table'!$A$2:$B$19,2,FALSE)</f>
        <v>Partner Segment</v>
      </c>
      <c r="E5504" t="str">
        <f t="shared" si="85"/>
        <v>DR3TOM_00|Partner Segment</v>
      </c>
    </row>
    <row r="5505" spans="1:5" x14ac:dyDescent="0.2">
      <c r="A5505" t="s">
        <v>1340</v>
      </c>
      <c r="B5505" t="s">
        <v>1341</v>
      </c>
      <c r="C5505" t="s">
        <v>442</v>
      </c>
      <c r="D5505" t="str">
        <f>VLOOKUP(C5505,'lookup table'!$A$2:$B$19,2,FALSE)</f>
        <v>Partner Unit</v>
      </c>
      <c r="E5505" t="str">
        <f t="shared" si="85"/>
        <v>DR3TOM_00|Partner Unit</v>
      </c>
    </row>
    <row r="5506" spans="1:5" x14ac:dyDescent="0.2">
      <c r="A5506" t="s">
        <v>1340</v>
      </c>
      <c r="B5506" t="s">
        <v>1341</v>
      </c>
      <c r="C5506" t="s">
        <v>447</v>
      </c>
      <c r="D5506" t="str">
        <f>VLOOKUP(C5506,'lookup table'!$A$2:$B$19,2,FALSE)</f>
        <v>REX</v>
      </c>
      <c r="E5506" t="str">
        <f t="shared" si="85"/>
        <v>DR3TOM_00|REX</v>
      </c>
    </row>
    <row r="5507" spans="1:5" x14ac:dyDescent="0.2">
      <c r="A5507" t="s">
        <v>1340</v>
      </c>
      <c r="B5507" t="s">
        <v>1341</v>
      </c>
      <c r="C5507" t="s">
        <v>448</v>
      </c>
      <c r="D5507" t="e">
        <f>VLOOKUP(C5507,'lookup table'!$A$2:$B$19,2,FALSE)</f>
        <v>#N/A</v>
      </c>
      <c r="E5507" t="str">
        <f t="shared" ref="E5507:E5570" si="86">IF(ISNA(D5507),"",IF(A5507="","",A5507) &amp; "|" &amp; D5507)</f>
        <v/>
      </c>
    </row>
    <row r="5508" spans="1:5" x14ac:dyDescent="0.2">
      <c r="A5508" t="s">
        <v>1340</v>
      </c>
      <c r="B5508" t="s">
        <v>1341</v>
      </c>
      <c r="C5508" t="s">
        <v>449</v>
      </c>
      <c r="D5508" t="e">
        <f>VLOOKUP(C5508,'lookup table'!$A$2:$B$19,2,FALSE)</f>
        <v>#N/A</v>
      </c>
      <c r="E5508" t="str">
        <f t="shared" si="86"/>
        <v/>
      </c>
    </row>
    <row r="5509" spans="1:5" x14ac:dyDescent="0.2">
      <c r="A5509" t="s">
        <v>1340</v>
      </c>
      <c r="B5509" t="s">
        <v>1341</v>
      </c>
      <c r="C5509" t="s">
        <v>451</v>
      </c>
      <c r="D5509" t="str">
        <f>VLOOKUP(C5509,'lookup table'!$A$2:$B$19,2,FALSE)</f>
        <v>Segment</v>
      </c>
      <c r="E5509" t="str">
        <f t="shared" si="86"/>
        <v>DR3TOM_00|Segment</v>
      </c>
    </row>
    <row r="5510" spans="1:5" x14ac:dyDescent="0.2">
      <c r="A5510" t="s">
        <v>1340</v>
      </c>
      <c r="B5510" t="s">
        <v>1341</v>
      </c>
      <c r="C5510" t="s">
        <v>455</v>
      </c>
      <c r="D5510" t="e">
        <f>VLOOKUP(C5510,'lookup table'!$A$2:$B$19,2,FALSE)</f>
        <v>#N/A</v>
      </c>
      <c r="E5510" t="str">
        <f t="shared" si="86"/>
        <v/>
      </c>
    </row>
    <row r="5511" spans="1:5" x14ac:dyDescent="0.2">
      <c r="A5511" t="s">
        <v>1340</v>
      </c>
      <c r="B5511" t="s">
        <v>1341</v>
      </c>
      <c r="C5511" t="s">
        <v>456</v>
      </c>
      <c r="D5511" t="e">
        <f>VLOOKUP(C5511,'lookup table'!$A$2:$B$19,2,FALSE)</f>
        <v>#N/A</v>
      </c>
      <c r="E5511" t="str">
        <f t="shared" si="86"/>
        <v/>
      </c>
    </row>
    <row r="5512" spans="1:5" x14ac:dyDescent="0.2">
      <c r="A5512" t="s">
        <v>1340</v>
      </c>
      <c r="B5512" t="s">
        <v>1341</v>
      </c>
      <c r="C5512" t="s">
        <v>457</v>
      </c>
      <c r="D5512" t="str">
        <f>VLOOKUP(C5512,'lookup table'!$A$2:$B$19,2,FALSE)</f>
        <v>VLT</v>
      </c>
      <c r="E5512" t="str">
        <f t="shared" si="86"/>
        <v>DR3TOM_00|VLT</v>
      </c>
    </row>
    <row r="5513" spans="1:5" x14ac:dyDescent="0.2">
      <c r="A5513" t="s">
        <v>1340</v>
      </c>
      <c r="B5513" t="s">
        <v>1341</v>
      </c>
      <c r="C5513" t="s">
        <v>458</v>
      </c>
      <c r="D5513" t="str">
        <f>VLOOKUP(C5513,'lookup table'!$A$2:$B$19,2,FALSE)</f>
        <v>VAR</v>
      </c>
      <c r="E5513" t="str">
        <f t="shared" si="86"/>
        <v>DR3TOM_00|VAR</v>
      </c>
    </row>
    <row r="5514" spans="1:5" x14ac:dyDescent="0.2">
      <c r="A5514" t="s">
        <v>1340</v>
      </c>
      <c r="B5514" t="s">
        <v>1341</v>
      </c>
      <c r="C5514" t="s">
        <v>459</v>
      </c>
      <c r="D5514" t="e">
        <f>VLOOKUP(C5514,'lookup table'!$A$2:$B$19,2,FALSE)</f>
        <v>#N/A</v>
      </c>
      <c r="E5514" t="str">
        <f t="shared" si="86"/>
        <v/>
      </c>
    </row>
    <row r="5515" spans="1:5" x14ac:dyDescent="0.2">
      <c r="A5515" t="s">
        <v>1340</v>
      </c>
      <c r="B5515" t="s">
        <v>1341</v>
      </c>
      <c r="C5515" t="s">
        <v>460</v>
      </c>
      <c r="D5515" t="e">
        <f>VLOOKUP(C5515,'lookup table'!$A$2:$B$19,2,FALSE)</f>
        <v>#N/A</v>
      </c>
      <c r="E5515" t="str">
        <f t="shared" si="86"/>
        <v/>
      </c>
    </row>
    <row r="5516" spans="1:5" x14ac:dyDescent="0.2">
      <c r="A5516" t="s">
        <v>1340</v>
      </c>
      <c r="B5516" t="s">
        <v>1341</v>
      </c>
      <c r="C5516" t="s">
        <v>461</v>
      </c>
      <c r="D5516" t="str">
        <f>VLOOKUP(C5516,'lookup table'!$A$2:$B$19,2,FALSE)</f>
        <v>Posting Level</v>
      </c>
      <c r="E5516" t="str">
        <f t="shared" si="86"/>
        <v>DR3TOM_00|Posting Level</v>
      </c>
    </row>
    <row r="5517" spans="1:5" x14ac:dyDescent="0.2">
      <c r="A5517" t="s">
        <v>1340</v>
      </c>
      <c r="B5517" t="s">
        <v>1341</v>
      </c>
      <c r="C5517" t="s">
        <v>462</v>
      </c>
      <c r="D5517" t="e">
        <f>VLOOKUP(C5517,'lookup table'!$A$2:$B$19,2,FALSE)</f>
        <v>#N/A</v>
      </c>
      <c r="E5517" t="str">
        <f t="shared" si="86"/>
        <v/>
      </c>
    </row>
    <row r="5518" spans="1:5" x14ac:dyDescent="0.2">
      <c r="A5518" t="s">
        <v>1340</v>
      </c>
      <c r="B5518" t="s">
        <v>1341</v>
      </c>
      <c r="C5518" t="s">
        <v>463</v>
      </c>
      <c r="D5518" t="e">
        <f>VLOOKUP(C5518,'lookup table'!$A$2:$B$19,2,FALSE)</f>
        <v>#N/A</v>
      </c>
      <c r="E5518" t="str">
        <f t="shared" si="86"/>
        <v/>
      </c>
    </row>
    <row r="5519" spans="1:5" x14ac:dyDescent="0.2">
      <c r="A5519" t="s">
        <v>1340</v>
      </c>
      <c r="B5519" t="s">
        <v>1341</v>
      </c>
      <c r="C5519" t="s">
        <v>464</v>
      </c>
      <c r="D5519" t="e">
        <f>VLOOKUP(C5519,'lookup table'!$A$2:$B$19,2,FALSE)</f>
        <v>#N/A</v>
      </c>
      <c r="E5519" t="str">
        <f t="shared" si="86"/>
        <v/>
      </c>
    </row>
    <row r="5520" spans="1:5" x14ac:dyDescent="0.2">
      <c r="A5520" t="s">
        <v>1340</v>
      </c>
      <c r="B5520" t="s">
        <v>1341</v>
      </c>
      <c r="C5520" t="s">
        <v>465</v>
      </c>
      <c r="D5520" t="e">
        <f>VLOOKUP(C5520,'lookup table'!$A$2:$B$19,2,FALSE)</f>
        <v>#N/A</v>
      </c>
      <c r="E5520" t="str">
        <f t="shared" si="86"/>
        <v/>
      </c>
    </row>
    <row r="5521" spans="1:5" x14ac:dyDescent="0.2">
      <c r="A5521" t="s">
        <v>1342</v>
      </c>
      <c r="B5521" t="s">
        <v>1343</v>
      </c>
      <c r="C5521" t="s">
        <v>2</v>
      </c>
      <c r="D5521" t="e">
        <f>VLOOKUP(C5521,'lookup table'!$A$2:$B$19,2,FALSE)</f>
        <v>#N/A</v>
      </c>
      <c r="E5521" t="str">
        <f t="shared" si="86"/>
        <v/>
      </c>
    </row>
    <row r="5522" spans="1:5" x14ac:dyDescent="0.2">
      <c r="A5522" t="s">
        <v>1342</v>
      </c>
      <c r="B5522" t="s">
        <v>1343</v>
      </c>
      <c r="C5522" t="s">
        <v>5</v>
      </c>
      <c r="D5522" t="e">
        <f>VLOOKUP(C5522,'lookup table'!$A$2:$B$19,2,FALSE)</f>
        <v>#N/A</v>
      </c>
      <c r="E5522" t="str">
        <f t="shared" si="86"/>
        <v/>
      </c>
    </row>
    <row r="5523" spans="1:5" x14ac:dyDescent="0.2">
      <c r="A5523" t="s">
        <v>1342</v>
      </c>
      <c r="B5523" t="s">
        <v>1343</v>
      </c>
      <c r="C5523" t="s">
        <v>6</v>
      </c>
      <c r="D5523" t="e">
        <f>VLOOKUP(C5523,'lookup table'!$A$2:$B$19,2,FALSE)</f>
        <v>#N/A</v>
      </c>
      <c r="E5523" t="str">
        <f t="shared" si="86"/>
        <v/>
      </c>
    </row>
    <row r="5524" spans="1:5" x14ac:dyDescent="0.2">
      <c r="A5524" t="s">
        <v>1342</v>
      </c>
      <c r="B5524" t="s">
        <v>1343</v>
      </c>
      <c r="C5524" t="s">
        <v>9</v>
      </c>
      <c r="D5524" t="e">
        <f>VLOOKUP(C5524,'lookup table'!$A$2:$B$19,2,FALSE)</f>
        <v>#N/A</v>
      </c>
      <c r="E5524" t="str">
        <f t="shared" si="86"/>
        <v/>
      </c>
    </row>
    <row r="5525" spans="1:5" x14ac:dyDescent="0.2">
      <c r="A5525" t="s">
        <v>1342</v>
      </c>
      <c r="B5525" t="s">
        <v>1343</v>
      </c>
      <c r="C5525" t="s">
        <v>10</v>
      </c>
      <c r="D5525" t="e">
        <f>VLOOKUP(C5525,'lookup table'!$A$2:$B$19,2,FALSE)</f>
        <v>#N/A</v>
      </c>
      <c r="E5525" t="str">
        <f t="shared" si="86"/>
        <v/>
      </c>
    </row>
    <row r="5526" spans="1:5" x14ac:dyDescent="0.2">
      <c r="A5526" t="s">
        <v>1342</v>
      </c>
      <c r="B5526" t="s">
        <v>1343</v>
      </c>
      <c r="C5526" t="s">
        <v>11</v>
      </c>
      <c r="D5526" t="e">
        <f>VLOOKUP(C5526,'lookup table'!$A$2:$B$19,2,FALSE)</f>
        <v>#N/A</v>
      </c>
      <c r="E5526" t="str">
        <f t="shared" si="86"/>
        <v/>
      </c>
    </row>
    <row r="5527" spans="1:5" x14ac:dyDescent="0.2">
      <c r="A5527" t="s">
        <v>1342</v>
      </c>
      <c r="B5527" t="s">
        <v>1343</v>
      </c>
      <c r="C5527" t="s">
        <v>12</v>
      </c>
      <c r="D5527" t="e">
        <f>VLOOKUP(C5527,'lookup table'!$A$2:$B$19,2,FALSE)</f>
        <v>#N/A</v>
      </c>
      <c r="E5527" t="str">
        <f t="shared" si="86"/>
        <v/>
      </c>
    </row>
    <row r="5528" spans="1:5" x14ac:dyDescent="0.2">
      <c r="A5528" t="s">
        <v>1342</v>
      </c>
      <c r="B5528" t="s">
        <v>1343</v>
      </c>
      <c r="C5528" t="s">
        <v>14</v>
      </c>
      <c r="D5528" t="str">
        <f>VLOOKUP(C5528,'lookup table'!$A$2:$B$19,2,FALSE)</f>
        <v>ALC</v>
      </c>
      <c r="E5528" t="str">
        <f t="shared" si="86"/>
        <v>DR3VAR_00|ALC</v>
      </c>
    </row>
    <row r="5529" spans="1:5" x14ac:dyDescent="0.2">
      <c r="A5529" t="s">
        <v>1342</v>
      </c>
      <c r="B5529" t="s">
        <v>1343</v>
      </c>
      <c r="C5529" t="s">
        <v>20</v>
      </c>
      <c r="D5529" t="str">
        <f>VLOOKUP(C5529,'lookup table'!$A$2:$B$19,2,FALSE)</f>
        <v>AY</v>
      </c>
      <c r="E5529" t="str">
        <f t="shared" si="86"/>
        <v>DR3VAR_00|AY</v>
      </c>
    </row>
    <row r="5530" spans="1:5" x14ac:dyDescent="0.2">
      <c r="A5530" t="s">
        <v>1342</v>
      </c>
      <c r="B5530" t="s">
        <v>1343</v>
      </c>
      <c r="C5530" t="s">
        <v>324</v>
      </c>
      <c r="D5530" t="e">
        <f>VLOOKUP(C5530,'lookup table'!$A$2:$B$19,2,FALSE)</f>
        <v>#N/A</v>
      </c>
      <c r="E5530" t="str">
        <f t="shared" si="86"/>
        <v/>
      </c>
    </row>
    <row r="5531" spans="1:5" x14ac:dyDescent="0.2">
      <c r="A5531" t="s">
        <v>1342</v>
      </c>
      <c r="B5531" t="s">
        <v>1343</v>
      </c>
      <c r="C5531" t="s">
        <v>325</v>
      </c>
      <c r="D5531" t="e">
        <f>VLOOKUP(C5531,'lookup table'!$A$2:$B$19,2,FALSE)</f>
        <v>#N/A</v>
      </c>
      <c r="E5531" t="str">
        <f t="shared" si="86"/>
        <v/>
      </c>
    </row>
    <row r="5532" spans="1:5" x14ac:dyDescent="0.2">
      <c r="A5532" t="s">
        <v>1342</v>
      </c>
      <c r="B5532" t="s">
        <v>1343</v>
      </c>
      <c r="C5532" t="s">
        <v>326</v>
      </c>
      <c r="D5532" t="e">
        <f>VLOOKUP(C5532,'lookup table'!$A$2:$B$19,2,FALSE)</f>
        <v>#N/A</v>
      </c>
      <c r="E5532" t="str">
        <f t="shared" si="86"/>
        <v/>
      </c>
    </row>
    <row r="5533" spans="1:5" x14ac:dyDescent="0.2">
      <c r="A5533" t="s">
        <v>1342</v>
      </c>
      <c r="B5533" t="s">
        <v>1343</v>
      </c>
      <c r="C5533" t="s">
        <v>327</v>
      </c>
      <c r="D5533" t="e">
        <f>VLOOKUP(C5533,'lookup table'!$A$2:$B$19,2,FALSE)</f>
        <v>#N/A</v>
      </c>
      <c r="E5533" t="str">
        <f t="shared" si="86"/>
        <v/>
      </c>
    </row>
    <row r="5534" spans="1:5" x14ac:dyDescent="0.2">
      <c r="A5534" t="s">
        <v>1342</v>
      </c>
      <c r="B5534" t="s">
        <v>1343</v>
      </c>
      <c r="C5534" t="s">
        <v>328</v>
      </c>
      <c r="D5534" t="e">
        <f>VLOOKUP(C5534,'lookup table'!$A$2:$B$19,2,FALSE)</f>
        <v>#N/A</v>
      </c>
      <c r="E5534" t="str">
        <f t="shared" si="86"/>
        <v/>
      </c>
    </row>
    <row r="5535" spans="1:5" x14ac:dyDescent="0.2">
      <c r="A5535" t="s">
        <v>1342</v>
      </c>
      <c r="B5535" t="s">
        <v>1343</v>
      </c>
      <c r="C5535" t="s">
        <v>329</v>
      </c>
      <c r="D5535" t="e">
        <f>VLOOKUP(C5535,'lookup table'!$A$2:$B$19,2,FALSE)</f>
        <v>#N/A</v>
      </c>
      <c r="E5535" t="str">
        <f t="shared" si="86"/>
        <v/>
      </c>
    </row>
    <row r="5536" spans="1:5" x14ac:dyDescent="0.2">
      <c r="A5536" t="s">
        <v>1342</v>
      </c>
      <c r="B5536" t="s">
        <v>1343</v>
      </c>
      <c r="C5536" t="s">
        <v>331</v>
      </c>
      <c r="D5536" t="str">
        <f>VLOOKUP(C5536,'lookup table'!$A$2:$B$19,2,FALSE)</f>
        <v>FS Item</v>
      </c>
      <c r="E5536" t="str">
        <f t="shared" si="86"/>
        <v>DR3VAR_00|FS Item</v>
      </c>
    </row>
    <row r="5537" spans="1:5" x14ac:dyDescent="0.2">
      <c r="A5537" t="s">
        <v>1342</v>
      </c>
      <c r="B5537" t="s">
        <v>1343</v>
      </c>
      <c r="C5537" t="s">
        <v>422</v>
      </c>
      <c r="D5537" t="e">
        <f>VLOOKUP(C5537,'lookup table'!$A$2:$B$19,2,FALSE)</f>
        <v>#N/A</v>
      </c>
      <c r="E5537" t="str">
        <f t="shared" si="86"/>
        <v/>
      </c>
    </row>
    <row r="5538" spans="1:5" x14ac:dyDescent="0.2">
      <c r="A5538" t="s">
        <v>1342</v>
      </c>
      <c r="B5538" t="s">
        <v>1343</v>
      </c>
      <c r="C5538" t="s">
        <v>423</v>
      </c>
      <c r="D5538" t="str">
        <f>VLOOKUP(C5538,'lookup table'!$A$2:$B$19,2,FALSE)</f>
        <v>ignore</v>
      </c>
      <c r="E5538" t="str">
        <f t="shared" si="86"/>
        <v>DR3VAR_00|ignore</v>
      </c>
    </row>
    <row r="5539" spans="1:5" x14ac:dyDescent="0.2">
      <c r="A5539" t="s">
        <v>1342</v>
      </c>
      <c r="B5539" t="s">
        <v>1343</v>
      </c>
      <c r="C5539" t="s">
        <v>424</v>
      </c>
      <c r="D5539" t="str">
        <f>VLOOKUP(C5539,'lookup table'!$A$2:$B$19,2,FALSE)</f>
        <v>GRC</v>
      </c>
      <c r="E5539" t="str">
        <f t="shared" si="86"/>
        <v>DR3VAR_00|GRC</v>
      </c>
    </row>
    <row r="5540" spans="1:5" x14ac:dyDescent="0.2">
      <c r="A5540" t="s">
        <v>1342</v>
      </c>
      <c r="B5540" t="s">
        <v>1343</v>
      </c>
      <c r="C5540" t="s">
        <v>425</v>
      </c>
      <c r="D5540" t="str">
        <f>VLOOKUP(C5540,'lookup table'!$A$2:$B$19,2,FALSE)</f>
        <v>Investee Segment</v>
      </c>
      <c r="E5540" t="str">
        <f t="shared" si="86"/>
        <v>DR3VAR_00|Investee Segment</v>
      </c>
    </row>
    <row r="5541" spans="1:5" x14ac:dyDescent="0.2">
      <c r="A5541" t="s">
        <v>1342</v>
      </c>
      <c r="B5541" t="s">
        <v>1343</v>
      </c>
      <c r="C5541" t="s">
        <v>426</v>
      </c>
      <c r="D5541" t="str">
        <f>VLOOKUP(C5541,'lookup table'!$A$2:$B$19,2,FALSE)</f>
        <v>Investee Unit</v>
      </c>
      <c r="E5541" t="str">
        <f t="shared" si="86"/>
        <v>DR3VAR_00|Investee Unit</v>
      </c>
    </row>
    <row r="5542" spans="1:5" x14ac:dyDescent="0.2">
      <c r="A5542" t="s">
        <v>1342</v>
      </c>
      <c r="B5542" t="s">
        <v>1343</v>
      </c>
      <c r="C5542" t="s">
        <v>428</v>
      </c>
      <c r="D5542" t="str">
        <f>VLOOKUP(C5542,'lookup table'!$A$2:$B$19,2,FALSE)</f>
        <v>LoB</v>
      </c>
      <c r="E5542" t="str">
        <f t="shared" si="86"/>
        <v>DR3VAR_00|LoB</v>
      </c>
    </row>
    <row r="5543" spans="1:5" x14ac:dyDescent="0.2">
      <c r="A5543" t="s">
        <v>1342</v>
      </c>
      <c r="B5543" t="s">
        <v>1343</v>
      </c>
      <c r="C5543" t="s">
        <v>436</v>
      </c>
      <c r="D5543" t="str">
        <f>VLOOKUP(C5543,'lookup table'!$A$2:$B$19,2,FALSE)</f>
        <v>MAT</v>
      </c>
      <c r="E5543" t="str">
        <f t="shared" si="86"/>
        <v>DR3VAR_00|MAT</v>
      </c>
    </row>
    <row r="5544" spans="1:5" x14ac:dyDescent="0.2">
      <c r="A5544" t="s">
        <v>1342</v>
      </c>
      <c r="B5544" t="s">
        <v>1343</v>
      </c>
      <c r="C5544" t="s">
        <v>438</v>
      </c>
      <c r="D5544" t="str">
        <f>VLOOKUP(C5544,'lookup table'!$A$2:$B$19,2,FALSE)</f>
        <v>ToM</v>
      </c>
      <c r="E5544" t="str">
        <f t="shared" si="86"/>
        <v>DR3VAR_00|ToM</v>
      </c>
    </row>
    <row r="5545" spans="1:5" x14ac:dyDescent="0.2">
      <c r="A5545" t="s">
        <v>1342</v>
      </c>
      <c r="B5545" t="s">
        <v>1343</v>
      </c>
      <c r="C5545" t="s">
        <v>441</v>
      </c>
      <c r="D5545" t="str">
        <f>VLOOKUP(C5545,'lookup table'!$A$2:$B$19,2,FALSE)</f>
        <v>Partner Segment</v>
      </c>
      <c r="E5545" t="str">
        <f t="shared" si="86"/>
        <v>DR3VAR_00|Partner Segment</v>
      </c>
    </row>
    <row r="5546" spans="1:5" x14ac:dyDescent="0.2">
      <c r="A5546" t="s">
        <v>1342</v>
      </c>
      <c r="B5546" t="s">
        <v>1343</v>
      </c>
      <c r="C5546" t="s">
        <v>442</v>
      </c>
      <c r="D5546" t="str">
        <f>VLOOKUP(C5546,'lookup table'!$A$2:$B$19,2,FALSE)</f>
        <v>Partner Unit</v>
      </c>
      <c r="E5546" t="str">
        <f t="shared" si="86"/>
        <v>DR3VAR_00|Partner Unit</v>
      </c>
    </row>
    <row r="5547" spans="1:5" x14ac:dyDescent="0.2">
      <c r="A5547" t="s">
        <v>1342</v>
      </c>
      <c r="B5547" t="s">
        <v>1343</v>
      </c>
      <c r="C5547" t="s">
        <v>447</v>
      </c>
      <c r="D5547" t="str">
        <f>VLOOKUP(C5547,'lookup table'!$A$2:$B$19,2,FALSE)</f>
        <v>REX</v>
      </c>
      <c r="E5547" t="str">
        <f t="shared" si="86"/>
        <v>DR3VAR_00|REX</v>
      </c>
    </row>
    <row r="5548" spans="1:5" x14ac:dyDescent="0.2">
      <c r="A5548" t="s">
        <v>1342</v>
      </c>
      <c r="B5548" t="s">
        <v>1343</v>
      </c>
      <c r="C5548" t="s">
        <v>448</v>
      </c>
      <c r="D5548" t="e">
        <f>VLOOKUP(C5548,'lookup table'!$A$2:$B$19,2,FALSE)</f>
        <v>#N/A</v>
      </c>
      <c r="E5548" t="str">
        <f t="shared" si="86"/>
        <v/>
      </c>
    </row>
    <row r="5549" spans="1:5" x14ac:dyDescent="0.2">
      <c r="A5549" t="s">
        <v>1342</v>
      </c>
      <c r="B5549" t="s">
        <v>1343</v>
      </c>
      <c r="C5549" t="s">
        <v>449</v>
      </c>
      <c r="D5549" t="e">
        <f>VLOOKUP(C5549,'lookup table'!$A$2:$B$19,2,FALSE)</f>
        <v>#N/A</v>
      </c>
      <c r="E5549" t="str">
        <f t="shared" si="86"/>
        <v/>
      </c>
    </row>
    <row r="5550" spans="1:5" x14ac:dyDescent="0.2">
      <c r="A5550" t="s">
        <v>1342</v>
      </c>
      <c r="B5550" t="s">
        <v>1343</v>
      </c>
      <c r="C5550" t="s">
        <v>451</v>
      </c>
      <c r="D5550" t="str">
        <f>VLOOKUP(C5550,'lookup table'!$A$2:$B$19,2,FALSE)</f>
        <v>Segment</v>
      </c>
      <c r="E5550" t="str">
        <f t="shared" si="86"/>
        <v>DR3VAR_00|Segment</v>
      </c>
    </row>
    <row r="5551" spans="1:5" x14ac:dyDescent="0.2">
      <c r="A5551" t="s">
        <v>1342</v>
      </c>
      <c r="B5551" t="s">
        <v>1343</v>
      </c>
      <c r="C5551" t="s">
        <v>455</v>
      </c>
      <c r="D5551" t="e">
        <f>VLOOKUP(C5551,'lookup table'!$A$2:$B$19,2,FALSE)</f>
        <v>#N/A</v>
      </c>
      <c r="E5551" t="str">
        <f t="shared" si="86"/>
        <v/>
      </c>
    </row>
    <row r="5552" spans="1:5" x14ac:dyDescent="0.2">
      <c r="A5552" t="s">
        <v>1342</v>
      </c>
      <c r="B5552" t="s">
        <v>1343</v>
      </c>
      <c r="C5552" t="s">
        <v>456</v>
      </c>
      <c r="D5552" t="e">
        <f>VLOOKUP(C5552,'lookup table'!$A$2:$B$19,2,FALSE)</f>
        <v>#N/A</v>
      </c>
      <c r="E5552" t="str">
        <f t="shared" si="86"/>
        <v/>
      </c>
    </row>
    <row r="5553" spans="1:5" x14ac:dyDescent="0.2">
      <c r="A5553" t="s">
        <v>1342</v>
      </c>
      <c r="B5553" t="s">
        <v>1343</v>
      </c>
      <c r="C5553" t="s">
        <v>457</v>
      </c>
      <c r="D5553" t="str">
        <f>VLOOKUP(C5553,'lookup table'!$A$2:$B$19,2,FALSE)</f>
        <v>VLT</v>
      </c>
      <c r="E5553" t="str">
        <f t="shared" si="86"/>
        <v>DR3VAR_00|VLT</v>
      </c>
    </row>
    <row r="5554" spans="1:5" x14ac:dyDescent="0.2">
      <c r="A5554" t="s">
        <v>1342</v>
      </c>
      <c r="B5554" t="s">
        <v>1343</v>
      </c>
      <c r="C5554" t="s">
        <v>458</v>
      </c>
      <c r="D5554" t="str">
        <f>VLOOKUP(C5554,'lookup table'!$A$2:$B$19,2,FALSE)</f>
        <v>VAR</v>
      </c>
      <c r="E5554" t="str">
        <f t="shared" si="86"/>
        <v>DR3VAR_00|VAR</v>
      </c>
    </row>
    <row r="5555" spans="1:5" x14ac:dyDescent="0.2">
      <c r="A5555" t="s">
        <v>1342</v>
      </c>
      <c r="B5555" t="s">
        <v>1343</v>
      </c>
      <c r="C5555" t="s">
        <v>459</v>
      </c>
      <c r="D5555" t="e">
        <f>VLOOKUP(C5555,'lookup table'!$A$2:$B$19,2,FALSE)</f>
        <v>#N/A</v>
      </c>
      <c r="E5555" t="str">
        <f t="shared" si="86"/>
        <v/>
      </c>
    </row>
    <row r="5556" spans="1:5" x14ac:dyDescent="0.2">
      <c r="A5556" t="s">
        <v>1342</v>
      </c>
      <c r="B5556" t="s">
        <v>1343</v>
      </c>
      <c r="C5556" t="s">
        <v>460</v>
      </c>
      <c r="D5556" t="e">
        <f>VLOOKUP(C5556,'lookup table'!$A$2:$B$19,2,FALSE)</f>
        <v>#N/A</v>
      </c>
      <c r="E5556" t="str">
        <f t="shared" si="86"/>
        <v/>
      </c>
    </row>
    <row r="5557" spans="1:5" x14ac:dyDescent="0.2">
      <c r="A5557" t="s">
        <v>1342</v>
      </c>
      <c r="B5557" t="s">
        <v>1343</v>
      </c>
      <c r="C5557" t="s">
        <v>461</v>
      </c>
      <c r="D5557" t="str">
        <f>VLOOKUP(C5557,'lookup table'!$A$2:$B$19,2,FALSE)</f>
        <v>Posting Level</v>
      </c>
      <c r="E5557" t="str">
        <f t="shared" si="86"/>
        <v>DR3VAR_00|Posting Level</v>
      </c>
    </row>
    <row r="5558" spans="1:5" x14ac:dyDescent="0.2">
      <c r="A5558" t="s">
        <v>1342</v>
      </c>
      <c r="B5558" t="s">
        <v>1343</v>
      </c>
      <c r="C5558" t="s">
        <v>462</v>
      </c>
      <c r="D5558" t="e">
        <f>VLOOKUP(C5558,'lookup table'!$A$2:$B$19,2,FALSE)</f>
        <v>#N/A</v>
      </c>
      <c r="E5558" t="str">
        <f t="shared" si="86"/>
        <v/>
      </c>
    </row>
    <row r="5559" spans="1:5" x14ac:dyDescent="0.2">
      <c r="A5559" t="s">
        <v>1342</v>
      </c>
      <c r="B5559" t="s">
        <v>1343</v>
      </c>
      <c r="C5559" t="s">
        <v>463</v>
      </c>
      <c r="D5559" t="e">
        <f>VLOOKUP(C5559,'lookup table'!$A$2:$B$19,2,FALSE)</f>
        <v>#N/A</v>
      </c>
      <c r="E5559" t="str">
        <f t="shared" si="86"/>
        <v/>
      </c>
    </row>
    <row r="5560" spans="1:5" x14ac:dyDescent="0.2">
      <c r="A5560" t="s">
        <v>1342</v>
      </c>
      <c r="B5560" t="s">
        <v>1343</v>
      </c>
      <c r="C5560" t="s">
        <v>464</v>
      </c>
      <c r="D5560" t="e">
        <f>VLOOKUP(C5560,'lookup table'!$A$2:$B$19,2,FALSE)</f>
        <v>#N/A</v>
      </c>
      <c r="E5560" t="str">
        <f t="shared" si="86"/>
        <v/>
      </c>
    </row>
    <row r="5561" spans="1:5" x14ac:dyDescent="0.2">
      <c r="A5561" t="s">
        <v>1342</v>
      </c>
      <c r="B5561" t="s">
        <v>1343</v>
      </c>
      <c r="C5561" t="s">
        <v>465</v>
      </c>
      <c r="D5561" t="e">
        <f>VLOOKUP(C5561,'lookup table'!$A$2:$B$19,2,FALSE)</f>
        <v>#N/A</v>
      </c>
      <c r="E5561" t="str">
        <f t="shared" si="86"/>
        <v/>
      </c>
    </row>
    <row r="5562" spans="1:5" x14ac:dyDescent="0.2">
      <c r="A5562" t="s">
        <v>1344</v>
      </c>
      <c r="B5562" t="s">
        <v>1345</v>
      </c>
      <c r="C5562" t="s">
        <v>2</v>
      </c>
      <c r="D5562" t="e">
        <f>VLOOKUP(C5562,'lookup table'!$A$2:$B$19,2,FALSE)</f>
        <v>#N/A</v>
      </c>
      <c r="E5562" t="str">
        <f t="shared" si="86"/>
        <v/>
      </c>
    </row>
    <row r="5563" spans="1:5" x14ac:dyDescent="0.2">
      <c r="A5563" t="s">
        <v>1344</v>
      </c>
      <c r="B5563" t="s">
        <v>1345</v>
      </c>
      <c r="C5563" t="s">
        <v>5</v>
      </c>
      <c r="D5563" t="e">
        <f>VLOOKUP(C5563,'lookup table'!$A$2:$B$19,2,FALSE)</f>
        <v>#N/A</v>
      </c>
      <c r="E5563" t="str">
        <f t="shared" si="86"/>
        <v/>
      </c>
    </row>
    <row r="5564" spans="1:5" x14ac:dyDescent="0.2">
      <c r="A5564" t="s">
        <v>1344</v>
      </c>
      <c r="B5564" t="s">
        <v>1345</v>
      </c>
      <c r="C5564" t="s">
        <v>6</v>
      </c>
      <c r="D5564" t="e">
        <f>VLOOKUP(C5564,'lookup table'!$A$2:$B$19,2,FALSE)</f>
        <v>#N/A</v>
      </c>
      <c r="E5564" t="str">
        <f t="shared" si="86"/>
        <v/>
      </c>
    </row>
    <row r="5565" spans="1:5" x14ac:dyDescent="0.2">
      <c r="A5565" t="s">
        <v>1344</v>
      </c>
      <c r="B5565" t="s">
        <v>1345</v>
      </c>
      <c r="C5565" t="s">
        <v>9</v>
      </c>
      <c r="D5565" t="e">
        <f>VLOOKUP(C5565,'lookup table'!$A$2:$B$19,2,FALSE)</f>
        <v>#N/A</v>
      </c>
      <c r="E5565" t="str">
        <f t="shared" si="86"/>
        <v/>
      </c>
    </row>
    <row r="5566" spans="1:5" x14ac:dyDescent="0.2">
      <c r="A5566" t="s">
        <v>1344</v>
      </c>
      <c r="B5566" t="s">
        <v>1345</v>
      </c>
      <c r="C5566" t="s">
        <v>10</v>
      </c>
      <c r="D5566" t="e">
        <f>VLOOKUP(C5566,'lookup table'!$A$2:$B$19,2,FALSE)</f>
        <v>#N/A</v>
      </c>
      <c r="E5566" t="str">
        <f t="shared" si="86"/>
        <v/>
      </c>
    </row>
    <row r="5567" spans="1:5" x14ac:dyDescent="0.2">
      <c r="A5567" t="s">
        <v>1344</v>
      </c>
      <c r="B5567" t="s">
        <v>1345</v>
      </c>
      <c r="C5567" t="s">
        <v>11</v>
      </c>
      <c r="D5567" t="e">
        <f>VLOOKUP(C5567,'lookup table'!$A$2:$B$19,2,FALSE)</f>
        <v>#N/A</v>
      </c>
      <c r="E5567" t="str">
        <f t="shared" si="86"/>
        <v/>
      </c>
    </row>
    <row r="5568" spans="1:5" x14ac:dyDescent="0.2">
      <c r="A5568" t="s">
        <v>1344</v>
      </c>
      <c r="B5568" t="s">
        <v>1345</v>
      </c>
      <c r="C5568" t="s">
        <v>12</v>
      </c>
      <c r="D5568" t="e">
        <f>VLOOKUP(C5568,'lookup table'!$A$2:$B$19,2,FALSE)</f>
        <v>#N/A</v>
      </c>
      <c r="E5568" t="str">
        <f t="shared" si="86"/>
        <v/>
      </c>
    </row>
    <row r="5569" spans="1:5" x14ac:dyDescent="0.2">
      <c r="A5569" t="s">
        <v>1344</v>
      </c>
      <c r="B5569" t="s">
        <v>1345</v>
      </c>
      <c r="C5569" t="s">
        <v>14</v>
      </c>
      <c r="D5569" t="str">
        <f>VLOOKUP(C5569,'lookup table'!$A$2:$B$19,2,FALSE)</f>
        <v>ALC</v>
      </c>
      <c r="E5569" t="str">
        <f t="shared" si="86"/>
        <v>DR4ACY_00|ALC</v>
      </c>
    </row>
    <row r="5570" spans="1:5" x14ac:dyDescent="0.2">
      <c r="A5570" t="s">
        <v>1344</v>
      </c>
      <c r="B5570" t="s">
        <v>1345</v>
      </c>
      <c r="C5570" t="s">
        <v>20</v>
      </c>
      <c r="D5570" t="str">
        <f>VLOOKUP(C5570,'lookup table'!$A$2:$B$19,2,FALSE)</f>
        <v>AY</v>
      </c>
      <c r="E5570" t="str">
        <f t="shared" si="86"/>
        <v>DR4ACY_00|AY</v>
      </c>
    </row>
    <row r="5571" spans="1:5" x14ac:dyDescent="0.2">
      <c r="A5571" t="s">
        <v>1344</v>
      </c>
      <c r="B5571" t="s">
        <v>1345</v>
      </c>
      <c r="C5571" t="s">
        <v>324</v>
      </c>
      <c r="D5571" t="e">
        <f>VLOOKUP(C5571,'lookup table'!$A$2:$B$19,2,FALSE)</f>
        <v>#N/A</v>
      </c>
      <c r="E5571" t="str">
        <f t="shared" ref="E5571:E5634" si="87">IF(ISNA(D5571),"",IF(A5571="","",A5571) &amp; "|" &amp; D5571)</f>
        <v/>
      </c>
    </row>
    <row r="5572" spans="1:5" x14ac:dyDescent="0.2">
      <c r="A5572" t="s">
        <v>1344</v>
      </c>
      <c r="B5572" t="s">
        <v>1345</v>
      </c>
      <c r="C5572" t="s">
        <v>325</v>
      </c>
      <c r="D5572" t="e">
        <f>VLOOKUP(C5572,'lookup table'!$A$2:$B$19,2,FALSE)</f>
        <v>#N/A</v>
      </c>
      <c r="E5572" t="str">
        <f t="shared" si="87"/>
        <v/>
      </c>
    </row>
    <row r="5573" spans="1:5" x14ac:dyDescent="0.2">
      <c r="A5573" t="s">
        <v>1344</v>
      </c>
      <c r="B5573" t="s">
        <v>1345</v>
      </c>
      <c r="C5573" t="s">
        <v>326</v>
      </c>
      <c r="D5573" t="e">
        <f>VLOOKUP(C5573,'lookup table'!$A$2:$B$19,2,FALSE)</f>
        <v>#N/A</v>
      </c>
      <c r="E5573" t="str">
        <f t="shared" si="87"/>
        <v/>
      </c>
    </row>
    <row r="5574" spans="1:5" x14ac:dyDescent="0.2">
      <c r="A5574" t="s">
        <v>1344</v>
      </c>
      <c r="B5574" t="s">
        <v>1345</v>
      </c>
      <c r="C5574" t="s">
        <v>327</v>
      </c>
      <c r="D5574" t="e">
        <f>VLOOKUP(C5574,'lookup table'!$A$2:$B$19,2,FALSE)</f>
        <v>#N/A</v>
      </c>
      <c r="E5574" t="str">
        <f t="shared" si="87"/>
        <v/>
      </c>
    </row>
    <row r="5575" spans="1:5" x14ac:dyDescent="0.2">
      <c r="A5575" t="s">
        <v>1344</v>
      </c>
      <c r="B5575" t="s">
        <v>1345</v>
      </c>
      <c r="C5575" t="s">
        <v>328</v>
      </c>
      <c r="D5575" t="e">
        <f>VLOOKUP(C5575,'lookup table'!$A$2:$B$19,2,FALSE)</f>
        <v>#N/A</v>
      </c>
      <c r="E5575" t="str">
        <f t="shared" si="87"/>
        <v/>
      </c>
    </row>
    <row r="5576" spans="1:5" x14ac:dyDescent="0.2">
      <c r="A5576" t="s">
        <v>1344</v>
      </c>
      <c r="B5576" t="s">
        <v>1345</v>
      </c>
      <c r="C5576" t="s">
        <v>329</v>
      </c>
      <c r="D5576" t="e">
        <f>VLOOKUP(C5576,'lookup table'!$A$2:$B$19,2,FALSE)</f>
        <v>#N/A</v>
      </c>
      <c r="E5576" t="str">
        <f t="shared" si="87"/>
        <v/>
      </c>
    </row>
    <row r="5577" spans="1:5" x14ac:dyDescent="0.2">
      <c r="A5577" t="s">
        <v>1344</v>
      </c>
      <c r="B5577" t="s">
        <v>1345</v>
      </c>
      <c r="C5577" t="s">
        <v>331</v>
      </c>
      <c r="D5577" t="str">
        <f>VLOOKUP(C5577,'lookup table'!$A$2:$B$19,2,FALSE)</f>
        <v>FS Item</v>
      </c>
      <c r="E5577" t="str">
        <f t="shared" si="87"/>
        <v>DR4ACY_00|FS Item</v>
      </c>
    </row>
    <row r="5578" spans="1:5" x14ac:dyDescent="0.2">
      <c r="A5578" t="s">
        <v>1344</v>
      </c>
      <c r="B5578" t="s">
        <v>1345</v>
      </c>
      <c r="C5578" t="s">
        <v>422</v>
      </c>
      <c r="D5578" t="e">
        <f>VLOOKUP(C5578,'lookup table'!$A$2:$B$19,2,FALSE)</f>
        <v>#N/A</v>
      </c>
      <c r="E5578" t="str">
        <f t="shared" si="87"/>
        <v/>
      </c>
    </row>
    <row r="5579" spans="1:5" x14ac:dyDescent="0.2">
      <c r="A5579" t="s">
        <v>1344</v>
      </c>
      <c r="B5579" t="s">
        <v>1345</v>
      </c>
      <c r="C5579" t="s">
        <v>423</v>
      </c>
      <c r="D5579" t="str">
        <f>VLOOKUP(C5579,'lookup table'!$A$2:$B$19,2,FALSE)</f>
        <v>ignore</v>
      </c>
      <c r="E5579" t="str">
        <f t="shared" si="87"/>
        <v>DR4ACY_00|ignore</v>
      </c>
    </row>
    <row r="5580" spans="1:5" x14ac:dyDescent="0.2">
      <c r="A5580" t="s">
        <v>1344</v>
      </c>
      <c r="B5580" t="s">
        <v>1345</v>
      </c>
      <c r="C5580" t="s">
        <v>424</v>
      </c>
      <c r="D5580" t="str">
        <f>VLOOKUP(C5580,'lookup table'!$A$2:$B$19,2,FALSE)</f>
        <v>GRC</v>
      </c>
      <c r="E5580" t="str">
        <f t="shared" si="87"/>
        <v>DR4ACY_00|GRC</v>
      </c>
    </row>
    <row r="5581" spans="1:5" x14ac:dyDescent="0.2">
      <c r="A5581" t="s">
        <v>1344</v>
      </c>
      <c r="B5581" t="s">
        <v>1345</v>
      </c>
      <c r="C5581" t="s">
        <v>425</v>
      </c>
      <c r="D5581" t="str">
        <f>VLOOKUP(C5581,'lookup table'!$A$2:$B$19,2,FALSE)</f>
        <v>Investee Segment</v>
      </c>
      <c r="E5581" t="str">
        <f t="shared" si="87"/>
        <v>DR4ACY_00|Investee Segment</v>
      </c>
    </row>
    <row r="5582" spans="1:5" x14ac:dyDescent="0.2">
      <c r="A5582" t="s">
        <v>1344</v>
      </c>
      <c r="B5582" t="s">
        <v>1345</v>
      </c>
      <c r="C5582" t="s">
        <v>426</v>
      </c>
      <c r="D5582" t="str">
        <f>VLOOKUP(C5582,'lookup table'!$A$2:$B$19,2,FALSE)</f>
        <v>Investee Unit</v>
      </c>
      <c r="E5582" t="str">
        <f t="shared" si="87"/>
        <v>DR4ACY_00|Investee Unit</v>
      </c>
    </row>
    <row r="5583" spans="1:5" x14ac:dyDescent="0.2">
      <c r="A5583" t="s">
        <v>1344</v>
      </c>
      <c r="B5583" t="s">
        <v>1345</v>
      </c>
      <c r="C5583" t="s">
        <v>428</v>
      </c>
      <c r="D5583" t="str">
        <f>VLOOKUP(C5583,'lookup table'!$A$2:$B$19,2,FALSE)</f>
        <v>LoB</v>
      </c>
      <c r="E5583" t="str">
        <f t="shared" si="87"/>
        <v>DR4ACY_00|LoB</v>
      </c>
    </row>
    <row r="5584" spans="1:5" x14ac:dyDescent="0.2">
      <c r="A5584" t="s">
        <v>1344</v>
      </c>
      <c r="B5584" t="s">
        <v>1345</v>
      </c>
      <c r="C5584" t="s">
        <v>436</v>
      </c>
      <c r="D5584" t="str">
        <f>VLOOKUP(C5584,'lookup table'!$A$2:$B$19,2,FALSE)</f>
        <v>MAT</v>
      </c>
      <c r="E5584" t="str">
        <f t="shared" si="87"/>
        <v>DR4ACY_00|MAT</v>
      </c>
    </row>
    <row r="5585" spans="1:5" x14ac:dyDescent="0.2">
      <c r="A5585" t="s">
        <v>1344</v>
      </c>
      <c r="B5585" t="s">
        <v>1345</v>
      </c>
      <c r="C5585" t="s">
        <v>441</v>
      </c>
      <c r="D5585" t="str">
        <f>VLOOKUP(C5585,'lookup table'!$A$2:$B$19,2,FALSE)</f>
        <v>Partner Segment</v>
      </c>
      <c r="E5585" t="str">
        <f t="shared" si="87"/>
        <v>DR4ACY_00|Partner Segment</v>
      </c>
    </row>
    <row r="5586" spans="1:5" x14ac:dyDescent="0.2">
      <c r="A5586" t="s">
        <v>1344</v>
      </c>
      <c r="B5586" t="s">
        <v>1345</v>
      </c>
      <c r="C5586" t="s">
        <v>442</v>
      </c>
      <c r="D5586" t="str">
        <f>VLOOKUP(C5586,'lookup table'!$A$2:$B$19,2,FALSE)</f>
        <v>Partner Unit</v>
      </c>
      <c r="E5586" t="str">
        <f t="shared" si="87"/>
        <v>DR4ACY_00|Partner Unit</v>
      </c>
    </row>
    <row r="5587" spans="1:5" x14ac:dyDescent="0.2">
      <c r="A5587" t="s">
        <v>1344</v>
      </c>
      <c r="B5587" t="s">
        <v>1345</v>
      </c>
      <c r="C5587" t="s">
        <v>447</v>
      </c>
      <c r="D5587" t="str">
        <f>VLOOKUP(C5587,'lookup table'!$A$2:$B$19,2,FALSE)</f>
        <v>REX</v>
      </c>
      <c r="E5587" t="str">
        <f t="shared" si="87"/>
        <v>DR4ACY_00|REX</v>
      </c>
    </row>
    <row r="5588" spans="1:5" x14ac:dyDescent="0.2">
      <c r="A5588" t="s">
        <v>1344</v>
      </c>
      <c r="B5588" t="s">
        <v>1345</v>
      </c>
      <c r="C5588" t="s">
        <v>448</v>
      </c>
      <c r="D5588" t="e">
        <f>VLOOKUP(C5588,'lookup table'!$A$2:$B$19,2,FALSE)</f>
        <v>#N/A</v>
      </c>
      <c r="E5588" t="str">
        <f t="shared" si="87"/>
        <v/>
      </c>
    </row>
    <row r="5589" spans="1:5" x14ac:dyDescent="0.2">
      <c r="A5589" t="s">
        <v>1344</v>
      </c>
      <c r="B5589" t="s">
        <v>1345</v>
      </c>
      <c r="C5589" t="s">
        <v>449</v>
      </c>
      <c r="D5589" t="e">
        <f>VLOOKUP(C5589,'lookup table'!$A$2:$B$19,2,FALSE)</f>
        <v>#N/A</v>
      </c>
      <c r="E5589" t="str">
        <f t="shared" si="87"/>
        <v/>
      </c>
    </row>
    <row r="5590" spans="1:5" x14ac:dyDescent="0.2">
      <c r="A5590" t="s">
        <v>1344</v>
      </c>
      <c r="B5590" t="s">
        <v>1345</v>
      </c>
      <c r="C5590" t="s">
        <v>451</v>
      </c>
      <c r="D5590" t="str">
        <f>VLOOKUP(C5590,'lookup table'!$A$2:$B$19,2,FALSE)</f>
        <v>Segment</v>
      </c>
      <c r="E5590" t="str">
        <f t="shared" si="87"/>
        <v>DR4ACY_00|Segment</v>
      </c>
    </row>
    <row r="5591" spans="1:5" x14ac:dyDescent="0.2">
      <c r="A5591" t="s">
        <v>1344</v>
      </c>
      <c r="B5591" t="s">
        <v>1345</v>
      </c>
      <c r="C5591" t="s">
        <v>455</v>
      </c>
      <c r="D5591" t="e">
        <f>VLOOKUP(C5591,'lookup table'!$A$2:$B$19,2,FALSE)</f>
        <v>#N/A</v>
      </c>
      <c r="E5591" t="str">
        <f t="shared" si="87"/>
        <v/>
      </c>
    </row>
    <row r="5592" spans="1:5" x14ac:dyDescent="0.2">
      <c r="A5592" t="s">
        <v>1344</v>
      </c>
      <c r="B5592" t="s">
        <v>1345</v>
      </c>
      <c r="C5592" t="s">
        <v>456</v>
      </c>
      <c r="D5592" t="e">
        <f>VLOOKUP(C5592,'lookup table'!$A$2:$B$19,2,FALSE)</f>
        <v>#N/A</v>
      </c>
      <c r="E5592" t="str">
        <f t="shared" si="87"/>
        <v/>
      </c>
    </row>
    <row r="5593" spans="1:5" x14ac:dyDescent="0.2">
      <c r="A5593" t="s">
        <v>1344</v>
      </c>
      <c r="B5593" t="s">
        <v>1345</v>
      </c>
      <c r="C5593" t="s">
        <v>457</v>
      </c>
      <c r="D5593" t="str">
        <f>VLOOKUP(C5593,'lookup table'!$A$2:$B$19,2,FALSE)</f>
        <v>VLT</v>
      </c>
      <c r="E5593" t="str">
        <f t="shared" si="87"/>
        <v>DR4ACY_00|VLT</v>
      </c>
    </row>
    <row r="5594" spans="1:5" x14ac:dyDescent="0.2">
      <c r="A5594" t="s">
        <v>1344</v>
      </c>
      <c r="B5594" t="s">
        <v>1345</v>
      </c>
      <c r="C5594" t="s">
        <v>458</v>
      </c>
      <c r="D5594" t="str">
        <f>VLOOKUP(C5594,'lookup table'!$A$2:$B$19,2,FALSE)</f>
        <v>VAR</v>
      </c>
      <c r="E5594" t="str">
        <f t="shared" si="87"/>
        <v>DR4ACY_00|VAR</v>
      </c>
    </row>
    <row r="5595" spans="1:5" x14ac:dyDescent="0.2">
      <c r="A5595" t="s">
        <v>1344</v>
      </c>
      <c r="B5595" t="s">
        <v>1345</v>
      </c>
      <c r="C5595" t="s">
        <v>459</v>
      </c>
      <c r="D5595" t="e">
        <f>VLOOKUP(C5595,'lookup table'!$A$2:$B$19,2,FALSE)</f>
        <v>#N/A</v>
      </c>
      <c r="E5595" t="str">
        <f t="shared" si="87"/>
        <v/>
      </c>
    </row>
    <row r="5596" spans="1:5" x14ac:dyDescent="0.2">
      <c r="A5596" t="s">
        <v>1344</v>
      </c>
      <c r="B5596" t="s">
        <v>1345</v>
      </c>
      <c r="C5596" t="s">
        <v>460</v>
      </c>
      <c r="D5596" t="e">
        <f>VLOOKUP(C5596,'lookup table'!$A$2:$B$19,2,FALSE)</f>
        <v>#N/A</v>
      </c>
      <c r="E5596" t="str">
        <f t="shared" si="87"/>
        <v/>
      </c>
    </row>
    <row r="5597" spans="1:5" x14ac:dyDescent="0.2">
      <c r="A5597" t="s">
        <v>1344</v>
      </c>
      <c r="B5597" t="s">
        <v>1345</v>
      </c>
      <c r="C5597" t="s">
        <v>461</v>
      </c>
      <c r="D5597" t="str">
        <f>VLOOKUP(C5597,'lookup table'!$A$2:$B$19,2,FALSE)</f>
        <v>Posting Level</v>
      </c>
      <c r="E5597" t="str">
        <f t="shared" si="87"/>
        <v>DR4ACY_00|Posting Level</v>
      </c>
    </row>
    <row r="5598" spans="1:5" x14ac:dyDescent="0.2">
      <c r="A5598" t="s">
        <v>1344</v>
      </c>
      <c r="B5598" t="s">
        <v>1345</v>
      </c>
      <c r="C5598" t="s">
        <v>462</v>
      </c>
      <c r="D5598" t="e">
        <f>VLOOKUP(C5598,'lookup table'!$A$2:$B$19,2,FALSE)</f>
        <v>#N/A</v>
      </c>
      <c r="E5598" t="str">
        <f t="shared" si="87"/>
        <v/>
      </c>
    </row>
    <row r="5599" spans="1:5" x14ac:dyDescent="0.2">
      <c r="A5599" t="s">
        <v>1344</v>
      </c>
      <c r="B5599" t="s">
        <v>1345</v>
      </c>
      <c r="C5599" t="s">
        <v>463</v>
      </c>
      <c r="D5599" t="e">
        <f>VLOOKUP(C5599,'lookup table'!$A$2:$B$19,2,FALSE)</f>
        <v>#N/A</v>
      </c>
      <c r="E5599" t="str">
        <f t="shared" si="87"/>
        <v/>
      </c>
    </row>
    <row r="5600" spans="1:5" x14ac:dyDescent="0.2">
      <c r="A5600" t="s">
        <v>1344</v>
      </c>
      <c r="B5600" t="s">
        <v>1345</v>
      </c>
      <c r="C5600" t="s">
        <v>464</v>
      </c>
      <c r="D5600" t="e">
        <f>VLOOKUP(C5600,'lookup table'!$A$2:$B$19,2,FALSE)</f>
        <v>#N/A</v>
      </c>
      <c r="E5600" t="str">
        <f t="shared" si="87"/>
        <v/>
      </c>
    </row>
    <row r="5601" spans="1:5" x14ac:dyDescent="0.2">
      <c r="A5601" t="s">
        <v>1344</v>
      </c>
      <c r="B5601" t="s">
        <v>1345</v>
      </c>
      <c r="C5601" t="s">
        <v>465</v>
      </c>
      <c r="D5601" t="e">
        <f>VLOOKUP(C5601,'lookup table'!$A$2:$B$19,2,FALSE)</f>
        <v>#N/A</v>
      </c>
      <c r="E5601" t="str">
        <f t="shared" si="87"/>
        <v/>
      </c>
    </row>
    <row r="5602" spans="1:5" x14ac:dyDescent="0.2">
      <c r="A5602" t="s">
        <v>1346</v>
      </c>
      <c r="B5602" t="s">
        <v>1347</v>
      </c>
      <c r="C5602" t="s">
        <v>2</v>
      </c>
      <c r="D5602" t="e">
        <f>VLOOKUP(C5602,'lookup table'!$A$2:$B$19,2,FALSE)</f>
        <v>#N/A</v>
      </c>
      <c r="E5602" t="str">
        <f t="shared" si="87"/>
        <v/>
      </c>
    </row>
    <row r="5603" spans="1:5" x14ac:dyDescent="0.2">
      <c r="A5603" t="s">
        <v>1346</v>
      </c>
      <c r="B5603" t="s">
        <v>1347</v>
      </c>
      <c r="C5603" t="s">
        <v>5</v>
      </c>
      <c r="D5603" t="e">
        <f>VLOOKUP(C5603,'lookup table'!$A$2:$B$19,2,FALSE)</f>
        <v>#N/A</v>
      </c>
      <c r="E5603" t="str">
        <f t="shared" si="87"/>
        <v/>
      </c>
    </row>
    <row r="5604" spans="1:5" x14ac:dyDescent="0.2">
      <c r="A5604" t="s">
        <v>1346</v>
      </c>
      <c r="B5604" t="s">
        <v>1347</v>
      </c>
      <c r="C5604" t="s">
        <v>6</v>
      </c>
      <c r="D5604" t="e">
        <f>VLOOKUP(C5604,'lookup table'!$A$2:$B$19,2,FALSE)</f>
        <v>#N/A</v>
      </c>
      <c r="E5604" t="str">
        <f t="shared" si="87"/>
        <v/>
      </c>
    </row>
    <row r="5605" spans="1:5" x14ac:dyDescent="0.2">
      <c r="A5605" t="s">
        <v>1346</v>
      </c>
      <c r="B5605" t="s">
        <v>1347</v>
      </c>
      <c r="C5605" t="s">
        <v>9</v>
      </c>
      <c r="D5605" t="e">
        <f>VLOOKUP(C5605,'lookup table'!$A$2:$B$19,2,FALSE)</f>
        <v>#N/A</v>
      </c>
      <c r="E5605" t="str">
        <f t="shared" si="87"/>
        <v/>
      </c>
    </row>
    <row r="5606" spans="1:5" x14ac:dyDescent="0.2">
      <c r="A5606" t="s">
        <v>1346</v>
      </c>
      <c r="B5606" t="s">
        <v>1347</v>
      </c>
      <c r="C5606" t="s">
        <v>10</v>
      </c>
      <c r="D5606" t="e">
        <f>VLOOKUP(C5606,'lookup table'!$A$2:$B$19,2,FALSE)</f>
        <v>#N/A</v>
      </c>
      <c r="E5606" t="str">
        <f t="shared" si="87"/>
        <v/>
      </c>
    </row>
    <row r="5607" spans="1:5" x14ac:dyDescent="0.2">
      <c r="A5607" t="s">
        <v>1346</v>
      </c>
      <c r="B5607" t="s">
        <v>1347</v>
      </c>
      <c r="C5607" t="s">
        <v>11</v>
      </c>
      <c r="D5607" t="e">
        <f>VLOOKUP(C5607,'lookup table'!$A$2:$B$19,2,FALSE)</f>
        <v>#N/A</v>
      </c>
      <c r="E5607" t="str">
        <f t="shared" si="87"/>
        <v/>
      </c>
    </row>
    <row r="5608" spans="1:5" x14ac:dyDescent="0.2">
      <c r="A5608" t="s">
        <v>1346</v>
      </c>
      <c r="B5608" t="s">
        <v>1347</v>
      </c>
      <c r="C5608" t="s">
        <v>12</v>
      </c>
      <c r="D5608" t="e">
        <f>VLOOKUP(C5608,'lookup table'!$A$2:$B$19,2,FALSE)</f>
        <v>#N/A</v>
      </c>
      <c r="E5608" t="str">
        <f t="shared" si="87"/>
        <v/>
      </c>
    </row>
    <row r="5609" spans="1:5" x14ac:dyDescent="0.2">
      <c r="A5609" t="s">
        <v>1346</v>
      </c>
      <c r="B5609" t="s">
        <v>1347</v>
      </c>
      <c r="C5609" t="s">
        <v>14</v>
      </c>
      <c r="D5609" t="str">
        <f>VLOOKUP(C5609,'lookup table'!$A$2:$B$19,2,FALSE)</f>
        <v>ALC</v>
      </c>
      <c r="E5609" t="str">
        <f t="shared" si="87"/>
        <v>DR4LOB_00|ALC</v>
      </c>
    </row>
    <row r="5610" spans="1:5" x14ac:dyDescent="0.2">
      <c r="A5610" t="s">
        <v>1346</v>
      </c>
      <c r="B5610" t="s">
        <v>1347</v>
      </c>
      <c r="C5610" t="s">
        <v>20</v>
      </c>
      <c r="D5610" t="str">
        <f>VLOOKUP(C5610,'lookup table'!$A$2:$B$19,2,FALSE)</f>
        <v>AY</v>
      </c>
      <c r="E5610" t="str">
        <f t="shared" si="87"/>
        <v>DR4LOB_00|AY</v>
      </c>
    </row>
    <row r="5611" spans="1:5" x14ac:dyDescent="0.2">
      <c r="A5611" t="s">
        <v>1346</v>
      </c>
      <c r="B5611" t="s">
        <v>1347</v>
      </c>
      <c r="C5611" t="s">
        <v>324</v>
      </c>
      <c r="D5611" t="e">
        <f>VLOOKUP(C5611,'lookup table'!$A$2:$B$19,2,FALSE)</f>
        <v>#N/A</v>
      </c>
      <c r="E5611" t="str">
        <f t="shared" si="87"/>
        <v/>
      </c>
    </row>
    <row r="5612" spans="1:5" x14ac:dyDescent="0.2">
      <c r="A5612" t="s">
        <v>1346</v>
      </c>
      <c r="B5612" t="s">
        <v>1347</v>
      </c>
      <c r="C5612" t="s">
        <v>327</v>
      </c>
      <c r="D5612" t="e">
        <f>VLOOKUP(C5612,'lookup table'!$A$2:$B$19,2,FALSE)</f>
        <v>#N/A</v>
      </c>
      <c r="E5612" t="str">
        <f t="shared" si="87"/>
        <v/>
      </c>
    </row>
    <row r="5613" spans="1:5" x14ac:dyDescent="0.2">
      <c r="A5613" t="s">
        <v>1346</v>
      </c>
      <c r="B5613" t="s">
        <v>1347</v>
      </c>
      <c r="C5613" t="s">
        <v>328</v>
      </c>
      <c r="D5613" t="e">
        <f>VLOOKUP(C5613,'lookup table'!$A$2:$B$19,2,FALSE)</f>
        <v>#N/A</v>
      </c>
      <c r="E5613" t="str">
        <f t="shared" si="87"/>
        <v/>
      </c>
    </row>
    <row r="5614" spans="1:5" x14ac:dyDescent="0.2">
      <c r="A5614" t="s">
        <v>1346</v>
      </c>
      <c r="B5614" t="s">
        <v>1347</v>
      </c>
      <c r="C5614" t="s">
        <v>329</v>
      </c>
      <c r="D5614" t="e">
        <f>VLOOKUP(C5614,'lookup table'!$A$2:$B$19,2,FALSE)</f>
        <v>#N/A</v>
      </c>
      <c r="E5614" t="str">
        <f t="shared" si="87"/>
        <v/>
      </c>
    </row>
    <row r="5615" spans="1:5" x14ac:dyDescent="0.2">
      <c r="A5615" t="s">
        <v>1346</v>
      </c>
      <c r="B5615" t="s">
        <v>1347</v>
      </c>
      <c r="C5615" t="s">
        <v>331</v>
      </c>
      <c r="D5615" t="str">
        <f>VLOOKUP(C5615,'lookup table'!$A$2:$B$19,2,FALSE)</f>
        <v>FS Item</v>
      </c>
      <c r="E5615" t="str">
        <f t="shared" si="87"/>
        <v>DR4LOB_00|FS Item</v>
      </c>
    </row>
    <row r="5616" spans="1:5" x14ac:dyDescent="0.2">
      <c r="A5616" t="s">
        <v>1346</v>
      </c>
      <c r="B5616" t="s">
        <v>1347</v>
      </c>
      <c r="C5616" t="s">
        <v>422</v>
      </c>
      <c r="D5616" t="e">
        <f>VLOOKUP(C5616,'lookup table'!$A$2:$B$19,2,FALSE)</f>
        <v>#N/A</v>
      </c>
      <c r="E5616" t="str">
        <f t="shared" si="87"/>
        <v/>
      </c>
    </row>
    <row r="5617" spans="1:5" x14ac:dyDescent="0.2">
      <c r="A5617" t="s">
        <v>1346</v>
      </c>
      <c r="B5617" t="s">
        <v>1347</v>
      </c>
      <c r="C5617" t="s">
        <v>423</v>
      </c>
      <c r="D5617" t="str">
        <f>VLOOKUP(C5617,'lookup table'!$A$2:$B$19,2,FALSE)</f>
        <v>ignore</v>
      </c>
      <c r="E5617" t="str">
        <f t="shared" si="87"/>
        <v>DR4LOB_00|ignore</v>
      </c>
    </row>
    <row r="5618" spans="1:5" x14ac:dyDescent="0.2">
      <c r="A5618" t="s">
        <v>1346</v>
      </c>
      <c r="B5618" t="s">
        <v>1347</v>
      </c>
      <c r="C5618" t="s">
        <v>424</v>
      </c>
      <c r="D5618" t="str">
        <f>VLOOKUP(C5618,'lookup table'!$A$2:$B$19,2,FALSE)</f>
        <v>GRC</v>
      </c>
      <c r="E5618" t="str">
        <f t="shared" si="87"/>
        <v>DR4LOB_00|GRC</v>
      </c>
    </row>
    <row r="5619" spans="1:5" x14ac:dyDescent="0.2">
      <c r="A5619" t="s">
        <v>1346</v>
      </c>
      <c r="B5619" t="s">
        <v>1347</v>
      </c>
      <c r="C5619" t="s">
        <v>425</v>
      </c>
      <c r="D5619" t="str">
        <f>VLOOKUP(C5619,'lookup table'!$A$2:$B$19,2,FALSE)</f>
        <v>Investee Segment</v>
      </c>
      <c r="E5619" t="str">
        <f t="shared" si="87"/>
        <v>DR4LOB_00|Investee Segment</v>
      </c>
    </row>
    <row r="5620" spans="1:5" x14ac:dyDescent="0.2">
      <c r="A5620" t="s">
        <v>1346</v>
      </c>
      <c r="B5620" t="s">
        <v>1347</v>
      </c>
      <c r="C5620" t="s">
        <v>426</v>
      </c>
      <c r="D5620" t="str">
        <f>VLOOKUP(C5620,'lookup table'!$A$2:$B$19,2,FALSE)</f>
        <v>Investee Unit</v>
      </c>
      <c r="E5620" t="str">
        <f t="shared" si="87"/>
        <v>DR4LOB_00|Investee Unit</v>
      </c>
    </row>
    <row r="5621" spans="1:5" x14ac:dyDescent="0.2">
      <c r="A5621" t="s">
        <v>1346</v>
      </c>
      <c r="B5621" t="s">
        <v>1347</v>
      </c>
      <c r="C5621" t="s">
        <v>428</v>
      </c>
      <c r="D5621" t="str">
        <f>VLOOKUP(C5621,'lookup table'!$A$2:$B$19,2,FALSE)</f>
        <v>LoB</v>
      </c>
      <c r="E5621" t="str">
        <f t="shared" si="87"/>
        <v>DR4LOB_00|LoB</v>
      </c>
    </row>
    <row r="5622" spans="1:5" x14ac:dyDescent="0.2">
      <c r="A5622" t="s">
        <v>1346</v>
      </c>
      <c r="B5622" t="s">
        <v>1347</v>
      </c>
      <c r="C5622" t="s">
        <v>436</v>
      </c>
      <c r="D5622" t="str">
        <f>VLOOKUP(C5622,'lookup table'!$A$2:$B$19,2,FALSE)</f>
        <v>MAT</v>
      </c>
      <c r="E5622" t="str">
        <f t="shared" si="87"/>
        <v>DR4LOB_00|MAT</v>
      </c>
    </row>
    <row r="5623" spans="1:5" x14ac:dyDescent="0.2">
      <c r="A5623" t="s">
        <v>1346</v>
      </c>
      <c r="B5623" t="s">
        <v>1347</v>
      </c>
      <c r="C5623" t="s">
        <v>441</v>
      </c>
      <c r="D5623" t="str">
        <f>VLOOKUP(C5623,'lookup table'!$A$2:$B$19,2,FALSE)</f>
        <v>Partner Segment</v>
      </c>
      <c r="E5623" t="str">
        <f t="shared" si="87"/>
        <v>DR4LOB_00|Partner Segment</v>
      </c>
    </row>
    <row r="5624" spans="1:5" x14ac:dyDescent="0.2">
      <c r="A5624" t="s">
        <v>1346</v>
      </c>
      <c r="B5624" t="s">
        <v>1347</v>
      </c>
      <c r="C5624" t="s">
        <v>442</v>
      </c>
      <c r="D5624" t="str">
        <f>VLOOKUP(C5624,'lookup table'!$A$2:$B$19,2,FALSE)</f>
        <v>Partner Unit</v>
      </c>
      <c r="E5624" t="str">
        <f t="shared" si="87"/>
        <v>DR4LOB_00|Partner Unit</v>
      </c>
    </row>
    <row r="5625" spans="1:5" x14ac:dyDescent="0.2">
      <c r="A5625" t="s">
        <v>1346</v>
      </c>
      <c r="B5625" t="s">
        <v>1347</v>
      </c>
      <c r="C5625" t="s">
        <v>447</v>
      </c>
      <c r="D5625" t="str">
        <f>VLOOKUP(C5625,'lookup table'!$A$2:$B$19,2,FALSE)</f>
        <v>REX</v>
      </c>
      <c r="E5625" t="str">
        <f t="shared" si="87"/>
        <v>DR4LOB_00|REX</v>
      </c>
    </row>
    <row r="5626" spans="1:5" x14ac:dyDescent="0.2">
      <c r="A5626" t="s">
        <v>1346</v>
      </c>
      <c r="B5626" t="s">
        <v>1347</v>
      </c>
      <c r="C5626" t="s">
        <v>448</v>
      </c>
      <c r="D5626" t="e">
        <f>VLOOKUP(C5626,'lookup table'!$A$2:$B$19,2,FALSE)</f>
        <v>#N/A</v>
      </c>
      <c r="E5626" t="str">
        <f t="shared" si="87"/>
        <v/>
      </c>
    </row>
    <row r="5627" spans="1:5" x14ac:dyDescent="0.2">
      <c r="A5627" t="s">
        <v>1346</v>
      </c>
      <c r="B5627" t="s">
        <v>1347</v>
      </c>
      <c r="C5627" t="s">
        <v>449</v>
      </c>
      <c r="D5627" t="e">
        <f>VLOOKUP(C5627,'lookup table'!$A$2:$B$19,2,FALSE)</f>
        <v>#N/A</v>
      </c>
      <c r="E5627" t="str">
        <f t="shared" si="87"/>
        <v/>
      </c>
    </row>
    <row r="5628" spans="1:5" x14ac:dyDescent="0.2">
      <c r="A5628" t="s">
        <v>1346</v>
      </c>
      <c r="B5628" t="s">
        <v>1347</v>
      </c>
      <c r="C5628" t="s">
        <v>451</v>
      </c>
      <c r="D5628" t="str">
        <f>VLOOKUP(C5628,'lookup table'!$A$2:$B$19,2,FALSE)</f>
        <v>Segment</v>
      </c>
      <c r="E5628" t="str">
        <f t="shared" si="87"/>
        <v>DR4LOB_00|Segment</v>
      </c>
    </row>
    <row r="5629" spans="1:5" x14ac:dyDescent="0.2">
      <c r="A5629" t="s">
        <v>1346</v>
      </c>
      <c r="B5629" t="s">
        <v>1347</v>
      </c>
      <c r="C5629" t="s">
        <v>455</v>
      </c>
      <c r="D5629" t="e">
        <f>VLOOKUP(C5629,'lookup table'!$A$2:$B$19,2,FALSE)</f>
        <v>#N/A</v>
      </c>
      <c r="E5629" t="str">
        <f t="shared" si="87"/>
        <v/>
      </c>
    </row>
    <row r="5630" spans="1:5" x14ac:dyDescent="0.2">
      <c r="A5630" t="s">
        <v>1346</v>
      </c>
      <c r="B5630" t="s">
        <v>1347</v>
      </c>
      <c r="C5630" t="s">
        <v>456</v>
      </c>
      <c r="D5630" t="e">
        <f>VLOOKUP(C5630,'lookup table'!$A$2:$B$19,2,FALSE)</f>
        <v>#N/A</v>
      </c>
      <c r="E5630" t="str">
        <f t="shared" si="87"/>
        <v/>
      </c>
    </row>
    <row r="5631" spans="1:5" x14ac:dyDescent="0.2">
      <c r="A5631" t="s">
        <v>1346</v>
      </c>
      <c r="B5631" t="s">
        <v>1347</v>
      </c>
      <c r="C5631" t="s">
        <v>457</v>
      </c>
      <c r="D5631" t="str">
        <f>VLOOKUP(C5631,'lookup table'!$A$2:$B$19,2,FALSE)</f>
        <v>VLT</v>
      </c>
      <c r="E5631" t="str">
        <f t="shared" si="87"/>
        <v>DR4LOB_00|VLT</v>
      </c>
    </row>
    <row r="5632" spans="1:5" x14ac:dyDescent="0.2">
      <c r="A5632" t="s">
        <v>1346</v>
      </c>
      <c r="B5632" t="s">
        <v>1347</v>
      </c>
      <c r="C5632" t="s">
        <v>458</v>
      </c>
      <c r="D5632" t="str">
        <f>VLOOKUP(C5632,'lookup table'!$A$2:$B$19,2,FALSE)</f>
        <v>VAR</v>
      </c>
      <c r="E5632" t="str">
        <f t="shared" si="87"/>
        <v>DR4LOB_00|VAR</v>
      </c>
    </row>
    <row r="5633" spans="1:5" x14ac:dyDescent="0.2">
      <c r="A5633" t="s">
        <v>1346</v>
      </c>
      <c r="B5633" t="s">
        <v>1347</v>
      </c>
      <c r="C5633" t="s">
        <v>459</v>
      </c>
      <c r="D5633" t="e">
        <f>VLOOKUP(C5633,'lookup table'!$A$2:$B$19,2,FALSE)</f>
        <v>#N/A</v>
      </c>
      <c r="E5633" t="str">
        <f t="shared" si="87"/>
        <v/>
      </c>
    </row>
    <row r="5634" spans="1:5" x14ac:dyDescent="0.2">
      <c r="A5634" t="s">
        <v>1346</v>
      </c>
      <c r="B5634" t="s">
        <v>1347</v>
      </c>
      <c r="C5634" t="s">
        <v>460</v>
      </c>
      <c r="D5634" t="e">
        <f>VLOOKUP(C5634,'lookup table'!$A$2:$B$19,2,FALSE)</f>
        <v>#N/A</v>
      </c>
      <c r="E5634" t="str">
        <f t="shared" si="87"/>
        <v/>
      </c>
    </row>
    <row r="5635" spans="1:5" x14ac:dyDescent="0.2">
      <c r="A5635" t="s">
        <v>1346</v>
      </c>
      <c r="B5635" t="s">
        <v>1347</v>
      </c>
      <c r="C5635" t="s">
        <v>461</v>
      </c>
      <c r="D5635" t="str">
        <f>VLOOKUP(C5635,'lookup table'!$A$2:$B$19,2,FALSE)</f>
        <v>Posting Level</v>
      </c>
      <c r="E5635" t="str">
        <f t="shared" ref="E5635:E5698" si="88">IF(ISNA(D5635),"",IF(A5635="","",A5635) &amp; "|" &amp; D5635)</f>
        <v>DR4LOB_00|Posting Level</v>
      </c>
    </row>
    <row r="5636" spans="1:5" x14ac:dyDescent="0.2">
      <c r="A5636" t="s">
        <v>1346</v>
      </c>
      <c r="B5636" t="s">
        <v>1347</v>
      </c>
      <c r="C5636" t="s">
        <v>462</v>
      </c>
      <c r="D5636" t="e">
        <f>VLOOKUP(C5636,'lookup table'!$A$2:$B$19,2,FALSE)</f>
        <v>#N/A</v>
      </c>
      <c r="E5636" t="str">
        <f t="shared" si="88"/>
        <v/>
      </c>
    </row>
    <row r="5637" spans="1:5" x14ac:dyDescent="0.2">
      <c r="A5637" t="s">
        <v>1346</v>
      </c>
      <c r="B5637" t="s">
        <v>1347</v>
      </c>
      <c r="C5637" t="s">
        <v>463</v>
      </c>
      <c r="D5637" t="e">
        <f>VLOOKUP(C5637,'lookup table'!$A$2:$B$19,2,FALSE)</f>
        <v>#N/A</v>
      </c>
      <c r="E5637" t="str">
        <f t="shared" si="88"/>
        <v/>
      </c>
    </row>
    <row r="5638" spans="1:5" x14ac:dyDescent="0.2">
      <c r="A5638" t="s">
        <v>1346</v>
      </c>
      <c r="B5638" t="s">
        <v>1347</v>
      </c>
      <c r="C5638" t="s">
        <v>464</v>
      </c>
      <c r="D5638" t="e">
        <f>VLOOKUP(C5638,'lookup table'!$A$2:$B$19,2,FALSE)</f>
        <v>#N/A</v>
      </c>
      <c r="E5638" t="str">
        <f t="shared" si="88"/>
        <v/>
      </c>
    </row>
    <row r="5639" spans="1:5" x14ac:dyDescent="0.2">
      <c r="A5639" t="s">
        <v>1346</v>
      </c>
      <c r="B5639" t="s">
        <v>1347</v>
      </c>
      <c r="C5639" t="s">
        <v>465</v>
      </c>
      <c r="D5639" t="e">
        <f>VLOOKUP(C5639,'lookup table'!$A$2:$B$19,2,FALSE)</f>
        <v>#N/A</v>
      </c>
      <c r="E5639" t="str">
        <f t="shared" si="88"/>
        <v/>
      </c>
    </row>
    <row r="5640" spans="1:5" x14ac:dyDescent="0.2">
      <c r="A5640" t="s">
        <v>1348</v>
      </c>
      <c r="B5640" t="s">
        <v>1347</v>
      </c>
      <c r="C5640" t="s">
        <v>2</v>
      </c>
      <c r="D5640" t="e">
        <f>VLOOKUP(C5640,'lookup table'!$A$2:$B$19,2,FALSE)</f>
        <v>#N/A</v>
      </c>
      <c r="E5640" t="str">
        <f t="shared" si="88"/>
        <v/>
      </c>
    </row>
    <row r="5641" spans="1:5" x14ac:dyDescent="0.2">
      <c r="A5641" t="s">
        <v>1348</v>
      </c>
      <c r="B5641" t="s">
        <v>1347</v>
      </c>
      <c r="C5641" t="s">
        <v>5</v>
      </c>
      <c r="D5641" t="e">
        <f>VLOOKUP(C5641,'lookup table'!$A$2:$B$19,2,FALSE)</f>
        <v>#N/A</v>
      </c>
      <c r="E5641" t="str">
        <f t="shared" si="88"/>
        <v/>
      </c>
    </row>
    <row r="5642" spans="1:5" x14ac:dyDescent="0.2">
      <c r="A5642" t="s">
        <v>1348</v>
      </c>
      <c r="B5642" t="s">
        <v>1347</v>
      </c>
      <c r="C5642" t="s">
        <v>6</v>
      </c>
      <c r="D5642" t="e">
        <f>VLOOKUP(C5642,'lookup table'!$A$2:$B$19,2,FALSE)</f>
        <v>#N/A</v>
      </c>
      <c r="E5642" t="str">
        <f t="shared" si="88"/>
        <v/>
      </c>
    </row>
    <row r="5643" spans="1:5" x14ac:dyDescent="0.2">
      <c r="A5643" t="s">
        <v>1348</v>
      </c>
      <c r="B5643" t="s">
        <v>1347</v>
      </c>
      <c r="C5643" t="s">
        <v>9</v>
      </c>
      <c r="D5643" t="e">
        <f>VLOOKUP(C5643,'lookup table'!$A$2:$B$19,2,FALSE)</f>
        <v>#N/A</v>
      </c>
      <c r="E5643" t="str">
        <f t="shared" si="88"/>
        <v/>
      </c>
    </row>
    <row r="5644" spans="1:5" x14ac:dyDescent="0.2">
      <c r="A5644" t="s">
        <v>1348</v>
      </c>
      <c r="B5644" t="s">
        <v>1347</v>
      </c>
      <c r="C5644" t="s">
        <v>10</v>
      </c>
      <c r="D5644" t="e">
        <f>VLOOKUP(C5644,'lookup table'!$A$2:$B$19,2,FALSE)</f>
        <v>#N/A</v>
      </c>
      <c r="E5644" t="str">
        <f t="shared" si="88"/>
        <v/>
      </c>
    </row>
    <row r="5645" spans="1:5" x14ac:dyDescent="0.2">
      <c r="A5645" t="s">
        <v>1348</v>
      </c>
      <c r="B5645" t="s">
        <v>1347</v>
      </c>
      <c r="C5645" t="s">
        <v>11</v>
      </c>
      <c r="D5645" t="e">
        <f>VLOOKUP(C5645,'lookup table'!$A$2:$B$19,2,FALSE)</f>
        <v>#N/A</v>
      </c>
      <c r="E5645" t="str">
        <f t="shared" si="88"/>
        <v/>
      </c>
    </row>
    <row r="5646" spans="1:5" x14ac:dyDescent="0.2">
      <c r="A5646" t="s">
        <v>1348</v>
      </c>
      <c r="B5646" t="s">
        <v>1347</v>
      </c>
      <c r="C5646" t="s">
        <v>12</v>
      </c>
      <c r="D5646" t="e">
        <f>VLOOKUP(C5646,'lookup table'!$A$2:$B$19,2,FALSE)</f>
        <v>#N/A</v>
      </c>
      <c r="E5646" t="str">
        <f t="shared" si="88"/>
        <v/>
      </c>
    </row>
    <row r="5647" spans="1:5" x14ac:dyDescent="0.2">
      <c r="A5647" t="s">
        <v>1348</v>
      </c>
      <c r="B5647" t="s">
        <v>1347</v>
      </c>
      <c r="C5647" t="s">
        <v>14</v>
      </c>
      <c r="D5647" t="str">
        <f>VLOOKUP(C5647,'lookup table'!$A$2:$B$19,2,FALSE)</f>
        <v>ALC</v>
      </c>
      <c r="E5647" t="str">
        <f t="shared" si="88"/>
        <v>DR4LOB_14|ALC</v>
      </c>
    </row>
    <row r="5648" spans="1:5" x14ac:dyDescent="0.2">
      <c r="A5648" t="s">
        <v>1348</v>
      </c>
      <c r="B5648" t="s">
        <v>1347</v>
      </c>
      <c r="C5648" t="s">
        <v>20</v>
      </c>
      <c r="D5648" t="str">
        <f>VLOOKUP(C5648,'lookup table'!$A$2:$B$19,2,FALSE)</f>
        <v>AY</v>
      </c>
      <c r="E5648" t="str">
        <f t="shared" si="88"/>
        <v>DR4LOB_14|AY</v>
      </c>
    </row>
    <row r="5649" spans="1:5" x14ac:dyDescent="0.2">
      <c r="A5649" t="s">
        <v>1348</v>
      </c>
      <c r="B5649" t="s">
        <v>1347</v>
      </c>
      <c r="C5649" t="s">
        <v>324</v>
      </c>
      <c r="D5649" t="e">
        <f>VLOOKUP(C5649,'lookup table'!$A$2:$B$19,2,FALSE)</f>
        <v>#N/A</v>
      </c>
      <c r="E5649" t="str">
        <f t="shared" si="88"/>
        <v/>
      </c>
    </row>
    <row r="5650" spans="1:5" x14ac:dyDescent="0.2">
      <c r="A5650" t="s">
        <v>1348</v>
      </c>
      <c r="B5650" t="s">
        <v>1347</v>
      </c>
      <c r="C5650" t="s">
        <v>327</v>
      </c>
      <c r="D5650" t="e">
        <f>VLOOKUP(C5650,'lookup table'!$A$2:$B$19,2,FALSE)</f>
        <v>#N/A</v>
      </c>
      <c r="E5650" t="str">
        <f t="shared" si="88"/>
        <v/>
      </c>
    </row>
    <row r="5651" spans="1:5" x14ac:dyDescent="0.2">
      <c r="A5651" t="s">
        <v>1348</v>
      </c>
      <c r="B5651" t="s">
        <v>1347</v>
      </c>
      <c r="C5651" t="s">
        <v>328</v>
      </c>
      <c r="D5651" t="e">
        <f>VLOOKUP(C5651,'lookup table'!$A$2:$B$19,2,FALSE)</f>
        <v>#N/A</v>
      </c>
      <c r="E5651" t="str">
        <f t="shared" si="88"/>
        <v/>
      </c>
    </row>
    <row r="5652" spans="1:5" x14ac:dyDescent="0.2">
      <c r="A5652" t="s">
        <v>1348</v>
      </c>
      <c r="B5652" t="s">
        <v>1347</v>
      </c>
      <c r="C5652" t="s">
        <v>329</v>
      </c>
      <c r="D5652" t="e">
        <f>VLOOKUP(C5652,'lookup table'!$A$2:$B$19,2,FALSE)</f>
        <v>#N/A</v>
      </c>
      <c r="E5652" t="str">
        <f t="shared" si="88"/>
        <v/>
      </c>
    </row>
    <row r="5653" spans="1:5" x14ac:dyDescent="0.2">
      <c r="A5653" t="s">
        <v>1348</v>
      </c>
      <c r="B5653" t="s">
        <v>1347</v>
      </c>
      <c r="C5653" t="s">
        <v>331</v>
      </c>
      <c r="D5653" t="str">
        <f>VLOOKUP(C5653,'lookup table'!$A$2:$B$19,2,FALSE)</f>
        <v>FS Item</v>
      </c>
      <c r="E5653" t="str">
        <f t="shared" si="88"/>
        <v>DR4LOB_14|FS Item</v>
      </c>
    </row>
    <row r="5654" spans="1:5" x14ac:dyDescent="0.2">
      <c r="A5654" t="s">
        <v>1348</v>
      </c>
      <c r="B5654" t="s">
        <v>1347</v>
      </c>
      <c r="C5654" t="s">
        <v>422</v>
      </c>
      <c r="D5654" t="e">
        <f>VLOOKUP(C5654,'lookup table'!$A$2:$B$19,2,FALSE)</f>
        <v>#N/A</v>
      </c>
      <c r="E5654" t="str">
        <f t="shared" si="88"/>
        <v/>
      </c>
    </row>
    <row r="5655" spans="1:5" x14ac:dyDescent="0.2">
      <c r="A5655" t="s">
        <v>1348</v>
      </c>
      <c r="B5655" t="s">
        <v>1347</v>
      </c>
      <c r="C5655" t="s">
        <v>423</v>
      </c>
      <c r="D5655" t="str">
        <f>VLOOKUP(C5655,'lookup table'!$A$2:$B$19,2,FALSE)</f>
        <v>ignore</v>
      </c>
      <c r="E5655" t="str">
        <f t="shared" si="88"/>
        <v>DR4LOB_14|ignore</v>
      </c>
    </row>
    <row r="5656" spans="1:5" x14ac:dyDescent="0.2">
      <c r="A5656" t="s">
        <v>1348</v>
      </c>
      <c r="B5656" t="s">
        <v>1347</v>
      </c>
      <c r="C5656" t="s">
        <v>424</v>
      </c>
      <c r="D5656" t="str">
        <f>VLOOKUP(C5656,'lookup table'!$A$2:$B$19,2,FALSE)</f>
        <v>GRC</v>
      </c>
      <c r="E5656" t="str">
        <f t="shared" si="88"/>
        <v>DR4LOB_14|GRC</v>
      </c>
    </row>
    <row r="5657" spans="1:5" x14ac:dyDescent="0.2">
      <c r="A5657" t="s">
        <v>1348</v>
      </c>
      <c r="B5657" t="s">
        <v>1347</v>
      </c>
      <c r="C5657" t="s">
        <v>425</v>
      </c>
      <c r="D5657" t="str">
        <f>VLOOKUP(C5657,'lookup table'!$A$2:$B$19,2,FALSE)</f>
        <v>Investee Segment</v>
      </c>
      <c r="E5657" t="str">
        <f t="shared" si="88"/>
        <v>DR4LOB_14|Investee Segment</v>
      </c>
    </row>
    <row r="5658" spans="1:5" x14ac:dyDescent="0.2">
      <c r="A5658" t="s">
        <v>1348</v>
      </c>
      <c r="B5658" t="s">
        <v>1347</v>
      </c>
      <c r="C5658" t="s">
        <v>426</v>
      </c>
      <c r="D5658" t="str">
        <f>VLOOKUP(C5658,'lookup table'!$A$2:$B$19,2,FALSE)</f>
        <v>Investee Unit</v>
      </c>
      <c r="E5658" t="str">
        <f t="shared" si="88"/>
        <v>DR4LOB_14|Investee Unit</v>
      </c>
    </row>
    <row r="5659" spans="1:5" x14ac:dyDescent="0.2">
      <c r="A5659" t="s">
        <v>1348</v>
      </c>
      <c r="B5659" t="s">
        <v>1347</v>
      </c>
      <c r="C5659" t="s">
        <v>428</v>
      </c>
      <c r="D5659" t="str">
        <f>VLOOKUP(C5659,'lookup table'!$A$2:$B$19,2,FALSE)</f>
        <v>LoB</v>
      </c>
      <c r="E5659" t="str">
        <f t="shared" si="88"/>
        <v>DR4LOB_14|LoB</v>
      </c>
    </row>
    <row r="5660" spans="1:5" x14ac:dyDescent="0.2">
      <c r="A5660" t="s">
        <v>1348</v>
      </c>
      <c r="B5660" t="s">
        <v>1347</v>
      </c>
      <c r="C5660" t="s">
        <v>436</v>
      </c>
      <c r="D5660" t="str">
        <f>VLOOKUP(C5660,'lookup table'!$A$2:$B$19,2,FALSE)</f>
        <v>MAT</v>
      </c>
      <c r="E5660" t="str">
        <f t="shared" si="88"/>
        <v>DR4LOB_14|MAT</v>
      </c>
    </row>
    <row r="5661" spans="1:5" x14ac:dyDescent="0.2">
      <c r="A5661" t="s">
        <v>1348</v>
      </c>
      <c r="B5661" t="s">
        <v>1347</v>
      </c>
      <c r="C5661" t="s">
        <v>441</v>
      </c>
      <c r="D5661" t="str">
        <f>VLOOKUP(C5661,'lookup table'!$A$2:$B$19,2,FALSE)</f>
        <v>Partner Segment</v>
      </c>
      <c r="E5661" t="str">
        <f t="shared" si="88"/>
        <v>DR4LOB_14|Partner Segment</v>
      </c>
    </row>
    <row r="5662" spans="1:5" x14ac:dyDescent="0.2">
      <c r="A5662" t="s">
        <v>1348</v>
      </c>
      <c r="B5662" t="s">
        <v>1347</v>
      </c>
      <c r="C5662" t="s">
        <v>442</v>
      </c>
      <c r="D5662" t="str">
        <f>VLOOKUP(C5662,'lookup table'!$A$2:$B$19,2,FALSE)</f>
        <v>Partner Unit</v>
      </c>
      <c r="E5662" t="str">
        <f t="shared" si="88"/>
        <v>DR4LOB_14|Partner Unit</v>
      </c>
    </row>
    <row r="5663" spans="1:5" x14ac:dyDescent="0.2">
      <c r="A5663" t="s">
        <v>1348</v>
      </c>
      <c r="B5663" t="s">
        <v>1347</v>
      </c>
      <c r="C5663" t="s">
        <v>447</v>
      </c>
      <c r="D5663" t="str">
        <f>VLOOKUP(C5663,'lookup table'!$A$2:$B$19,2,FALSE)</f>
        <v>REX</v>
      </c>
      <c r="E5663" t="str">
        <f t="shared" si="88"/>
        <v>DR4LOB_14|REX</v>
      </c>
    </row>
    <row r="5664" spans="1:5" x14ac:dyDescent="0.2">
      <c r="A5664" t="s">
        <v>1348</v>
      </c>
      <c r="B5664" t="s">
        <v>1347</v>
      </c>
      <c r="C5664" t="s">
        <v>448</v>
      </c>
      <c r="D5664" t="e">
        <f>VLOOKUP(C5664,'lookup table'!$A$2:$B$19,2,FALSE)</f>
        <v>#N/A</v>
      </c>
      <c r="E5664" t="str">
        <f t="shared" si="88"/>
        <v/>
      </c>
    </row>
    <row r="5665" spans="1:5" x14ac:dyDescent="0.2">
      <c r="A5665" t="s">
        <v>1348</v>
      </c>
      <c r="B5665" t="s">
        <v>1347</v>
      </c>
      <c r="C5665" t="s">
        <v>449</v>
      </c>
      <c r="D5665" t="e">
        <f>VLOOKUP(C5665,'lookup table'!$A$2:$B$19,2,FALSE)</f>
        <v>#N/A</v>
      </c>
      <c r="E5665" t="str">
        <f t="shared" si="88"/>
        <v/>
      </c>
    </row>
    <row r="5666" spans="1:5" x14ac:dyDescent="0.2">
      <c r="A5666" t="s">
        <v>1348</v>
      </c>
      <c r="B5666" t="s">
        <v>1347</v>
      </c>
      <c r="C5666" t="s">
        <v>451</v>
      </c>
      <c r="D5666" t="str">
        <f>VLOOKUP(C5666,'lookup table'!$A$2:$B$19,2,FALSE)</f>
        <v>Segment</v>
      </c>
      <c r="E5666" t="str">
        <f t="shared" si="88"/>
        <v>DR4LOB_14|Segment</v>
      </c>
    </row>
    <row r="5667" spans="1:5" x14ac:dyDescent="0.2">
      <c r="A5667" t="s">
        <v>1348</v>
      </c>
      <c r="B5667" t="s">
        <v>1347</v>
      </c>
      <c r="C5667" t="s">
        <v>455</v>
      </c>
      <c r="D5667" t="e">
        <f>VLOOKUP(C5667,'lookup table'!$A$2:$B$19,2,FALSE)</f>
        <v>#N/A</v>
      </c>
      <c r="E5667" t="str">
        <f t="shared" si="88"/>
        <v/>
      </c>
    </row>
    <row r="5668" spans="1:5" x14ac:dyDescent="0.2">
      <c r="A5668" t="s">
        <v>1348</v>
      </c>
      <c r="B5668" t="s">
        <v>1347</v>
      </c>
      <c r="C5668" t="s">
        <v>456</v>
      </c>
      <c r="D5668" t="e">
        <f>VLOOKUP(C5668,'lookup table'!$A$2:$B$19,2,FALSE)</f>
        <v>#N/A</v>
      </c>
      <c r="E5668" t="str">
        <f t="shared" si="88"/>
        <v/>
      </c>
    </row>
    <row r="5669" spans="1:5" x14ac:dyDescent="0.2">
      <c r="A5669" t="s">
        <v>1348</v>
      </c>
      <c r="B5669" t="s">
        <v>1347</v>
      </c>
      <c r="C5669" t="s">
        <v>457</v>
      </c>
      <c r="D5669" t="str">
        <f>VLOOKUP(C5669,'lookup table'!$A$2:$B$19,2,FALSE)</f>
        <v>VLT</v>
      </c>
      <c r="E5669" t="str">
        <f t="shared" si="88"/>
        <v>DR4LOB_14|VLT</v>
      </c>
    </row>
    <row r="5670" spans="1:5" x14ac:dyDescent="0.2">
      <c r="A5670" t="s">
        <v>1348</v>
      </c>
      <c r="B5670" t="s">
        <v>1347</v>
      </c>
      <c r="C5670" t="s">
        <v>458</v>
      </c>
      <c r="D5670" t="str">
        <f>VLOOKUP(C5670,'lookup table'!$A$2:$B$19,2,FALSE)</f>
        <v>VAR</v>
      </c>
      <c r="E5670" t="str">
        <f t="shared" si="88"/>
        <v>DR4LOB_14|VAR</v>
      </c>
    </row>
    <row r="5671" spans="1:5" x14ac:dyDescent="0.2">
      <c r="A5671" t="s">
        <v>1348</v>
      </c>
      <c r="B5671" t="s">
        <v>1347</v>
      </c>
      <c r="C5671" t="s">
        <v>459</v>
      </c>
      <c r="D5671" t="e">
        <f>VLOOKUP(C5671,'lookup table'!$A$2:$B$19,2,FALSE)</f>
        <v>#N/A</v>
      </c>
      <c r="E5671" t="str">
        <f t="shared" si="88"/>
        <v/>
      </c>
    </row>
    <row r="5672" spans="1:5" x14ac:dyDescent="0.2">
      <c r="A5672" t="s">
        <v>1348</v>
      </c>
      <c r="B5672" t="s">
        <v>1347</v>
      </c>
      <c r="C5672" t="s">
        <v>460</v>
      </c>
      <c r="D5672" t="e">
        <f>VLOOKUP(C5672,'lookup table'!$A$2:$B$19,2,FALSE)</f>
        <v>#N/A</v>
      </c>
      <c r="E5672" t="str">
        <f t="shared" si="88"/>
        <v/>
      </c>
    </row>
    <row r="5673" spans="1:5" x14ac:dyDescent="0.2">
      <c r="A5673" t="s">
        <v>1348</v>
      </c>
      <c r="B5673" t="s">
        <v>1347</v>
      </c>
      <c r="C5673" t="s">
        <v>461</v>
      </c>
      <c r="D5673" t="str">
        <f>VLOOKUP(C5673,'lookup table'!$A$2:$B$19,2,FALSE)</f>
        <v>Posting Level</v>
      </c>
      <c r="E5673" t="str">
        <f t="shared" si="88"/>
        <v>DR4LOB_14|Posting Level</v>
      </c>
    </row>
    <row r="5674" spans="1:5" x14ac:dyDescent="0.2">
      <c r="A5674" t="s">
        <v>1348</v>
      </c>
      <c r="B5674" t="s">
        <v>1347</v>
      </c>
      <c r="C5674" t="s">
        <v>462</v>
      </c>
      <c r="D5674" t="e">
        <f>VLOOKUP(C5674,'lookup table'!$A$2:$B$19,2,FALSE)</f>
        <v>#N/A</v>
      </c>
      <c r="E5674" t="str">
        <f t="shared" si="88"/>
        <v/>
      </c>
    </row>
    <row r="5675" spans="1:5" x14ac:dyDescent="0.2">
      <c r="A5675" t="s">
        <v>1348</v>
      </c>
      <c r="B5675" t="s">
        <v>1347</v>
      </c>
      <c r="C5675" t="s">
        <v>463</v>
      </c>
      <c r="D5675" t="e">
        <f>VLOOKUP(C5675,'lookup table'!$A$2:$B$19,2,FALSE)</f>
        <v>#N/A</v>
      </c>
      <c r="E5675" t="str">
        <f t="shared" si="88"/>
        <v/>
      </c>
    </row>
    <row r="5676" spans="1:5" x14ac:dyDescent="0.2">
      <c r="A5676" t="s">
        <v>1348</v>
      </c>
      <c r="B5676" t="s">
        <v>1347</v>
      </c>
      <c r="C5676" t="s">
        <v>464</v>
      </c>
      <c r="D5676" t="e">
        <f>VLOOKUP(C5676,'lookup table'!$A$2:$B$19,2,FALSE)</f>
        <v>#N/A</v>
      </c>
      <c r="E5676" t="str">
        <f t="shared" si="88"/>
        <v/>
      </c>
    </row>
    <row r="5677" spans="1:5" x14ac:dyDescent="0.2">
      <c r="A5677" t="s">
        <v>1348</v>
      </c>
      <c r="B5677" t="s">
        <v>1347</v>
      </c>
      <c r="C5677" t="s">
        <v>465</v>
      </c>
      <c r="D5677" t="e">
        <f>VLOOKUP(C5677,'lookup table'!$A$2:$B$19,2,FALSE)</f>
        <v>#N/A</v>
      </c>
      <c r="E5677" t="str">
        <f t="shared" si="88"/>
        <v/>
      </c>
    </row>
    <row r="5678" spans="1:5" x14ac:dyDescent="0.2">
      <c r="A5678" t="s">
        <v>1349</v>
      </c>
      <c r="B5678" t="s">
        <v>1350</v>
      </c>
      <c r="C5678" t="s">
        <v>2</v>
      </c>
      <c r="D5678" t="e">
        <f>VLOOKUP(C5678,'lookup table'!$A$2:$B$19,2,FALSE)</f>
        <v>#N/A</v>
      </c>
      <c r="E5678" t="str">
        <f t="shared" si="88"/>
        <v/>
      </c>
    </row>
    <row r="5679" spans="1:5" x14ac:dyDescent="0.2">
      <c r="A5679" t="s">
        <v>1349</v>
      </c>
      <c r="B5679" t="s">
        <v>1350</v>
      </c>
      <c r="C5679" t="s">
        <v>5</v>
      </c>
      <c r="D5679" t="e">
        <f>VLOOKUP(C5679,'lookup table'!$A$2:$B$19,2,FALSE)</f>
        <v>#N/A</v>
      </c>
      <c r="E5679" t="str">
        <f t="shared" si="88"/>
        <v/>
      </c>
    </row>
    <row r="5680" spans="1:5" x14ac:dyDescent="0.2">
      <c r="A5680" t="s">
        <v>1349</v>
      </c>
      <c r="B5680" t="s">
        <v>1350</v>
      </c>
      <c r="C5680" t="s">
        <v>6</v>
      </c>
      <c r="D5680" t="e">
        <f>VLOOKUP(C5680,'lookup table'!$A$2:$B$19,2,FALSE)</f>
        <v>#N/A</v>
      </c>
      <c r="E5680" t="str">
        <f t="shared" si="88"/>
        <v/>
      </c>
    </row>
    <row r="5681" spans="1:5" x14ac:dyDescent="0.2">
      <c r="A5681" t="s">
        <v>1349</v>
      </c>
      <c r="B5681" t="s">
        <v>1350</v>
      </c>
      <c r="C5681" t="s">
        <v>9</v>
      </c>
      <c r="D5681" t="e">
        <f>VLOOKUP(C5681,'lookup table'!$A$2:$B$19,2,FALSE)</f>
        <v>#N/A</v>
      </c>
      <c r="E5681" t="str">
        <f t="shared" si="88"/>
        <v/>
      </c>
    </row>
    <row r="5682" spans="1:5" x14ac:dyDescent="0.2">
      <c r="A5682" t="s">
        <v>1349</v>
      </c>
      <c r="B5682" t="s">
        <v>1350</v>
      </c>
      <c r="C5682" t="s">
        <v>10</v>
      </c>
      <c r="D5682" t="e">
        <f>VLOOKUP(C5682,'lookup table'!$A$2:$B$19,2,FALSE)</f>
        <v>#N/A</v>
      </c>
      <c r="E5682" t="str">
        <f t="shared" si="88"/>
        <v/>
      </c>
    </row>
    <row r="5683" spans="1:5" x14ac:dyDescent="0.2">
      <c r="A5683" t="s">
        <v>1349</v>
      </c>
      <c r="B5683" t="s">
        <v>1350</v>
      </c>
      <c r="C5683" t="s">
        <v>11</v>
      </c>
      <c r="D5683" t="e">
        <f>VLOOKUP(C5683,'lookup table'!$A$2:$B$19,2,FALSE)</f>
        <v>#N/A</v>
      </c>
      <c r="E5683" t="str">
        <f t="shared" si="88"/>
        <v/>
      </c>
    </row>
    <row r="5684" spans="1:5" x14ac:dyDescent="0.2">
      <c r="A5684" t="s">
        <v>1349</v>
      </c>
      <c r="B5684" t="s">
        <v>1350</v>
      </c>
      <c r="C5684" t="s">
        <v>12</v>
      </c>
      <c r="D5684" t="e">
        <f>VLOOKUP(C5684,'lookup table'!$A$2:$B$19,2,FALSE)</f>
        <v>#N/A</v>
      </c>
      <c r="E5684" t="str">
        <f t="shared" si="88"/>
        <v/>
      </c>
    </row>
    <row r="5685" spans="1:5" x14ac:dyDescent="0.2">
      <c r="A5685" t="s">
        <v>1349</v>
      </c>
      <c r="B5685" t="s">
        <v>1350</v>
      </c>
      <c r="C5685" t="s">
        <v>14</v>
      </c>
      <c r="D5685" t="str">
        <f>VLOOKUP(C5685,'lookup table'!$A$2:$B$19,2,FALSE)</f>
        <v>ALC</v>
      </c>
      <c r="E5685" t="str">
        <f t="shared" si="88"/>
        <v>DR4PRU_00|ALC</v>
      </c>
    </row>
    <row r="5686" spans="1:5" x14ac:dyDescent="0.2">
      <c r="A5686" t="s">
        <v>1349</v>
      </c>
      <c r="B5686" t="s">
        <v>1350</v>
      </c>
      <c r="C5686" t="s">
        <v>20</v>
      </c>
      <c r="D5686" t="str">
        <f>VLOOKUP(C5686,'lookup table'!$A$2:$B$19,2,FALSE)</f>
        <v>AY</v>
      </c>
      <c r="E5686" t="str">
        <f t="shared" si="88"/>
        <v>DR4PRU_00|AY</v>
      </c>
    </row>
    <row r="5687" spans="1:5" x14ac:dyDescent="0.2">
      <c r="A5687" t="s">
        <v>1349</v>
      </c>
      <c r="B5687" t="s">
        <v>1350</v>
      </c>
      <c r="C5687" t="s">
        <v>324</v>
      </c>
      <c r="D5687" t="e">
        <f>VLOOKUP(C5687,'lookup table'!$A$2:$B$19,2,FALSE)</f>
        <v>#N/A</v>
      </c>
      <c r="E5687" t="str">
        <f t="shared" si="88"/>
        <v/>
      </c>
    </row>
    <row r="5688" spans="1:5" x14ac:dyDescent="0.2">
      <c r="A5688" t="s">
        <v>1349</v>
      </c>
      <c r="B5688" t="s">
        <v>1350</v>
      </c>
      <c r="C5688" t="s">
        <v>325</v>
      </c>
      <c r="D5688" t="e">
        <f>VLOOKUP(C5688,'lookup table'!$A$2:$B$19,2,FALSE)</f>
        <v>#N/A</v>
      </c>
      <c r="E5688" t="str">
        <f t="shared" si="88"/>
        <v/>
      </c>
    </row>
    <row r="5689" spans="1:5" x14ac:dyDescent="0.2">
      <c r="A5689" t="s">
        <v>1349</v>
      </c>
      <c r="B5689" t="s">
        <v>1350</v>
      </c>
      <c r="C5689" t="s">
        <v>326</v>
      </c>
      <c r="D5689" t="e">
        <f>VLOOKUP(C5689,'lookup table'!$A$2:$B$19,2,FALSE)</f>
        <v>#N/A</v>
      </c>
      <c r="E5689" t="str">
        <f t="shared" si="88"/>
        <v/>
      </c>
    </row>
    <row r="5690" spans="1:5" x14ac:dyDescent="0.2">
      <c r="A5690" t="s">
        <v>1349</v>
      </c>
      <c r="B5690" t="s">
        <v>1350</v>
      </c>
      <c r="C5690" t="s">
        <v>327</v>
      </c>
      <c r="D5690" t="e">
        <f>VLOOKUP(C5690,'lookup table'!$A$2:$B$19,2,FALSE)</f>
        <v>#N/A</v>
      </c>
      <c r="E5690" t="str">
        <f t="shared" si="88"/>
        <v/>
      </c>
    </row>
    <row r="5691" spans="1:5" x14ac:dyDescent="0.2">
      <c r="A5691" t="s">
        <v>1349</v>
      </c>
      <c r="B5691" t="s">
        <v>1350</v>
      </c>
      <c r="C5691" t="s">
        <v>328</v>
      </c>
      <c r="D5691" t="e">
        <f>VLOOKUP(C5691,'lookup table'!$A$2:$B$19,2,FALSE)</f>
        <v>#N/A</v>
      </c>
      <c r="E5691" t="str">
        <f t="shared" si="88"/>
        <v/>
      </c>
    </row>
    <row r="5692" spans="1:5" x14ac:dyDescent="0.2">
      <c r="A5692" t="s">
        <v>1349</v>
      </c>
      <c r="B5692" t="s">
        <v>1350</v>
      </c>
      <c r="C5692" t="s">
        <v>329</v>
      </c>
      <c r="D5692" t="e">
        <f>VLOOKUP(C5692,'lookup table'!$A$2:$B$19,2,FALSE)</f>
        <v>#N/A</v>
      </c>
      <c r="E5692" t="str">
        <f t="shared" si="88"/>
        <v/>
      </c>
    </row>
    <row r="5693" spans="1:5" x14ac:dyDescent="0.2">
      <c r="A5693" t="s">
        <v>1349</v>
      </c>
      <c r="B5693" t="s">
        <v>1350</v>
      </c>
      <c r="C5693" t="s">
        <v>331</v>
      </c>
      <c r="D5693" t="str">
        <f>VLOOKUP(C5693,'lookup table'!$A$2:$B$19,2,FALSE)</f>
        <v>FS Item</v>
      </c>
      <c r="E5693" t="str">
        <f t="shared" si="88"/>
        <v>DR4PRU_00|FS Item</v>
      </c>
    </row>
    <row r="5694" spans="1:5" x14ac:dyDescent="0.2">
      <c r="A5694" t="s">
        <v>1349</v>
      </c>
      <c r="B5694" t="s">
        <v>1350</v>
      </c>
      <c r="C5694" t="s">
        <v>422</v>
      </c>
      <c r="D5694" t="e">
        <f>VLOOKUP(C5694,'lookup table'!$A$2:$B$19,2,FALSE)</f>
        <v>#N/A</v>
      </c>
      <c r="E5694" t="str">
        <f t="shared" si="88"/>
        <v/>
      </c>
    </row>
    <row r="5695" spans="1:5" x14ac:dyDescent="0.2">
      <c r="A5695" t="s">
        <v>1349</v>
      </c>
      <c r="B5695" t="s">
        <v>1350</v>
      </c>
      <c r="C5695" t="s">
        <v>423</v>
      </c>
      <c r="D5695" t="str">
        <f>VLOOKUP(C5695,'lookup table'!$A$2:$B$19,2,FALSE)</f>
        <v>ignore</v>
      </c>
      <c r="E5695" t="str">
        <f t="shared" si="88"/>
        <v>DR4PRU_00|ignore</v>
      </c>
    </row>
    <row r="5696" spans="1:5" x14ac:dyDescent="0.2">
      <c r="A5696" t="s">
        <v>1349</v>
      </c>
      <c r="B5696" t="s">
        <v>1350</v>
      </c>
      <c r="C5696" t="s">
        <v>424</v>
      </c>
      <c r="D5696" t="str">
        <f>VLOOKUP(C5696,'lookup table'!$A$2:$B$19,2,FALSE)</f>
        <v>GRC</v>
      </c>
      <c r="E5696" t="str">
        <f t="shared" si="88"/>
        <v>DR4PRU_00|GRC</v>
      </c>
    </row>
    <row r="5697" spans="1:5" x14ac:dyDescent="0.2">
      <c r="A5697" t="s">
        <v>1349</v>
      </c>
      <c r="B5697" t="s">
        <v>1350</v>
      </c>
      <c r="C5697" t="s">
        <v>425</v>
      </c>
      <c r="D5697" t="str">
        <f>VLOOKUP(C5697,'lookup table'!$A$2:$B$19,2,FALSE)</f>
        <v>Investee Segment</v>
      </c>
      <c r="E5697" t="str">
        <f t="shared" si="88"/>
        <v>DR4PRU_00|Investee Segment</v>
      </c>
    </row>
    <row r="5698" spans="1:5" x14ac:dyDescent="0.2">
      <c r="A5698" t="s">
        <v>1349</v>
      </c>
      <c r="B5698" t="s">
        <v>1350</v>
      </c>
      <c r="C5698" t="s">
        <v>426</v>
      </c>
      <c r="D5698" t="str">
        <f>VLOOKUP(C5698,'lookup table'!$A$2:$B$19,2,FALSE)</f>
        <v>Investee Unit</v>
      </c>
      <c r="E5698" t="str">
        <f t="shared" si="88"/>
        <v>DR4PRU_00|Investee Unit</v>
      </c>
    </row>
    <row r="5699" spans="1:5" x14ac:dyDescent="0.2">
      <c r="A5699" t="s">
        <v>1349</v>
      </c>
      <c r="B5699" t="s">
        <v>1350</v>
      </c>
      <c r="C5699" t="s">
        <v>428</v>
      </c>
      <c r="D5699" t="str">
        <f>VLOOKUP(C5699,'lookup table'!$A$2:$B$19,2,FALSE)</f>
        <v>LoB</v>
      </c>
      <c r="E5699" t="str">
        <f t="shared" ref="E5699:E5762" si="89">IF(ISNA(D5699),"",IF(A5699="","",A5699) &amp; "|" &amp; D5699)</f>
        <v>DR4PRU_00|LoB</v>
      </c>
    </row>
    <row r="5700" spans="1:5" x14ac:dyDescent="0.2">
      <c r="A5700" t="s">
        <v>1349</v>
      </c>
      <c r="B5700" t="s">
        <v>1350</v>
      </c>
      <c r="C5700" t="s">
        <v>436</v>
      </c>
      <c r="D5700" t="str">
        <f>VLOOKUP(C5700,'lookup table'!$A$2:$B$19,2,FALSE)</f>
        <v>MAT</v>
      </c>
      <c r="E5700" t="str">
        <f t="shared" si="89"/>
        <v>DR4PRU_00|MAT</v>
      </c>
    </row>
    <row r="5701" spans="1:5" x14ac:dyDescent="0.2">
      <c r="A5701" t="s">
        <v>1349</v>
      </c>
      <c r="B5701" t="s">
        <v>1350</v>
      </c>
      <c r="C5701" t="s">
        <v>441</v>
      </c>
      <c r="D5701" t="str">
        <f>VLOOKUP(C5701,'lookup table'!$A$2:$B$19,2,FALSE)</f>
        <v>Partner Segment</v>
      </c>
      <c r="E5701" t="str">
        <f t="shared" si="89"/>
        <v>DR4PRU_00|Partner Segment</v>
      </c>
    </row>
    <row r="5702" spans="1:5" x14ac:dyDescent="0.2">
      <c r="A5702" t="s">
        <v>1349</v>
      </c>
      <c r="B5702" t="s">
        <v>1350</v>
      </c>
      <c r="C5702" t="s">
        <v>442</v>
      </c>
      <c r="D5702" t="str">
        <f>VLOOKUP(C5702,'lookup table'!$A$2:$B$19,2,FALSE)</f>
        <v>Partner Unit</v>
      </c>
      <c r="E5702" t="str">
        <f t="shared" si="89"/>
        <v>DR4PRU_00|Partner Unit</v>
      </c>
    </row>
    <row r="5703" spans="1:5" x14ac:dyDescent="0.2">
      <c r="A5703" t="s">
        <v>1349</v>
      </c>
      <c r="B5703" t="s">
        <v>1350</v>
      </c>
      <c r="C5703" t="s">
        <v>447</v>
      </c>
      <c r="D5703" t="str">
        <f>VLOOKUP(C5703,'lookup table'!$A$2:$B$19,2,FALSE)</f>
        <v>REX</v>
      </c>
      <c r="E5703" t="str">
        <f t="shared" si="89"/>
        <v>DR4PRU_00|REX</v>
      </c>
    </row>
    <row r="5704" spans="1:5" x14ac:dyDescent="0.2">
      <c r="A5704" t="s">
        <v>1349</v>
      </c>
      <c r="B5704" t="s">
        <v>1350</v>
      </c>
      <c r="C5704" t="s">
        <v>448</v>
      </c>
      <c r="D5704" t="e">
        <f>VLOOKUP(C5704,'lookup table'!$A$2:$B$19,2,FALSE)</f>
        <v>#N/A</v>
      </c>
      <c r="E5704" t="str">
        <f t="shared" si="89"/>
        <v/>
      </c>
    </row>
    <row r="5705" spans="1:5" x14ac:dyDescent="0.2">
      <c r="A5705" t="s">
        <v>1349</v>
      </c>
      <c r="B5705" t="s">
        <v>1350</v>
      </c>
      <c r="C5705" t="s">
        <v>449</v>
      </c>
      <c r="D5705" t="e">
        <f>VLOOKUP(C5705,'lookup table'!$A$2:$B$19,2,FALSE)</f>
        <v>#N/A</v>
      </c>
      <c r="E5705" t="str">
        <f t="shared" si="89"/>
        <v/>
      </c>
    </row>
    <row r="5706" spans="1:5" x14ac:dyDescent="0.2">
      <c r="A5706" t="s">
        <v>1349</v>
      </c>
      <c r="B5706" t="s">
        <v>1350</v>
      </c>
      <c r="C5706" t="s">
        <v>451</v>
      </c>
      <c r="D5706" t="str">
        <f>VLOOKUP(C5706,'lookup table'!$A$2:$B$19,2,FALSE)</f>
        <v>Segment</v>
      </c>
      <c r="E5706" t="str">
        <f t="shared" si="89"/>
        <v>DR4PRU_00|Segment</v>
      </c>
    </row>
    <row r="5707" spans="1:5" x14ac:dyDescent="0.2">
      <c r="A5707" t="s">
        <v>1349</v>
      </c>
      <c r="B5707" t="s">
        <v>1350</v>
      </c>
      <c r="C5707" t="s">
        <v>455</v>
      </c>
      <c r="D5707" t="e">
        <f>VLOOKUP(C5707,'lookup table'!$A$2:$B$19,2,FALSE)</f>
        <v>#N/A</v>
      </c>
      <c r="E5707" t="str">
        <f t="shared" si="89"/>
        <v/>
      </c>
    </row>
    <row r="5708" spans="1:5" x14ac:dyDescent="0.2">
      <c r="A5708" t="s">
        <v>1349</v>
      </c>
      <c r="B5708" t="s">
        <v>1350</v>
      </c>
      <c r="C5708" t="s">
        <v>456</v>
      </c>
      <c r="D5708" t="e">
        <f>VLOOKUP(C5708,'lookup table'!$A$2:$B$19,2,FALSE)</f>
        <v>#N/A</v>
      </c>
      <c r="E5708" t="str">
        <f t="shared" si="89"/>
        <v/>
      </c>
    </row>
    <row r="5709" spans="1:5" x14ac:dyDescent="0.2">
      <c r="A5709" t="s">
        <v>1349</v>
      </c>
      <c r="B5709" t="s">
        <v>1350</v>
      </c>
      <c r="C5709" t="s">
        <v>457</v>
      </c>
      <c r="D5709" t="str">
        <f>VLOOKUP(C5709,'lookup table'!$A$2:$B$19,2,FALSE)</f>
        <v>VLT</v>
      </c>
      <c r="E5709" t="str">
        <f t="shared" si="89"/>
        <v>DR4PRU_00|VLT</v>
      </c>
    </row>
    <row r="5710" spans="1:5" x14ac:dyDescent="0.2">
      <c r="A5710" t="s">
        <v>1349</v>
      </c>
      <c r="B5710" t="s">
        <v>1350</v>
      </c>
      <c r="C5710" t="s">
        <v>458</v>
      </c>
      <c r="D5710" t="str">
        <f>VLOOKUP(C5710,'lookup table'!$A$2:$B$19,2,FALSE)</f>
        <v>VAR</v>
      </c>
      <c r="E5710" t="str">
        <f t="shared" si="89"/>
        <v>DR4PRU_00|VAR</v>
      </c>
    </row>
    <row r="5711" spans="1:5" x14ac:dyDescent="0.2">
      <c r="A5711" t="s">
        <v>1349</v>
      </c>
      <c r="B5711" t="s">
        <v>1350</v>
      </c>
      <c r="C5711" t="s">
        <v>459</v>
      </c>
      <c r="D5711" t="e">
        <f>VLOOKUP(C5711,'lookup table'!$A$2:$B$19,2,FALSE)</f>
        <v>#N/A</v>
      </c>
      <c r="E5711" t="str">
        <f t="shared" si="89"/>
        <v/>
      </c>
    </row>
    <row r="5712" spans="1:5" x14ac:dyDescent="0.2">
      <c r="A5712" t="s">
        <v>1349</v>
      </c>
      <c r="B5712" t="s">
        <v>1350</v>
      </c>
      <c r="C5712" t="s">
        <v>460</v>
      </c>
      <c r="D5712" t="e">
        <f>VLOOKUP(C5712,'lookup table'!$A$2:$B$19,2,FALSE)</f>
        <v>#N/A</v>
      </c>
      <c r="E5712" t="str">
        <f t="shared" si="89"/>
        <v/>
      </c>
    </row>
    <row r="5713" spans="1:5" x14ac:dyDescent="0.2">
      <c r="A5713" t="s">
        <v>1349</v>
      </c>
      <c r="B5713" t="s">
        <v>1350</v>
      </c>
      <c r="C5713" t="s">
        <v>461</v>
      </c>
      <c r="D5713" t="str">
        <f>VLOOKUP(C5713,'lookup table'!$A$2:$B$19,2,FALSE)</f>
        <v>Posting Level</v>
      </c>
      <c r="E5713" t="str">
        <f t="shared" si="89"/>
        <v>DR4PRU_00|Posting Level</v>
      </c>
    </row>
    <row r="5714" spans="1:5" x14ac:dyDescent="0.2">
      <c r="A5714" t="s">
        <v>1349</v>
      </c>
      <c r="B5714" t="s">
        <v>1350</v>
      </c>
      <c r="C5714" t="s">
        <v>462</v>
      </c>
      <c r="D5714" t="e">
        <f>VLOOKUP(C5714,'lookup table'!$A$2:$B$19,2,FALSE)</f>
        <v>#N/A</v>
      </c>
      <c r="E5714" t="str">
        <f t="shared" si="89"/>
        <v/>
      </c>
    </row>
    <row r="5715" spans="1:5" x14ac:dyDescent="0.2">
      <c r="A5715" t="s">
        <v>1349</v>
      </c>
      <c r="B5715" t="s">
        <v>1350</v>
      </c>
      <c r="C5715" t="s">
        <v>463</v>
      </c>
      <c r="D5715" t="e">
        <f>VLOOKUP(C5715,'lookup table'!$A$2:$B$19,2,FALSE)</f>
        <v>#N/A</v>
      </c>
      <c r="E5715" t="str">
        <f t="shared" si="89"/>
        <v/>
      </c>
    </row>
    <row r="5716" spans="1:5" x14ac:dyDescent="0.2">
      <c r="A5716" t="s">
        <v>1349</v>
      </c>
      <c r="B5716" t="s">
        <v>1350</v>
      </c>
      <c r="C5716" t="s">
        <v>464</v>
      </c>
      <c r="D5716" t="e">
        <f>VLOOKUP(C5716,'lookup table'!$A$2:$B$19,2,FALSE)</f>
        <v>#N/A</v>
      </c>
      <c r="E5716" t="str">
        <f t="shared" si="89"/>
        <v/>
      </c>
    </row>
    <row r="5717" spans="1:5" x14ac:dyDescent="0.2">
      <c r="A5717" t="s">
        <v>1349</v>
      </c>
      <c r="B5717" t="s">
        <v>1350</v>
      </c>
      <c r="C5717" t="s">
        <v>465</v>
      </c>
      <c r="D5717" t="e">
        <f>VLOOKUP(C5717,'lookup table'!$A$2:$B$19,2,FALSE)</f>
        <v>#N/A</v>
      </c>
      <c r="E5717" t="str">
        <f t="shared" si="89"/>
        <v/>
      </c>
    </row>
    <row r="5718" spans="1:5" x14ac:dyDescent="0.2">
      <c r="A5718" t="s">
        <v>1351</v>
      </c>
      <c r="B5718" t="s">
        <v>1350</v>
      </c>
      <c r="C5718" t="s">
        <v>2</v>
      </c>
      <c r="D5718" t="e">
        <f>VLOOKUP(C5718,'lookup table'!$A$2:$B$19,2,FALSE)</f>
        <v>#N/A</v>
      </c>
      <c r="E5718" t="str">
        <f t="shared" si="89"/>
        <v/>
      </c>
    </row>
    <row r="5719" spans="1:5" x14ac:dyDescent="0.2">
      <c r="A5719" t="s">
        <v>1351</v>
      </c>
      <c r="B5719" t="s">
        <v>1350</v>
      </c>
      <c r="C5719" t="s">
        <v>5</v>
      </c>
      <c r="D5719" t="e">
        <f>VLOOKUP(C5719,'lookup table'!$A$2:$B$19,2,FALSE)</f>
        <v>#N/A</v>
      </c>
      <c r="E5719" t="str">
        <f t="shared" si="89"/>
        <v/>
      </c>
    </row>
    <row r="5720" spans="1:5" x14ac:dyDescent="0.2">
      <c r="A5720" t="s">
        <v>1351</v>
      </c>
      <c r="B5720" t="s">
        <v>1350</v>
      </c>
      <c r="C5720" t="s">
        <v>6</v>
      </c>
      <c r="D5720" t="e">
        <f>VLOOKUP(C5720,'lookup table'!$A$2:$B$19,2,FALSE)</f>
        <v>#N/A</v>
      </c>
      <c r="E5720" t="str">
        <f t="shared" si="89"/>
        <v/>
      </c>
    </row>
    <row r="5721" spans="1:5" x14ac:dyDescent="0.2">
      <c r="A5721" t="s">
        <v>1351</v>
      </c>
      <c r="B5721" t="s">
        <v>1350</v>
      </c>
      <c r="C5721" t="s">
        <v>9</v>
      </c>
      <c r="D5721" t="e">
        <f>VLOOKUP(C5721,'lookup table'!$A$2:$B$19,2,FALSE)</f>
        <v>#N/A</v>
      </c>
      <c r="E5721" t="str">
        <f t="shared" si="89"/>
        <v/>
      </c>
    </row>
    <row r="5722" spans="1:5" x14ac:dyDescent="0.2">
      <c r="A5722" t="s">
        <v>1351</v>
      </c>
      <c r="B5722" t="s">
        <v>1350</v>
      </c>
      <c r="C5722" t="s">
        <v>10</v>
      </c>
      <c r="D5722" t="e">
        <f>VLOOKUP(C5722,'lookup table'!$A$2:$B$19,2,FALSE)</f>
        <v>#N/A</v>
      </c>
      <c r="E5722" t="str">
        <f t="shared" si="89"/>
        <v/>
      </c>
    </row>
    <row r="5723" spans="1:5" x14ac:dyDescent="0.2">
      <c r="A5723" t="s">
        <v>1351</v>
      </c>
      <c r="B5723" t="s">
        <v>1350</v>
      </c>
      <c r="C5723" t="s">
        <v>11</v>
      </c>
      <c r="D5723" t="e">
        <f>VLOOKUP(C5723,'lookup table'!$A$2:$B$19,2,FALSE)</f>
        <v>#N/A</v>
      </c>
      <c r="E5723" t="str">
        <f t="shared" si="89"/>
        <v/>
      </c>
    </row>
    <row r="5724" spans="1:5" x14ac:dyDescent="0.2">
      <c r="A5724" t="s">
        <v>1351</v>
      </c>
      <c r="B5724" t="s">
        <v>1350</v>
      </c>
      <c r="C5724" t="s">
        <v>12</v>
      </c>
      <c r="D5724" t="e">
        <f>VLOOKUP(C5724,'lookup table'!$A$2:$B$19,2,FALSE)</f>
        <v>#N/A</v>
      </c>
      <c r="E5724" t="str">
        <f t="shared" si="89"/>
        <v/>
      </c>
    </row>
    <row r="5725" spans="1:5" x14ac:dyDescent="0.2">
      <c r="A5725" t="s">
        <v>1351</v>
      </c>
      <c r="B5725" t="s">
        <v>1350</v>
      </c>
      <c r="C5725" t="s">
        <v>14</v>
      </c>
      <c r="D5725" t="str">
        <f>VLOOKUP(C5725,'lookup table'!$A$2:$B$19,2,FALSE)</f>
        <v>ALC</v>
      </c>
      <c r="E5725" t="str">
        <f t="shared" si="89"/>
        <v>DR4PRU_14|ALC</v>
      </c>
    </row>
    <row r="5726" spans="1:5" x14ac:dyDescent="0.2">
      <c r="A5726" t="s">
        <v>1351</v>
      </c>
      <c r="B5726" t="s">
        <v>1350</v>
      </c>
      <c r="C5726" t="s">
        <v>20</v>
      </c>
      <c r="D5726" t="str">
        <f>VLOOKUP(C5726,'lookup table'!$A$2:$B$19,2,FALSE)</f>
        <v>AY</v>
      </c>
      <c r="E5726" t="str">
        <f t="shared" si="89"/>
        <v>DR4PRU_14|AY</v>
      </c>
    </row>
    <row r="5727" spans="1:5" x14ac:dyDescent="0.2">
      <c r="A5727" t="s">
        <v>1351</v>
      </c>
      <c r="B5727" t="s">
        <v>1350</v>
      </c>
      <c r="C5727" t="s">
        <v>324</v>
      </c>
      <c r="D5727" t="e">
        <f>VLOOKUP(C5727,'lookup table'!$A$2:$B$19,2,FALSE)</f>
        <v>#N/A</v>
      </c>
      <c r="E5727" t="str">
        <f t="shared" si="89"/>
        <v/>
      </c>
    </row>
    <row r="5728" spans="1:5" x14ac:dyDescent="0.2">
      <c r="A5728" t="s">
        <v>1351</v>
      </c>
      <c r="B5728" t="s">
        <v>1350</v>
      </c>
      <c r="C5728" t="s">
        <v>325</v>
      </c>
      <c r="D5728" t="e">
        <f>VLOOKUP(C5728,'lookup table'!$A$2:$B$19,2,FALSE)</f>
        <v>#N/A</v>
      </c>
      <c r="E5728" t="str">
        <f t="shared" si="89"/>
        <v/>
      </c>
    </row>
    <row r="5729" spans="1:5" x14ac:dyDescent="0.2">
      <c r="A5729" t="s">
        <v>1351</v>
      </c>
      <c r="B5729" t="s">
        <v>1350</v>
      </c>
      <c r="C5729" t="s">
        <v>326</v>
      </c>
      <c r="D5729" t="e">
        <f>VLOOKUP(C5729,'lookup table'!$A$2:$B$19,2,FALSE)</f>
        <v>#N/A</v>
      </c>
      <c r="E5729" t="str">
        <f t="shared" si="89"/>
        <v/>
      </c>
    </row>
    <row r="5730" spans="1:5" x14ac:dyDescent="0.2">
      <c r="A5730" t="s">
        <v>1351</v>
      </c>
      <c r="B5730" t="s">
        <v>1350</v>
      </c>
      <c r="C5730" t="s">
        <v>327</v>
      </c>
      <c r="D5730" t="e">
        <f>VLOOKUP(C5730,'lookup table'!$A$2:$B$19,2,FALSE)</f>
        <v>#N/A</v>
      </c>
      <c r="E5730" t="str">
        <f t="shared" si="89"/>
        <v/>
      </c>
    </row>
    <row r="5731" spans="1:5" x14ac:dyDescent="0.2">
      <c r="A5731" t="s">
        <v>1351</v>
      </c>
      <c r="B5731" t="s">
        <v>1350</v>
      </c>
      <c r="C5731" t="s">
        <v>328</v>
      </c>
      <c r="D5731" t="e">
        <f>VLOOKUP(C5731,'lookup table'!$A$2:$B$19,2,FALSE)</f>
        <v>#N/A</v>
      </c>
      <c r="E5731" t="str">
        <f t="shared" si="89"/>
        <v/>
      </c>
    </row>
    <row r="5732" spans="1:5" x14ac:dyDescent="0.2">
      <c r="A5732" t="s">
        <v>1351</v>
      </c>
      <c r="B5732" t="s">
        <v>1350</v>
      </c>
      <c r="C5732" t="s">
        <v>329</v>
      </c>
      <c r="D5732" t="e">
        <f>VLOOKUP(C5732,'lookup table'!$A$2:$B$19,2,FALSE)</f>
        <v>#N/A</v>
      </c>
      <c r="E5732" t="str">
        <f t="shared" si="89"/>
        <v/>
      </c>
    </row>
    <row r="5733" spans="1:5" x14ac:dyDescent="0.2">
      <c r="A5733" t="s">
        <v>1351</v>
      </c>
      <c r="B5733" t="s">
        <v>1350</v>
      </c>
      <c r="C5733" t="s">
        <v>331</v>
      </c>
      <c r="D5733" t="str">
        <f>VLOOKUP(C5733,'lookup table'!$A$2:$B$19,2,FALSE)</f>
        <v>FS Item</v>
      </c>
      <c r="E5733" t="str">
        <f t="shared" si="89"/>
        <v>DR4PRU_14|FS Item</v>
      </c>
    </row>
    <row r="5734" spans="1:5" x14ac:dyDescent="0.2">
      <c r="A5734" t="s">
        <v>1351</v>
      </c>
      <c r="B5734" t="s">
        <v>1350</v>
      </c>
      <c r="C5734" t="s">
        <v>422</v>
      </c>
      <c r="D5734" t="e">
        <f>VLOOKUP(C5734,'lookup table'!$A$2:$B$19,2,FALSE)</f>
        <v>#N/A</v>
      </c>
      <c r="E5734" t="str">
        <f t="shared" si="89"/>
        <v/>
      </c>
    </row>
    <row r="5735" spans="1:5" x14ac:dyDescent="0.2">
      <c r="A5735" t="s">
        <v>1351</v>
      </c>
      <c r="B5735" t="s">
        <v>1350</v>
      </c>
      <c r="C5735" t="s">
        <v>423</v>
      </c>
      <c r="D5735" t="str">
        <f>VLOOKUP(C5735,'lookup table'!$A$2:$B$19,2,FALSE)</f>
        <v>ignore</v>
      </c>
      <c r="E5735" t="str">
        <f t="shared" si="89"/>
        <v>DR4PRU_14|ignore</v>
      </c>
    </row>
    <row r="5736" spans="1:5" x14ac:dyDescent="0.2">
      <c r="A5736" t="s">
        <v>1351</v>
      </c>
      <c r="B5736" t="s">
        <v>1350</v>
      </c>
      <c r="C5736" t="s">
        <v>424</v>
      </c>
      <c r="D5736" t="str">
        <f>VLOOKUP(C5736,'lookup table'!$A$2:$B$19,2,FALSE)</f>
        <v>GRC</v>
      </c>
      <c r="E5736" t="str">
        <f t="shared" si="89"/>
        <v>DR4PRU_14|GRC</v>
      </c>
    </row>
    <row r="5737" spans="1:5" x14ac:dyDescent="0.2">
      <c r="A5737" t="s">
        <v>1351</v>
      </c>
      <c r="B5737" t="s">
        <v>1350</v>
      </c>
      <c r="C5737" t="s">
        <v>425</v>
      </c>
      <c r="D5737" t="str">
        <f>VLOOKUP(C5737,'lookup table'!$A$2:$B$19,2,FALSE)</f>
        <v>Investee Segment</v>
      </c>
      <c r="E5737" t="str">
        <f t="shared" si="89"/>
        <v>DR4PRU_14|Investee Segment</v>
      </c>
    </row>
    <row r="5738" spans="1:5" x14ac:dyDescent="0.2">
      <c r="A5738" t="s">
        <v>1351</v>
      </c>
      <c r="B5738" t="s">
        <v>1350</v>
      </c>
      <c r="C5738" t="s">
        <v>426</v>
      </c>
      <c r="D5738" t="str">
        <f>VLOOKUP(C5738,'lookup table'!$A$2:$B$19,2,FALSE)</f>
        <v>Investee Unit</v>
      </c>
      <c r="E5738" t="str">
        <f t="shared" si="89"/>
        <v>DR4PRU_14|Investee Unit</v>
      </c>
    </row>
    <row r="5739" spans="1:5" x14ac:dyDescent="0.2">
      <c r="A5739" t="s">
        <v>1351</v>
      </c>
      <c r="B5739" t="s">
        <v>1350</v>
      </c>
      <c r="C5739" t="s">
        <v>428</v>
      </c>
      <c r="D5739" t="str">
        <f>VLOOKUP(C5739,'lookup table'!$A$2:$B$19,2,FALSE)</f>
        <v>LoB</v>
      </c>
      <c r="E5739" t="str">
        <f t="shared" si="89"/>
        <v>DR4PRU_14|LoB</v>
      </c>
    </row>
    <row r="5740" spans="1:5" x14ac:dyDescent="0.2">
      <c r="A5740" t="s">
        <v>1351</v>
      </c>
      <c r="B5740" t="s">
        <v>1350</v>
      </c>
      <c r="C5740" t="s">
        <v>436</v>
      </c>
      <c r="D5740" t="str">
        <f>VLOOKUP(C5740,'lookup table'!$A$2:$B$19,2,FALSE)</f>
        <v>MAT</v>
      </c>
      <c r="E5740" t="str">
        <f t="shared" si="89"/>
        <v>DR4PRU_14|MAT</v>
      </c>
    </row>
    <row r="5741" spans="1:5" x14ac:dyDescent="0.2">
      <c r="A5741" t="s">
        <v>1351</v>
      </c>
      <c r="B5741" t="s">
        <v>1350</v>
      </c>
      <c r="C5741" t="s">
        <v>441</v>
      </c>
      <c r="D5741" t="str">
        <f>VLOOKUP(C5741,'lookup table'!$A$2:$B$19,2,FALSE)</f>
        <v>Partner Segment</v>
      </c>
      <c r="E5741" t="str">
        <f t="shared" si="89"/>
        <v>DR4PRU_14|Partner Segment</v>
      </c>
    </row>
    <row r="5742" spans="1:5" x14ac:dyDescent="0.2">
      <c r="A5742" t="s">
        <v>1351</v>
      </c>
      <c r="B5742" t="s">
        <v>1350</v>
      </c>
      <c r="C5742" t="s">
        <v>442</v>
      </c>
      <c r="D5742" t="str">
        <f>VLOOKUP(C5742,'lookup table'!$A$2:$B$19,2,FALSE)</f>
        <v>Partner Unit</v>
      </c>
      <c r="E5742" t="str">
        <f t="shared" si="89"/>
        <v>DR4PRU_14|Partner Unit</v>
      </c>
    </row>
    <row r="5743" spans="1:5" x14ac:dyDescent="0.2">
      <c r="A5743" t="s">
        <v>1351</v>
      </c>
      <c r="B5743" t="s">
        <v>1350</v>
      </c>
      <c r="C5743" t="s">
        <v>447</v>
      </c>
      <c r="D5743" t="str">
        <f>VLOOKUP(C5743,'lookup table'!$A$2:$B$19,2,FALSE)</f>
        <v>REX</v>
      </c>
      <c r="E5743" t="str">
        <f t="shared" si="89"/>
        <v>DR4PRU_14|REX</v>
      </c>
    </row>
    <row r="5744" spans="1:5" x14ac:dyDescent="0.2">
      <c r="A5744" t="s">
        <v>1351</v>
      </c>
      <c r="B5744" t="s">
        <v>1350</v>
      </c>
      <c r="C5744" t="s">
        <v>448</v>
      </c>
      <c r="D5744" t="e">
        <f>VLOOKUP(C5744,'lookup table'!$A$2:$B$19,2,FALSE)</f>
        <v>#N/A</v>
      </c>
      <c r="E5744" t="str">
        <f t="shared" si="89"/>
        <v/>
      </c>
    </row>
    <row r="5745" spans="1:5" x14ac:dyDescent="0.2">
      <c r="A5745" t="s">
        <v>1351</v>
      </c>
      <c r="B5745" t="s">
        <v>1350</v>
      </c>
      <c r="C5745" t="s">
        <v>449</v>
      </c>
      <c r="D5745" t="e">
        <f>VLOOKUP(C5745,'lookup table'!$A$2:$B$19,2,FALSE)</f>
        <v>#N/A</v>
      </c>
      <c r="E5745" t="str">
        <f t="shared" si="89"/>
        <v/>
      </c>
    </row>
    <row r="5746" spans="1:5" x14ac:dyDescent="0.2">
      <c r="A5746" t="s">
        <v>1351</v>
      </c>
      <c r="B5746" t="s">
        <v>1350</v>
      </c>
      <c r="C5746" t="s">
        <v>451</v>
      </c>
      <c r="D5746" t="str">
        <f>VLOOKUP(C5746,'lookup table'!$A$2:$B$19,2,FALSE)</f>
        <v>Segment</v>
      </c>
      <c r="E5746" t="str">
        <f t="shared" si="89"/>
        <v>DR4PRU_14|Segment</v>
      </c>
    </row>
    <row r="5747" spans="1:5" x14ac:dyDescent="0.2">
      <c r="A5747" t="s">
        <v>1351</v>
      </c>
      <c r="B5747" t="s">
        <v>1350</v>
      </c>
      <c r="C5747" t="s">
        <v>455</v>
      </c>
      <c r="D5747" t="e">
        <f>VLOOKUP(C5747,'lookup table'!$A$2:$B$19,2,FALSE)</f>
        <v>#N/A</v>
      </c>
      <c r="E5747" t="str">
        <f t="shared" si="89"/>
        <v/>
      </c>
    </row>
    <row r="5748" spans="1:5" x14ac:dyDescent="0.2">
      <c r="A5748" t="s">
        <v>1351</v>
      </c>
      <c r="B5748" t="s">
        <v>1350</v>
      </c>
      <c r="C5748" t="s">
        <v>456</v>
      </c>
      <c r="D5748" t="e">
        <f>VLOOKUP(C5748,'lookup table'!$A$2:$B$19,2,FALSE)</f>
        <v>#N/A</v>
      </c>
      <c r="E5748" t="str">
        <f t="shared" si="89"/>
        <v/>
      </c>
    </row>
    <row r="5749" spans="1:5" x14ac:dyDescent="0.2">
      <c r="A5749" t="s">
        <v>1351</v>
      </c>
      <c r="B5749" t="s">
        <v>1350</v>
      </c>
      <c r="C5749" t="s">
        <v>457</v>
      </c>
      <c r="D5749" t="str">
        <f>VLOOKUP(C5749,'lookup table'!$A$2:$B$19,2,FALSE)</f>
        <v>VLT</v>
      </c>
      <c r="E5749" t="str">
        <f t="shared" si="89"/>
        <v>DR4PRU_14|VLT</v>
      </c>
    </row>
    <row r="5750" spans="1:5" x14ac:dyDescent="0.2">
      <c r="A5750" t="s">
        <v>1351</v>
      </c>
      <c r="B5750" t="s">
        <v>1350</v>
      </c>
      <c r="C5750" t="s">
        <v>458</v>
      </c>
      <c r="D5750" t="str">
        <f>VLOOKUP(C5750,'lookup table'!$A$2:$B$19,2,FALSE)</f>
        <v>VAR</v>
      </c>
      <c r="E5750" t="str">
        <f t="shared" si="89"/>
        <v>DR4PRU_14|VAR</v>
      </c>
    </row>
    <row r="5751" spans="1:5" x14ac:dyDescent="0.2">
      <c r="A5751" t="s">
        <v>1351</v>
      </c>
      <c r="B5751" t="s">
        <v>1350</v>
      </c>
      <c r="C5751" t="s">
        <v>459</v>
      </c>
      <c r="D5751" t="e">
        <f>VLOOKUP(C5751,'lookup table'!$A$2:$B$19,2,FALSE)</f>
        <v>#N/A</v>
      </c>
      <c r="E5751" t="str">
        <f t="shared" si="89"/>
        <v/>
      </c>
    </row>
    <row r="5752" spans="1:5" x14ac:dyDescent="0.2">
      <c r="A5752" t="s">
        <v>1351</v>
      </c>
      <c r="B5752" t="s">
        <v>1350</v>
      </c>
      <c r="C5752" t="s">
        <v>460</v>
      </c>
      <c r="D5752" t="e">
        <f>VLOOKUP(C5752,'lookup table'!$A$2:$B$19,2,FALSE)</f>
        <v>#N/A</v>
      </c>
      <c r="E5752" t="str">
        <f t="shared" si="89"/>
        <v/>
      </c>
    </row>
    <row r="5753" spans="1:5" x14ac:dyDescent="0.2">
      <c r="A5753" t="s">
        <v>1351</v>
      </c>
      <c r="B5753" t="s">
        <v>1350</v>
      </c>
      <c r="C5753" t="s">
        <v>461</v>
      </c>
      <c r="D5753" t="str">
        <f>VLOOKUP(C5753,'lookup table'!$A$2:$B$19,2,FALSE)</f>
        <v>Posting Level</v>
      </c>
      <c r="E5753" t="str">
        <f t="shared" si="89"/>
        <v>DR4PRU_14|Posting Level</v>
      </c>
    </row>
    <row r="5754" spans="1:5" x14ac:dyDescent="0.2">
      <c r="A5754" t="s">
        <v>1351</v>
      </c>
      <c r="B5754" t="s">
        <v>1350</v>
      </c>
      <c r="C5754" t="s">
        <v>462</v>
      </c>
      <c r="D5754" t="e">
        <f>VLOOKUP(C5754,'lookup table'!$A$2:$B$19,2,FALSE)</f>
        <v>#N/A</v>
      </c>
      <c r="E5754" t="str">
        <f t="shared" si="89"/>
        <v/>
      </c>
    </row>
    <row r="5755" spans="1:5" x14ac:dyDescent="0.2">
      <c r="A5755" t="s">
        <v>1351</v>
      </c>
      <c r="B5755" t="s">
        <v>1350</v>
      </c>
      <c r="C5755" t="s">
        <v>463</v>
      </c>
      <c r="D5755" t="e">
        <f>VLOOKUP(C5755,'lookup table'!$A$2:$B$19,2,FALSE)</f>
        <v>#N/A</v>
      </c>
      <c r="E5755" t="str">
        <f t="shared" si="89"/>
        <v/>
      </c>
    </row>
    <row r="5756" spans="1:5" x14ac:dyDescent="0.2">
      <c r="A5756" t="s">
        <v>1351</v>
      </c>
      <c r="B5756" t="s">
        <v>1350</v>
      </c>
      <c r="C5756" t="s">
        <v>464</v>
      </c>
      <c r="D5756" t="e">
        <f>VLOOKUP(C5756,'lookup table'!$A$2:$B$19,2,FALSE)</f>
        <v>#N/A</v>
      </c>
      <c r="E5756" t="str">
        <f t="shared" si="89"/>
        <v/>
      </c>
    </row>
    <row r="5757" spans="1:5" x14ac:dyDescent="0.2">
      <c r="A5757" t="s">
        <v>1351</v>
      </c>
      <c r="B5757" t="s">
        <v>1350</v>
      </c>
      <c r="C5757" t="s">
        <v>465</v>
      </c>
      <c r="D5757" t="e">
        <f>VLOOKUP(C5757,'lookup table'!$A$2:$B$19,2,FALSE)</f>
        <v>#N/A</v>
      </c>
      <c r="E5757" t="str">
        <f t="shared" si="89"/>
        <v/>
      </c>
    </row>
    <row r="5758" spans="1:5" x14ac:dyDescent="0.2">
      <c r="A5758" t="s">
        <v>1352</v>
      </c>
      <c r="B5758" t="s">
        <v>1353</v>
      </c>
      <c r="C5758" t="s">
        <v>2</v>
      </c>
      <c r="D5758" t="e">
        <f>VLOOKUP(C5758,'lookup table'!$A$2:$B$19,2,FALSE)</f>
        <v>#N/A</v>
      </c>
      <c r="E5758" t="str">
        <f t="shared" si="89"/>
        <v/>
      </c>
    </row>
    <row r="5759" spans="1:5" x14ac:dyDescent="0.2">
      <c r="A5759" t="s">
        <v>1352</v>
      </c>
      <c r="B5759" t="s">
        <v>1353</v>
      </c>
      <c r="C5759" t="s">
        <v>5</v>
      </c>
      <c r="D5759" t="e">
        <f>VLOOKUP(C5759,'lookup table'!$A$2:$B$19,2,FALSE)</f>
        <v>#N/A</v>
      </c>
      <c r="E5759" t="str">
        <f t="shared" si="89"/>
        <v/>
      </c>
    </row>
    <row r="5760" spans="1:5" x14ac:dyDescent="0.2">
      <c r="A5760" t="s">
        <v>1352</v>
      </c>
      <c r="B5760" t="s">
        <v>1353</v>
      </c>
      <c r="C5760" t="s">
        <v>6</v>
      </c>
      <c r="D5760" t="e">
        <f>VLOOKUP(C5760,'lookup table'!$A$2:$B$19,2,FALSE)</f>
        <v>#N/A</v>
      </c>
      <c r="E5760" t="str">
        <f t="shared" si="89"/>
        <v/>
      </c>
    </row>
    <row r="5761" spans="1:5" x14ac:dyDescent="0.2">
      <c r="A5761" t="s">
        <v>1352</v>
      </c>
      <c r="B5761" t="s">
        <v>1353</v>
      </c>
      <c r="C5761" t="s">
        <v>9</v>
      </c>
      <c r="D5761" t="e">
        <f>VLOOKUP(C5761,'lookup table'!$A$2:$B$19,2,FALSE)</f>
        <v>#N/A</v>
      </c>
      <c r="E5761" t="str">
        <f t="shared" si="89"/>
        <v/>
      </c>
    </row>
    <row r="5762" spans="1:5" x14ac:dyDescent="0.2">
      <c r="A5762" t="s">
        <v>1352</v>
      </c>
      <c r="B5762" t="s">
        <v>1353</v>
      </c>
      <c r="C5762" t="s">
        <v>10</v>
      </c>
      <c r="D5762" t="e">
        <f>VLOOKUP(C5762,'lookup table'!$A$2:$B$19,2,FALSE)</f>
        <v>#N/A</v>
      </c>
      <c r="E5762" t="str">
        <f t="shared" si="89"/>
        <v/>
      </c>
    </row>
    <row r="5763" spans="1:5" x14ac:dyDescent="0.2">
      <c r="A5763" t="s">
        <v>1352</v>
      </c>
      <c r="B5763" t="s">
        <v>1353</v>
      </c>
      <c r="C5763" t="s">
        <v>11</v>
      </c>
      <c r="D5763" t="e">
        <f>VLOOKUP(C5763,'lookup table'!$A$2:$B$19,2,FALSE)</f>
        <v>#N/A</v>
      </c>
      <c r="E5763" t="str">
        <f t="shared" ref="E5763:E5826" si="90">IF(ISNA(D5763),"",IF(A5763="","",A5763) &amp; "|" &amp; D5763)</f>
        <v/>
      </c>
    </row>
    <row r="5764" spans="1:5" x14ac:dyDescent="0.2">
      <c r="A5764" t="s">
        <v>1352</v>
      </c>
      <c r="B5764" t="s">
        <v>1353</v>
      </c>
      <c r="C5764" t="s">
        <v>12</v>
      </c>
      <c r="D5764" t="e">
        <f>VLOOKUP(C5764,'lookup table'!$A$2:$B$19,2,FALSE)</f>
        <v>#N/A</v>
      </c>
      <c r="E5764" t="str">
        <f t="shared" si="90"/>
        <v/>
      </c>
    </row>
    <row r="5765" spans="1:5" x14ac:dyDescent="0.2">
      <c r="A5765" t="s">
        <v>1352</v>
      </c>
      <c r="B5765" t="s">
        <v>1353</v>
      </c>
      <c r="C5765" t="s">
        <v>14</v>
      </c>
      <c r="D5765" t="str">
        <f>VLOOKUP(C5765,'lookup table'!$A$2:$B$19,2,FALSE)</f>
        <v>ALC</v>
      </c>
      <c r="E5765" t="str">
        <f t="shared" si="90"/>
        <v>DR4PSE_00|ALC</v>
      </c>
    </row>
    <row r="5766" spans="1:5" x14ac:dyDescent="0.2">
      <c r="A5766" t="s">
        <v>1352</v>
      </c>
      <c r="B5766" t="s">
        <v>1353</v>
      </c>
      <c r="C5766" t="s">
        <v>20</v>
      </c>
      <c r="D5766" t="str">
        <f>VLOOKUP(C5766,'lookup table'!$A$2:$B$19,2,FALSE)</f>
        <v>AY</v>
      </c>
      <c r="E5766" t="str">
        <f t="shared" si="90"/>
        <v>DR4PSE_00|AY</v>
      </c>
    </row>
    <row r="5767" spans="1:5" x14ac:dyDescent="0.2">
      <c r="A5767" t="s">
        <v>1352</v>
      </c>
      <c r="B5767" t="s">
        <v>1353</v>
      </c>
      <c r="C5767" t="s">
        <v>324</v>
      </c>
      <c r="D5767" t="e">
        <f>VLOOKUP(C5767,'lookup table'!$A$2:$B$19,2,FALSE)</f>
        <v>#N/A</v>
      </c>
      <c r="E5767" t="str">
        <f t="shared" si="90"/>
        <v/>
      </c>
    </row>
    <row r="5768" spans="1:5" x14ac:dyDescent="0.2">
      <c r="A5768" t="s">
        <v>1352</v>
      </c>
      <c r="B5768" t="s">
        <v>1353</v>
      </c>
      <c r="C5768" t="s">
        <v>325</v>
      </c>
      <c r="D5768" t="e">
        <f>VLOOKUP(C5768,'lookup table'!$A$2:$B$19,2,FALSE)</f>
        <v>#N/A</v>
      </c>
      <c r="E5768" t="str">
        <f t="shared" si="90"/>
        <v/>
      </c>
    </row>
    <row r="5769" spans="1:5" x14ac:dyDescent="0.2">
      <c r="A5769" t="s">
        <v>1352</v>
      </c>
      <c r="B5769" t="s">
        <v>1353</v>
      </c>
      <c r="C5769" t="s">
        <v>326</v>
      </c>
      <c r="D5769" t="e">
        <f>VLOOKUP(C5769,'lookup table'!$A$2:$B$19,2,FALSE)</f>
        <v>#N/A</v>
      </c>
      <c r="E5769" t="str">
        <f t="shared" si="90"/>
        <v/>
      </c>
    </row>
    <row r="5770" spans="1:5" x14ac:dyDescent="0.2">
      <c r="A5770" t="s">
        <v>1352</v>
      </c>
      <c r="B5770" t="s">
        <v>1353</v>
      </c>
      <c r="C5770" t="s">
        <v>327</v>
      </c>
      <c r="D5770" t="e">
        <f>VLOOKUP(C5770,'lookup table'!$A$2:$B$19,2,FALSE)</f>
        <v>#N/A</v>
      </c>
      <c r="E5770" t="str">
        <f t="shared" si="90"/>
        <v/>
      </c>
    </row>
    <row r="5771" spans="1:5" x14ac:dyDescent="0.2">
      <c r="A5771" t="s">
        <v>1352</v>
      </c>
      <c r="B5771" t="s">
        <v>1353</v>
      </c>
      <c r="C5771" t="s">
        <v>328</v>
      </c>
      <c r="D5771" t="e">
        <f>VLOOKUP(C5771,'lookup table'!$A$2:$B$19,2,FALSE)</f>
        <v>#N/A</v>
      </c>
      <c r="E5771" t="str">
        <f t="shared" si="90"/>
        <v/>
      </c>
    </row>
    <row r="5772" spans="1:5" x14ac:dyDescent="0.2">
      <c r="A5772" t="s">
        <v>1352</v>
      </c>
      <c r="B5772" t="s">
        <v>1353</v>
      </c>
      <c r="C5772" t="s">
        <v>329</v>
      </c>
      <c r="D5772" t="e">
        <f>VLOOKUP(C5772,'lookup table'!$A$2:$B$19,2,FALSE)</f>
        <v>#N/A</v>
      </c>
      <c r="E5772" t="str">
        <f t="shared" si="90"/>
        <v/>
      </c>
    </row>
    <row r="5773" spans="1:5" x14ac:dyDescent="0.2">
      <c r="A5773" t="s">
        <v>1352</v>
      </c>
      <c r="B5773" t="s">
        <v>1353</v>
      </c>
      <c r="C5773" t="s">
        <v>331</v>
      </c>
      <c r="D5773" t="str">
        <f>VLOOKUP(C5773,'lookup table'!$A$2:$B$19,2,FALSE)</f>
        <v>FS Item</v>
      </c>
      <c r="E5773" t="str">
        <f t="shared" si="90"/>
        <v>DR4PSE_00|FS Item</v>
      </c>
    </row>
    <row r="5774" spans="1:5" x14ac:dyDescent="0.2">
      <c r="A5774" t="s">
        <v>1352</v>
      </c>
      <c r="B5774" t="s">
        <v>1353</v>
      </c>
      <c r="C5774" t="s">
        <v>422</v>
      </c>
      <c r="D5774" t="e">
        <f>VLOOKUP(C5774,'lookup table'!$A$2:$B$19,2,FALSE)</f>
        <v>#N/A</v>
      </c>
      <c r="E5774" t="str">
        <f t="shared" si="90"/>
        <v/>
      </c>
    </row>
    <row r="5775" spans="1:5" x14ac:dyDescent="0.2">
      <c r="A5775" t="s">
        <v>1352</v>
      </c>
      <c r="B5775" t="s">
        <v>1353</v>
      </c>
      <c r="C5775" t="s">
        <v>423</v>
      </c>
      <c r="D5775" t="str">
        <f>VLOOKUP(C5775,'lookup table'!$A$2:$B$19,2,FALSE)</f>
        <v>ignore</v>
      </c>
      <c r="E5775" t="str">
        <f t="shared" si="90"/>
        <v>DR4PSE_00|ignore</v>
      </c>
    </row>
    <row r="5776" spans="1:5" x14ac:dyDescent="0.2">
      <c r="A5776" t="s">
        <v>1352</v>
      </c>
      <c r="B5776" t="s">
        <v>1353</v>
      </c>
      <c r="C5776" t="s">
        <v>424</v>
      </c>
      <c r="D5776" t="str">
        <f>VLOOKUP(C5776,'lookup table'!$A$2:$B$19,2,FALSE)</f>
        <v>GRC</v>
      </c>
      <c r="E5776" t="str">
        <f t="shared" si="90"/>
        <v>DR4PSE_00|GRC</v>
      </c>
    </row>
    <row r="5777" spans="1:5" x14ac:dyDescent="0.2">
      <c r="A5777" t="s">
        <v>1352</v>
      </c>
      <c r="B5777" t="s">
        <v>1353</v>
      </c>
      <c r="C5777" t="s">
        <v>425</v>
      </c>
      <c r="D5777" t="str">
        <f>VLOOKUP(C5777,'lookup table'!$A$2:$B$19,2,FALSE)</f>
        <v>Investee Segment</v>
      </c>
      <c r="E5777" t="str">
        <f t="shared" si="90"/>
        <v>DR4PSE_00|Investee Segment</v>
      </c>
    </row>
    <row r="5778" spans="1:5" x14ac:dyDescent="0.2">
      <c r="A5778" t="s">
        <v>1352</v>
      </c>
      <c r="B5778" t="s">
        <v>1353</v>
      </c>
      <c r="C5778" t="s">
        <v>426</v>
      </c>
      <c r="D5778" t="str">
        <f>VLOOKUP(C5778,'lookup table'!$A$2:$B$19,2,FALSE)</f>
        <v>Investee Unit</v>
      </c>
      <c r="E5778" t="str">
        <f t="shared" si="90"/>
        <v>DR4PSE_00|Investee Unit</v>
      </c>
    </row>
    <row r="5779" spans="1:5" x14ac:dyDescent="0.2">
      <c r="A5779" t="s">
        <v>1352</v>
      </c>
      <c r="B5779" t="s">
        <v>1353</v>
      </c>
      <c r="C5779" t="s">
        <v>428</v>
      </c>
      <c r="D5779" t="str">
        <f>VLOOKUP(C5779,'lookup table'!$A$2:$B$19,2,FALSE)</f>
        <v>LoB</v>
      </c>
      <c r="E5779" t="str">
        <f t="shared" si="90"/>
        <v>DR4PSE_00|LoB</v>
      </c>
    </row>
    <row r="5780" spans="1:5" x14ac:dyDescent="0.2">
      <c r="A5780" t="s">
        <v>1352</v>
      </c>
      <c r="B5780" t="s">
        <v>1353</v>
      </c>
      <c r="C5780" t="s">
        <v>436</v>
      </c>
      <c r="D5780" t="str">
        <f>VLOOKUP(C5780,'lookup table'!$A$2:$B$19,2,FALSE)</f>
        <v>MAT</v>
      </c>
      <c r="E5780" t="str">
        <f t="shared" si="90"/>
        <v>DR4PSE_00|MAT</v>
      </c>
    </row>
    <row r="5781" spans="1:5" x14ac:dyDescent="0.2">
      <c r="A5781" t="s">
        <v>1352</v>
      </c>
      <c r="B5781" t="s">
        <v>1353</v>
      </c>
      <c r="C5781" t="s">
        <v>441</v>
      </c>
      <c r="D5781" t="str">
        <f>VLOOKUP(C5781,'lookup table'!$A$2:$B$19,2,FALSE)</f>
        <v>Partner Segment</v>
      </c>
      <c r="E5781" t="str">
        <f t="shared" si="90"/>
        <v>DR4PSE_00|Partner Segment</v>
      </c>
    </row>
    <row r="5782" spans="1:5" x14ac:dyDescent="0.2">
      <c r="A5782" t="s">
        <v>1352</v>
      </c>
      <c r="B5782" t="s">
        <v>1353</v>
      </c>
      <c r="C5782" t="s">
        <v>442</v>
      </c>
      <c r="D5782" t="str">
        <f>VLOOKUP(C5782,'lookup table'!$A$2:$B$19,2,FALSE)</f>
        <v>Partner Unit</v>
      </c>
      <c r="E5782" t="str">
        <f t="shared" si="90"/>
        <v>DR4PSE_00|Partner Unit</v>
      </c>
    </row>
    <row r="5783" spans="1:5" x14ac:dyDescent="0.2">
      <c r="A5783" t="s">
        <v>1352</v>
      </c>
      <c r="B5783" t="s">
        <v>1353</v>
      </c>
      <c r="C5783" t="s">
        <v>447</v>
      </c>
      <c r="D5783" t="str">
        <f>VLOOKUP(C5783,'lookup table'!$A$2:$B$19,2,FALSE)</f>
        <v>REX</v>
      </c>
      <c r="E5783" t="str">
        <f t="shared" si="90"/>
        <v>DR4PSE_00|REX</v>
      </c>
    </row>
    <row r="5784" spans="1:5" x14ac:dyDescent="0.2">
      <c r="A5784" t="s">
        <v>1352</v>
      </c>
      <c r="B5784" t="s">
        <v>1353</v>
      </c>
      <c r="C5784" t="s">
        <v>448</v>
      </c>
      <c r="D5784" t="e">
        <f>VLOOKUP(C5784,'lookup table'!$A$2:$B$19,2,FALSE)</f>
        <v>#N/A</v>
      </c>
      <c r="E5784" t="str">
        <f t="shared" si="90"/>
        <v/>
      </c>
    </row>
    <row r="5785" spans="1:5" x14ac:dyDescent="0.2">
      <c r="A5785" t="s">
        <v>1352</v>
      </c>
      <c r="B5785" t="s">
        <v>1353</v>
      </c>
      <c r="C5785" t="s">
        <v>449</v>
      </c>
      <c r="D5785" t="e">
        <f>VLOOKUP(C5785,'lookup table'!$A$2:$B$19,2,FALSE)</f>
        <v>#N/A</v>
      </c>
      <c r="E5785" t="str">
        <f t="shared" si="90"/>
        <v/>
      </c>
    </row>
    <row r="5786" spans="1:5" x14ac:dyDescent="0.2">
      <c r="A5786" t="s">
        <v>1352</v>
      </c>
      <c r="B5786" t="s">
        <v>1353</v>
      </c>
      <c r="C5786" t="s">
        <v>451</v>
      </c>
      <c r="D5786" t="str">
        <f>VLOOKUP(C5786,'lookup table'!$A$2:$B$19,2,FALSE)</f>
        <v>Segment</v>
      </c>
      <c r="E5786" t="str">
        <f t="shared" si="90"/>
        <v>DR4PSE_00|Segment</v>
      </c>
    </row>
    <row r="5787" spans="1:5" x14ac:dyDescent="0.2">
      <c r="A5787" t="s">
        <v>1352</v>
      </c>
      <c r="B5787" t="s">
        <v>1353</v>
      </c>
      <c r="C5787" t="s">
        <v>455</v>
      </c>
      <c r="D5787" t="e">
        <f>VLOOKUP(C5787,'lookup table'!$A$2:$B$19,2,FALSE)</f>
        <v>#N/A</v>
      </c>
      <c r="E5787" t="str">
        <f t="shared" si="90"/>
        <v/>
      </c>
    </row>
    <row r="5788" spans="1:5" x14ac:dyDescent="0.2">
      <c r="A5788" t="s">
        <v>1352</v>
      </c>
      <c r="B5788" t="s">
        <v>1353</v>
      </c>
      <c r="C5788" t="s">
        <v>456</v>
      </c>
      <c r="D5788" t="e">
        <f>VLOOKUP(C5788,'lookup table'!$A$2:$B$19,2,FALSE)</f>
        <v>#N/A</v>
      </c>
      <c r="E5788" t="str">
        <f t="shared" si="90"/>
        <v/>
      </c>
    </row>
    <row r="5789" spans="1:5" x14ac:dyDescent="0.2">
      <c r="A5789" t="s">
        <v>1352</v>
      </c>
      <c r="B5789" t="s">
        <v>1353</v>
      </c>
      <c r="C5789" t="s">
        <v>457</v>
      </c>
      <c r="D5789" t="str">
        <f>VLOOKUP(C5789,'lookup table'!$A$2:$B$19,2,FALSE)</f>
        <v>VLT</v>
      </c>
      <c r="E5789" t="str">
        <f t="shared" si="90"/>
        <v>DR4PSE_00|VLT</v>
      </c>
    </row>
    <row r="5790" spans="1:5" x14ac:dyDescent="0.2">
      <c r="A5790" t="s">
        <v>1352</v>
      </c>
      <c r="B5790" t="s">
        <v>1353</v>
      </c>
      <c r="C5790" t="s">
        <v>458</v>
      </c>
      <c r="D5790" t="str">
        <f>VLOOKUP(C5790,'lookup table'!$A$2:$B$19,2,FALSE)</f>
        <v>VAR</v>
      </c>
      <c r="E5790" t="str">
        <f t="shared" si="90"/>
        <v>DR4PSE_00|VAR</v>
      </c>
    </row>
    <row r="5791" spans="1:5" x14ac:dyDescent="0.2">
      <c r="A5791" t="s">
        <v>1352</v>
      </c>
      <c r="B5791" t="s">
        <v>1353</v>
      </c>
      <c r="C5791" t="s">
        <v>459</v>
      </c>
      <c r="D5791" t="e">
        <f>VLOOKUP(C5791,'lookup table'!$A$2:$B$19,2,FALSE)</f>
        <v>#N/A</v>
      </c>
      <c r="E5791" t="str">
        <f t="shared" si="90"/>
        <v/>
      </c>
    </row>
    <row r="5792" spans="1:5" x14ac:dyDescent="0.2">
      <c r="A5792" t="s">
        <v>1352</v>
      </c>
      <c r="B5792" t="s">
        <v>1353</v>
      </c>
      <c r="C5792" t="s">
        <v>460</v>
      </c>
      <c r="D5792" t="e">
        <f>VLOOKUP(C5792,'lookup table'!$A$2:$B$19,2,FALSE)</f>
        <v>#N/A</v>
      </c>
      <c r="E5792" t="str">
        <f t="shared" si="90"/>
        <v/>
      </c>
    </row>
    <row r="5793" spans="1:5" x14ac:dyDescent="0.2">
      <c r="A5793" t="s">
        <v>1352</v>
      </c>
      <c r="B5793" t="s">
        <v>1353</v>
      </c>
      <c r="C5793" t="s">
        <v>461</v>
      </c>
      <c r="D5793" t="str">
        <f>VLOOKUP(C5793,'lookup table'!$A$2:$B$19,2,FALSE)</f>
        <v>Posting Level</v>
      </c>
      <c r="E5793" t="str">
        <f t="shared" si="90"/>
        <v>DR4PSE_00|Posting Level</v>
      </c>
    </row>
    <row r="5794" spans="1:5" x14ac:dyDescent="0.2">
      <c r="A5794" t="s">
        <v>1352</v>
      </c>
      <c r="B5794" t="s">
        <v>1353</v>
      </c>
      <c r="C5794" t="s">
        <v>462</v>
      </c>
      <c r="D5794" t="e">
        <f>VLOOKUP(C5794,'lookup table'!$A$2:$B$19,2,FALSE)</f>
        <v>#N/A</v>
      </c>
      <c r="E5794" t="str">
        <f t="shared" si="90"/>
        <v/>
      </c>
    </row>
    <row r="5795" spans="1:5" x14ac:dyDescent="0.2">
      <c r="A5795" t="s">
        <v>1352</v>
      </c>
      <c r="B5795" t="s">
        <v>1353</v>
      </c>
      <c r="C5795" t="s">
        <v>463</v>
      </c>
      <c r="D5795" t="e">
        <f>VLOOKUP(C5795,'lookup table'!$A$2:$B$19,2,FALSE)</f>
        <v>#N/A</v>
      </c>
      <c r="E5795" t="str">
        <f t="shared" si="90"/>
        <v/>
      </c>
    </row>
    <row r="5796" spans="1:5" x14ac:dyDescent="0.2">
      <c r="A5796" t="s">
        <v>1352</v>
      </c>
      <c r="B5796" t="s">
        <v>1353</v>
      </c>
      <c r="C5796" t="s">
        <v>464</v>
      </c>
      <c r="D5796" t="e">
        <f>VLOOKUP(C5796,'lookup table'!$A$2:$B$19,2,FALSE)</f>
        <v>#N/A</v>
      </c>
      <c r="E5796" t="str">
        <f t="shared" si="90"/>
        <v/>
      </c>
    </row>
    <row r="5797" spans="1:5" x14ac:dyDescent="0.2">
      <c r="A5797" t="s">
        <v>1352</v>
      </c>
      <c r="B5797" t="s">
        <v>1353</v>
      </c>
      <c r="C5797" t="s">
        <v>465</v>
      </c>
      <c r="D5797" t="e">
        <f>VLOOKUP(C5797,'lookup table'!$A$2:$B$19,2,FALSE)</f>
        <v>#N/A</v>
      </c>
      <c r="E5797" t="str">
        <f t="shared" si="90"/>
        <v/>
      </c>
    </row>
    <row r="5798" spans="1:5" x14ac:dyDescent="0.2">
      <c r="A5798" t="s">
        <v>1354</v>
      </c>
      <c r="B5798" t="s">
        <v>1353</v>
      </c>
      <c r="C5798" t="s">
        <v>2</v>
      </c>
      <c r="D5798" t="e">
        <f>VLOOKUP(C5798,'lookup table'!$A$2:$B$19,2,FALSE)</f>
        <v>#N/A</v>
      </c>
      <c r="E5798" t="str">
        <f t="shared" si="90"/>
        <v/>
      </c>
    </row>
    <row r="5799" spans="1:5" x14ac:dyDescent="0.2">
      <c r="A5799" t="s">
        <v>1354</v>
      </c>
      <c r="B5799" t="s">
        <v>1353</v>
      </c>
      <c r="C5799" t="s">
        <v>5</v>
      </c>
      <c r="D5799" t="e">
        <f>VLOOKUP(C5799,'lookup table'!$A$2:$B$19,2,FALSE)</f>
        <v>#N/A</v>
      </c>
      <c r="E5799" t="str">
        <f t="shared" si="90"/>
        <v/>
      </c>
    </row>
    <row r="5800" spans="1:5" x14ac:dyDescent="0.2">
      <c r="A5800" t="s">
        <v>1354</v>
      </c>
      <c r="B5800" t="s">
        <v>1353</v>
      </c>
      <c r="C5800" t="s">
        <v>6</v>
      </c>
      <c r="D5800" t="e">
        <f>VLOOKUP(C5800,'lookup table'!$A$2:$B$19,2,FALSE)</f>
        <v>#N/A</v>
      </c>
      <c r="E5800" t="str">
        <f t="shared" si="90"/>
        <v/>
      </c>
    </row>
    <row r="5801" spans="1:5" x14ac:dyDescent="0.2">
      <c r="A5801" t="s">
        <v>1354</v>
      </c>
      <c r="B5801" t="s">
        <v>1353</v>
      </c>
      <c r="C5801" t="s">
        <v>9</v>
      </c>
      <c r="D5801" t="e">
        <f>VLOOKUP(C5801,'lookup table'!$A$2:$B$19,2,FALSE)</f>
        <v>#N/A</v>
      </c>
      <c r="E5801" t="str">
        <f t="shared" si="90"/>
        <v/>
      </c>
    </row>
    <row r="5802" spans="1:5" x14ac:dyDescent="0.2">
      <c r="A5802" t="s">
        <v>1354</v>
      </c>
      <c r="B5802" t="s">
        <v>1353</v>
      </c>
      <c r="C5802" t="s">
        <v>10</v>
      </c>
      <c r="D5802" t="e">
        <f>VLOOKUP(C5802,'lookup table'!$A$2:$B$19,2,FALSE)</f>
        <v>#N/A</v>
      </c>
      <c r="E5802" t="str">
        <f t="shared" si="90"/>
        <v/>
      </c>
    </row>
    <row r="5803" spans="1:5" x14ac:dyDescent="0.2">
      <c r="A5803" t="s">
        <v>1354</v>
      </c>
      <c r="B5803" t="s">
        <v>1353</v>
      </c>
      <c r="C5803" t="s">
        <v>11</v>
      </c>
      <c r="D5803" t="e">
        <f>VLOOKUP(C5803,'lookup table'!$A$2:$B$19,2,FALSE)</f>
        <v>#N/A</v>
      </c>
      <c r="E5803" t="str">
        <f t="shared" si="90"/>
        <v/>
      </c>
    </row>
    <row r="5804" spans="1:5" x14ac:dyDescent="0.2">
      <c r="A5804" t="s">
        <v>1354</v>
      </c>
      <c r="B5804" t="s">
        <v>1353</v>
      </c>
      <c r="C5804" t="s">
        <v>12</v>
      </c>
      <c r="D5804" t="e">
        <f>VLOOKUP(C5804,'lookup table'!$A$2:$B$19,2,FALSE)</f>
        <v>#N/A</v>
      </c>
      <c r="E5804" t="str">
        <f t="shared" si="90"/>
        <v/>
      </c>
    </row>
    <row r="5805" spans="1:5" x14ac:dyDescent="0.2">
      <c r="A5805" t="s">
        <v>1354</v>
      </c>
      <c r="B5805" t="s">
        <v>1353</v>
      </c>
      <c r="C5805" t="s">
        <v>14</v>
      </c>
      <c r="D5805" t="str">
        <f>VLOOKUP(C5805,'lookup table'!$A$2:$B$19,2,FALSE)</f>
        <v>ALC</v>
      </c>
      <c r="E5805" t="str">
        <f t="shared" si="90"/>
        <v>DR4PSE_14|ALC</v>
      </c>
    </row>
    <row r="5806" spans="1:5" x14ac:dyDescent="0.2">
      <c r="A5806" t="s">
        <v>1354</v>
      </c>
      <c r="B5806" t="s">
        <v>1353</v>
      </c>
      <c r="C5806" t="s">
        <v>20</v>
      </c>
      <c r="D5806" t="str">
        <f>VLOOKUP(C5806,'lookup table'!$A$2:$B$19,2,FALSE)</f>
        <v>AY</v>
      </c>
      <c r="E5806" t="str">
        <f t="shared" si="90"/>
        <v>DR4PSE_14|AY</v>
      </c>
    </row>
    <row r="5807" spans="1:5" x14ac:dyDescent="0.2">
      <c r="A5807" t="s">
        <v>1354</v>
      </c>
      <c r="B5807" t="s">
        <v>1353</v>
      </c>
      <c r="C5807" t="s">
        <v>324</v>
      </c>
      <c r="D5807" t="e">
        <f>VLOOKUP(C5807,'lookup table'!$A$2:$B$19,2,FALSE)</f>
        <v>#N/A</v>
      </c>
      <c r="E5807" t="str">
        <f t="shared" si="90"/>
        <v/>
      </c>
    </row>
    <row r="5808" spans="1:5" x14ac:dyDescent="0.2">
      <c r="A5808" t="s">
        <v>1354</v>
      </c>
      <c r="B5808" t="s">
        <v>1353</v>
      </c>
      <c r="C5808" t="s">
        <v>325</v>
      </c>
      <c r="D5808" t="e">
        <f>VLOOKUP(C5808,'lookup table'!$A$2:$B$19,2,FALSE)</f>
        <v>#N/A</v>
      </c>
      <c r="E5808" t="str">
        <f t="shared" si="90"/>
        <v/>
      </c>
    </row>
    <row r="5809" spans="1:5" x14ac:dyDescent="0.2">
      <c r="A5809" t="s">
        <v>1354</v>
      </c>
      <c r="B5809" t="s">
        <v>1353</v>
      </c>
      <c r="C5809" t="s">
        <v>326</v>
      </c>
      <c r="D5809" t="e">
        <f>VLOOKUP(C5809,'lookup table'!$A$2:$B$19,2,FALSE)</f>
        <v>#N/A</v>
      </c>
      <c r="E5809" t="str">
        <f t="shared" si="90"/>
        <v/>
      </c>
    </row>
    <row r="5810" spans="1:5" x14ac:dyDescent="0.2">
      <c r="A5810" t="s">
        <v>1354</v>
      </c>
      <c r="B5810" t="s">
        <v>1353</v>
      </c>
      <c r="C5810" t="s">
        <v>327</v>
      </c>
      <c r="D5810" t="e">
        <f>VLOOKUP(C5810,'lookup table'!$A$2:$B$19,2,FALSE)</f>
        <v>#N/A</v>
      </c>
      <c r="E5810" t="str">
        <f t="shared" si="90"/>
        <v/>
      </c>
    </row>
    <row r="5811" spans="1:5" x14ac:dyDescent="0.2">
      <c r="A5811" t="s">
        <v>1354</v>
      </c>
      <c r="B5811" t="s">
        <v>1353</v>
      </c>
      <c r="C5811" t="s">
        <v>328</v>
      </c>
      <c r="D5811" t="e">
        <f>VLOOKUP(C5811,'lookup table'!$A$2:$B$19,2,FALSE)</f>
        <v>#N/A</v>
      </c>
      <c r="E5811" t="str">
        <f t="shared" si="90"/>
        <v/>
      </c>
    </row>
    <row r="5812" spans="1:5" x14ac:dyDescent="0.2">
      <c r="A5812" t="s">
        <v>1354</v>
      </c>
      <c r="B5812" t="s">
        <v>1353</v>
      </c>
      <c r="C5812" t="s">
        <v>329</v>
      </c>
      <c r="D5812" t="e">
        <f>VLOOKUP(C5812,'lookup table'!$A$2:$B$19,2,FALSE)</f>
        <v>#N/A</v>
      </c>
      <c r="E5812" t="str">
        <f t="shared" si="90"/>
        <v/>
      </c>
    </row>
    <row r="5813" spans="1:5" x14ac:dyDescent="0.2">
      <c r="A5813" t="s">
        <v>1354</v>
      </c>
      <c r="B5813" t="s">
        <v>1353</v>
      </c>
      <c r="C5813" t="s">
        <v>331</v>
      </c>
      <c r="D5813" t="str">
        <f>VLOOKUP(C5813,'lookup table'!$A$2:$B$19,2,FALSE)</f>
        <v>FS Item</v>
      </c>
      <c r="E5813" t="str">
        <f t="shared" si="90"/>
        <v>DR4PSE_14|FS Item</v>
      </c>
    </row>
    <row r="5814" spans="1:5" x14ac:dyDescent="0.2">
      <c r="A5814" t="s">
        <v>1354</v>
      </c>
      <c r="B5814" t="s">
        <v>1353</v>
      </c>
      <c r="C5814" t="s">
        <v>422</v>
      </c>
      <c r="D5814" t="e">
        <f>VLOOKUP(C5814,'lookup table'!$A$2:$B$19,2,FALSE)</f>
        <v>#N/A</v>
      </c>
      <c r="E5814" t="str">
        <f t="shared" si="90"/>
        <v/>
      </c>
    </row>
    <row r="5815" spans="1:5" x14ac:dyDescent="0.2">
      <c r="A5815" t="s">
        <v>1354</v>
      </c>
      <c r="B5815" t="s">
        <v>1353</v>
      </c>
      <c r="C5815" t="s">
        <v>423</v>
      </c>
      <c r="D5815" t="str">
        <f>VLOOKUP(C5815,'lookup table'!$A$2:$B$19,2,FALSE)</f>
        <v>ignore</v>
      </c>
      <c r="E5815" t="str">
        <f t="shared" si="90"/>
        <v>DR4PSE_14|ignore</v>
      </c>
    </row>
    <row r="5816" spans="1:5" x14ac:dyDescent="0.2">
      <c r="A5816" t="s">
        <v>1354</v>
      </c>
      <c r="B5816" t="s">
        <v>1353</v>
      </c>
      <c r="C5816" t="s">
        <v>424</v>
      </c>
      <c r="D5816" t="str">
        <f>VLOOKUP(C5816,'lookup table'!$A$2:$B$19,2,FALSE)</f>
        <v>GRC</v>
      </c>
      <c r="E5816" t="str">
        <f t="shared" si="90"/>
        <v>DR4PSE_14|GRC</v>
      </c>
    </row>
    <row r="5817" spans="1:5" x14ac:dyDescent="0.2">
      <c r="A5817" t="s">
        <v>1354</v>
      </c>
      <c r="B5817" t="s">
        <v>1353</v>
      </c>
      <c r="C5817" t="s">
        <v>425</v>
      </c>
      <c r="D5817" t="str">
        <f>VLOOKUP(C5817,'lookup table'!$A$2:$B$19,2,FALSE)</f>
        <v>Investee Segment</v>
      </c>
      <c r="E5817" t="str">
        <f t="shared" si="90"/>
        <v>DR4PSE_14|Investee Segment</v>
      </c>
    </row>
    <row r="5818" spans="1:5" x14ac:dyDescent="0.2">
      <c r="A5818" t="s">
        <v>1354</v>
      </c>
      <c r="B5818" t="s">
        <v>1353</v>
      </c>
      <c r="C5818" t="s">
        <v>426</v>
      </c>
      <c r="D5818" t="str">
        <f>VLOOKUP(C5818,'lookup table'!$A$2:$B$19,2,FALSE)</f>
        <v>Investee Unit</v>
      </c>
      <c r="E5818" t="str">
        <f t="shared" si="90"/>
        <v>DR4PSE_14|Investee Unit</v>
      </c>
    </row>
    <row r="5819" spans="1:5" x14ac:dyDescent="0.2">
      <c r="A5819" t="s">
        <v>1354</v>
      </c>
      <c r="B5819" t="s">
        <v>1353</v>
      </c>
      <c r="C5819" t="s">
        <v>428</v>
      </c>
      <c r="D5819" t="str">
        <f>VLOOKUP(C5819,'lookup table'!$A$2:$B$19,2,FALSE)</f>
        <v>LoB</v>
      </c>
      <c r="E5819" t="str">
        <f t="shared" si="90"/>
        <v>DR4PSE_14|LoB</v>
      </c>
    </row>
    <row r="5820" spans="1:5" x14ac:dyDescent="0.2">
      <c r="A5820" t="s">
        <v>1354</v>
      </c>
      <c r="B5820" t="s">
        <v>1353</v>
      </c>
      <c r="C5820" t="s">
        <v>436</v>
      </c>
      <c r="D5820" t="str">
        <f>VLOOKUP(C5820,'lookup table'!$A$2:$B$19,2,FALSE)</f>
        <v>MAT</v>
      </c>
      <c r="E5820" t="str">
        <f t="shared" si="90"/>
        <v>DR4PSE_14|MAT</v>
      </c>
    </row>
    <row r="5821" spans="1:5" x14ac:dyDescent="0.2">
      <c r="A5821" t="s">
        <v>1354</v>
      </c>
      <c r="B5821" t="s">
        <v>1353</v>
      </c>
      <c r="C5821" t="s">
        <v>441</v>
      </c>
      <c r="D5821" t="str">
        <f>VLOOKUP(C5821,'lookup table'!$A$2:$B$19,2,FALSE)</f>
        <v>Partner Segment</v>
      </c>
      <c r="E5821" t="str">
        <f t="shared" si="90"/>
        <v>DR4PSE_14|Partner Segment</v>
      </c>
    </row>
    <row r="5822" spans="1:5" x14ac:dyDescent="0.2">
      <c r="A5822" t="s">
        <v>1354</v>
      </c>
      <c r="B5822" t="s">
        <v>1353</v>
      </c>
      <c r="C5822" t="s">
        <v>442</v>
      </c>
      <c r="D5822" t="str">
        <f>VLOOKUP(C5822,'lookup table'!$A$2:$B$19,2,FALSE)</f>
        <v>Partner Unit</v>
      </c>
      <c r="E5822" t="str">
        <f t="shared" si="90"/>
        <v>DR4PSE_14|Partner Unit</v>
      </c>
    </row>
    <row r="5823" spans="1:5" x14ac:dyDescent="0.2">
      <c r="A5823" t="s">
        <v>1354</v>
      </c>
      <c r="B5823" t="s">
        <v>1353</v>
      </c>
      <c r="C5823" t="s">
        <v>447</v>
      </c>
      <c r="D5823" t="str">
        <f>VLOOKUP(C5823,'lookup table'!$A$2:$B$19,2,FALSE)</f>
        <v>REX</v>
      </c>
      <c r="E5823" t="str">
        <f t="shared" si="90"/>
        <v>DR4PSE_14|REX</v>
      </c>
    </row>
    <row r="5824" spans="1:5" x14ac:dyDescent="0.2">
      <c r="A5824" t="s">
        <v>1354</v>
      </c>
      <c r="B5824" t="s">
        <v>1353</v>
      </c>
      <c r="C5824" t="s">
        <v>448</v>
      </c>
      <c r="D5824" t="e">
        <f>VLOOKUP(C5824,'lookup table'!$A$2:$B$19,2,FALSE)</f>
        <v>#N/A</v>
      </c>
      <c r="E5824" t="str">
        <f t="shared" si="90"/>
        <v/>
      </c>
    </row>
    <row r="5825" spans="1:5" x14ac:dyDescent="0.2">
      <c r="A5825" t="s">
        <v>1354</v>
      </c>
      <c r="B5825" t="s">
        <v>1353</v>
      </c>
      <c r="C5825" t="s">
        <v>449</v>
      </c>
      <c r="D5825" t="e">
        <f>VLOOKUP(C5825,'lookup table'!$A$2:$B$19,2,FALSE)</f>
        <v>#N/A</v>
      </c>
      <c r="E5825" t="str">
        <f t="shared" si="90"/>
        <v/>
      </c>
    </row>
    <row r="5826" spans="1:5" x14ac:dyDescent="0.2">
      <c r="A5826" t="s">
        <v>1354</v>
      </c>
      <c r="B5826" t="s">
        <v>1353</v>
      </c>
      <c r="C5826" t="s">
        <v>451</v>
      </c>
      <c r="D5826" t="str">
        <f>VLOOKUP(C5826,'lookup table'!$A$2:$B$19,2,FALSE)</f>
        <v>Segment</v>
      </c>
      <c r="E5826" t="str">
        <f t="shared" si="90"/>
        <v>DR4PSE_14|Segment</v>
      </c>
    </row>
    <row r="5827" spans="1:5" x14ac:dyDescent="0.2">
      <c r="A5827" t="s">
        <v>1354</v>
      </c>
      <c r="B5827" t="s">
        <v>1353</v>
      </c>
      <c r="C5827" t="s">
        <v>455</v>
      </c>
      <c r="D5827" t="e">
        <f>VLOOKUP(C5827,'lookup table'!$A$2:$B$19,2,FALSE)</f>
        <v>#N/A</v>
      </c>
      <c r="E5827" t="str">
        <f t="shared" ref="E5827:E5890" si="91">IF(ISNA(D5827),"",IF(A5827="","",A5827) &amp; "|" &amp; D5827)</f>
        <v/>
      </c>
    </row>
    <row r="5828" spans="1:5" x14ac:dyDescent="0.2">
      <c r="A5828" t="s">
        <v>1354</v>
      </c>
      <c r="B5828" t="s">
        <v>1353</v>
      </c>
      <c r="C5828" t="s">
        <v>456</v>
      </c>
      <c r="D5828" t="e">
        <f>VLOOKUP(C5828,'lookup table'!$A$2:$B$19,2,FALSE)</f>
        <v>#N/A</v>
      </c>
      <c r="E5828" t="str">
        <f t="shared" si="91"/>
        <v/>
      </c>
    </row>
    <row r="5829" spans="1:5" x14ac:dyDescent="0.2">
      <c r="A5829" t="s">
        <v>1354</v>
      </c>
      <c r="B5829" t="s">
        <v>1353</v>
      </c>
      <c r="C5829" t="s">
        <v>457</v>
      </c>
      <c r="D5829" t="str">
        <f>VLOOKUP(C5829,'lookup table'!$A$2:$B$19,2,FALSE)</f>
        <v>VLT</v>
      </c>
      <c r="E5829" t="str">
        <f t="shared" si="91"/>
        <v>DR4PSE_14|VLT</v>
      </c>
    </row>
    <row r="5830" spans="1:5" x14ac:dyDescent="0.2">
      <c r="A5830" t="s">
        <v>1354</v>
      </c>
      <c r="B5830" t="s">
        <v>1353</v>
      </c>
      <c r="C5830" t="s">
        <v>458</v>
      </c>
      <c r="D5830" t="str">
        <f>VLOOKUP(C5830,'lookup table'!$A$2:$B$19,2,FALSE)</f>
        <v>VAR</v>
      </c>
      <c r="E5830" t="str">
        <f t="shared" si="91"/>
        <v>DR4PSE_14|VAR</v>
      </c>
    </row>
    <row r="5831" spans="1:5" x14ac:dyDescent="0.2">
      <c r="A5831" t="s">
        <v>1354</v>
      </c>
      <c r="B5831" t="s">
        <v>1353</v>
      </c>
      <c r="C5831" t="s">
        <v>459</v>
      </c>
      <c r="D5831" t="e">
        <f>VLOOKUP(C5831,'lookup table'!$A$2:$B$19,2,FALSE)</f>
        <v>#N/A</v>
      </c>
      <c r="E5831" t="str">
        <f t="shared" si="91"/>
        <v/>
      </c>
    </row>
    <row r="5832" spans="1:5" x14ac:dyDescent="0.2">
      <c r="A5832" t="s">
        <v>1354</v>
      </c>
      <c r="B5832" t="s">
        <v>1353</v>
      </c>
      <c r="C5832" t="s">
        <v>460</v>
      </c>
      <c r="D5832" t="e">
        <f>VLOOKUP(C5832,'lookup table'!$A$2:$B$19,2,FALSE)</f>
        <v>#N/A</v>
      </c>
      <c r="E5832" t="str">
        <f t="shared" si="91"/>
        <v/>
      </c>
    </row>
    <row r="5833" spans="1:5" x14ac:dyDescent="0.2">
      <c r="A5833" t="s">
        <v>1354</v>
      </c>
      <c r="B5833" t="s">
        <v>1353</v>
      </c>
      <c r="C5833" t="s">
        <v>461</v>
      </c>
      <c r="D5833" t="str">
        <f>VLOOKUP(C5833,'lookup table'!$A$2:$B$19,2,FALSE)</f>
        <v>Posting Level</v>
      </c>
      <c r="E5833" t="str">
        <f t="shared" si="91"/>
        <v>DR4PSE_14|Posting Level</v>
      </c>
    </row>
    <row r="5834" spans="1:5" x14ac:dyDescent="0.2">
      <c r="A5834" t="s">
        <v>1354</v>
      </c>
      <c r="B5834" t="s">
        <v>1353</v>
      </c>
      <c r="C5834" t="s">
        <v>462</v>
      </c>
      <c r="D5834" t="e">
        <f>VLOOKUP(C5834,'lookup table'!$A$2:$B$19,2,FALSE)</f>
        <v>#N/A</v>
      </c>
      <c r="E5834" t="str">
        <f t="shared" si="91"/>
        <v/>
      </c>
    </row>
    <row r="5835" spans="1:5" x14ac:dyDescent="0.2">
      <c r="A5835" t="s">
        <v>1354</v>
      </c>
      <c r="B5835" t="s">
        <v>1353</v>
      </c>
      <c r="C5835" t="s">
        <v>463</v>
      </c>
      <c r="D5835" t="e">
        <f>VLOOKUP(C5835,'lookup table'!$A$2:$B$19,2,FALSE)</f>
        <v>#N/A</v>
      </c>
      <c r="E5835" t="str">
        <f t="shared" si="91"/>
        <v/>
      </c>
    </row>
    <row r="5836" spans="1:5" x14ac:dyDescent="0.2">
      <c r="A5836" t="s">
        <v>1354</v>
      </c>
      <c r="B5836" t="s">
        <v>1353</v>
      </c>
      <c r="C5836" t="s">
        <v>464</v>
      </c>
      <c r="D5836" t="e">
        <f>VLOOKUP(C5836,'lookup table'!$A$2:$B$19,2,FALSE)</f>
        <v>#N/A</v>
      </c>
      <c r="E5836" t="str">
        <f t="shared" si="91"/>
        <v/>
      </c>
    </row>
    <row r="5837" spans="1:5" x14ac:dyDescent="0.2">
      <c r="A5837" t="s">
        <v>1354</v>
      </c>
      <c r="B5837" t="s">
        <v>1353</v>
      </c>
      <c r="C5837" t="s">
        <v>465</v>
      </c>
      <c r="D5837" t="e">
        <f>VLOOKUP(C5837,'lookup table'!$A$2:$B$19,2,FALSE)</f>
        <v>#N/A</v>
      </c>
      <c r="E5837" t="str">
        <f t="shared" si="91"/>
        <v/>
      </c>
    </row>
    <row r="5838" spans="1:5" x14ac:dyDescent="0.2">
      <c r="A5838" t="s">
        <v>1355</v>
      </c>
      <c r="B5838" t="s">
        <v>1356</v>
      </c>
      <c r="C5838" t="s">
        <v>2</v>
      </c>
      <c r="D5838" t="e">
        <f>VLOOKUP(C5838,'lookup table'!$A$2:$B$19,2,FALSE)</f>
        <v>#N/A</v>
      </c>
      <c r="E5838" t="str">
        <f t="shared" si="91"/>
        <v/>
      </c>
    </row>
    <row r="5839" spans="1:5" x14ac:dyDescent="0.2">
      <c r="A5839" t="s">
        <v>1355</v>
      </c>
      <c r="B5839" t="s">
        <v>1356</v>
      </c>
      <c r="C5839" t="s">
        <v>5</v>
      </c>
      <c r="D5839" t="e">
        <f>VLOOKUP(C5839,'lookup table'!$A$2:$B$19,2,FALSE)</f>
        <v>#N/A</v>
      </c>
      <c r="E5839" t="str">
        <f t="shared" si="91"/>
        <v/>
      </c>
    </row>
    <row r="5840" spans="1:5" x14ac:dyDescent="0.2">
      <c r="A5840" t="s">
        <v>1355</v>
      </c>
      <c r="B5840" t="s">
        <v>1356</v>
      </c>
      <c r="C5840" t="s">
        <v>6</v>
      </c>
      <c r="D5840" t="e">
        <f>VLOOKUP(C5840,'lookup table'!$A$2:$B$19,2,FALSE)</f>
        <v>#N/A</v>
      </c>
      <c r="E5840" t="str">
        <f t="shared" si="91"/>
        <v/>
      </c>
    </row>
    <row r="5841" spans="1:5" x14ac:dyDescent="0.2">
      <c r="A5841" t="s">
        <v>1355</v>
      </c>
      <c r="B5841" t="s">
        <v>1356</v>
      </c>
      <c r="C5841" t="s">
        <v>9</v>
      </c>
      <c r="D5841" t="e">
        <f>VLOOKUP(C5841,'lookup table'!$A$2:$B$19,2,FALSE)</f>
        <v>#N/A</v>
      </c>
      <c r="E5841" t="str">
        <f t="shared" si="91"/>
        <v/>
      </c>
    </row>
    <row r="5842" spans="1:5" x14ac:dyDescent="0.2">
      <c r="A5842" t="s">
        <v>1355</v>
      </c>
      <c r="B5842" t="s">
        <v>1356</v>
      </c>
      <c r="C5842" t="s">
        <v>10</v>
      </c>
      <c r="D5842" t="e">
        <f>VLOOKUP(C5842,'lookup table'!$A$2:$B$19,2,FALSE)</f>
        <v>#N/A</v>
      </c>
      <c r="E5842" t="str">
        <f t="shared" si="91"/>
        <v/>
      </c>
    </row>
    <row r="5843" spans="1:5" x14ac:dyDescent="0.2">
      <c r="A5843" t="s">
        <v>1355</v>
      </c>
      <c r="B5843" t="s">
        <v>1356</v>
      </c>
      <c r="C5843" t="s">
        <v>11</v>
      </c>
      <c r="D5843" t="e">
        <f>VLOOKUP(C5843,'lookup table'!$A$2:$B$19,2,FALSE)</f>
        <v>#N/A</v>
      </c>
      <c r="E5843" t="str">
        <f t="shared" si="91"/>
        <v/>
      </c>
    </row>
    <row r="5844" spans="1:5" x14ac:dyDescent="0.2">
      <c r="A5844" t="s">
        <v>1355</v>
      </c>
      <c r="B5844" t="s">
        <v>1356</v>
      </c>
      <c r="C5844" t="s">
        <v>12</v>
      </c>
      <c r="D5844" t="e">
        <f>VLOOKUP(C5844,'lookup table'!$A$2:$B$19,2,FALSE)</f>
        <v>#N/A</v>
      </c>
      <c r="E5844" t="str">
        <f t="shared" si="91"/>
        <v/>
      </c>
    </row>
    <row r="5845" spans="1:5" x14ac:dyDescent="0.2">
      <c r="A5845" t="s">
        <v>1355</v>
      </c>
      <c r="B5845" t="s">
        <v>1356</v>
      </c>
      <c r="C5845" t="s">
        <v>14</v>
      </c>
      <c r="D5845" t="str">
        <f>VLOOKUP(C5845,'lookup table'!$A$2:$B$19,2,FALSE)</f>
        <v>ALC</v>
      </c>
      <c r="E5845" t="str">
        <f t="shared" si="91"/>
        <v>DR4REX_00|ALC</v>
      </c>
    </row>
    <row r="5846" spans="1:5" x14ac:dyDescent="0.2">
      <c r="A5846" t="s">
        <v>1355</v>
      </c>
      <c r="B5846" t="s">
        <v>1356</v>
      </c>
      <c r="C5846" t="s">
        <v>20</v>
      </c>
      <c r="D5846" t="str">
        <f>VLOOKUP(C5846,'lookup table'!$A$2:$B$19,2,FALSE)</f>
        <v>AY</v>
      </c>
      <c r="E5846" t="str">
        <f t="shared" si="91"/>
        <v>DR4REX_00|AY</v>
      </c>
    </row>
    <row r="5847" spans="1:5" x14ac:dyDescent="0.2">
      <c r="A5847" t="s">
        <v>1355</v>
      </c>
      <c r="B5847" t="s">
        <v>1356</v>
      </c>
      <c r="C5847" t="s">
        <v>324</v>
      </c>
      <c r="D5847" t="e">
        <f>VLOOKUP(C5847,'lookup table'!$A$2:$B$19,2,FALSE)</f>
        <v>#N/A</v>
      </c>
      <c r="E5847" t="str">
        <f t="shared" si="91"/>
        <v/>
      </c>
    </row>
    <row r="5848" spans="1:5" x14ac:dyDescent="0.2">
      <c r="A5848" t="s">
        <v>1355</v>
      </c>
      <c r="B5848" t="s">
        <v>1356</v>
      </c>
      <c r="C5848" t="s">
        <v>325</v>
      </c>
      <c r="D5848" t="e">
        <f>VLOOKUP(C5848,'lookup table'!$A$2:$B$19,2,FALSE)</f>
        <v>#N/A</v>
      </c>
      <c r="E5848" t="str">
        <f t="shared" si="91"/>
        <v/>
      </c>
    </row>
    <row r="5849" spans="1:5" x14ac:dyDescent="0.2">
      <c r="A5849" t="s">
        <v>1355</v>
      </c>
      <c r="B5849" t="s">
        <v>1356</v>
      </c>
      <c r="C5849" t="s">
        <v>326</v>
      </c>
      <c r="D5849" t="e">
        <f>VLOOKUP(C5849,'lookup table'!$A$2:$B$19,2,FALSE)</f>
        <v>#N/A</v>
      </c>
      <c r="E5849" t="str">
        <f t="shared" si="91"/>
        <v/>
      </c>
    </row>
    <row r="5850" spans="1:5" x14ac:dyDescent="0.2">
      <c r="A5850" t="s">
        <v>1355</v>
      </c>
      <c r="B5850" t="s">
        <v>1356</v>
      </c>
      <c r="C5850" t="s">
        <v>327</v>
      </c>
      <c r="D5850" t="e">
        <f>VLOOKUP(C5850,'lookup table'!$A$2:$B$19,2,FALSE)</f>
        <v>#N/A</v>
      </c>
      <c r="E5850" t="str">
        <f t="shared" si="91"/>
        <v/>
      </c>
    </row>
    <row r="5851" spans="1:5" x14ac:dyDescent="0.2">
      <c r="A5851" t="s">
        <v>1355</v>
      </c>
      <c r="B5851" t="s">
        <v>1356</v>
      </c>
      <c r="C5851" t="s">
        <v>328</v>
      </c>
      <c r="D5851" t="e">
        <f>VLOOKUP(C5851,'lookup table'!$A$2:$B$19,2,FALSE)</f>
        <v>#N/A</v>
      </c>
      <c r="E5851" t="str">
        <f t="shared" si="91"/>
        <v/>
      </c>
    </row>
    <row r="5852" spans="1:5" x14ac:dyDescent="0.2">
      <c r="A5852" t="s">
        <v>1355</v>
      </c>
      <c r="B5852" t="s">
        <v>1356</v>
      </c>
      <c r="C5852" t="s">
        <v>329</v>
      </c>
      <c r="D5852" t="e">
        <f>VLOOKUP(C5852,'lookup table'!$A$2:$B$19,2,FALSE)</f>
        <v>#N/A</v>
      </c>
      <c r="E5852" t="str">
        <f t="shared" si="91"/>
        <v/>
      </c>
    </row>
    <row r="5853" spans="1:5" x14ac:dyDescent="0.2">
      <c r="A5853" t="s">
        <v>1355</v>
      </c>
      <c r="B5853" t="s">
        <v>1356</v>
      </c>
      <c r="C5853" t="s">
        <v>331</v>
      </c>
      <c r="D5853" t="str">
        <f>VLOOKUP(C5853,'lookup table'!$A$2:$B$19,2,FALSE)</f>
        <v>FS Item</v>
      </c>
      <c r="E5853" t="str">
        <f t="shared" si="91"/>
        <v>DR4REX_00|FS Item</v>
      </c>
    </row>
    <row r="5854" spans="1:5" x14ac:dyDescent="0.2">
      <c r="A5854" t="s">
        <v>1355</v>
      </c>
      <c r="B5854" t="s">
        <v>1356</v>
      </c>
      <c r="C5854" t="s">
        <v>422</v>
      </c>
      <c r="D5854" t="e">
        <f>VLOOKUP(C5854,'lookup table'!$A$2:$B$19,2,FALSE)</f>
        <v>#N/A</v>
      </c>
      <c r="E5854" t="str">
        <f t="shared" si="91"/>
        <v/>
      </c>
    </row>
    <row r="5855" spans="1:5" x14ac:dyDescent="0.2">
      <c r="A5855" t="s">
        <v>1355</v>
      </c>
      <c r="B5855" t="s">
        <v>1356</v>
      </c>
      <c r="C5855" t="s">
        <v>423</v>
      </c>
      <c r="D5855" t="str">
        <f>VLOOKUP(C5855,'lookup table'!$A$2:$B$19,2,FALSE)</f>
        <v>ignore</v>
      </c>
      <c r="E5855" t="str">
        <f t="shared" si="91"/>
        <v>DR4REX_00|ignore</v>
      </c>
    </row>
    <row r="5856" spans="1:5" x14ac:dyDescent="0.2">
      <c r="A5856" t="s">
        <v>1355</v>
      </c>
      <c r="B5856" t="s">
        <v>1356</v>
      </c>
      <c r="C5856" t="s">
        <v>424</v>
      </c>
      <c r="D5856" t="str">
        <f>VLOOKUP(C5856,'lookup table'!$A$2:$B$19,2,FALSE)</f>
        <v>GRC</v>
      </c>
      <c r="E5856" t="str">
        <f t="shared" si="91"/>
        <v>DR4REX_00|GRC</v>
      </c>
    </row>
    <row r="5857" spans="1:5" x14ac:dyDescent="0.2">
      <c r="A5857" t="s">
        <v>1355</v>
      </c>
      <c r="B5857" t="s">
        <v>1356</v>
      </c>
      <c r="C5857" t="s">
        <v>425</v>
      </c>
      <c r="D5857" t="str">
        <f>VLOOKUP(C5857,'lookup table'!$A$2:$B$19,2,FALSE)</f>
        <v>Investee Segment</v>
      </c>
      <c r="E5857" t="str">
        <f t="shared" si="91"/>
        <v>DR4REX_00|Investee Segment</v>
      </c>
    </row>
    <row r="5858" spans="1:5" x14ac:dyDescent="0.2">
      <c r="A5858" t="s">
        <v>1355</v>
      </c>
      <c r="B5858" t="s">
        <v>1356</v>
      </c>
      <c r="C5858" t="s">
        <v>426</v>
      </c>
      <c r="D5858" t="str">
        <f>VLOOKUP(C5858,'lookup table'!$A$2:$B$19,2,FALSE)</f>
        <v>Investee Unit</v>
      </c>
      <c r="E5858" t="str">
        <f t="shared" si="91"/>
        <v>DR4REX_00|Investee Unit</v>
      </c>
    </row>
    <row r="5859" spans="1:5" x14ac:dyDescent="0.2">
      <c r="A5859" t="s">
        <v>1355</v>
      </c>
      <c r="B5859" t="s">
        <v>1356</v>
      </c>
      <c r="C5859" t="s">
        <v>428</v>
      </c>
      <c r="D5859" t="str">
        <f>VLOOKUP(C5859,'lookup table'!$A$2:$B$19,2,FALSE)</f>
        <v>LoB</v>
      </c>
      <c r="E5859" t="str">
        <f t="shared" si="91"/>
        <v>DR4REX_00|LoB</v>
      </c>
    </row>
    <row r="5860" spans="1:5" x14ac:dyDescent="0.2">
      <c r="A5860" t="s">
        <v>1355</v>
      </c>
      <c r="B5860" t="s">
        <v>1356</v>
      </c>
      <c r="C5860" t="s">
        <v>436</v>
      </c>
      <c r="D5860" t="str">
        <f>VLOOKUP(C5860,'lookup table'!$A$2:$B$19,2,FALSE)</f>
        <v>MAT</v>
      </c>
      <c r="E5860" t="str">
        <f t="shared" si="91"/>
        <v>DR4REX_00|MAT</v>
      </c>
    </row>
    <row r="5861" spans="1:5" x14ac:dyDescent="0.2">
      <c r="A5861" t="s">
        <v>1355</v>
      </c>
      <c r="B5861" t="s">
        <v>1356</v>
      </c>
      <c r="C5861" t="s">
        <v>438</v>
      </c>
      <c r="D5861" t="str">
        <f>VLOOKUP(C5861,'lookup table'!$A$2:$B$19,2,FALSE)</f>
        <v>ToM</v>
      </c>
      <c r="E5861" t="str">
        <f t="shared" si="91"/>
        <v>DR4REX_00|ToM</v>
      </c>
    </row>
    <row r="5862" spans="1:5" x14ac:dyDescent="0.2">
      <c r="A5862" t="s">
        <v>1355</v>
      </c>
      <c r="B5862" t="s">
        <v>1356</v>
      </c>
      <c r="C5862" t="s">
        <v>441</v>
      </c>
      <c r="D5862" t="str">
        <f>VLOOKUP(C5862,'lookup table'!$A$2:$B$19,2,FALSE)</f>
        <v>Partner Segment</v>
      </c>
      <c r="E5862" t="str">
        <f t="shared" si="91"/>
        <v>DR4REX_00|Partner Segment</v>
      </c>
    </row>
    <row r="5863" spans="1:5" x14ac:dyDescent="0.2">
      <c r="A5863" t="s">
        <v>1355</v>
      </c>
      <c r="B5863" t="s">
        <v>1356</v>
      </c>
      <c r="C5863" t="s">
        <v>442</v>
      </c>
      <c r="D5863" t="str">
        <f>VLOOKUP(C5863,'lookup table'!$A$2:$B$19,2,FALSE)</f>
        <v>Partner Unit</v>
      </c>
      <c r="E5863" t="str">
        <f t="shared" si="91"/>
        <v>DR4REX_00|Partner Unit</v>
      </c>
    </row>
    <row r="5864" spans="1:5" x14ac:dyDescent="0.2">
      <c r="A5864" t="s">
        <v>1355</v>
      </c>
      <c r="B5864" t="s">
        <v>1356</v>
      </c>
      <c r="C5864" t="s">
        <v>447</v>
      </c>
      <c r="D5864" t="str">
        <f>VLOOKUP(C5864,'lookup table'!$A$2:$B$19,2,FALSE)</f>
        <v>REX</v>
      </c>
      <c r="E5864" t="str">
        <f t="shared" si="91"/>
        <v>DR4REX_00|REX</v>
      </c>
    </row>
    <row r="5865" spans="1:5" x14ac:dyDescent="0.2">
      <c r="A5865" t="s">
        <v>1355</v>
      </c>
      <c r="B5865" t="s">
        <v>1356</v>
      </c>
      <c r="C5865" t="s">
        <v>448</v>
      </c>
      <c r="D5865" t="e">
        <f>VLOOKUP(C5865,'lookup table'!$A$2:$B$19,2,FALSE)</f>
        <v>#N/A</v>
      </c>
      <c r="E5865" t="str">
        <f t="shared" si="91"/>
        <v/>
      </c>
    </row>
    <row r="5866" spans="1:5" x14ac:dyDescent="0.2">
      <c r="A5866" t="s">
        <v>1355</v>
      </c>
      <c r="B5866" t="s">
        <v>1356</v>
      </c>
      <c r="C5866" t="s">
        <v>449</v>
      </c>
      <c r="D5866" t="e">
        <f>VLOOKUP(C5866,'lookup table'!$A$2:$B$19,2,FALSE)</f>
        <v>#N/A</v>
      </c>
      <c r="E5866" t="str">
        <f t="shared" si="91"/>
        <v/>
      </c>
    </row>
    <row r="5867" spans="1:5" x14ac:dyDescent="0.2">
      <c r="A5867" t="s">
        <v>1355</v>
      </c>
      <c r="B5867" t="s">
        <v>1356</v>
      </c>
      <c r="C5867" t="s">
        <v>451</v>
      </c>
      <c r="D5867" t="str">
        <f>VLOOKUP(C5867,'lookup table'!$A$2:$B$19,2,FALSE)</f>
        <v>Segment</v>
      </c>
      <c r="E5867" t="str">
        <f t="shared" si="91"/>
        <v>DR4REX_00|Segment</v>
      </c>
    </row>
    <row r="5868" spans="1:5" x14ac:dyDescent="0.2">
      <c r="A5868" t="s">
        <v>1355</v>
      </c>
      <c r="B5868" t="s">
        <v>1356</v>
      </c>
      <c r="C5868" t="s">
        <v>455</v>
      </c>
      <c r="D5868" t="e">
        <f>VLOOKUP(C5868,'lookup table'!$A$2:$B$19,2,FALSE)</f>
        <v>#N/A</v>
      </c>
      <c r="E5868" t="str">
        <f t="shared" si="91"/>
        <v/>
      </c>
    </row>
    <row r="5869" spans="1:5" x14ac:dyDescent="0.2">
      <c r="A5869" t="s">
        <v>1355</v>
      </c>
      <c r="B5869" t="s">
        <v>1356</v>
      </c>
      <c r="C5869" t="s">
        <v>456</v>
      </c>
      <c r="D5869" t="e">
        <f>VLOOKUP(C5869,'lookup table'!$A$2:$B$19,2,FALSE)</f>
        <v>#N/A</v>
      </c>
      <c r="E5869" t="str">
        <f t="shared" si="91"/>
        <v/>
      </c>
    </row>
    <row r="5870" spans="1:5" x14ac:dyDescent="0.2">
      <c r="A5870" t="s">
        <v>1355</v>
      </c>
      <c r="B5870" t="s">
        <v>1356</v>
      </c>
      <c r="C5870" t="s">
        <v>457</v>
      </c>
      <c r="D5870" t="str">
        <f>VLOOKUP(C5870,'lookup table'!$A$2:$B$19,2,FALSE)</f>
        <v>VLT</v>
      </c>
      <c r="E5870" t="str">
        <f t="shared" si="91"/>
        <v>DR4REX_00|VLT</v>
      </c>
    </row>
    <row r="5871" spans="1:5" x14ac:dyDescent="0.2">
      <c r="A5871" t="s">
        <v>1355</v>
      </c>
      <c r="B5871" t="s">
        <v>1356</v>
      </c>
      <c r="C5871" t="s">
        <v>458</v>
      </c>
      <c r="D5871" t="str">
        <f>VLOOKUP(C5871,'lookup table'!$A$2:$B$19,2,FALSE)</f>
        <v>VAR</v>
      </c>
      <c r="E5871" t="str">
        <f t="shared" si="91"/>
        <v>DR4REX_00|VAR</v>
      </c>
    </row>
    <row r="5872" spans="1:5" x14ac:dyDescent="0.2">
      <c r="A5872" t="s">
        <v>1355</v>
      </c>
      <c r="B5872" t="s">
        <v>1356</v>
      </c>
      <c r="C5872" t="s">
        <v>459</v>
      </c>
      <c r="D5872" t="e">
        <f>VLOOKUP(C5872,'lookup table'!$A$2:$B$19,2,FALSE)</f>
        <v>#N/A</v>
      </c>
      <c r="E5872" t="str">
        <f t="shared" si="91"/>
        <v/>
      </c>
    </row>
    <row r="5873" spans="1:5" x14ac:dyDescent="0.2">
      <c r="A5873" t="s">
        <v>1355</v>
      </c>
      <c r="B5873" t="s">
        <v>1356</v>
      </c>
      <c r="C5873" t="s">
        <v>460</v>
      </c>
      <c r="D5873" t="e">
        <f>VLOOKUP(C5873,'lookup table'!$A$2:$B$19,2,FALSE)</f>
        <v>#N/A</v>
      </c>
      <c r="E5873" t="str">
        <f t="shared" si="91"/>
        <v/>
      </c>
    </row>
    <row r="5874" spans="1:5" x14ac:dyDescent="0.2">
      <c r="A5874" t="s">
        <v>1355</v>
      </c>
      <c r="B5874" t="s">
        <v>1356</v>
      </c>
      <c r="C5874" t="s">
        <v>461</v>
      </c>
      <c r="D5874" t="str">
        <f>VLOOKUP(C5874,'lookup table'!$A$2:$B$19,2,FALSE)</f>
        <v>Posting Level</v>
      </c>
      <c r="E5874" t="str">
        <f t="shared" si="91"/>
        <v>DR4REX_00|Posting Level</v>
      </c>
    </row>
    <row r="5875" spans="1:5" x14ac:dyDescent="0.2">
      <c r="A5875" t="s">
        <v>1355</v>
      </c>
      <c r="B5875" t="s">
        <v>1356</v>
      </c>
      <c r="C5875" t="s">
        <v>462</v>
      </c>
      <c r="D5875" t="e">
        <f>VLOOKUP(C5875,'lookup table'!$A$2:$B$19,2,FALSE)</f>
        <v>#N/A</v>
      </c>
      <c r="E5875" t="str">
        <f t="shared" si="91"/>
        <v/>
      </c>
    </row>
    <row r="5876" spans="1:5" x14ac:dyDescent="0.2">
      <c r="A5876" t="s">
        <v>1355</v>
      </c>
      <c r="B5876" t="s">
        <v>1356</v>
      </c>
      <c r="C5876" t="s">
        <v>463</v>
      </c>
      <c r="D5876" t="e">
        <f>VLOOKUP(C5876,'lookup table'!$A$2:$B$19,2,FALSE)</f>
        <v>#N/A</v>
      </c>
      <c r="E5876" t="str">
        <f t="shared" si="91"/>
        <v/>
      </c>
    </row>
    <row r="5877" spans="1:5" x14ac:dyDescent="0.2">
      <c r="A5877" t="s">
        <v>1355</v>
      </c>
      <c r="B5877" t="s">
        <v>1356</v>
      </c>
      <c r="C5877" t="s">
        <v>464</v>
      </c>
      <c r="D5877" t="e">
        <f>VLOOKUP(C5877,'lookup table'!$A$2:$B$19,2,FALSE)</f>
        <v>#N/A</v>
      </c>
      <c r="E5877" t="str">
        <f t="shared" si="91"/>
        <v/>
      </c>
    </row>
    <row r="5878" spans="1:5" x14ac:dyDescent="0.2">
      <c r="A5878" t="s">
        <v>1355</v>
      </c>
      <c r="B5878" t="s">
        <v>1356</v>
      </c>
      <c r="C5878" t="s">
        <v>465</v>
      </c>
      <c r="D5878" t="e">
        <f>VLOOKUP(C5878,'lookup table'!$A$2:$B$19,2,FALSE)</f>
        <v>#N/A</v>
      </c>
      <c r="E5878" t="str">
        <f t="shared" si="91"/>
        <v/>
      </c>
    </row>
    <row r="5879" spans="1:5" x14ac:dyDescent="0.2">
      <c r="A5879" t="s">
        <v>1357</v>
      </c>
      <c r="B5879" t="s">
        <v>1358</v>
      </c>
      <c r="C5879" t="s">
        <v>2</v>
      </c>
      <c r="D5879" t="e">
        <f>VLOOKUP(C5879,'lookup table'!$A$2:$B$19,2,FALSE)</f>
        <v>#N/A</v>
      </c>
      <c r="E5879" t="str">
        <f t="shared" si="91"/>
        <v/>
      </c>
    </row>
    <row r="5880" spans="1:5" x14ac:dyDescent="0.2">
      <c r="A5880" t="s">
        <v>1357</v>
      </c>
      <c r="B5880" t="s">
        <v>1358</v>
      </c>
      <c r="C5880" t="s">
        <v>5</v>
      </c>
      <c r="D5880" t="e">
        <f>VLOOKUP(C5880,'lookup table'!$A$2:$B$19,2,FALSE)</f>
        <v>#N/A</v>
      </c>
      <c r="E5880" t="str">
        <f t="shared" si="91"/>
        <v/>
      </c>
    </row>
    <row r="5881" spans="1:5" x14ac:dyDescent="0.2">
      <c r="A5881" t="s">
        <v>1357</v>
      </c>
      <c r="B5881" t="s">
        <v>1358</v>
      </c>
      <c r="C5881" t="s">
        <v>6</v>
      </c>
      <c r="D5881" t="e">
        <f>VLOOKUP(C5881,'lookup table'!$A$2:$B$19,2,FALSE)</f>
        <v>#N/A</v>
      </c>
      <c r="E5881" t="str">
        <f t="shared" si="91"/>
        <v/>
      </c>
    </row>
    <row r="5882" spans="1:5" x14ac:dyDescent="0.2">
      <c r="A5882" t="s">
        <v>1357</v>
      </c>
      <c r="B5882" t="s">
        <v>1358</v>
      </c>
      <c r="C5882" t="s">
        <v>9</v>
      </c>
      <c r="D5882" t="e">
        <f>VLOOKUP(C5882,'lookup table'!$A$2:$B$19,2,FALSE)</f>
        <v>#N/A</v>
      </c>
      <c r="E5882" t="str">
        <f t="shared" si="91"/>
        <v/>
      </c>
    </row>
    <row r="5883" spans="1:5" x14ac:dyDescent="0.2">
      <c r="A5883" t="s">
        <v>1357</v>
      </c>
      <c r="B5883" t="s">
        <v>1358</v>
      </c>
      <c r="C5883" t="s">
        <v>10</v>
      </c>
      <c r="D5883" t="e">
        <f>VLOOKUP(C5883,'lookup table'!$A$2:$B$19,2,FALSE)</f>
        <v>#N/A</v>
      </c>
      <c r="E5883" t="str">
        <f t="shared" si="91"/>
        <v/>
      </c>
    </row>
    <row r="5884" spans="1:5" x14ac:dyDescent="0.2">
      <c r="A5884" t="s">
        <v>1357</v>
      </c>
      <c r="B5884" t="s">
        <v>1358</v>
      </c>
      <c r="C5884" t="s">
        <v>11</v>
      </c>
      <c r="D5884" t="e">
        <f>VLOOKUP(C5884,'lookup table'!$A$2:$B$19,2,FALSE)</f>
        <v>#N/A</v>
      </c>
      <c r="E5884" t="str">
        <f t="shared" si="91"/>
        <v/>
      </c>
    </row>
    <row r="5885" spans="1:5" x14ac:dyDescent="0.2">
      <c r="A5885" t="s">
        <v>1357</v>
      </c>
      <c r="B5885" t="s">
        <v>1358</v>
      </c>
      <c r="C5885" t="s">
        <v>12</v>
      </c>
      <c r="D5885" t="e">
        <f>VLOOKUP(C5885,'lookup table'!$A$2:$B$19,2,FALSE)</f>
        <v>#N/A</v>
      </c>
      <c r="E5885" t="str">
        <f t="shared" si="91"/>
        <v/>
      </c>
    </row>
    <row r="5886" spans="1:5" x14ac:dyDescent="0.2">
      <c r="A5886" t="s">
        <v>1357</v>
      </c>
      <c r="B5886" t="s">
        <v>1358</v>
      </c>
      <c r="C5886" t="s">
        <v>14</v>
      </c>
      <c r="D5886" t="str">
        <f>VLOOKUP(C5886,'lookup table'!$A$2:$B$19,2,FALSE)</f>
        <v>ALC</v>
      </c>
      <c r="E5886" t="str">
        <f t="shared" si="91"/>
        <v>DR4TOM_00|ALC</v>
      </c>
    </row>
    <row r="5887" spans="1:5" x14ac:dyDescent="0.2">
      <c r="A5887" t="s">
        <v>1357</v>
      </c>
      <c r="B5887" t="s">
        <v>1358</v>
      </c>
      <c r="C5887" t="s">
        <v>20</v>
      </c>
      <c r="D5887" t="str">
        <f>VLOOKUP(C5887,'lookup table'!$A$2:$B$19,2,FALSE)</f>
        <v>AY</v>
      </c>
      <c r="E5887" t="str">
        <f t="shared" si="91"/>
        <v>DR4TOM_00|AY</v>
      </c>
    </row>
    <row r="5888" spans="1:5" x14ac:dyDescent="0.2">
      <c r="A5888" t="s">
        <v>1357</v>
      </c>
      <c r="B5888" t="s">
        <v>1358</v>
      </c>
      <c r="C5888" t="s">
        <v>324</v>
      </c>
      <c r="D5888" t="e">
        <f>VLOOKUP(C5888,'lookup table'!$A$2:$B$19,2,FALSE)</f>
        <v>#N/A</v>
      </c>
      <c r="E5888" t="str">
        <f t="shared" si="91"/>
        <v/>
      </c>
    </row>
    <row r="5889" spans="1:5" x14ac:dyDescent="0.2">
      <c r="A5889" t="s">
        <v>1357</v>
      </c>
      <c r="B5889" t="s">
        <v>1358</v>
      </c>
      <c r="C5889" t="s">
        <v>325</v>
      </c>
      <c r="D5889" t="e">
        <f>VLOOKUP(C5889,'lookup table'!$A$2:$B$19,2,FALSE)</f>
        <v>#N/A</v>
      </c>
      <c r="E5889" t="str">
        <f t="shared" si="91"/>
        <v/>
      </c>
    </row>
    <row r="5890" spans="1:5" x14ac:dyDescent="0.2">
      <c r="A5890" t="s">
        <v>1357</v>
      </c>
      <c r="B5890" t="s">
        <v>1358</v>
      </c>
      <c r="C5890" t="s">
        <v>326</v>
      </c>
      <c r="D5890" t="e">
        <f>VLOOKUP(C5890,'lookup table'!$A$2:$B$19,2,FALSE)</f>
        <v>#N/A</v>
      </c>
      <c r="E5890" t="str">
        <f t="shared" si="91"/>
        <v/>
      </c>
    </row>
    <row r="5891" spans="1:5" x14ac:dyDescent="0.2">
      <c r="A5891" t="s">
        <v>1357</v>
      </c>
      <c r="B5891" t="s">
        <v>1358</v>
      </c>
      <c r="C5891" t="s">
        <v>327</v>
      </c>
      <c r="D5891" t="e">
        <f>VLOOKUP(C5891,'lookup table'!$A$2:$B$19,2,FALSE)</f>
        <v>#N/A</v>
      </c>
      <c r="E5891" t="str">
        <f t="shared" ref="E5891:E5954" si="92">IF(ISNA(D5891),"",IF(A5891="","",A5891) &amp; "|" &amp; D5891)</f>
        <v/>
      </c>
    </row>
    <row r="5892" spans="1:5" x14ac:dyDescent="0.2">
      <c r="A5892" t="s">
        <v>1357</v>
      </c>
      <c r="B5892" t="s">
        <v>1358</v>
      </c>
      <c r="C5892" t="s">
        <v>328</v>
      </c>
      <c r="D5892" t="e">
        <f>VLOOKUP(C5892,'lookup table'!$A$2:$B$19,2,FALSE)</f>
        <v>#N/A</v>
      </c>
      <c r="E5892" t="str">
        <f t="shared" si="92"/>
        <v/>
      </c>
    </row>
    <row r="5893" spans="1:5" x14ac:dyDescent="0.2">
      <c r="A5893" t="s">
        <v>1357</v>
      </c>
      <c r="B5893" t="s">
        <v>1358</v>
      </c>
      <c r="C5893" t="s">
        <v>329</v>
      </c>
      <c r="D5893" t="e">
        <f>VLOOKUP(C5893,'lookup table'!$A$2:$B$19,2,FALSE)</f>
        <v>#N/A</v>
      </c>
      <c r="E5893" t="str">
        <f t="shared" si="92"/>
        <v/>
      </c>
    </row>
    <row r="5894" spans="1:5" x14ac:dyDescent="0.2">
      <c r="A5894" t="s">
        <v>1357</v>
      </c>
      <c r="B5894" t="s">
        <v>1358</v>
      </c>
      <c r="C5894" t="s">
        <v>331</v>
      </c>
      <c r="D5894" t="str">
        <f>VLOOKUP(C5894,'lookup table'!$A$2:$B$19,2,FALSE)</f>
        <v>FS Item</v>
      </c>
      <c r="E5894" t="str">
        <f t="shared" si="92"/>
        <v>DR4TOM_00|FS Item</v>
      </c>
    </row>
    <row r="5895" spans="1:5" x14ac:dyDescent="0.2">
      <c r="A5895" t="s">
        <v>1357</v>
      </c>
      <c r="B5895" t="s">
        <v>1358</v>
      </c>
      <c r="C5895" t="s">
        <v>422</v>
      </c>
      <c r="D5895" t="e">
        <f>VLOOKUP(C5895,'lookup table'!$A$2:$B$19,2,FALSE)</f>
        <v>#N/A</v>
      </c>
      <c r="E5895" t="str">
        <f t="shared" si="92"/>
        <v/>
      </c>
    </row>
    <row r="5896" spans="1:5" x14ac:dyDescent="0.2">
      <c r="A5896" t="s">
        <v>1357</v>
      </c>
      <c r="B5896" t="s">
        <v>1358</v>
      </c>
      <c r="C5896" t="s">
        <v>423</v>
      </c>
      <c r="D5896" t="str">
        <f>VLOOKUP(C5896,'lookup table'!$A$2:$B$19,2,FALSE)</f>
        <v>ignore</v>
      </c>
      <c r="E5896" t="str">
        <f t="shared" si="92"/>
        <v>DR4TOM_00|ignore</v>
      </c>
    </row>
    <row r="5897" spans="1:5" x14ac:dyDescent="0.2">
      <c r="A5897" t="s">
        <v>1357</v>
      </c>
      <c r="B5897" t="s">
        <v>1358</v>
      </c>
      <c r="C5897" t="s">
        <v>424</v>
      </c>
      <c r="D5897" t="str">
        <f>VLOOKUP(C5897,'lookup table'!$A$2:$B$19,2,FALSE)</f>
        <v>GRC</v>
      </c>
      <c r="E5897" t="str">
        <f t="shared" si="92"/>
        <v>DR4TOM_00|GRC</v>
      </c>
    </row>
    <row r="5898" spans="1:5" x14ac:dyDescent="0.2">
      <c r="A5898" t="s">
        <v>1357</v>
      </c>
      <c r="B5898" t="s">
        <v>1358</v>
      </c>
      <c r="C5898" t="s">
        <v>425</v>
      </c>
      <c r="D5898" t="str">
        <f>VLOOKUP(C5898,'lookup table'!$A$2:$B$19,2,FALSE)</f>
        <v>Investee Segment</v>
      </c>
      <c r="E5898" t="str">
        <f t="shared" si="92"/>
        <v>DR4TOM_00|Investee Segment</v>
      </c>
    </row>
    <row r="5899" spans="1:5" x14ac:dyDescent="0.2">
      <c r="A5899" t="s">
        <v>1357</v>
      </c>
      <c r="B5899" t="s">
        <v>1358</v>
      </c>
      <c r="C5899" t="s">
        <v>426</v>
      </c>
      <c r="D5899" t="str">
        <f>VLOOKUP(C5899,'lookup table'!$A$2:$B$19,2,FALSE)</f>
        <v>Investee Unit</v>
      </c>
      <c r="E5899" t="str">
        <f t="shared" si="92"/>
        <v>DR4TOM_00|Investee Unit</v>
      </c>
    </row>
    <row r="5900" spans="1:5" x14ac:dyDescent="0.2">
      <c r="A5900" t="s">
        <v>1357</v>
      </c>
      <c r="B5900" t="s">
        <v>1358</v>
      </c>
      <c r="C5900" t="s">
        <v>428</v>
      </c>
      <c r="D5900" t="str">
        <f>VLOOKUP(C5900,'lookup table'!$A$2:$B$19,2,FALSE)</f>
        <v>LoB</v>
      </c>
      <c r="E5900" t="str">
        <f t="shared" si="92"/>
        <v>DR4TOM_00|LoB</v>
      </c>
    </row>
    <row r="5901" spans="1:5" x14ac:dyDescent="0.2">
      <c r="A5901" t="s">
        <v>1357</v>
      </c>
      <c r="B5901" t="s">
        <v>1358</v>
      </c>
      <c r="C5901" t="s">
        <v>436</v>
      </c>
      <c r="D5901" t="str">
        <f>VLOOKUP(C5901,'lookup table'!$A$2:$B$19,2,FALSE)</f>
        <v>MAT</v>
      </c>
      <c r="E5901" t="str">
        <f t="shared" si="92"/>
        <v>DR4TOM_00|MAT</v>
      </c>
    </row>
    <row r="5902" spans="1:5" x14ac:dyDescent="0.2">
      <c r="A5902" t="s">
        <v>1357</v>
      </c>
      <c r="B5902" t="s">
        <v>1358</v>
      </c>
      <c r="C5902" t="s">
        <v>438</v>
      </c>
      <c r="D5902" t="str">
        <f>VLOOKUP(C5902,'lookup table'!$A$2:$B$19,2,FALSE)</f>
        <v>ToM</v>
      </c>
      <c r="E5902" t="str">
        <f t="shared" si="92"/>
        <v>DR4TOM_00|ToM</v>
      </c>
    </row>
    <row r="5903" spans="1:5" x14ac:dyDescent="0.2">
      <c r="A5903" t="s">
        <v>1357</v>
      </c>
      <c r="B5903" t="s">
        <v>1358</v>
      </c>
      <c r="C5903" t="s">
        <v>441</v>
      </c>
      <c r="D5903" t="str">
        <f>VLOOKUP(C5903,'lookup table'!$A$2:$B$19,2,FALSE)</f>
        <v>Partner Segment</v>
      </c>
      <c r="E5903" t="str">
        <f t="shared" si="92"/>
        <v>DR4TOM_00|Partner Segment</v>
      </c>
    </row>
    <row r="5904" spans="1:5" x14ac:dyDescent="0.2">
      <c r="A5904" t="s">
        <v>1357</v>
      </c>
      <c r="B5904" t="s">
        <v>1358</v>
      </c>
      <c r="C5904" t="s">
        <v>442</v>
      </c>
      <c r="D5904" t="str">
        <f>VLOOKUP(C5904,'lookup table'!$A$2:$B$19,2,FALSE)</f>
        <v>Partner Unit</v>
      </c>
      <c r="E5904" t="str">
        <f t="shared" si="92"/>
        <v>DR4TOM_00|Partner Unit</v>
      </c>
    </row>
    <row r="5905" spans="1:5" x14ac:dyDescent="0.2">
      <c r="A5905" t="s">
        <v>1357</v>
      </c>
      <c r="B5905" t="s">
        <v>1358</v>
      </c>
      <c r="C5905" t="s">
        <v>447</v>
      </c>
      <c r="D5905" t="str">
        <f>VLOOKUP(C5905,'lookup table'!$A$2:$B$19,2,FALSE)</f>
        <v>REX</v>
      </c>
      <c r="E5905" t="str">
        <f t="shared" si="92"/>
        <v>DR4TOM_00|REX</v>
      </c>
    </row>
    <row r="5906" spans="1:5" x14ac:dyDescent="0.2">
      <c r="A5906" t="s">
        <v>1357</v>
      </c>
      <c r="B5906" t="s">
        <v>1358</v>
      </c>
      <c r="C5906" t="s">
        <v>448</v>
      </c>
      <c r="D5906" t="e">
        <f>VLOOKUP(C5906,'lookup table'!$A$2:$B$19,2,FALSE)</f>
        <v>#N/A</v>
      </c>
      <c r="E5906" t="str">
        <f t="shared" si="92"/>
        <v/>
      </c>
    </row>
    <row r="5907" spans="1:5" x14ac:dyDescent="0.2">
      <c r="A5907" t="s">
        <v>1357</v>
      </c>
      <c r="B5907" t="s">
        <v>1358</v>
      </c>
      <c r="C5907" t="s">
        <v>449</v>
      </c>
      <c r="D5907" t="e">
        <f>VLOOKUP(C5907,'lookup table'!$A$2:$B$19,2,FALSE)</f>
        <v>#N/A</v>
      </c>
      <c r="E5907" t="str">
        <f t="shared" si="92"/>
        <v/>
      </c>
    </row>
    <row r="5908" spans="1:5" x14ac:dyDescent="0.2">
      <c r="A5908" t="s">
        <v>1357</v>
      </c>
      <c r="B5908" t="s">
        <v>1358</v>
      </c>
      <c r="C5908" t="s">
        <v>451</v>
      </c>
      <c r="D5908" t="str">
        <f>VLOOKUP(C5908,'lookup table'!$A$2:$B$19,2,FALSE)</f>
        <v>Segment</v>
      </c>
      <c r="E5908" t="str">
        <f t="shared" si="92"/>
        <v>DR4TOM_00|Segment</v>
      </c>
    </row>
    <row r="5909" spans="1:5" x14ac:dyDescent="0.2">
      <c r="A5909" t="s">
        <v>1357</v>
      </c>
      <c r="B5909" t="s">
        <v>1358</v>
      </c>
      <c r="C5909" t="s">
        <v>455</v>
      </c>
      <c r="D5909" t="e">
        <f>VLOOKUP(C5909,'lookup table'!$A$2:$B$19,2,FALSE)</f>
        <v>#N/A</v>
      </c>
      <c r="E5909" t="str">
        <f t="shared" si="92"/>
        <v/>
      </c>
    </row>
    <row r="5910" spans="1:5" x14ac:dyDescent="0.2">
      <c r="A5910" t="s">
        <v>1357</v>
      </c>
      <c r="B5910" t="s">
        <v>1358</v>
      </c>
      <c r="C5910" t="s">
        <v>456</v>
      </c>
      <c r="D5910" t="e">
        <f>VLOOKUP(C5910,'lookup table'!$A$2:$B$19,2,FALSE)</f>
        <v>#N/A</v>
      </c>
      <c r="E5910" t="str">
        <f t="shared" si="92"/>
        <v/>
      </c>
    </row>
    <row r="5911" spans="1:5" x14ac:dyDescent="0.2">
      <c r="A5911" t="s">
        <v>1357</v>
      </c>
      <c r="B5911" t="s">
        <v>1358</v>
      </c>
      <c r="C5911" t="s">
        <v>457</v>
      </c>
      <c r="D5911" t="str">
        <f>VLOOKUP(C5911,'lookup table'!$A$2:$B$19,2,FALSE)</f>
        <v>VLT</v>
      </c>
      <c r="E5911" t="str">
        <f t="shared" si="92"/>
        <v>DR4TOM_00|VLT</v>
      </c>
    </row>
    <row r="5912" spans="1:5" x14ac:dyDescent="0.2">
      <c r="A5912" t="s">
        <v>1357</v>
      </c>
      <c r="B5912" t="s">
        <v>1358</v>
      </c>
      <c r="C5912" t="s">
        <v>458</v>
      </c>
      <c r="D5912" t="str">
        <f>VLOOKUP(C5912,'lookup table'!$A$2:$B$19,2,FALSE)</f>
        <v>VAR</v>
      </c>
      <c r="E5912" t="str">
        <f t="shared" si="92"/>
        <v>DR4TOM_00|VAR</v>
      </c>
    </row>
    <row r="5913" spans="1:5" x14ac:dyDescent="0.2">
      <c r="A5913" t="s">
        <v>1357</v>
      </c>
      <c r="B5913" t="s">
        <v>1358</v>
      </c>
      <c r="C5913" t="s">
        <v>459</v>
      </c>
      <c r="D5913" t="e">
        <f>VLOOKUP(C5913,'lookup table'!$A$2:$B$19,2,FALSE)</f>
        <v>#N/A</v>
      </c>
      <c r="E5913" t="str">
        <f t="shared" si="92"/>
        <v/>
      </c>
    </row>
    <row r="5914" spans="1:5" x14ac:dyDescent="0.2">
      <c r="A5914" t="s">
        <v>1357</v>
      </c>
      <c r="B5914" t="s">
        <v>1358</v>
      </c>
      <c r="C5914" t="s">
        <v>460</v>
      </c>
      <c r="D5914" t="e">
        <f>VLOOKUP(C5914,'lookup table'!$A$2:$B$19,2,FALSE)</f>
        <v>#N/A</v>
      </c>
      <c r="E5914" t="str">
        <f t="shared" si="92"/>
        <v/>
      </c>
    </row>
    <row r="5915" spans="1:5" x14ac:dyDescent="0.2">
      <c r="A5915" t="s">
        <v>1357</v>
      </c>
      <c r="B5915" t="s">
        <v>1358</v>
      </c>
      <c r="C5915" t="s">
        <v>461</v>
      </c>
      <c r="D5915" t="str">
        <f>VLOOKUP(C5915,'lookup table'!$A$2:$B$19,2,FALSE)</f>
        <v>Posting Level</v>
      </c>
      <c r="E5915" t="str">
        <f t="shared" si="92"/>
        <v>DR4TOM_00|Posting Level</v>
      </c>
    </row>
    <row r="5916" spans="1:5" x14ac:dyDescent="0.2">
      <c r="A5916" t="s">
        <v>1357</v>
      </c>
      <c r="B5916" t="s">
        <v>1358</v>
      </c>
      <c r="C5916" t="s">
        <v>462</v>
      </c>
      <c r="D5916" t="e">
        <f>VLOOKUP(C5916,'lookup table'!$A$2:$B$19,2,FALSE)</f>
        <v>#N/A</v>
      </c>
      <c r="E5916" t="str">
        <f t="shared" si="92"/>
        <v/>
      </c>
    </row>
    <row r="5917" spans="1:5" x14ac:dyDescent="0.2">
      <c r="A5917" t="s">
        <v>1357</v>
      </c>
      <c r="B5917" t="s">
        <v>1358</v>
      </c>
      <c r="C5917" t="s">
        <v>463</v>
      </c>
      <c r="D5917" t="e">
        <f>VLOOKUP(C5917,'lookup table'!$A$2:$B$19,2,FALSE)</f>
        <v>#N/A</v>
      </c>
      <c r="E5917" t="str">
        <f t="shared" si="92"/>
        <v/>
      </c>
    </row>
    <row r="5918" spans="1:5" x14ac:dyDescent="0.2">
      <c r="A5918" t="s">
        <v>1357</v>
      </c>
      <c r="B5918" t="s">
        <v>1358</v>
      </c>
      <c r="C5918" t="s">
        <v>464</v>
      </c>
      <c r="D5918" t="e">
        <f>VLOOKUP(C5918,'lookup table'!$A$2:$B$19,2,FALSE)</f>
        <v>#N/A</v>
      </c>
      <c r="E5918" t="str">
        <f t="shared" si="92"/>
        <v/>
      </c>
    </row>
    <row r="5919" spans="1:5" x14ac:dyDescent="0.2">
      <c r="A5919" t="s">
        <v>1357</v>
      </c>
      <c r="B5919" t="s">
        <v>1358</v>
      </c>
      <c r="C5919" t="s">
        <v>465</v>
      </c>
      <c r="D5919" t="e">
        <f>VLOOKUP(C5919,'lookup table'!$A$2:$B$19,2,FALSE)</f>
        <v>#N/A</v>
      </c>
      <c r="E5919" t="str">
        <f t="shared" si="92"/>
        <v/>
      </c>
    </row>
    <row r="5920" spans="1:5" x14ac:dyDescent="0.2">
      <c r="A5920" t="s">
        <v>1359</v>
      </c>
      <c r="B5920" t="s">
        <v>1360</v>
      </c>
      <c r="C5920" t="s">
        <v>2</v>
      </c>
      <c r="D5920" t="e">
        <f>VLOOKUP(C5920,'lookup table'!$A$2:$B$19,2,FALSE)</f>
        <v>#N/A</v>
      </c>
      <c r="E5920" t="str">
        <f t="shared" si="92"/>
        <v/>
      </c>
    </row>
    <row r="5921" spans="1:5" x14ac:dyDescent="0.2">
      <c r="A5921" t="s">
        <v>1359</v>
      </c>
      <c r="B5921" t="s">
        <v>1360</v>
      </c>
      <c r="C5921" t="s">
        <v>5</v>
      </c>
      <c r="D5921" t="e">
        <f>VLOOKUP(C5921,'lookup table'!$A$2:$B$19,2,FALSE)</f>
        <v>#N/A</v>
      </c>
      <c r="E5921" t="str">
        <f t="shared" si="92"/>
        <v/>
      </c>
    </row>
    <row r="5922" spans="1:5" x14ac:dyDescent="0.2">
      <c r="A5922" t="s">
        <v>1359</v>
      </c>
      <c r="B5922" t="s">
        <v>1360</v>
      </c>
      <c r="C5922" t="s">
        <v>6</v>
      </c>
      <c r="D5922" t="e">
        <f>VLOOKUP(C5922,'lookup table'!$A$2:$B$19,2,FALSE)</f>
        <v>#N/A</v>
      </c>
      <c r="E5922" t="str">
        <f t="shared" si="92"/>
        <v/>
      </c>
    </row>
    <row r="5923" spans="1:5" x14ac:dyDescent="0.2">
      <c r="A5923" t="s">
        <v>1359</v>
      </c>
      <c r="B5923" t="s">
        <v>1360</v>
      </c>
      <c r="C5923" t="s">
        <v>9</v>
      </c>
      <c r="D5923" t="e">
        <f>VLOOKUP(C5923,'lookup table'!$A$2:$B$19,2,FALSE)</f>
        <v>#N/A</v>
      </c>
      <c r="E5923" t="str">
        <f t="shared" si="92"/>
        <v/>
      </c>
    </row>
    <row r="5924" spans="1:5" x14ac:dyDescent="0.2">
      <c r="A5924" t="s">
        <v>1359</v>
      </c>
      <c r="B5924" t="s">
        <v>1360</v>
      </c>
      <c r="C5924" t="s">
        <v>10</v>
      </c>
      <c r="D5924" t="e">
        <f>VLOOKUP(C5924,'lookup table'!$A$2:$B$19,2,FALSE)</f>
        <v>#N/A</v>
      </c>
      <c r="E5924" t="str">
        <f t="shared" si="92"/>
        <v/>
      </c>
    </row>
    <row r="5925" spans="1:5" x14ac:dyDescent="0.2">
      <c r="A5925" t="s">
        <v>1359</v>
      </c>
      <c r="B5925" t="s">
        <v>1360</v>
      </c>
      <c r="C5925" t="s">
        <v>11</v>
      </c>
      <c r="D5925" t="e">
        <f>VLOOKUP(C5925,'lookup table'!$A$2:$B$19,2,FALSE)</f>
        <v>#N/A</v>
      </c>
      <c r="E5925" t="str">
        <f t="shared" si="92"/>
        <v/>
      </c>
    </row>
    <row r="5926" spans="1:5" x14ac:dyDescent="0.2">
      <c r="A5926" t="s">
        <v>1359</v>
      </c>
      <c r="B5926" t="s">
        <v>1360</v>
      </c>
      <c r="C5926" t="s">
        <v>12</v>
      </c>
      <c r="D5926" t="e">
        <f>VLOOKUP(C5926,'lookup table'!$A$2:$B$19,2,FALSE)</f>
        <v>#N/A</v>
      </c>
      <c r="E5926" t="str">
        <f t="shared" si="92"/>
        <v/>
      </c>
    </row>
    <row r="5927" spans="1:5" x14ac:dyDescent="0.2">
      <c r="A5927" t="s">
        <v>1359</v>
      </c>
      <c r="B5927" t="s">
        <v>1360</v>
      </c>
      <c r="C5927" t="s">
        <v>14</v>
      </c>
      <c r="D5927" t="str">
        <f>VLOOKUP(C5927,'lookup table'!$A$2:$B$19,2,FALSE)</f>
        <v>ALC</v>
      </c>
      <c r="E5927" t="str">
        <f t="shared" si="92"/>
        <v>DR4VAR_00|ALC</v>
      </c>
    </row>
    <row r="5928" spans="1:5" x14ac:dyDescent="0.2">
      <c r="A5928" t="s">
        <v>1359</v>
      </c>
      <c r="B5928" t="s">
        <v>1360</v>
      </c>
      <c r="C5928" t="s">
        <v>20</v>
      </c>
      <c r="D5928" t="str">
        <f>VLOOKUP(C5928,'lookup table'!$A$2:$B$19,2,FALSE)</f>
        <v>AY</v>
      </c>
      <c r="E5928" t="str">
        <f t="shared" si="92"/>
        <v>DR4VAR_00|AY</v>
      </c>
    </row>
    <row r="5929" spans="1:5" x14ac:dyDescent="0.2">
      <c r="A5929" t="s">
        <v>1359</v>
      </c>
      <c r="B5929" t="s">
        <v>1360</v>
      </c>
      <c r="C5929" t="s">
        <v>324</v>
      </c>
      <c r="D5929" t="e">
        <f>VLOOKUP(C5929,'lookup table'!$A$2:$B$19,2,FALSE)</f>
        <v>#N/A</v>
      </c>
      <c r="E5929" t="str">
        <f t="shared" si="92"/>
        <v/>
      </c>
    </row>
    <row r="5930" spans="1:5" x14ac:dyDescent="0.2">
      <c r="A5930" t="s">
        <v>1359</v>
      </c>
      <c r="B5930" t="s">
        <v>1360</v>
      </c>
      <c r="C5930" t="s">
        <v>325</v>
      </c>
      <c r="D5930" t="e">
        <f>VLOOKUP(C5930,'lookup table'!$A$2:$B$19,2,FALSE)</f>
        <v>#N/A</v>
      </c>
      <c r="E5930" t="str">
        <f t="shared" si="92"/>
        <v/>
      </c>
    </row>
    <row r="5931" spans="1:5" x14ac:dyDescent="0.2">
      <c r="A5931" t="s">
        <v>1359</v>
      </c>
      <c r="B5931" t="s">
        <v>1360</v>
      </c>
      <c r="C5931" t="s">
        <v>326</v>
      </c>
      <c r="D5931" t="e">
        <f>VLOOKUP(C5931,'lookup table'!$A$2:$B$19,2,FALSE)</f>
        <v>#N/A</v>
      </c>
      <c r="E5931" t="str">
        <f t="shared" si="92"/>
        <v/>
      </c>
    </row>
    <row r="5932" spans="1:5" x14ac:dyDescent="0.2">
      <c r="A5932" t="s">
        <v>1359</v>
      </c>
      <c r="B5932" t="s">
        <v>1360</v>
      </c>
      <c r="C5932" t="s">
        <v>327</v>
      </c>
      <c r="D5932" t="e">
        <f>VLOOKUP(C5932,'lookup table'!$A$2:$B$19,2,FALSE)</f>
        <v>#N/A</v>
      </c>
      <c r="E5932" t="str">
        <f t="shared" si="92"/>
        <v/>
      </c>
    </row>
    <row r="5933" spans="1:5" x14ac:dyDescent="0.2">
      <c r="A5933" t="s">
        <v>1359</v>
      </c>
      <c r="B5933" t="s">
        <v>1360</v>
      </c>
      <c r="C5933" t="s">
        <v>328</v>
      </c>
      <c r="D5933" t="e">
        <f>VLOOKUP(C5933,'lookup table'!$A$2:$B$19,2,FALSE)</f>
        <v>#N/A</v>
      </c>
      <c r="E5933" t="str">
        <f t="shared" si="92"/>
        <v/>
      </c>
    </row>
    <row r="5934" spans="1:5" x14ac:dyDescent="0.2">
      <c r="A5934" t="s">
        <v>1359</v>
      </c>
      <c r="B5934" t="s">
        <v>1360</v>
      </c>
      <c r="C5934" t="s">
        <v>329</v>
      </c>
      <c r="D5934" t="e">
        <f>VLOOKUP(C5934,'lookup table'!$A$2:$B$19,2,FALSE)</f>
        <v>#N/A</v>
      </c>
      <c r="E5934" t="str">
        <f t="shared" si="92"/>
        <v/>
      </c>
    </row>
    <row r="5935" spans="1:5" x14ac:dyDescent="0.2">
      <c r="A5935" t="s">
        <v>1359</v>
      </c>
      <c r="B5935" t="s">
        <v>1360</v>
      </c>
      <c r="C5935" t="s">
        <v>331</v>
      </c>
      <c r="D5935" t="str">
        <f>VLOOKUP(C5935,'lookup table'!$A$2:$B$19,2,FALSE)</f>
        <v>FS Item</v>
      </c>
      <c r="E5935" t="str">
        <f t="shared" si="92"/>
        <v>DR4VAR_00|FS Item</v>
      </c>
    </row>
    <row r="5936" spans="1:5" x14ac:dyDescent="0.2">
      <c r="A5936" t="s">
        <v>1359</v>
      </c>
      <c r="B5936" t="s">
        <v>1360</v>
      </c>
      <c r="C5936" t="s">
        <v>422</v>
      </c>
      <c r="D5936" t="e">
        <f>VLOOKUP(C5936,'lookup table'!$A$2:$B$19,2,FALSE)</f>
        <v>#N/A</v>
      </c>
      <c r="E5936" t="str">
        <f t="shared" si="92"/>
        <v/>
      </c>
    </row>
    <row r="5937" spans="1:5" x14ac:dyDescent="0.2">
      <c r="A5937" t="s">
        <v>1359</v>
      </c>
      <c r="B5937" t="s">
        <v>1360</v>
      </c>
      <c r="C5937" t="s">
        <v>423</v>
      </c>
      <c r="D5937" t="str">
        <f>VLOOKUP(C5937,'lookup table'!$A$2:$B$19,2,FALSE)</f>
        <v>ignore</v>
      </c>
      <c r="E5937" t="str">
        <f t="shared" si="92"/>
        <v>DR4VAR_00|ignore</v>
      </c>
    </row>
    <row r="5938" spans="1:5" x14ac:dyDescent="0.2">
      <c r="A5938" t="s">
        <v>1359</v>
      </c>
      <c r="B5938" t="s">
        <v>1360</v>
      </c>
      <c r="C5938" t="s">
        <v>424</v>
      </c>
      <c r="D5938" t="str">
        <f>VLOOKUP(C5938,'lookup table'!$A$2:$B$19,2,FALSE)</f>
        <v>GRC</v>
      </c>
      <c r="E5938" t="str">
        <f t="shared" si="92"/>
        <v>DR4VAR_00|GRC</v>
      </c>
    </row>
    <row r="5939" spans="1:5" x14ac:dyDescent="0.2">
      <c r="A5939" t="s">
        <v>1359</v>
      </c>
      <c r="B5939" t="s">
        <v>1360</v>
      </c>
      <c r="C5939" t="s">
        <v>425</v>
      </c>
      <c r="D5939" t="str">
        <f>VLOOKUP(C5939,'lookup table'!$A$2:$B$19,2,FALSE)</f>
        <v>Investee Segment</v>
      </c>
      <c r="E5939" t="str">
        <f t="shared" si="92"/>
        <v>DR4VAR_00|Investee Segment</v>
      </c>
    </row>
    <row r="5940" spans="1:5" x14ac:dyDescent="0.2">
      <c r="A5940" t="s">
        <v>1359</v>
      </c>
      <c r="B5940" t="s">
        <v>1360</v>
      </c>
      <c r="C5940" t="s">
        <v>426</v>
      </c>
      <c r="D5940" t="str">
        <f>VLOOKUP(C5940,'lookup table'!$A$2:$B$19,2,FALSE)</f>
        <v>Investee Unit</v>
      </c>
      <c r="E5940" t="str">
        <f t="shared" si="92"/>
        <v>DR4VAR_00|Investee Unit</v>
      </c>
    </row>
    <row r="5941" spans="1:5" x14ac:dyDescent="0.2">
      <c r="A5941" t="s">
        <v>1359</v>
      </c>
      <c r="B5941" t="s">
        <v>1360</v>
      </c>
      <c r="C5941" t="s">
        <v>428</v>
      </c>
      <c r="D5941" t="str">
        <f>VLOOKUP(C5941,'lookup table'!$A$2:$B$19,2,FALSE)</f>
        <v>LoB</v>
      </c>
      <c r="E5941" t="str">
        <f t="shared" si="92"/>
        <v>DR4VAR_00|LoB</v>
      </c>
    </row>
    <row r="5942" spans="1:5" x14ac:dyDescent="0.2">
      <c r="A5942" t="s">
        <v>1359</v>
      </c>
      <c r="B5942" t="s">
        <v>1360</v>
      </c>
      <c r="C5942" t="s">
        <v>436</v>
      </c>
      <c r="D5942" t="str">
        <f>VLOOKUP(C5942,'lookup table'!$A$2:$B$19,2,FALSE)</f>
        <v>MAT</v>
      </c>
      <c r="E5942" t="str">
        <f t="shared" si="92"/>
        <v>DR4VAR_00|MAT</v>
      </c>
    </row>
    <row r="5943" spans="1:5" x14ac:dyDescent="0.2">
      <c r="A5943" t="s">
        <v>1359</v>
      </c>
      <c r="B5943" t="s">
        <v>1360</v>
      </c>
      <c r="C5943" t="s">
        <v>438</v>
      </c>
      <c r="D5943" t="str">
        <f>VLOOKUP(C5943,'lookup table'!$A$2:$B$19,2,FALSE)</f>
        <v>ToM</v>
      </c>
      <c r="E5943" t="str">
        <f t="shared" si="92"/>
        <v>DR4VAR_00|ToM</v>
      </c>
    </row>
    <row r="5944" spans="1:5" x14ac:dyDescent="0.2">
      <c r="A5944" t="s">
        <v>1359</v>
      </c>
      <c r="B5944" t="s">
        <v>1360</v>
      </c>
      <c r="C5944" t="s">
        <v>441</v>
      </c>
      <c r="D5944" t="str">
        <f>VLOOKUP(C5944,'lookup table'!$A$2:$B$19,2,FALSE)</f>
        <v>Partner Segment</v>
      </c>
      <c r="E5944" t="str">
        <f t="shared" si="92"/>
        <v>DR4VAR_00|Partner Segment</v>
      </c>
    </row>
    <row r="5945" spans="1:5" x14ac:dyDescent="0.2">
      <c r="A5945" t="s">
        <v>1359</v>
      </c>
      <c r="B5945" t="s">
        <v>1360</v>
      </c>
      <c r="C5945" t="s">
        <v>442</v>
      </c>
      <c r="D5945" t="str">
        <f>VLOOKUP(C5945,'lookup table'!$A$2:$B$19,2,FALSE)</f>
        <v>Partner Unit</v>
      </c>
      <c r="E5945" t="str">
        <f t="shared" si="92"/>
        <v>DR4VAR_00|Partner Unit</v>
      </c>
    </row>
    <row r="5946" spans="1:5" x14ac:dyDescent="0.2">
      <c r="A5946" t="s">
        <v>1359</v>
      </c>
      <c r="B5946" t="s">
        <v>1360</v>
      </c>
      <c r="C5946" t="s">
        <v>447</v>
      </c>
      <c r="D5946" t="str">
        <f>VLOOKUP(C5946,'lookup table'!$A$2:$B$19,2,FALSE)</f>
        <v>REX</v>
      </c>
      <c r="E5946" t="str">
        <f t="shared" si="92"/>
        <v>DR4VAR_00|REX</v>
      </c>
    </row>
    <row r="5947" spans="1:5" x14ac:dyDescent="0.2">
      <c r="A5947" t="s">
        <v>1359</v>
      </c>
      <c r="B5947" t="s">
        <v>1360</v>
      </c>
      <c r="C5947" t="s">
        <v>448</v>
      </c>
      <c r="D5947" t="e">
        <f>VLOOKUP(C5947,'lookup table'!$A$2:$B$19,2,FALSE)</f>
        <v>#N/A</v>
      </c>
      <c r="E5947" t="str">
        <f t="shared" si="92"/>
        <v/>
      </c>
    </row>
    <row r="5948" spans="1:5" x14ac:dyDescent="0.2">
      <c r="A5948" t="s">
        <v>1359</v>
      </c>
      <c r="B5948" t="s">
        <v>1360</v>
      </c>
      <c r="C5948" t="s">
        <v>449</v>
      </c>
      <c r="D5948" t="e">
        <f>VLOOKUP(C5948,'lookup table'!$A$2:$B$19,2,FALSE)</f>
        <v>#N/A</v>
      </c>
      <c r="E5948" t="str">
        <f t="shared" si="92"/>
        <v/>
      </c>
    </row>
    <row r="5949" spans="1:5" x14ac:dyDescent="0.2">
      <c r="A5949" t="s">
        <v>1359</v>
      </c>
      <c r="B5949" t="s">
        <v>1360</v>
      </c>
      <c r="C5949" t="s">
        <v>451</v>
      </c>
      <c r="D5949" t="str">
        <f>VLOOKUP(C5949,'lookup table'!$A$2:$B$19,2,FALSE)</f>
        <v>Segment</v>
      </c>
      <c r="E5949" t="str">
        <f t="shared" si="92"/>
        <v>DR4VAR_00|Segment</v>
      </c>
    </row>
    <row r="5950" spans="1:5" x14ac:dyDescent="0.2">
      <c r="A5950" t="s">
        <v>1359</v>
      </c>
      <c r="B5950" t="s">
        <v>1360</v>
      </c>
      <c r="C5950" t="s">
        <v>455</v>
      </c>
      <c r="D5950" t="e">
        <f>VLOOKUP(C5950,'lookup table'!$A$2:$B$19,2,FALSE)</f>
        <v>#N/A</v>
      </c>
      <c r="E5950" t="str">
        <f t="shared" si="92"/>
        <v/>
      </c>
    </row>
    <row r="5951" spans="1:5" x14ac:dyDescent="0.2">
      <c r="A5951" t="s">
        <v>1359</v>
      </c>
      <c r="B5951" t="s">
        <v>1360</v>
      </c>
      <c r="C5951" t="s">
        <v>456</v>
      </c>
      <c r="D5951" t="e">
        <f>VLOOKUP(C5951,'lookup table'!$A$2:$B$19,2,FALSE)</f>
        <v>#N/A</v>
      </c>
      <c r="E5951" t="str">
        <f t="shared" si="92"/>
        <v/>
      </c>
    </row>
    <row r="5952" spans="1:5" x14ac:dyDescent="0.2">
      <c r="A5952" t="s">
        <v>1359</v>
      </c>
      <c r="B5952" t="s">
        <v>1360</v>
      </c>
      <c r="C5952" t="s">
        <v>457</v>
      </c>
      <c r="D5952" t="str">
        <f>VLOOKUP(C5952,'lookup table'!$A$2:$B$19,2,FALSE)</f>
        <v>VLT</v>
      </c>
      <c r="E5952" t="str">
        <f t="shared" si="92"/>
        <v>DR4VAR_00|VLT</v>
      </c>
    </row>
    <row r="5953" spans="1:5" x14ac:dyDescent="0.2">
      <c r="A5953" t="s">
        <v>1359</v>
      </c>
      <c r="B5953" t="s">
        <v>1360</v>
      </c>
      <c r="C5953" t="s">
        <v>458</v>
      </c>
      <c r="D5953" t="str">
        <f>VLOOKUP(C5953,'lookup table'!$A$2:$B$19,2,FALSE)</f>
        <v>VAR</v>
      </c>
      <c r="E5953" t="str">
        <f t="shared" si="92"/>
        <v>DR4VAR_00|VAR</v>
      </c>
    </row>
    <row r="5954" spans="1:5" x14ac:dyDescent="0.2">
      <c r="A5954" t="s">
        <v>1359</v>
      </c>
      <c r="B5954" t="s">
        <v>1360</v>
      </c>
      <c r="C5954" t="s">
        <v>459</v>
      </c>
      <c r="D5954" t="e">
        <f>VLOOKUP(C5954,'lookup table'!$A$2:$B$19,2,FALSE)</f>
        <v>#N/A</v>
      </c>
      <c r="E5954" t="str">
        <f t="shared" si="92"/>
        <v/>
      </c>
    </row>
    <row r="5955" spans="1:5" x14ac:dyDescent="0.2">
      <c r="A5955" t="s">
        <v>1359</v>
      </c>
      <c r="B5955" t="s">
        <v>1360</v>
      </c>
      <c r="C5955" t="s">
        <v>460</v>
      </c>
      <c r="D5955" t="e">
        <f>VLOOKUP(C5955,'lookup table'!$A$2:$B$19,2,FALSE)</f>
        <v>#N/A</v>
      </c>
      <c r="E5955" t="str">
        <f t="shared" ref="E5955:E6018" si="93">IF(ISNA(D5955),"",IF(A5955="","",A5955) &amp; "|" &amp; D5955)</f>
        <v/>
      </c>
    </row>
    <row r="5956" spans="1:5" x14ac:dyDescent="0.2">
      <c r="A5956" t="s">
        <v>1359</v>
      </c>
      <c r="B5956" t="s">
        <v>1360</v>
      </c>
      <c r="C5956" t="s">
        <v>461</v>
      </c>
      <c r="D5956" t="str">
        <f>VLOOKUP(C5956,'lookup table'!$A$2:$B$19,2,FALSE)</f>
        <v>Posting Level</v>
      </c>
      <c r="E5956" t="str">
        <f t="shared" si="93"/>
        <v>DR4VAR_00|Posting Level</v>
      </c>
    </row>
    <row r="5957" spans="1:5" x14ac:dyDescent="0.2">
      <c r="A5957" t="s">
        <v>1359</v>
      </c>
      <c r="B5957" t="s">
        <v>1360</v>
      </c>
      <c r="C5957" t="s">
        <v>462</v>
      </c>
      <c r="D5957" t="e">
        <f>VLOOKUP(C5957,'lookup table'!$A$2:$B$19,2,FALSE)</f>
        <v>#N/A</v>
      </c>
      <c r="E5957" t="str">
        <f t="shared" si="93"/>
        <v/>
      </c>
    </row>
    <row r="5958" spans="1:5" x14ac:dyDescent="0.2">
      <c r="A5958" t="s">
        <v>1359</v>
      </c>
      <c r="B5958" t="s">
        <v>1360</v>
      </c>
      <c r="C5958" t="s">
        <v>463</v>
      </c>
      <c r="D5958" t="e">
        <f>VLOOKUP(C5958,'lookup table'!$A$2:$B$19,2,FALSE)</f>
        <v>#N/A</v>
      </c>
      <c r="E5958" t="str">
        <f t="shared" si="93"/>
        <v/>
      </c>
    </row>
    <row r="5959" spans="1:5" x14ac:dyDescent="0.2">
      <c r="A5959" t="s">
        <v>1359</v>
      </c>
      <c r="B5959" t="s">
        <v>1360</v>
      </c>
      <c r="C5959" t="s">
        <v>464</v>
      </c>
      <c r="D5959" t="e">
        <f>VLOOKUP(C5959,'lookup table'!$A$2:$B$19,2,FALSE)</f>
        <v>#N/A</v>
      </c>
      <c r="E5959" t="str">
        <f t="shared" si="93"/>
        <v/>
      </c>
    </row>
    <row r="5960" spans="1:5" x14ac:dyDescent="0.2">
      <c r="A5960" t="s">
        <v>1359</v>
      </c>
      <c r="B5960" t="s">
        <v>1360</v>
      </c>
      <c r="C5960" t="s">
        <v>465</v>
      </c>
      <c r="D5960" t="e">
        <f>VLOOKUP(C5960,'lookup table'!$A$2:$B$19,2,FALSE)</f>
        <v>#N/A</v>
      </c>
      <c r="E5960" t="str">
        <f t="shared" si="93"/>
        <v/>
      </c>
    </row>
    <row r="5961" spans="1:5" x14ac:dyDescent="0.2">
      <c r="A5961" t="s">
        <v>1361</v>
      </c>
      <c r="B5961" t="s">
        <v>1362</v>
      </c>
      <c r="C5961" t="s">
        <v>2</v>
      </c>
      <c r="D5961" t="e">
        <f>VLOOKUP(C5961,'lookup table'!$A$2:$B$19,2,FALSE)</f>
        <v>#N/A</v>
      </c>
      <c r="E5961" t="str">
        <f t="shared" si="93"/>
        <v/>
      </c>
    </row>
    <row r="5962" spans="1:5" x14ac:dyDescent="0.2">
      <c r="A5962" t="s">
        <v>1361</v>
      </c>
      <c r="B5962" t="s">
        <v>1362</v>
      </c>
      <c r="C5962" t="s">
        <v>5</v>
      </c>
      <c r="D5962" t="e">
        <f>VLOOKUP(C5962,'lookup table'!$A$2:$B$19,2,FALSE)</f>
        <v>#N/A</v>
      </c>
      <c r="E5962" t="str">
        <f t="shared" si="93"/>
        <v/>
      </c>
    </row>
    <row r="5963" spans="1:5" x14ac:dyDescent="0.2">
      <c r="A5963" t="s">
        <v>1361</v>
      </c>
      <c r="B5963" t="s">
        <v>1362</v>
      </c>
      <c r="C5963" t="s">
        <v>6</v>
      </c>
      <c r="D5963" t="e">
        <f>VLOOKUP(C5963,'lookup table'!$A$2:$B$19,2,FALSE)</f>
        <v>#N/A</v>
      </c>
      <c r="E5963" t="str">
        <f t="shared" si="93"/>
        <v/>
      </c>
    </row>
    <row r="5964" spans="1:5" x14ac:dyDescent="0.2">
      <c r="A5964" t="s">
        <v>1361</v>
      </c>
      <c r="B5964" t="s">
        <v>1362</v>
      </c>
      <c r="C5964" t="s">
        <v>9</v>
      </c>
      <c r="D5964" t="e">
        <f>VLOOKUP(C5964,'lookup table'!$A$2:$B$19,2,FALSE)</f>
        <v>#N/A</v>
      </c>
      <c r="E5964" t="str">
        <f t="shared" si="93"/>
        <v/>
      </c>
    </row>
    <row r="5965" spans="1:5" x14ac:dyDescent="0.2">
      <c r="A5965" t="s">
        <v>1361</v>
      </c>
      <c r="B5965" t="s">
        <v>1362</v>
      </c>
      <c r="C5965" t="s">
        <v>10</v>
      </c>
      <c r="D5965" t="e">
        <f>VLOOKUP(C5965,'lookup table'!$A$2:$B$19,2,FALSE)</f>
        <v>#N/A</v>
      </c>
      <c r="E5965" t="str">
        <f t="shared" si="93"/>
        <v/>
      </c>
    </row>
    <row r="5966" spans="1:5" x14ac:dyDescent="0.2">
      <c r="A5966" t="s">
        <v>1361</v>
      </c>
      <c r="B5966" t="s">
        <v>1362</v>
      </c>
      <c r="C5966" t="s">
        <v>11</v>
      </c>
      <c r="D5966" t="e">
        <f>VLOOKUP(C5966,'lookup table'!$A$2:$B$19,2,FALSE)</f>
        <v>#N/A</v>
      </c>
      <c r="E5966" t="str">
        <f t="shared" si="93"/>
        <v/>
      </c>
    </row>
    <row r="5967" spans="1:5" x14ac:dyDescent="0.2">
      <c r="A5967" t="s">
        <v>1361</v>
      </c>
      <c r="B5967" t="s">
        <v>1362</v>
      </c>
      <c r="C5967" t="s">
        <v>12</v>
      </c>
      <c r="D5967" t="e">
        <f>VLOOKUP(C5967,'lookup table'!$A$2:$B$19,2,FALSE)</f>
        <v>#N/A</v>
      </c>
      <c r="E5967" t="str">
        <f t="shared" si="93"/>
        <v/>
      </c>
    </row>
    <row r="5968" spans="1:5" x14ac:dyDescent="0.2">
      <c r="A5968" t="s">
        <v>1361</v>
      </c>
      <c r="B5968" t="s">
        <v>1362</v>
      </c>
      <c r="C5968" t="s">
        <v>14</v>
      </c>
      <c r="D5968" t="str">
        <f>VLOOKUP(C5968,'lookup table'!$A$2:$B$19,2,FALSE)</f>
        <v>ALC</v>
      </c>
      <c r="E5968" t="str">
        <f t="shared" si="93"/>
        <v>DR5ACY_00|ALC</v>
      </c>
    </row>
    <row r="5969" spans="1:5" x14ac:dyDescent="0.2">
      <c r="A5969" t="s">
        <v>1361</v>
      </c>
      <c r="B5969" t="s">
        <v>1362</v>
      </c>
      <c r="C5969" t="s">
        <v>20</v>
      </c>
      <c r="D5969" t="str">
        <f>VLOOKUP(C5969,'lookup table'!$A$2:$B$19,2,FALSE)</f>
        <v>AY</v>
      </c>
      <c r="E5969" t="str">
        <f t="shared" si="93"/>
        <v>DR5ACY_00|AY</v>
      </c>
    </row>
    <row r="5970" spans="1:5" x14ac:dyDescent="0.2">
      <c r="A5970" t="s">
        <v>1361</v>
      </c>
      <c r="B5970" t="s">
        <v>1362</v>
      </c>
      <c r="C5970" t="s">
        <v>324</v>
      </c>
      <c r="D5970" t="e">
        <f>VLOOKUP(C5970,'lookup table'!$A$2:$B$19,2,FALSE)</f>
        <v>#N/A</v>
      </c>
      <c r="E5970" t="str">
        <f t="shared" si="93"/>
        <v/>
      </c>
    </row>
    <row r="5971" spans="1:5" x14ac:dyDescent="0.2">
      <c r="A5971" t="s">
        <v>1361</v>
      </c>
      <c r="B5971" t="s">
        <v>1362</v>
      </c>
      <c r="C5971" t="s">
        <v>325</v>
      </c>
      <c r="D5971" t="e">
        <f>VLOOKUP(C5971,'lookup table'!$A$2:$B$19,2,FALSE)</f>
        <v>#N/A</v>
      </c>
      <c r="E5971" t="str">
        <f t="shared" si="93"/>
        <v/>
      </c>
    </row>
    <row r="5972" spans="1:5" x14ac:dyDescent="0.2">
      <c r="A5972" t="s">
        <v>1361</v>
      </c>
      <c r="B5972" t="s">
        <v>1362</v>
      </c>
      <c r="C5972" t="s">
        <v>326</v>
      </c>
      <c r="D5972" t="e">
        <f>VLOOKUP(C5972,'lookup table'!$A$2:$B$19,2,FALSE)</f>
        <v>#N/A</v>
      </c>
      <c r="E5972" t="str">
        <f t="shared" si="93"/>
        <v/>
      </c>
    </row>
    <row r="5973" spans="1:5" x14ac:dyDescent="0.2">
      <c r="A5973" t="s">
        <v>1361</v>
      </c>
      <c r="B5973" t="s">
        <v>1362</v>
      </c>
      <c r="C5973" t="s">
        <v>327</v>
      </c>
      <c r="D5973" t="e">
        <f>VLOOKUP(C5973,'lookup table'!$A$2:$B$19,2,FALSE)</f>
        <v>#N/A</v>
      </c>
      <c r="E5973" t="str">
        <f t="shared" si="93"/>
        <v/>
      </c>
    </row>
    <row r="5974" spans="1:5" x14ac:dyDescent="0.2">
      <c r="A5974" t="s">
        <v>1361</v>
      </c>
      <c r="B5974" t="s">
        <v>1362</v>
      </c>
      <c r="C5974" t="s">
        <v>328</v>
      </c>
      <c r="D5974" t="e">
        <f>VLOOKUP(C5974,'lookup table'!$A$2:$B$19,2,FALSE)</f>
        <v>#N/A</v>
      </c>
      <c r="E5974" t="str">
        <f t="shared" si="93"/>
        <v/>
      </c>
    </row>
    <row r="5975" spans="1:5" x14ac:dyDescent="0.2">
      <c r="A5975" t="s">
        <v>1361</v>
      </c>
      <c r="B5975" t="s">
        <v>1362</v>
      </c>
      <c r="C5975" t="s">
        <v>329</v>
      </c>
      <c r="D5975" t="e">
        <f>VLOOKUP(C5975,'lookup table'!$A$2:$B$19,2,FALSE)</f>
        <v>#N/A</v>
      </c>
      <c r="E5975" t="str">
        <f t="shared" si="93"/>
        <v/>
      </c>
    </row>
    <row r="5976" spans="1:5" x14ac:dyDescent="0.2">
      <c r="A5976" t="s">
        <v>1361</v>
      </c>
      <c r="B5976" t="s">
        <v>1362</v>
      </c>
      <c r="C5976" t="s">
        <v>331</v>
      </c>
      <c r="D5976" t="str">
        <f>VLOOKUP(C5976,'lookup table'!$A$2:$B$19,2,FALSE)</f>
        <v>FS Item</v>
      </c>
      <c r="E5976" t="str">
        <f t="shared" si="93"/>
        <v>DR5ACY_00|FS Item</v>
      </c>
    </row>
    <row r="5977" spans="1:5" x14ac:dyDescent="0.2">
      <c r="A5977" t="s">
        <v>1361</v>
      </c>
      <c r="B5977" t="s">
        <v>1362</v>
      </c>
      <c r="C5977" t="s">
        <v>422</v>
      </c>
      <c r="D5977" t="e">
        <f>VLOOKUP(C5977,'lookup table'!$A$2:$B$19,2,FALSE)</f>
        <v>#N/A</v>
      </c>
      <c r="E5977" t="str">
        <f t="shared" si="93"/>
        <v/>
      </c>
    </row>
    <row r="5978" spans="1:5" x14ac:dyDescent="0.2">
      <c r="A5978" t="s">
        <v>1361</v>
      </c>
      <c r="B5978" t="s">
        <v>1362</v>
      </c>
      <c r="C5978" t="s">
        <v>423</v>
      </c>
      <c r="D5978" t="str">
        <f>VLOOKUP(C5978,'lookup table'!$A$2:$B$19,2,FALSE)</f>
        <v>ignore</v>
      </c>
      <c r="E5978" t="str">
        <f t="shared" si="93"/>
        <v>DR5ACY_00|ignore</v>
      </c>
    </row>
    <row r="5979" spans="1:5" x14ac:dyDescent="0.2">
      <c r="A5979" t="s">
        <v>1361</v>
      </c>
      <c r="B5979" t="s">
        <v>1362</v>
      </c>
      <c r="C5979" t="s">
        <v>424</v>
      </c>
      <c r="D5979" t="str">
        <f>VLOOKUP(C5979,'lookup table'!$A$2:$B$19,2,FALSE)</f>
        <v>GRC</v>
      </c>
      <c r="E5979" t="str">
        <f t="shared" si="93"/>
        <v>DR5ACY_00|GRC</v>
      </c>
    </row>
    <row r="5980" spans="1:5" x14ac:dyDescent="0.2">
      <c r="A5980" t="s">
        <v>1361</v>
      </c>
      <c r="B5980" t="s">
        <v>1362</v>
      </c>
      <c r="C5980" t="s">
        <v>425</v>
      </c>
      <c r="D5980" t="str">
        <f>VLOOKUP(C5980,'lookup table'!$A$2:$B$19,2,FALSE)</f>
        <v>Investee Segment</v>
      </c>
      <c r="E5980" t="str">
        <f t="shared" si="93"/>
        <v>DR5ACY_00|Investee Segment</v>
      </c>
    </row>
    <row r="5981" spans="1:5" x14ac:dyDescent="0.2">
      <c r="A5981" t="s">
        <v>1361</v>
      </c>
      <c r="B5981" t="s">
        <v>1362</v>
      </c>
      <c r="C5981" t="s">
        <v>426</v>
      </c>
      <c r="D5981" t="str">
        <f>VLOOKUP(C5981,'lookup table'!$A$2:$B$19,2,FALSE)</f>
        <v>Investee Unit</v>
      </c>
      <c r="E5981" t="str">
        <f t="shared" si="93"/>
        <v>DR5ACY_00|Investee Unit</v>
      </c>
    </row>
    <row r="5982" spans="1:5" x14ac:dyDescent="0.2">
      <c r="A5982" t="s">
        <v>1361</v>
      </c>
      <c r="B5982" t="s">
        <v>1362</v>
      </c>
      <c r="C5982" t="s">
        <v>428</v>
      </c>
      <c r="D5982" t="str">
        <f>VLOOKUP(C5982,'lookup table'!$A$2:$B$19,2,FALSE)</f>
        <v>LoB</v>
      </c>
      <c r="E5982" t="str">
        <f t="shared" si="93"/>
        <v>DR5ACY_00|LoB</v>
      </c>
    </row>
    <row r="5983" spans="1:5" x14ac:dyDescent="0.2">
      <c r="A5983" t="s">
        <v>1361</v>
      </c>
      <c r="B5983" t="s">
        <v>1362</v>
      </c>
      <c r="C5983" t="s">
        <v>436</v>
      </c>
      <c r="D5983" t="str">
        <f>VLOOKUP(C5983,'lookup table'!$A$2:$B$19,2,FALSE)</f>
        <v>MAT</v>
      </c>
      <c r="E5983" t="str">
        <f t="shared" si="93"/>
        <v>DR5ACY_00|MAT</v>
      </c>
    </row>
    <row r="5984" spans="1:5" x14ac:dyDescent="0.2">
      <c r="A5984" t="s">
        <v>1361</v>
      </c>
      <c r="B5984" t="s">
        <v>1362</v>
      </c>
      <c r="C5984" t="s">
        <v>441</v>
      </c>
      <c r="D5984" t="str">
        <f>VLOOKUP(C5984,'lookup table'!$A$2:$B$19,2,FALSE)</f>
        <v>Partner Segment</v>
      </c>
      <c r="E5984" t="str">
        <f t="shared" si="93"/>
        <v>DR5ACY_00|Partner Segment</v>
      </c>
    </row>
    <row r="5985" spans="1:5" x14ac:dyDescent="0.2">
      <c r="A5985" t="s">
        <v>1361</v>
      </c>
      <c r="B5985" t="s">
        <v>1362</v>
      </c>
      <c r="C5985" t="s">
        <v>442</v>
      </c>
      <c r="D5985" t="str">
        <f>VLOOKUP(C5985,'lookup table'!$A$2:$B$19,2,FALSE)</f>
        <v>Partner Unit</v>
      </c>
      <c r="E5985" t="str">
        <f t="shared" si="93"/>
        <v>DR5ACY_00|Partner Unit</v>
      </c>
    </row>
    <row r="5986" spans="1:5" x14ac:dyDescent="0.2">
      <c r="A5986" t="s">
        <v>1361</v>
      </c>
      <c r="B5986" t="s">
        <v>1362</v>
      </c>
      <c r="C5986" t="s">
        <v>447</v>
      </c>
      <c r="D5986" t="str">
        <f>VLOOKUP(C5986,'lookup table'!$A$2:$B$19,2,FALSE)</f>
        <v>REX</v>
      </c>
      <c r="E5986" t="str">
        <f t="shared" si="93"/>
        <v>DR5ACY_00|REX</v>
      </c>
    </row>
    <row r="5987" spans="1:5" x14ac:dyDescent="0.2">
      <c r="A5987" t="s">
        <v>1361</v>
      </c>
      <c r="B5987" t="s">
        <v>1362</v>
      </c>
      <c r="C5987" t="s">
        <v>448</v>
      </c>
      <c r="D5987" t="e">
        <f>VLOOKUP(C5987,'lookup table'!$A$2:$B$19,2,FALSE)</f>
        <v>#N/A</v>
      </c>
      <c r="E5987" t="str">
        <f t="shared" si="93"/>
        <v/>
      </c>
    </row>
    <row r="5988" spans="1:5" x14ac:dyDescent="0.2">
      <c r="A5988" t="s">
        <v>1361</v>
      </c>
      <c r="B5988" t="s">
        <v>1362</v>
      </c>
      <c r="C5988" t="s">
        <v>449</v>
      </c>
      <c r="D5988" t="e">
        <f>VLOOKUP(C5988,'lookup table'!$A$2:$B$19,2,FALSE)</f>
        <v>#N/A</v>
      </c>
      <c r="E5988" t="str">
        <f t="shared" si="93"/>
        <v/>
      </c>
    </row>
    <row r="5989" spans="1:5" x14ac:dyDescent="0.2">
      <c r="A5989" t="s">
        <v>1361</v>
      </c>
      <c r="B5989" t="s">
        <v>1362</v>
      </c>
      <c r="C5989" t="s">
        <v>451</v>
      </c>
      <c r="D5989" t="str">
        <f>VLOOKUP(C5989,'lookup table'!$A$2:$B$19,2,FALSE)</f>
        <v>Segment</v>
      </c>
      <c r="E5989" t="str">
        <f t="shared" si="93"/>
        <v>DR5ACY_00|Segment</v>
      </c>
    </row>
    <row r="5990" spans="1:5" x14ac:dyDescent="0.2">
      <c r="A5990" t="s">
        <v>1361</v>
      </c>
      <c r="B5990" t="s">
        <v>1362</v>
      </c>
      <c r="C5990" t="s">
        <v>455</v>
      </c>
      <c r="D5990" t="e">
        <f>VLOOKUP(C5990,'lookup table'!$A$2:$B$19,2,FALSE)</f>
        <v>#N/A</v>
      </c>
      <c r="E5990" t="str">
        <f t="shared" si="93"/>
        <v/>
      </c>
    </row>
    <row r="5991" spans="1:5" x14ac:dyDescent="0.2">
      <c r="A5991" t="s">
        <v>1361</v>
      </c>
      <c r="B5991" t="s">
        <v>1362</v>
      </c>
      <c r="C5991" t="s">
        <v>456</v>
      </c>
      <c r="D5991" t="e">
        <f>VLOOKUP(C5991,'lookup table'!$A$2:$B$19,2,FALSE)</f>
        <v>#N/A</v>
      </c>
      <c r="E5991" t="str">
        <f t="shared" si="93"/>
        <v/>
      </c>
    </row>
    <row r="5992" spans="1:5" x14ac:dyDescent="0.2">
      <c r="A5992" t="s">
        <v>1361</v>
      </c>
      <c r="B5992" t="s">
        <v>1362</v>
      </c>
      <c r="C5992" t="s">
        <v>457</v>
      </c>
      <c r="D5992" t="str">
        <f>VLOOKUP(C5992,'lookup table'!$A$2:$B$19,2,FALSE)</f>
        <v>VLT</v>
      </c>
      <c r="E5992" t="str">
        <f t="shared" si="93"/>
        <v>DR5ACY_00|VLT</v>
      </c>
    </row>
    <row r="5993" spans="1:5" x14ac:dyDescent="0.2">
      <c r="A5993" t="s">
        <v>1361</v>
      </c>
      <c r="B5993" t="s">
        <v>1362</v>
      </c>
      <c r="C5993" t="s">
        <v>458</v>
      </c>
      <c r="D5993" t="str">
        <f>VLOOKUP(C5993,'lookup table'!$A$2:$B$19,2,FALSE)</f>
        <v>VAR</v>
      </c>
      <c r="E5993" t="str">
        <f t="shared" si="93"/>
        <v>DR5ACY_00|VAR</v>
      </c>
    </row>
    <row r="5994" spans="1:5" x14ac:dyDescent="0.2">
      <c r="A5994" t="s">
        <v>1361</v>
      </c>
      <c r="B5994" t="s">
        <v>1362</v>
      </c>
      <c r="C5994" t="s">
        <v>459</v>
      </c>
      <c r="D5994" t="e">
        <f>VLOOKUP(C5994,'lookup table'!$A$2:$B$19,2,FALSE)</f>
        <v>#N/A</v>
      </c>
      <c r="E5994" t="str">
        <f t="shared" si="93"/>
        <v/>
      </c>
    </row>
    <row r="5995" spans="1:5" x14ac:dyDescent="0.2">
      <c r="A5995" t="s">
        <v>1361</v>
      </c>
      <c r="B5995" t="s">
        <v>1362</v>
      </c>
      <c r="C5995" t="s">
        <v>460</v>
      </c>
      <c r="D5995" t="e">
        <f>VLOOKUP(C5995,'lookup table'!$A$2:$B$19,2,FALSE)</f>
        <v>#N/A</v>
      </c>
      <c r="E5995" t="str">
        <f t="shared" si="93"/>
        <v/>
      </c>
    </row>
    <row r="5996" spans="1:5" x14ac:dyDescent="0.2">
      <c r="A5996" t="s">
        <v>1361</v>
      </c>
      <c r="B5996" t="s">
        <v>1362</v>
      </c>
      <c r="C5996" t="s">
        <v>461</v>
      </c>
      <c r="D5996" t="str">
        <f>VLOOKUP(C5996,'lookup table'!$A$2:$B$19,2,FALSE)</f>
        <v>Posting Level</v>
      </c>
      <c r="E5996" t="str">
        <f t="shared" si="93"/>
        <v>DR5ACY_00|Posting Level</v>
      </c>
    </row>
    <row r="5997" spans="1:5" x14ac:dyDescent="0.2">
      <c r="A5997" t="s">
        <v>1361</v>
      </c>
      <c r="B5997" t="s">
        <v>1362</v>
      </c>
      <c r="C5997" t="s">
        <v>462</v>
      </c>
      <c r="D5997" t="e">
        <f>VLOOKUP(C5997,'lookup table'!$A$2:$B$19,2,FALSE)</f>
        <v>#N/A</v>
      </c>
      <c r="E5997" t="str">
        <f t="shared" si="93"/>
        <v/>
      </c>
    </row>
    <row r="5998" spans="1:5" x14ac:dyDescent="0.2">
      <c r="A5998" t="s">
        <v>1361</v>
      </c>
      <c r="B5998" t="s">
        <v>1362</v>
      </c>
      <c r="C5998" t="s">
        <v>463</v>
      </c>
      <c r="D5998" t="e">
        <f>VLOOKUP(C5998,'lookup table'!$A$2:$B$19,2,FALSE)</f>
        <v>#N/A</v>
      </c>
      <c r="E5998" t="str">
        <f t="shared" si="93"/>
        <v/>
      </c>
    </row>
    <row r="5999" spans="1:5" x14ac:dyDescent="0.2">
      <c r="A5999" t="s">
        <v>1361</v>
      </c>
      <c r="B5999" t="s">
        <v>1362</v>
      </c>
      <c r="C5999" t="s">
        <v>464</v>
      </c>
      <c r="D5999" t="e">
        <f>VLOOKUP(C5999,'lookup table'!$A$2:$B$19,2,FALSE)</f>
        <v>#N/A</v>
      </c>
      <c r="E5999" t="str">
        <f t="shared" si="93"/>
        <v/>
      </c>
    </row>
    <row r="6000" spans="1:5" x14ac:dyDescent="0.2">
      <c r="A6000" t="s">
        <v>1361</v>
      </c>
      <c r="B6000" t="s">
        <v>1362</v>
      </c>
      <c r="C6000" t="s">
        <v>465</v>
      </c>
      <c r="D6000" t="e">
        <f>VLOOKUP(C6000,'lookup table'!$A$2:$B$19,2,FALSE)</f>
        <v>#N/A</v>
      </c>
      <c r="E6000" t="str">
        <f t="shared" si="93"/>
        <v/>
      </c>
    </row>
    <row r="6001" spans="1:5" x14ac:dyDescent="0.2">
      <c r="A6001" t="s">
        <v>1363</v>
      </c>
      <c r="B6001" t="s">
        <v>1364</v>
      </c>
      <c r="C6001" t="s">
        <v>2</v>
      </c>
      <c r="D6001" t="e">
        <f>VLOOKUP(C6001,'lookup table'!$A$2:$B$19,2,FALSE)</f>
        <v>#N/A</v>
      </c>
      <c r="E6001" t="str">
        <f t="shared" si="93"/>
        <v/>
      </c>
    </row>
    <row r="6002" spans="1:5" x14ac:dyDescent="0.2">
      <c r="A6002" t="s">
        <v>1363</v>
      </c>
      <c r="B6002" t="s">
        <v>1364</v>
      </c>
      <c r="C6002" t="s">
        <v>5</v>
      </c>
      <c r="D6002" t="e">
        <f>VLOOKUP(C6002,'lookup table'!$A$2:$B$19,2,FALSE)</f>
        <v>#N/A</v>
      </c>
      <c r="E6002" t="str">
        <f t="shared" si="93"/>
        <v/>
      </c>
    </row>
    <row r="6003" spans="1:5" x14ac:dyDescent="0.2">
      <c r="A6003" t="s">
        <v>1363</v>
      </c>
      <c r="B6003" t="s">
        <v>1364</v>
      </c>
      <c r="C6003" t="s">
        <v>6</v>
      </c>
      <c r="D6003" t="e">
        <f>VLOOKUP(C6003,'lookup table'!$A$2:$B$19,2,FALSE)</f>
        <v>#N/A</v>
      </c>
      <c r="E6003" t="str">
        <f t="shared" si="93"/>
        <v/>
      </c>
    </row>
    <row r="6004" spans="1:5" x14ac:dyDescent="0.2">
      <c r="A6004" t="s">
        <v>1363</v>
      </c>
      <c r="B6004" t="s">
        <v>1364</v>
      </c>
      <c r="C6004" t="s">
        <v>9</v>
      </c>
      <c r="D6004" t="e">
        <f>VLOOKUP(C6004,'lookup table'!$A$2:$B$19,2,FALSE)</f>
        <v>#N/A</v>
      </c>
      <c r="E6004" t="str">
        <f t="shared" si="93"/>
        <v/>
      </c>
    </row>
    <row r="6005" spans="1:5" x14ac:dyDescent="0.2">
      <c r="A6005" t="s">
        <v>1363</v>
      </c>
      <c r="B6005" t="s">
        <v>1364</v>
      </c>
      <c r="C6005" t="s">
        <v>10</v>
      </c>
      <c r="D6005" t="e">
        <f>VLOOKUP(C6005,'lookup table'!$A$2:$B$19,2,FALSE)</f>
        <v>#N/A</v>
      </c>
      <c r="E6005" t="str">
        <f t="shared" si="93"/>
        <v/>
      </c>
    </row>
    <row r="6006" spans="1:5" x14ac:dyDescent="0.2">
      <c r="A6006" t="s">
        <v>1363</v>
      </c>
      <c r="B6006" t="s">
        <v>1364</v>
      </c>
      <c r="C6006" t="s">
        <v>11</v>
      </c>
      <c r="D6006" t="e">
        <f>VLOOKUP(C6006,'lookup table'!$A$2:$B$19,2,FALSE)</f>
        <v>#N/A</v>
      </c>
      <c r="E6006" t="str">
        <f t="shared" si="93"/>
        <v/>
      </c>
    </row>
    <row r="6007" spans="1:5" x14ac:dyDescent="0.2">
      <c r="A6007" t="s">
        <v>1363</v>
      </c>
      <c r="B6007" t="s">
        <v>1364</v>
      </c>
      <c r="C6007" t="s">
        <v>12</v>
      </c>
      <c r="D6007" t="e">
        <f>VLOOKUP(C6007,'lookup table'!$A$2:$B$19,2,FALSE)</f>
        <v>#N/A</v>
      </c>
      <c r="E6007" t="str">
        <f t="shared" si="93"/>
        <v/>
      </c>
    </row>
    <row r="6008" spans="1:5" x14ac:dyDescent="0.2">
      <c r="A6008" t="s">
        <v>1363</v>
      </c>
      <c r="B6008" t="s">
        <v>1364</v>
      </c>
      <c r="C6008" t="s">
        <v>14</v>
      </c>
      <c r="D6008" t="str">
        <f>VLOOKUP(C6008,'lookup table'!$A$2:$B$19,2,FALSE)</f>
        <v>ALC</v>
      </c>
      <c r="E6008" t="str">
        <f t="shared" si="93"/>
        <v>DR5LOB_00|ALC</v>
      </c>
    </row>
    <row r="6009" spans="1:5" x14ac:dyDescent="0.2">
      <c r="A6009" t="s">
        <v>1363</v>
      </c>
      <c r="B6009" t="s">
        <v>1364</v>
      </c>
      <c r="C6009" t="s">
        <v>20</v>
      </c>
      <c r="D6009" t="str">
        <f>VLOOKUP(C6009,'lookup table'!$A$2:$B$19,2,FALSE)</f>
        <v>AY</v>
      </c>
      <c r="E6009" t="str">
        <f t="shared" si="93"/>
        <v>DR5LOB_00|AY</v>
      </c>
    </row>
    <row r="6010" spans="1:5" x14ac:dyDescent="0.2">
      <c r="A6010" t="s">
        <v>1363</v>
      </c>
      <c r="B6010" t="s">
        <v>1364</v>
      </c>
      <c r="C6010" t="s">
        <v>324</v>
      </c>
      <c r="D6010" t="e">
        <f>VLOOKUP(C6010,'lookup table'!$A$2:$B$19,2,FALSE)</f>
        <v>#N/A</v>
      </c>
      <c r="E6010" t="str">
        <f t="shared" si="93"/>
        <v/>
      </c>
    </row>
    <row r="6011" spans="1:5" x14ac:dyDescent="0.2">
      <c r="A6011" t="s">
        <v>1363</v>
      </c>
      <c r="B6011" t="s">
        <v>1364</v>
      </c>
      <c r="C6011" t="s">
        <v>327</v>
      </c>
      <c r="D6011" t="e">
        <f>VLOOKUP(C6011,'lookup table'!$A$2:$B$19,2,FALSE)</f>
        <v>#N/A</v>
      </c>
      <c r="E6011" t="str">
        <f t="shared" si="93"/>
        <v/>
      </c>
    </row>
    <row r="6012" spans="1:5" x14ac:dyDescent="0.2">
      <c r="A6012" t="s">
        <v>1363</v>
      </c>
      <c r="B6012" t="s">
        <v>1364</v>
      </c>
      <c r="C6012" t="s">
        <v>328</v>
      </c>
      <c r="D6012" t="e">
        <f>VLOOKUP(C6012,'lookup table'!$A$2:$B$19,2,FALSE)</f>
        <v>#N/A</v>
      </c>
      <c r="E6012" t="str">
        <f t="shared" si="93"/>
        <v/>
      </c>
    </row>
    <row r="6013" spans="1:5" x14ac:dyDescent="0.2">
      <c r="A6013" t="s">
        <v>1363</v>
      </c>
      <c r="B6013" t="s">
        <v>1364</v>
      </c>
      <c r="C6013" t="s">
        <v>329</v>
      </c>
      <c r="D6013" t="e">
        <f>VLOOKUP(C6013,'lookup table'!$A$2:$B$19,2,FALSE)</f>
        <v>#N/A</v>
      </c>
      <c r="E6013" t="str">
        <f t="shared" si="93"/>
        <v/>
      </c>
    </row>
    <row r="6014" spans="1:5" x14ac:dyDescent="0.2">
      <c r="A6014" t="s">
        <v>1363</v>
      </c>
      <c r="B6014" t="s">
        <v>1364</v>
      </c>
      <c r="C6014" t="s">
        <v>331</v>
      </c>
      <c r="D6014" t="str">
        <f>VLOOKUP(C6014,'lookup table'!$A$2:$B$19,2,FALSE)</f>
        <v>FS Item</v>
      </c>
      <c r="E6014" t="str">
        <f t="shared" si="93"/>
        <v>DR5LOB_00|FS Item</v>
      </c>
    </row>
    <row r="6015" spans="1:5" x14ac:dyDescent="0.2">
      <c r="A6015" t="s">
        <v>1363</v>
      </c>
      <c r="B6015" t="s">
        <v>1364</v>
      </c>
      <c r="C6015" t="s">
        <v>422</v>
      </c>
      <c r="D6015" t="e">
        <f>VLOOKUP(C6015,'lookup table'!$A$2:$B$19,2,FALSE)</f>
        <v>#N/A</v>
      </c>
      <c r="E6015" t="str">
        <f t="shared" si="93"/>
        <v/>
      </c>
    </row>
    <row r="6016" spans="1:5" x14ac:dyDescent="0.2">
      <c r="A6016" t="s">
        <v>1363</v>
      </c>
      <c r="B6016" t="s">
        <v>1364</v>
      </c>
      <c r="C6016" t="s">
        <v>423</v>
      </c>
      <c r="D6016" t="str">
        <f>VLOOKUP(C6016,'lookup table'!$A$2:$B$19,2,FALSE)</f>
        <v>ignore</v>
      </c>
      <c r="E6016" t="str">
        <f t="shared" si="93"/>
        <v>DR5LOB_00|ignore</v>
      </c>
    </row>
    <row r="6017" spans="1:5" x14ac:dyDescent="0.2">
      <c r="A6017" t="s">
        <v>1363</v>
      </c>
      <c r="B6017" t="s">
        <v>1364</v>
      </c>
      <c r="C6017" t="s">
        <v>424</v>
      </c>
      <c r="D6017" t="str">
        <f>VLOOKUP(C6017,'lookup table'!$A$2:$B$19,2,FALSE)</f>
        <v>GRC</v>
      </c>
      <c r="E6017" t="str">
        <f t="shared" si="93"/>
        <v>DR5LOB_00|GRC</v>
      </c>
    </row>
    <row r="6018" spans="1:5" x14ac:dyDescent="0.2">
      <c r="A6018" t="s">
        <v>1363</v>
      </c>
      <c r="B6018" t="s">
        <v>1364</v>
      </c>
      <c r="C6018" t="s">
        <v>425</v>
      </c>
      <c r="D6018" t="str">
        <f>VLOOKUP(C6018,'lookup table'!$A$2:$B$19,2,FALSE)</f>
        <v>Investee Segment</v>
      </c>
      <c r="E6018" t="str">
        <f t="shared" si="93"/>
        <v>DR5LOB_00|Investee Segment</v>
      </c>
    </row>
    <row r="6019" spans="1:5" x14ac:dyDescent="0.2">
      <c r="A6019" t="s">
        <v>1363</v>
      </c>
      <c r="B6019" t="s">
        <v>1364</v>
      </c>
      <c r="C6019" t="s">
        <v>426</v>
      </c>
      <c r="D6019" t="str">
        <f>VLOOKUP(C6019,'lookup table'!$A$2:$B$19,2,FALSE)</f>
        <v>Investee Unit</v>
      </c>
      <c r="E6019" t="str">
        <f t="shared" ref="E6019:E6082" si="94">IF(ISNA(D6019),"",IF(A6019="","",A6019) &amp; "|" &amp; D6019)</f>
        <v>DR5LOB_00|Investee Unit</v>
      </c>
    </row>
    <row r="6020" spans="1:5" x14ac:dyDescent="0.2">
      <c r="A6020" t="s">
        <v>1363</v>
      </c>
      <c r="B6020" t="s">
        <v>1364</v>
      </c>
      <c r="C6020" t="s">
        <v>428</v>
      </c>
      <c r="D6020" t="str">
        <f>VLOOKUP(C6020,'lookup table'!$A$2:$B$19,2,FALSE)</f>
        <v>LoB</v>
      </c>
      <c r="E6020" t="str">
        <f t="shared" si="94"/>
        <v>DR5LOB_00|LoB</v>
      </c>
    </row>
    <row r="6021" spans="1:5" x14ac:dyDescent="0.2">
      <c r="A6021" t="s">
        <v>1363</v>
      </c>
      <c r="B6021" t="s">
        <v>1364</v>
      </c>
      <c r="C6021" t="s">
        <v>436</v>
      </c>
      <c r="D6021" t="str">
        <f>VLOOKUP(C6021,'lookup table'!$A$2:$B$19,2,FALSE)</f>
        <v>MAT</v>
      </c>
      <c r="E6021" t="str">
        <f t="shared" si="94"/>
        <v>DR5LOB_00|MAT</v>
      </c>
    </row>
    <row r="6022" spans="1:5" x14ac:dyDescent="0.2">
      <c r="A6022" t="s">
        <v>1363</v>
      </c>
      <c r="B6022" t="s">
        <v>1364</v>
      </c>
      <c r="C6022" t="s">
        <v>441</v>
      </c>
      <c r="D6022" t="str">
        <f>VLOOKUP(C6022,'lookup table'!$A$2:$B$19,2,FALSE)</f>
        <v>Partner Segment</v>
      </c>
      <c r="E6022" t="str">
        <f t="shared" si="94"/>
        <v>DR5LOB_00|Partner Segment</v>
      </c>
    </row>
    <row r="6023" spans="1:5" x14ac:dyDescent="0.2">
      <c r="A6023" t="s">
        <v>1363</v>
      </c>
      <c r="B6023" t="s">
        <v>1364</v>
      </c>
      <c r="C6023" t="s">
        <v>442</v>
      </c>
      <c r="D6023" t="str">
        <f>VLOOKUP(C6023,'lookup table'!$A$2:$B$19,2,FALSE)</f>
        <v>Partner Unit</v>
      </c>
      <c r="E6023" t="str">
        <f t="shared" si="94"/>
        <v>DR5LOB_00|Partner Unit</v>
      </c>
    </row>
    <row r="6024" spans="1:5" x14ac:dyDescent="0.2">
      <c r="A6024" t="s">
        <v>1363</v>
      </c>
      <c r="B6024" t="s">
        <v>1364</v>
      </c>
      <c r="C6024" t="s">
        <v>447</v>
      </c>
      <c r="D6024" t="str">
        <f>VLOOKUP(C6024,'lookup table'!$A$2:$B$19,2,FALSE)</f>
        <v>REX</v>
      </c>
      <c r="E6024" t="str">
        <f t="shared" si="94"/>
        <v>DR5LOB_00|REX</v>
      </c>
    </row>
    <row r="6025" spans="1:5" x14ac:dyDescent="0.2">
      <c r="A6025" t="s">
        <v>1363</v>
      </c>
      <c r="B6025" t="s">
        <v>1364</v>
      </c>
      <c r="C6025" t="s">
        <v>448</v>
      </c>
      <c r="D6025" t="e">
        <f>VLOOKUP(C6025,'lookup table'!$A$2:$B$19,2,FALSE)</f>
        <v>#N/A</v>
      </c>
      <c r="E6025" t="str">
        <f t="shared" si="94"/>
        <v/>
      </c>
    </row>
    <row r="6026" spans="1:5" x14ac:dyDescent="0.2">
      <c r="A6026" t="s">
        <v>1363</v>
      </c>
      <c r="B6026" t="s">
        <v>1364</v>
      </c>
      <c r="C6026" t="s">
        <v>449</v>
      </c>
      <c r="D6026" t="e">
        <f>VLOOKUP(C6026,'lookup table'!$A$2:$B$19,2,FALSE)</f>
        <v>#N/A</v>
      </c>
      <c r="E6026" t="str">
        <f t="shared" si="94"/>
        <v/>
      </c>
    </row>
    <row r="6027" spans="1:5" x14ac:dyDescent="0.2">
      <c r="A6027" t="s">
        <v>1363</v>
      </c>
      <c r="B6027" t="s">
        <v>1364</v>
      </c>
      <c r="C6027" t="s">
        <v>451</v>
      </c>
      <c r="D6027" t="str">
        <f>VLOOKUP(C6027,'lookup table'!$A$2:$B$19,2,FALSE)</f>
        <v>Segment</v>
      </c>
      <c r="E6027" t="str">
        <f t="shared" si="94"/>
        <v>DR5LOB_00|Segment</v>
      </c>
    </row>
    <row r="6028" spans="1:5" x14ac:dyDescent="0.2">
      <c r="A6028" t="s">
        <v>1363</v>
      </c>
      <c r="B6028" t="s">
        <v>1364</v>
      </c>
      <c r="C6028" t="s">
        <v>455</v>
      </c>
      <c r="D6028" t="e">
        <f>VLOOKUP(C6028,'lookup table'!$A$2:$B$19,2,FALSE)</f>
        <v>#N/A</v>
      </c>
      <c r="E6028" t="str">
        <f t="shared" si="94"/>
        <v/>
      </c>
    </row>
    <row r="6029" spans="1:5" x14ac:dyDescent="0.2">
      <c r="A6029" t="s">
        <v>1363</v>
      </c>
      <c r="B6029" t="s">
        <v>1364</v>
      </c>
      <c r="C6029" t="s">
        <v>456</v>
      </c>
      <c r="D6029" t="e">
        <f>VLOOKUP(C6029,'lookup table'!$A$2:$B$19,2,FALSE)</f>
        <v>#N/A</v>
      </c>
      <c r="E6029" t="str">
        <f t="shared" si="94"/>
        <v/>
      </c>
    </row>
    <row r="6030" spans="1:5" x14ac:dyDescent="0.2">
      <c r="A6030" t="s">
        <v>1363</v>
      </c>
      <c r="B6030" t="s">
        <v>1364</v>
      </c>
      <c r="C6030" t="s">
        <v>457</v>
      </c>
      <c r="D6030" t="str">
        <f>VLOOKUP(C6030,'lookup table'!$A$2:$B$19,2,FALSE)</f>
        <v>VLT</v>
      </c>
      <c r="E6030" t="str">
        <f t="shared" si="94"/>
        <v>DR5LOB_00|VLT</v>
      </c>
    </row>
    <row r="6031" spans="1:5" x14ac:dyDescent="0.2">
      <c r="A6031" t="s">
        <v>1363</v>
      </c>
      <c r="B6031" t="s">
        <v>1364</v>
      </c>
      <c r="C6031" t="s">
        <v>458</v>
      </c>
      <c r="D6031" t="str">
        <f>VLOOKUP(C6031,'lookup table'!$A$2:$B$19,2,FALSE)</f>
        <v>VAR</v>
      </c>
      <c r="E6031" t="str">
        <f t="shared" si="94"/>
        <v>DR5LOB_00|VAR</v>
      </c>
    </row>
    <row r="6032" spans="1:5" x14ac:dyDescent="0.2">
      <c r="A6032" t="s">
        <v>1363</v>
      </c>
      <c r="B6032" t="s">
        <v>1364</v>
      </c>
      <c r="C6032" t="s">
        <v>459</v>
      </c>
      <c r="D6032" t="e">
        <f>VLOOKUP(C6032,'lookup table'!$A$2:$B$19,2,FALSE)</f>
        <v>#N/A</v>
      </c>
      <c r="E6032" t="str">
        <f t="shared" si="94"/>
        <v/>
      </c>
    </row>
    <row r="6033" spans="1:5" x14ac:dyDescent="0.2">
      <c r="A6033" t="s">
        <v>1363</v>
      </c>
      <c r="B6033" t="s">
        <v>1364</v>
      </c>
      <c r="C6033" t="s">
        <v>460</v>
      </c>
      <c r="D6033" t="e">
        <f>VLOOKUP(C6033,'lookup table'!$A$2:$B$19,2,FALSE)</f>
        <v>#N/A</v>
      </c>
      <c r="E6033" t="str">
        <f t="shared" si="94"/>
        <v/>
      </c>
    </row>
    <row r="6034" spans="1:5" x14ac:dyDescent="0.2">
      <c r="A6034" t="s">
        <v>1363</v>
      </c>
      <c r="B6034" t="s">
        <v>1364</v>
      </c>
      <c r="C6034" t="s">
        <v>461</v>
      </c>
      <c r="D6034" t="str">
        <f>VLOOKUP(C6034,'lookup table'!$A$2:$B$19,2,FALSE)</f>
        <v>Posting Level</v>
      </c>
      <c r="E6034" t="str">
        <f t="shared" si="94"/>
        <v>DR5LOB_00|Posting Level</v>
      </c>
    </row>
    <row r="6035" spans="1:5" x14ac:dyDescent="0.2">
      <c r="A6035" t="s">
        <v>1363</v>
      </c>
      <c r="B6035" t="s">
        <v>1364</v>
      </c>
      <c r="C6035" t="s">
        <v>462</v>
      </c>
      <c r="D6035" t="e">
        <f>VLOOKUP(C6035,'lookup table'!$A$2:$B$19,2,FALSE)</f>
        <v>#N/A</v>
      </c>
      <c r="E6035" t="str">
        <f t="shared" si="94"/>
        <v/>
      </c>
    </row>
    <row r="6036" spans="1:5" x14ac:dyDescent="0.2">
      <c r="A6036" t="s">
        <v>1363</v>
      </c>
      <c r="B6036" t="s">
        <v>1364</v>
      </c>
      <c r="C6036" t="s">
        <v>463</v>
      </c>
      <c r="D6036" t="e">
        <f>VLOOKUP(C6036,'lookup table'!$A$2:$B$19,2,FALSE)</f>
        <v>#N/A</v>
      </c>
      <c r="E6036" t="str">
        <f t="shared" si="94"/>
        <v/>
      </c>
    </row>
    <row r="6037" spans="1:5" x14ac:dyDescent="0.2">
      <c r="A6037" t="s">
        <v>1363</v>
      </c>
      <c r="B6037" t="s">
        <v>1364</v>
      </c>
      <c r="C6037" t="s">
        <v>464</v>
      </c>
      <c r="D6037" t="e">
        <f>VLOOKUP(C6037,'lookup table'!$A$2:$B$19,2,FALSE)</f>
        <v>#N/A</v>
      </c>
      <c r="E6037" t="str">
        <f t="shared" si="94"/>
        <v/>
      </c>
    </row>
    <row r="6038" spans="1:5" x14ac:dyDescent="0.2">
      <c r="A6038" t="s">
        <v>1363</v>
      </c>
      <c r="B6038" t="s">
        <v>1364</v>
      </c>
      <c r="C6038" t="s">
        <v>465</v>
      </c>
      <c r="D6038" t="e">
        <f>VLOOKUP(C6038,'lookup table'!$A$2:$B$19,2,FALSE)</f>
        <v>#N/A</v>
      </c>
      <c r="E6038" t="str">
        <f t="shared" si="94"/>
        <v/>
      </c>
    </row>
    <row r="6039" spans="1:5" x14ac:dyDescent="0.2">
      <c r="A6039" t="s">
        <v>1365</v>
      </c>
      <c r="B6039" t="s">
        <v>1364</v>
      </c>
      <c r="C6039" t="s">
        <v>2</v>
      </c>
      <c r="D6039" t="e">
        <f>VLOOKUP(C6039,'lookup table'!$A$2:$B$19,2,FALSE)</f>
        <v>#N/A</v>
      </c>
      <c r="E6039" t="str">
        <f t="shared" si="94"/>
        <v/>
      </c>
    </row>
    <row r="6040" spans="1:5" x14ac:dyDescent="0.2">
      <c r="A6040" t="s">
        <v>1365</v>
      </c>
      <c r="B6040" t="s">
        <v>1364</v>
      </c>
      <c r="C6040" t="s">
        <v>5</v>
      </c>
      <c r="D6040" t="e">
        <f>VLOOKUP(C6040,'lookup table'!$A$2:$B$19,2,FALSE)</f>
        <v>#N/A</v>
      </c>
      <c r="E6040" t="str">
        <f t="shared" si="94"/>
        <v/>
      </c>
    </row>
    <row r="6041" spans="1:5" x14ac:dyDescent="0.2">
      <c r="A6041" t="s">
        <v>1365</v>
      </c>
      <c r="B6041" t="s">
        <v>1364</v>
      </c>
      <c r="C6041" t="s">
        <v>6</v>
      </c>
      <c r="D6041" t="e">
        <f>VLOOKUP(C6041,'lookup table'!$A$2:$B$19,2,FALSE)</f>
        <v>#N/A</v>
      </c>
      <c r="E6041" t="str">
        <f t="shared" si="94"/>
        <v/>
      </c>
    </row>
    <row r="6042" spans="1:5" x14ac:dyDescent="0.2">
      <c r="A6042" t="s">
        <v>1365</v>
      </c>
      <c r="B6042" t="s">
        <v>1364</v>
      </c>
      <c r="C6042" t="s">
        <v>9</v>
      </c>
      <c r="D6042" t="e">
        <f>VLOOKUP(C6042,'lookup table'!$A$2:$B$19,2,FALSE)</f>
        <v>#N/A</v>
      </c>
      <c r="E6042" t="str">
        <f t="shared" si="94"/>
        <v/>
      </c>
    </row>
    <row r="6043" spans="1:5" x14ac:dyDescent="0.2">
      <c r="A6043" t="s">
        <v>1365</v>
      </c>
      <c r="B6043" t="s">
        <v>1364</v>
      </c>
      <c r="C6043" t="s">
        <v>10</v>
      </c>
      <c r="D6043" t="e">
        <f>VLOOKUP(C6043,'lookup table'!$A$2:$B$19,2,FALSE)</f>
        <v>#N/A</v>
      </c>
      <c r="E6043" t="str">
        <f t="shared" si="94"/>
        <v/>
      </c>
    </row>
    <row r="6044" spans="1:5" x14ac:dyDescent="0.2">
      <c r="A6044" t="s">
        <v>1365</v>
      </c>
      <c r="B6044" t="s">
        <v>1364</v>
      </c>
      <c r="C6044" t="s">
        <v>11</v>
      </c>
      <c r="D6044" t="e">
        <f>VLOOKUP(C6044,'lookup table'!$A$2:$B$19,2,FALSE)</f>
        <v>#N/A</v>
      </c>
      <c r="E6044" t="str">
        <f t="shared" si="94"/>
        <v/>
      </c>
    </row>
    <row r="6045" spans="1:5" x14ac:dyDescent="0.2">
      <c r="A6045" t="s">
        <v>1365</v>
      </c>
      <c r="B6045" t="s">
        <v>1364</v>
      </c>
      <c r="C6045" t="s">
        <v>12</v>
      </c>
      <c r="D6045" t="e">
        <f>VLOOKUP(C6045,'lookup table'!$A$2:$B$19,2,FALSE)</f>
        <v>#N/A</v>
      </c>
      <c r="E6045" t="str">
        <f t="shared" si="94"/>
        <v/>
      </c>
    </row>
    <row r="6046" spans="1:5" x14ac:dyDescent="0.2">
      <c r="A6046" t="s">
        <v>1365</v>
      </c>
      <c r="B6046" t="s">
        <v>1364</v>
      </c>
      <c r="C6046" t="s">
        <v>14</v>
      </c>
      <c r="D6046" t="str">
        <f>VLOOKUP(C6046,'lookup table'!$A$2:$B$19,2,FALSE)</f>
        <v>ALC</v>
      </c>
      <c r="E6046" t="str">
        <f t="shared" si="94"/>
        <v>DR5LOB_14|ALC</v>
      </c>
    </row>
    <row r="6047" spans="1:5" x14ac:dyDescent="0.2">
      <c r="A6047" t="s">
        <v>1365</v>
      </c>
      <c r="B6047" t="s">
        <v>1364</v>
      </c>
      <c r="C6047" t="s">
        <v>20</v>
      </c>
      <c r="D6047" t="str">
        <f>VLOOKUP(C6047,'lookup table'!$A$2:$B$19,2,FALSE)</f>
        <v>AY</v>
      </c>
      <c r="E6047" t="str">
        <f t="shared" si="94"/>
        <v>DR5LOB_14|AY</v>
      </c>
    </row>
    <row r="6048" spans="1:5" x14ac:dyDescent="0.2">
      <c r="A6048" t="s">
        <v>1365</v>
      </c>
      <c r="B6048" t="s">
        <v>1364</v>
      </c>
      <c r="C6048" t="s">
        <v>324</v>
      </c>
      <c r="D6048" t="e">
        <f>VLOOKUP(C6048,'lookup table'!$A$2:$B$19,2,FALSE)</f>
        <v>#N/A</v>
      </c>
      <c r="E6048" t="str">
        <f t="shared" si="94"/>
        <v/>
      </c>
    </row>
    <row r="6049" spans="1:5" x14ac:dyDescent="0.2">
      <c r="A6049" t="s">
        <v>1365</v>
      </c>
      <c r="B6049" t="s">
        <v>1364</v>
      </c>
      <c r="C6049" t="s">
        <v>327</v>
      </c>
      <c r="D6049" t="e">
        <f>VLOOKUP(C6049,'lookup table'!$A$2:$B$19,2,FALSE)</f>
        <v>#N/A</v>
      </c>
      <c r="E6049" t="str">
        <f t="shared" si="94"/>
        <v/>
      </c>
    </row>
    <row r="6050" spans="1:5" x14ac:dyDescent="0.2">
      <c r="A6050" t="s">
        <v>1365</v>
      </c>
      <c r="B6050" t="s">
        <v>1364</v>
      </c>
      <c r="C6050" t="s">
        <v>328</v>
      </c>
      <c r="D6050" t="e">
        <f>VLOOKUP(C6050,'lookup table'!$A$2:$B$19,2,FALSE)</f>
        <v>#N/A</v>
      </c>
      <c r="E6050" t="str">
        <f t="shared" si="94"/>
        <v/>
      </c>
    </row>
    <row r="6051" spans="1:5" x14ac:dyDescent="0.2">
      <c r="A6051" t="s">
        <v>1365</v>
      </c>
      <c r="B6051" t="s">
        <v>1364</v>
      </c>
      <c r="C6051" t="s">
        <v>329</v>
      </c>
      <c r="D6051" t="e">
        <f>VLOOKUP(C6051,'lookup table'!$A$2:$B$19,2,FALSE)</f>
        <v>#N/A</v>
      </c>
      <c r="E6051" t="str">
        <f t="shared" si="94"/>
        <v/>
      </c>
    </row>
    <row r="6052" spans="1:5" x14ac:dyDescent="0.2">
      <c r="A6052" t="s">
        <v>1365</v>
      </c>
      <c r="B6052" t="s">
        <v>1364</v>
      </c>
      <c r="C6052" t="s">
        <v>331</v>
      </c>
      <c r="D6052" t="str">
        <f>VLOOKUP(C6052,'lookup table'!$A$2:$B$19,2,FALSE)</f>
        <v>FS Item</v>
      </c>
      <c r="E6052" t="str">
        <f t="shared" si="94"/>
        <v>DR5LOB_14|FS Item</v>
      </c>
    </row>
    <row r="6053" spans="1:5" x14ac:dyDescent="0.2">
      <c r="A6053" t="s">
        <v>1365</v>
      </c>
      <c r="B6053" t="s">
        <v>1364</v>
      </c>
      <c r="C6053" t="s">
        <v>422</v>
      </c>
      <c r="D6053" t="e">
        <f>VLOOKUP(C6053,'lookup table'!$A$2:$B$19,2,FALSE)</f>
        <v>#N/A</v>
      </c>
      <c r="E6053" t="str">
        <f t="shared" si="94"/>
        <v/>
      </c>
    </row>
    <row r="6054" spans="1:5" x14ac:dyDescent="0.2">
      <c r="A6054" t="s">
        <v>1365</v>
      </c>
      <c r="B6054" t="s">
        <v>1364</v>
      </c>
      <c r="C6054" t="s">
        <v>423</v>
      </c>
      <c r="D6054" t="str">
        <f>VLOOKUP(C6054,'lookup table'!$A$2:$B$19,2,FALSE)</f>
        <v>ignore</v>
      </c>
      <c r="E6054" t="str">
        <f t="shared" si="94"/>
        <v>DR5LOB_14|ignore</v>
      </c>
    </row>
    <row r="6055" spans="1:5" x14ac:dyDescent="0.2">
      <c r="A6055" t="s">
        <v>1365</v>
      </c>
      <c r="B6055" t="s">
        <v>1364</v>
      </c>
      <c r="C6055" t="s">
        <v>424</v>
      </c>
      <c r="D6055" t="str">
        <f>VLOOKUP(C6055,'lookup table'!$A$2:$B$19,2,FALSE)</f>
        <v>GRC</v>
      </c>
      <c r="E6055" t="str">
        <f t="shared" si="94"/>
        <v>DR5LOB_14|GRC</v>
      </c>
    </row>
    <row r="6056" spans="1:5" x14ac:dyDescent="0.2">
      <c r="A6056" t="s">
        <v>1365</v>
      </c>
      <c r="B6056" t="s">
        <v>1364</v>
      </c>
      <c r="C6056" t="s">
        <v>425</v>
      </c>
      <c r="D6056" t="str">
        <f>VLOOKUP(C6056,'lookup table'!$A$2:$B$19,2,FALSE)</f>
        <v>Investee Segment</v>
      </c>
      <c r="E6056" t="str">
        <f t="shared" si="94"/>
        <v>DR5LOB_14|Investee Segment</v>
      </c>
    </row>
    <row r="6057" spans="1:5" x14ac:dyDescent="0.2">
      <c r="A6057" t="s">
        <v>1365</v>
      </c>
      <c r="B6057" t="s">
        <v>1364</v>
      </c>
      <c r="C6057" t="s">
        <v>426</v>
      </c>
      <c r="D6057" t="str">
        <f>VLOOKUP(C6057,'lookup table'!$A$2:$B$19,2,FALSE)</f>
        <v>Investee Unit</v>
      </c>
      <c r="E6057" t="str">
        <f t="shared" si="94"/>
        <v>DR5LOB_14|Investee Unit</v>
      </c>
    </row>
    <row r="6058" spans="1:5" x14ac:dyDescent="0.2">
      <c r="A6058" t="s">
        <v>1365</v>
      </c>
      <c r="B6058" t="s">
        <v>1364</v>
      </c>
      <c r="C6058" t="s">
        <v>428</v>
      </c>
      <c r="D6058" t="str">
        <f>VLOOKUP(C6058,'lookup table'!$A$2:$B$19,2,FALSE)</f>
        <v>LoB</v>
      </c>
      <c r="E6058" t="str">
        <f t="shared" si="94"/>
        <v>DR5LOB_14|LoB</v>
      </c>
    </row>
    <row r="6059" spans="1:5" x14ac:dyDescent="0.2">
      <c r="A6059" t="s">
        <v>1365</v>
      </c>
      <c r="B6059" t="s">
        <v>1364</v>
      </c>
      <c r="C6059" t="s">
        <v>436</v>
      </c>
      <c r="D6059" t="str">
        <f>VLOOKUP(C6059,'lookup table'!$A$2:$B$19,2,FALSE)</f>
        <v>MAT</v>
      </c>
      <c r="E6059" t="str">
        <f t="shared" si="94"/>
        <v>DR5LOB_14|MAT</v>
      </c>
    </row>
    <row r="6060" spans="1:5" x14ac:dyDescent="0.2">
      <c r="A6060" t="s">
        <v>1365</v>
      </c>
      <c r="B6060" t="s">
        <v>1364</v>
      </c>
      <c r="C6060" t="s">
        <v>441</v>
      </c>
      <c r="D6060" t="str">
        <f>VLOOKUP(C6060,'lookup table'!$A$2:$B$19,2,FALSE)</f>
        <v>Partner Segment</v>
      </c>
      <c r="E6060" t="str">
        <f t="shared" si="94"/>
        <v>DR5LOB_14|Partner Segment</v>
      </c>
    </row>
    <row r="6061" spans="1:5" x14ac:dyDescent="0.2">
      <c r="A6061" t="s">
        <v>1365</v>
      </c>
      <c r="B6061" t="s">
        <v>1364</v>
      </c>
      <c r="C6061" t="s">
        <v>442</v>
      </c>
      <c r="D6061" t="str">
        <f>VLOOKUP(C6061,'lookup table'!$A$2:$B$19,2,FALSE)</f>
        <v>Partner Unit</v>
      </c>
      <c r="E6061" t="str">
        <f t="shared" si="94"/>
        <v>DR5LOB_14|Partner Unit</v>
      </c>
    </row>
    <row r="6062" spans="1:5" x14ac:dyDescent="0.2">
      <c r="A6062" t="s">
        <v>1365</v>
      </c>
      <c r="B6062" t="s">
        <v>1364</v>
      </c>
      <c r="C6062" t="s">
        <v>447</v>
      </c>
      <c r="D6062" t="str">
        <f>VLOOKUP(C6062,'lookup table'!$A$2:$B$19,2,FALSE)</f>
        <v>REX</v>
      </c>
      <c r="E6062" t="str">
        <f t="shared" si="94"/>
        <v>DR5LOB_14|REX</v>
      </c>
    </row>
    <row r="6063" spans="1:5" x14ac:dyDescent="0.2">
      <c r="A6063" t="s">
        <v>1365</v>
      </c>
      <c r="B6063" t="s">
        <v>1364</v>
      </c>
      <c r="C6063" t="s">
        <v>448</v>
      </c>
      <c r="D6063" t="e">
        <f>VLOOKUP(C6063,'lookup table'!$A$2:$B$19,2,FALSE)</f>
        <v>#N/A</v>
      </c>
      <c r="E6063" t="str">
        <f t="shared" si="94"/>
        <v/>
      </c>
    </row>
    <row r="6064" spans="1:5" x14ac:dyDescent="0.2">
      <c r="A6064" t="s">
        <v>1365</v>
      </c>
      <c r="B6064" t="s">
        <v>1364</v>
      </c>
      <c r="C6064" t="s">
        <v>449</v>
      </c>
      <c r="D6064" t="e">
        <f>VLOOKUP(C6064,'lookup table'!$A$2:$B$19,2,FALSE)</f>
        <v>#N/A</v>
      </c>
      <c r="E6064" t="str">
        <f t="shared" si="94"/>
        <v/>
      </c>
    </row>
    <row r="6065" spans="1:5" x14ac:dyDescent="0.2">
      <c r="A6065" t="s">
        <v>1365</v>
      </c>
      <c r="B6065" t="s">
        <v>1364</v>
      </c>
      <c r="C6065" t="s">
        <v>451</v>
      </c>
      <c r="D6065" t="str">
        <f>VLOOKUP(C6065,'lookup table'!$A$2:$B$19,2,FALSE)</f>
        <v>Segment</v>
      </c>
      <c r="E6065" t="str">
        <f t="shared" si="94"/>
        <v>DR5LOB_14|Segment</v>
      </c>
    </row>
    <row r="6066" spans="1:5" x14ac:dyDescent="0.2">
      <c r="A6066" t="s">
        <v>1365</v>
      </c>
      <c r="B6066" t="s">
        <v>1364</v>
      </c>
      <c r="C6066" t="s">
        <v>455</v>
      </c>
      <c r="D6066" t="e">
        <f>VLOOKUP(C6066,'lookup table'!$A$2:$B$19,2,FALSE)</f>
        <v>#N/A</v>
      </c>
      <c r="E6066" t="str">
        <f t="shared" si="94"/>
        <v/>
      </c>
    </row>
    <row r="6067" spans="1:5" x14ac:dyDescent="0.2">
      <c r="A6067" t="s">
        <v>1365</v>
      </c>
      <c r="B6067" t="s">
        <v>1364</v>
      </c>
      <c r="C6067" t="s">
        <v>456</v>
      </c>
      <c r="D6067" t="e">
        <f>VLOOKUP(C6067,'lookup table'!$A$2:$B$19,2,FALSE)</f>
        <v>#N/A</v>
      </c>
      <c r="E6067" t="str">
        <f t="shared" si="94"/>
        <v/>
      </c>
    </row>
    <row r="6068" spans="1:5" x14ac:dyDescent="0.2">
      <c r="A6068" t="s">
        <v>1365</v>
      </c>
      <c r="B6068" t="s">
        <v>1364</v>
      </c>
      <c r="C6068" t="s">
        <v>457</v>
      </c>
      <c r="D6068" t="str">
        <f>VLOOKUP(C6068,'lookup table'!$A$2:$B$19,2,FALSE)</f>
        <v>VLT</v>
      </c>
      <c r="E6068" t="str">
        <f t="shared" si="94"/>
        <v>DR5LOB_14|VLT</v>
      </c>
    </row>
    <row r="6069" spans="1:5" x14ac:dyDescent="0.2">
      <c r="A6069" t="s">
        <v>1365</v>
      </c>
      <c r="B6069" t="s">
        <v>1364</v>
      </c>
      <c r="C6069" t="s">
        <v>458</v>
      </c>
      <c r="D6069" t="str">
        <f>VLOOKUP(C6069,'lookup table'!$A$2:$B$19,2,FALSE)</f>
        <v>VAR</v>
      </c>
      <c r="E6069" t="str">
        <f t="shared" si="94"/>
        <v>DR5LOB_14|VAR</v>
      </c>
    </row>
    <row r="6070" spans="1:5" x14ac:dyDescent="0.2">
      <c r="A6070" t="s">
        <v>1365</v>
      </c>
      <c r="B6070" t="s">
        <v>1364</v>
      </c>
      <c r="C6070" t="s">
        <v>459</v>
      </c>
      <c r="D6070" t="e">
        <f>VLOOKUP(C6070,'lookup table'!$A$2:$B$19,2,FALSE)</f>
        <v>#N/A</v>
      </c>
      <c r="E6070" t="str">
        <f t="shared" si="94"/>
        <v/>
      </c>
    </row>
    <row r="6071" spans="1:5" x14ac:dyDescent="0.2">
      <c r="A6071" t="s">
        <v>1365</v>
      </c>
      <c r="B6071" t="s">
        <v>1364</v>
      </c>
      <c r="C6071" t="s">
        <v>460</v>
      </c>
      <c r="D6071" t="e">
        <f>VLOOKUP(C6071,'lookup table'!$A$2:$B$19,2,FALSE)</f>
        <v>#N/A</v>
      </c>
      <c r="E6071" t="str">
        <f t="shared" si="94"/>
        <v/>
      </c>
    </row>
    <row r="6072" spans="1:5" x14ac:dyDescent="0.2">
      <c r="A6072" t="s">
        <v>1365</v>
      </c>
      <c r="B6072" t="s">
        <v>1364</v>
      </c>
      <c r="C6072" t="s">
        <v>461</v>
      </c>
      <c r="D6072" t="str">
        <f>VLOOKUP(C6072,'lookup table'!$A$2:$B$19,2,FALSE)</f>
        <v>Posting Level</v>
      </c>
      <c r="E6072" t="str">
        <f t="shared" si="94"/>
        <v>DR5LOB_14|Posting Level</v>
      </c>
    </row>
    <row r="6073" spans="1:5" x14ac:dyDescent="0.2">
      <c r="A6073" t="s">
        <v>1365</v>
      </c>
      <c r="B6073" t="s">
        <v>1364</v>
      </c>
      <c r="C6073" t="s">
        <v>462</v>
      </c>
      <c r="D6073" t="e">
        <f>VLOOKUP(C6073,'lookup table'!$A$2:$B$19,2,FALSE)</f>
        <v>#N/A</v>
      </c>
      <c r="E6073" t="str">
        <f t="shared" si="94"/>
        <v/>
      </c>
    </row>
    <row r="6074" spans="1:5" x14ac:dyDescent="0.2">
      <c r="A6074" t="s">
        <v>1365</v>
      </c>
      <c r="B6074" t="s">
        <v>1364</v>
      </c>
      <c r="C6074" t="s">
        <v>463</v>
      </c>
      <c r="D6074" t="e">
        <f>VLOOKUP(C6074,'lookup table'!$A$2:$B$19,2,FALSE)</f>
        <v>#N/A</v>
      </c>
      <c r="E6074" t="str">
        <f t="shared" si="94"/>
        <v/>
      </c>
    </row>
    <row r="6075" spans="1:5" x14ac:dyDescent="0.2">
      <c r="A6075" t="s">
        <v>1365</v>
      </c>
      <c r="B6075" t="s">
        <v>1364</v>
      </c>
      <c r="C6075" t="s">
        <v>464</v>
      </c>
      <c r="D6075" t="e">
        <f>VLOOKUP(C6075,'lookup table'!$A$2:$B$19,2,FALSE)</f>
        <v>#N/A</v>
      </c>
      <c r="E6075" t="str">
        <f t="shared" si="94"/>
        <v/>
      </c>
    </row>
    <row r="6076" spans="1:5" x14ac:dyDescent="0.2">
      <c r="A6076" t="s">
        <v>1365</v>
      </c>
      <c r="B6076" t="s">
        <v>1364</v>
      </c>
      <c r="C6076" t="s">
        <v>465</v>
      </c>
      <c r="D6076" t="e">
        <f>VLOOKUP(C6076,'lookup table'!$A$2:$B$19,2,FALSE)</f>
        <v>#N/A</v>
      </c>
      <c r="E6076" t="str">
        <f t="shared" si="94"/>
        <v/>
      </c>
    </row>
    <row r="6077" spans="1:5" x14ac:dyDescent="0.2">
      <c r="A6077" t="s">
        <v>1366</v>
      </c>
      <c r="B6077" t="s">
        <v>1367</v>
      </c>
      <c r="C6077" t="s">
        <v>2</v>
      </c>
      <c r="D6077" t="e">
        <f>VLOOKUP(C6077,'lookup table'!$A$2:$B$19,2,FALSE)</f>
        <v>#N/A</v>
      </c>
      <c r="E6077" t="str">
        <f t="shared" si="94"/>
        <v/>
      </c>
    </row>
    <row r="6078" spans="1:5" x14ac:dyDescent="0.2">
      <c r="A6078" t="s">
        <v>1366</v>
      </c>
      <c r="B6078" t="s">
        <v>1367</v>
      </c>
      <c r="C6078" t="s">
        <v>5</v>
      </c>
      <c r="D6078" t="e">
        <f>VLOOKUP(C6078,'lookup table'!$A$2:$B$19,2,FALSE)</f>
        <v>#N/A</v>
      </c>
      <c r="E6078" t="str">
        <f t="shared" si="94"/>
        <v/>
      </c>
    </row>
    <row r="6079" spans="1:5" x14ac:dyDescent="0.2">
      <c r="A6079" t="s">
        <v>1366</v>
      </c>
      <c r="B6079" t="s">
        <v>1367</v>
      </c>
      <c r="C6079" t="s">
        <v>6</v>
      </c>
      <c r="D6079" t="e">
        <f>VLOOKUP(C6079,'lookup table'!$A$2:$B$19,2,FALSE)</f>
        <v>#N/A</v>
      </c>
      <c r="E6079" t="str">
        <f t="shared" si="94"/>
        <v/>
      </c>
    </row>
    <row r="6080" spans="1:5" x14ac:dyDescent="0.2">
      <c r="A6080" t="s">
        <v>1366</v>
      </c>
      <c r="B6080" t="s">
        <v>1367</v>
      </c>
      <c r="C6080" t="s">
        <v>9</v>
      </c>
      <c r="D6080" t="e">
        <f>VLOOKUP(C6080,'lookup table'!$A$2:$B$19,2,FALSE)</f>
        <v>#N/A</v>
      </c>
      <c r="E6080" t="str">
        <f t="shared" si="94"/>
        <v/>
      </c>
    </row>
    <row r="6081" spans="1:5" x14ac:dyDescent="0.2">
      <c r="A6081" t="s">
        <v>1366</v>
      </c>
      <c r="B6081" t="s">
        <v>1367</v>
      </c>
      <c r="C6081" t="s">
        <v>10</v>
      </c>
      <c r="D6081" t="e">
        <f>VLOOKUP(C6081,'lookup table'!$A$2:$B$19,2,FALSE)</f>
        <v>#N/A</v>
      </c>
      <c r="E6081" t="str">
        <f t="shared" si="94"/>
        <v/>
      </c>
    </row>
    <row r="6082" spans="1:5" x14ac:dyDescent="0.2">
      <c r="A6082" t="s">
        <v>1366</v>
      </c>
      <c r="B6082" t="s">
        <v>1367</v>
      </c>
      <c r="C6082" t="s">
        <v>11</v>
      </c>
      <c r="D6082" t="e">
        <f>VLOOKUP(C6082,'lookup table'!$A$2:$B$19,2,FALSE)</f>
        <v>#N/A</v>
      </c>
      <c r="E6082" t="str">
        <f t="shared" si="94"/>
        <v/>
      </c>
    </row>
    <row r="6083" spans="1:5" x14ac:dyDescent="0.2">
      <c r="A6083" t="s">
        <v>1366</v>
      </c>
      <c r="B6083" t="s">
        <v>1367</v>
      </c>
      <c r="C6083" t="s">
        <v>12</v>
      </c>
      <c r="D6083" t="e">
        <f>VLOOKUP(C6083,'lookup table'!$A$2:$B$19,2,FALSE)</f>
        <v>#N/A</v>
      </c>
      <c r="E6083" t="str">
        <f t="shared" ref="E6083:E6146" si="95">IF(ISNA(D6083),"",IF(A6083="","",A6083) &amp; "|" &amp; D6083)</f>
        <v/>
      </c>
    </row>
    <row r="6084" spans="1:5" x14ac:dyDescent="0.2">
      <c r="A6084" t="s">
        <v>1366</v>
      </c>
      <c r="B6084" t="s">
        <v>1367</v>
      </c>
      <c r="C6084" t="s">
        <v>14</v>
      </c>
      <c r="D6084" t="str">
        <f>VLOOKUP(C6084,'lookup table'!$A$2:$B$19,2,FALSE)</f>
        <v>ALC</v>
      </c>
      <c r="E6084" t="str">
        <f t="shared" si="95"/>
        <v>DR5PRU_00|ALC</v>
      </c>
    </row>
    <row r="6085" spans="1:5" x14ac:dyDescent="0.2">
      <c r="A6085" t="s">
        <v>1366</v>
      </c>
      <c r="B6085" t="s">
        <v>1367</v>
      </c>
      <c r="C6085" t="s">
        <v>20</v>
      </c>
      <c r="D6085" t="str">
        <f>VLOOKUP(C6085,'lookup table'!$A$2:$B$19,2,FALSE)</f>
        <v>AY</v>
      </c>
      <c r="E6085" t="str">
        <f t="shared" si="95"/>
        <v>DR5PRU_00|AY</v>
      </c>
    </row>
    <row r="6086" spans="1:5" x14ac:dyDescent="0.2">
      <c r="A6086" t="s">
        <v>1366</v>
      </c>
      <c r="B6086" t="s">
        <v>1367</v>
      </c>
      <c r="C6086" t="s">
        <v>324</v>
      </c>
      <c r="D6086" t="e">
        <f>VLOOKUP(C6086,'lookup table'!$A$2:$B$19,2,FALSE)</f>
        <v>#N/A</v>
      </c>
      <c r="E6086" t="str">
        <f t="shared" si="95"/>
        <v/>
      </c>
    </row>
    <row r="6087" spans="1:5" x14ac:dyDescent="0.2">
      <c r="A6087" t="s">
        <v>1366</v>
      </c>
      <c r="B6087" t="s">
        <v>1367</v>
      </c>
      <c r="C6087" t="s">
        <v>325</v>
      </c>
      <c r="D6087" t="e">
        <f>VLOOKUP(C6087,'lookup table'!$A$2:$B$19,2,FALSE)</f>
        <v>#N/A</v>
      </c>
      <c r="E6087" t="str">
        <f t="shared" si="95"/>
        <v/>
      </c>
    </row>
    <row r="6088" spans="1:5" x14ac:dyDescent="0.2">
      <c r="A6088" t="s">
        <v>1366</v>
      </c>
      <c r="B6088" t="s">
        <v>1367</v>
      </c>
      <c r="C6088" t="s">
        <v>326</v>
      </c>
      <c r="D6088" t="e">
        <f>VLOOKUP(C6088,'lookup table'!$A$2:$B$19,2,FALSE)</f>
        <v>#N/A</v>
      </c>
      <c r="E6088" t="str">
        <f t="shared" si="95"/>
        <v/>
      </c>
    </row>
    <row r="6089" spans="1:5" x14ac:dyDescent="0.2">
      <c r="A6089" t="s">
        <v>1366</v>
      </c>
      <c r="B6089" t="s">
        <v>1367</v>
      </c>
      <c r="C6089" t="s">
        <v>327</v>
      </c>
      <c r="D6089" t="e">
        <f>VLOOKUP(C6089,'lookup table'!$A$2:$B$19,2,FALSE)</f>
        <v>#N/A</v>
      </c>
      <c r="E6089" t="str">
        <f t="shared" si="95"/>
        <v/>
      </c>
    </row>
    <row r="6090" spans="1:5" x14ac:dyDescent="0.2">
      <c r="A6090" t="s">
        <v>1366</v>
      </c>
      <c r="B6090" t="s">
        <v>1367</v>
      </c>
      <c r="C6090" t="s">
        <v>328</v>
      </c>
      <c r="D6090" t="e">
        <f>VLOOKUP(C6090,'lookup table'!$A$2:$B$19,2,FALSE)</f>
        <v>#N/A</v>
      </c>
      <c r="E6090" t="str">
        <f t="shared" si="95"/>
        <v/>
      </c>
    </row>
    <row r="6091" spans="1:5" x14ac:dyDescent="0.2">
      <c r="A6091" t="s">
        <v>1366</v>
      </c>
      <c r="B6091" t="s">
        <v>1367</v>
      </c>
      <c r="C6091" t="s">
        <v>329</v>
      </c>
      <c r="D6091" t="e">
        <f>VLOOKUP(C6091,'lookup table'!$A$2:$B$19,2,FALSE)</f>
        <v>#N/A</v>
      </c>
      <c r="E6091" t="str">
        <f t="shared" si="95"/>
        <v/>
      </c>
    </row>
    <row r="6092" spans="1:5" x14ac:dyDescent="0.2">
      <c r="A6092" t="s">
        <v>1366</v>
      </c>
      <c r="B6092" t="s">
        <v>1367</v>
      </c>
      <c r="C6092" t="s">
        <v>331</v>
      </c>
      <c r="D6092" t="str">
        <f>VLOOKUP(C6092,'lookup table'!$A$2:$B$19,2,FALSE)</f>
        <v>FS Item</v>
      </c>
      <c r="E6092" t="str">
        <f t="shared" si="95"/>
        <v>DR5PRU_00|FS Item</v>
      </c>
    </row>
    <row r="6093" spans="1:5" x14ac:dyDescent="0.2">
      <c r="A6093" t="s">
        <v>1366</v>
      </c>
      <c r="B6093" t="s">
        <v>1367</v>
      </c>
      <c r="C6093" t="s">
        <v>422</v>
      </c>
      <c r="D6093" t="e">
        <f>VLOOKUP(C6093,'lookup table'!$A$2:$B$19,2,FALSE)</f>
        <v>#N/A</v>
      </c>
      <c r="E6093" t="str">
        <f t="shared" si="95"/>
        <v/>
      </c>
    </row>
    <row r="6094" spans="1:5" x14ac:dyDescent="0.2">
      <c r="A6094" t="s">
        <v>1366</v>
      </c>
      <c r="B6094" t="s">
        <v>1367</v>
      </c>
      <c r="C6094" t="s">
        <v>423</v>
      </c>
      <c r="D6094" t="str">
        <f>VLOOKUP(C6094,'lookup table'!$A$2:$B$19,2,FALSE)</f>
        <v>ignore</v>
      </c>
      <c r="E6094" t="str">
        <f t="shared" si="95"/>
        <v>DR5PRU_00|ignore</v>
      </c>
    </row>
    <row r="6095" spans="1:5" x14ac:dyDescent="0.2">
      <c r="A6095" t="s">
        <v>1366</v>
      </c>
      <c r="B6095" t="s">
        <v>1367</v>
      </c>
      <c r="C6095" t="s">
        <v>424</v>
      </c>
      <c r="D6095" t="str">
        <f>VLOOKUP(C6095,'lookup table'!$A$2:$B$19,2,FALSE)</f>
        <v>GRC</v>
      </c>
      <c r="E6095" t="str">
        <f t="shared" si="95"/>
        <v>DR5PRU_00|GRC</v>
      </c>
    </row>
    <row r="6096" spans="1:5" x14ac:dyDescent="0.2">
      <c r="A6096" t="s">
        <v>1366</v>
      </c>
      <c r="B6096" t="s">
        <v>1367</v>
      </c>
      <c r="C6096" t="s">
        <v>425</v>
      </c>
      <c r="D6096" t="str">
        <f>VLOOKUP(C6096,'lookup table'!$A$2:$B$19,2,FALSE)</f>
        <v>Investee Segment</v>
      </c>
      <c r="E6096" t="str">
        <f t="shared" si="95"/>
        <v>DR5PRU_00|Investee Segment</v>
      </c>
    </row>
    <row r="6097" spans="1:5" x14ac:dyDescent="0.2">
      <c r="A6097" t="s">
        <v>1366</v>
      </c>
      <c r="B6097" t="s">
        <v>1367</v>
      </c>
      <c r="C6097" t="s">
        <v>426</v>
      </c>
      <c r="D6097" t="str">
        <f>VLOOKUP(C6097,'lookup table'!$A$2:$B$19,2,FALSE)</f>
        <v>Investee Unit</v>
      </c>
      <c r="E6097" t="str">
        <f t="shared" si="95"/>
        <v>DR5PRU_00|Investee Unit</v>
      </c>
    </row>
    <row r="6098" spans="1:5" x14ac:dyDescent="0.2">
      <c r="A6098" t="s">
        <v>1366</v>
      </c>
      <c r="B6098" t="s">
        <v>1367</v>
      </c>
      <c r="C6098" t="s">
        <v>428</v>
      </c>
      <c r="D6098" t="str">
        <f>VLOOKUP(C6098,'lookup table'!$A$2:$B$19,2,FALSE)</f>
        <v>LoB</v>
      </c>
      <c r="E6098" t="str">
        <f t="shared" si="95"/>
        <v>DR5PRU_00|LoB</v>
      </c>
    </row>
    <row r="6099" spans="1:5" x14ac:dyDescent="0.2">
      <c r="A6099" t="s">
        <v>1366</v>
      </c>
      <c r="B6099" t="s">
        <v>1367</v>
      </c>
      <c r="C6099" t="s">
        <v>436</v>
      </c>
      <c r="D6099" t="str">
        <f>VLOOKUP(C6099,'lookup table'!$A$2:$B$19,2,FALSE)</f>
        <v>MAT</v>
      </c>
      <c r="E6099" t="str">
        <f t="shared" si="95"/>
        <v>DR5PRU_00|MAT</v>
      </c>
    </row>
    <row r="6100" spans="1:5" x14ac:dyDescent="0.2">
      <c r="A6100" t="s">
        <v>1366</v>
      </c>
      <c r="B6100" t="s">
        <v>1367</v>
      </c>
      <c r="C6100" t="s">
        <v>441</v>
      </c>
      <c r="D6100" t="str">
        <f>VLOOKUP(C6100,'lookup table'!$A$2:$B$19,2,FALSE)</f>
        <v>Partner Segment</v>
      </c>
      <c r="E6100" t="str">
        <f t="shared" si="95"/>
        <v>DR5PRU_00|Partner Segment</v>
      </c>
    </row>
    <row r="6101" spans="1:5" x14ac:dyDescent="0.2">
      <c r="A6101" t="s">
        <v>1366</v>
      </c>
      <c r="B6101" t="s">
        <v>1367</v>
      </c>
      <c r="C6101" t="s">
        <v>442</v>
      </c>
      <c r="D6101" t="str">
        <f>VLOOKUP(C6101,'lookup table'!$A$2:$B$19,2,FALSE)</f>
        <v>Partner Unit</v>
      </c>
      <c r="E6101" t="str">
        <f t="shared" si="95"/>
        <v>DR5PRU_00|Partner Unit</v>
      </c>
    </row>
    <row r="6102" spans="1:5" x14ac:dyDescent="0.2">
      <c r="A6102" t="s">
        <v>1366</v>
      </c>
      <c r="B6102" t="s">
        <v>1367</v>
      </c>
      <c r="C6102" t="s">
        <v>447</v>
      </c>
      <c r="D6102" t="str">
        <f>VLOOKUP(C6102,'lookup table'!$A$2:$B$19,2,FALSE)</f>
        <v>REX</v>
      </c>
      <c r="E6102" t="str">
        <f t="shared" si="95"/>
        <v>DR5PRU_00|REX</v>
      </c>
    </row>
    <row r="6103" spans="1:5" x14ac:dyDescent="0.2">
      <c r="A6103" t="s">
        <v>1366</v>
      </c>
      <c r="B6103" t="s">
        <v>1367</v>
      </c>
      <c r="C6103" t="s">
        <v>448</v>
      </c>
      <c r="D6103" t="e">
        <f>VLOOKUP(C6103,'lookup table'!$A$2:$B$19,2,FALSE)</f>
        <v>#N/A</v>
      </c>
      <c r="E6103" t="str">
        <f t="shared" si="95"/>
        <v/>
      </c>
    </row>
    <row r="6104" spans="1:5" x14ac:dyDescent="0.2">
      <c r="A6104" t="s">
        <v>1366</v>
      </c>
      <c r="B6104" t="s">
        <v>1367</v>
      </c>
      <c r="C6104" t="s">
        <v>449</v>
      </c>
      <c r="D6104" t="e">
        <f>VLOOKUP(C6104,'lookup table'!$A$2:$B$19,2,FALSE)</f>
        <v>#N/A</v>
      </c>
      <c r="E6104" t="str">
        <f t="shared" si="95"/>
        <v/>
      </c>
    </row>
    <row r="6105" spans="1:5" x14ac:dyDescent="0.2">
      <c r="A6105" t="s">
        <v>1366</v>
      </c>
      <c r="B6105" t="s">
        <v>1367</v>
      </c>
      <c r="C6105" t="s">
        <v>451</v>
      </c>
      <c r="D6105" t="str">
        <f>VLOOKUP(C6105,'lookup table'!$A$2:$B$19,2,FALSE)</f>
        <v>Segment</v>
      </c>
      <c r="E6105" t="str">
        <f t="shared" si="95"/>
        <v>DR5PRU_00|Segment</v>
      </c>
    </row>
    <row r="6106" spans="1:5" x14ac:dyDescent="0.2">
      <c r="A6106" t="s">
        <v>1366</v>
      </c>
      <c r="B6106" t="s">
        <v>1367</v>
      </c>
      <c r="C6106" t="s">
        <v>455</v>
      </c>
      <c r="D6106" t="e">
        <f>VLOOKUP(C6106,'lookup table'!$A$2:$B$19,2,FALSE)</f>
        <v>#N/A</v>
      </c>
      <c r="E6106" t="str">
        <f t="shared" si="95"/>
        <v/>
      </c>
    </row>
    <row r="6107" spans="1:5" x14ac:dyDescent="0.2">
      <c r="A6107" t="s">
        <v>1366</v>
      </c>
      <c r="B6107" t="s">
        <v>1367</v>
      </c>
      <c r="C6107" t="s">
        <v>456</v>
      </c>
      <c r="D6107" t="e">
        <f>VLOOKUP(C6107,'lookup table'!$A$2:$B$19,2,FALSE)</f>
        <v>#N/A</v>
      </c>
      <c r="E6107" t="str">
        <f t="shared" si="95"/>
        <v/>
      </c>
    </row>
    <row r="6108" spans="1:5" x14ac:dyDescent="0.2">
      <c r="A6108" t="s">
        <v>1366</v>
      </c>
      <c r="B6108" t="s">
        <v>1367</v>
      </c>
      <c r="C6108" t="s">
        <v>457</v>
      </c>
      <c r="D6108" t="str">
        <f>VLOOKUP(C6108,'lookup table'!$A$2:$B$19,2,FALSE)</f>
        <v>VLT</v>
      </c>
      <c r="E6108" t="str">
        <f t="shared" si="95"/>
        <v>DR5PRU_00|VLT</v>
      </c>
    </row>
    <row r="6109" spans="1:5" x14ac:dyDescent="0.2">
      <c r="A6109" t="s">
        <v>1366</v>
      </c>
      <c r="B6109" t="s">
        <v>1367</v>
      </c>
      <c r="C6109" t="s">
        <v>458</v>
      </c>
      <c r="D6109" t="str">
        <f>VLOOKUP(C6109,'lookup table'!$A$2:$B$19,2,FALSE)</f>
        <v>VAR</v>
      </c>
      <c r="E6109" t="str">
        <f t="shared" si="95"/>
        <v>DR5PRU_00|VAR</v>
      </c>
    </row>
    <row r="6110" spans="1:5" x14ac:dyDescent="0.2">
      <c r="A6110" t="s">
        <v>1366</v>
      </c>
      <c r="B6110" t="s">
        <v>1367</v>
      </c>
      <c r="C6110" t="s">
        <v>459</v>
      </c>
      <c r="D6110" t="e">
        <f>VLOOKUP(C6110,'lookup table'!$A$2:$B$19,2,FALSE)</f>
        <v>#N/A</v>
      </c>
      <c r="E6110" t="str">
        <f t="shared" si="95"/>
        <v/>
      </c>
    </row>
    <row r="6111" spans="1:5" x14ac:dyDescent="0.2">
      <c r="A6111" t="s">
        <v>1366</v>
      </c>
      <c r="B6111" t="s">
        <v>1367</v>
      </c>
      <c r="C6111" t="s">
        <v>460</v>
      </c>
      <c r="D6111" t="e">
        <f>VLOOKUP(C6111,'lookup table'!$A$2:$B$19,2,FALSE)</f>
        <v>#N/A</v>
      </c>
      <c r="E6111" t="str">
        <f t="shared" si="95"/>
        <v/>
      </c>
    </row>
    <row r="6112" spans="1:5" x14ac:dyDescent="0.2">
      <c r="A6112" t="s">
        <v>1366</v>
      </c>
      <c r="B6112" t="s">
        <v>1367</v>
      </c>
      <c r="C6112" t="s">
        <v>461</v>
      </c>
      <c r="D6112" t="str">
        <f>VLOOKUP(C6112,'lookup table'!$A$2:$B$19,2,FALSE)</f>
        <v>Posting Level</v>
      </c>
      <c r="E6112" t="str">
        <f t="shared" si="95"/>
        <v>DR5PRU_00|Posting Level</v>
      </c>
    </row>
    <row r="6113" spans="1:5" x14ac:dyDescent="0.2">
      <c r="A6113" t="s">
        <v>1366</v>
      </c>
      <c r="B6113" t="s">
        <v>1367</v>
      </c>
      <c r="C6113" t="s">
        <v>462</v>
      </c>
      <c r="D6113" t="e">
        <f>VLOOKUP(C6113,'lookup table'!$A$2:$B$19,2,FALSE)</f>
        <v>#N/A</v>
      </c>
      <c r="E6113" t="str">
        <f t="shared" si="95"/>
        <v/>
      </c>
    </row>
    <row r="6114" spans="1:5" x14ac:dyDescent="0.2">
      <c r="A6114" t="s">
        <v>1366</v>
      </c>
      <c r="B6114" t="s">
        <v>1367</v>
      </c>
      <c r="C6114" t="s">
        <v>463</v>
      </c>
      <c r="D6114" t="e">
        <f>VLOOKUP(C6114,'lookup table'!$A$2:$B$19,2,FALSE)</f>
        <v>#N/A</v>
      </c>
      <c r="E6114" t="str">
        <f t="shared" si="95"/>
        <v/>
      </c>
    </row>
    <row r="6115" spans="1:5" x14ac:dyDescent="0.2">
      <c r="A6115" t="s">
        <v>1366</v>
      </c>
      <c r="B6115" t="s">
        <v>1367</v>
      </c>
      <c r="C6115" t="s">
        <v>464</v>
      </c>
      <c r="D6115" t="e">
        <f>VLOOKUP(C6115,'lookup table'!$A$2:$B$19,2,FALSE)</f>
        <v>#N/A</v>
      </c>
      <c r="E6115" t="str">
        <f t="shared" si="95"/>
        <v/>
      </c>
    </row>
    <row r="6116" spans="1:5" x14ac:dyDescent="0.2">
      <c r="A6116" t="s">
        <v>1366</v>
      </c>
      <c r="B6116" t="s">
        <v>1367</v>
      </c>
      <c r="C6116" t="s">
        <v>465</v>
      </c>
      <c r="D6116" t="e">
        <f>VLOOKUP(C6116,'lookup table'!$A$2:$B$19,2,FALSE)</f>
        <v>#N/A</v>
      </c>
      <c r="E6116" t="str">
        <f t="shared" si="95"/>
        <v/>
      </c>
    </row>
    <row r="6117" spans="1:5" x14ac:dyDescent="0.2">
      <c r="A6117" t="s">
        <v>1368</v>
      </c>
      <c r="B6117" t="s">
        <v>1367</v>
      </c>
      <c r="C6117" t="s">
        <v>2</v>
      </c>
      <c r="D6117" t="e">
        <f>VLOOKUP(C6117,'lookup table'!$A$2:$B$19,2,FALSE)</f>
        <v>#N/A</v>
      </c>
      <c r="E6117" t="str">
        <f t="shared" si="95"/>
        <v/>
      </c>
    </row>
    <row r="6118" spans="1:5" x14ac:dyDescent="0.2">
      <c r="A6118" t="s">
        <v>1368</v>
      </c>
      <c r="B6118" t="s">
        <v>1367</v>
      </c>
      <c r="C6118" t="s">
        <v>5</v>
      </c>
      <c r="D6118" t="e">
        <f>VLOOKUP(C6118,'lookup table'!$A$2:$B$19,2,FALSE)</f>
        <v>#N/A</v>
      </c>
      <c r="E6118" t="str">
        <f t="shared" si="95"/>
        <v/>
      </c>
    </row>
    <row r="6119" spans="1:5" x14ac:dyDescent="0.2">
      <c r="A6119" t="s">
        <v>1368</v>
      </c>
      <c r="B6119" t="s">
        <v>1367</v>
      </c>
      <c r="C6119" t="s">
        <v>6</v>
      </c>
      <c r="D6119" t="e">
        <f>VLOOKUP(C6119,'lookup table'!$A$2:$B$19,2,FALSE)</f>
        <v>#N/A</v>
      </c>
      <c r="E6119" t="str">
        <f t="shared" si="95"/>
        <v/>
      </c>
    </row>
    <row r="6120" spans="1:5" x14ac:dyDescent="0.2">
      <c r="A6120" t="s">
        <v>1368</v>
      </c>
      <c r="B6120" t="s">
        <v>1367</v>
      </c>
      <c r="C6120" t="s">
        <v>9</v>
      </c>
      <c r="D6120" t="e">
        <f>VLOOKUP(C6120,'lookup table'!$A$2:$B$19,2,FALSE)</f>
        <v>#N/A</v>
      </c>
      <c r="E6120" t="str">
        <f t="shared" si="95"/>
        <v/>
      </c>
    </row>
    <row r="6121" spans="1:5" x14ac:dyDescent="0.2">
      <c r="A6121" t="s">
        <v>1368</v>
      </c>
      <c r="B6121" t="s">
        <v>1367</v>
      </c>
      <c r="C6121" t="s">
        <v>10</v>
      </c>
      <c r="D6121" t="e">
        <f>VLOOKUP(C6121,'lookup table'!$A$2:$B$19,2,FALSE)</f>
        <v>#N/A</v>
      </c>
      <c r="E6121" t="str">
        <f t="shared" si="95"/>
        <v/>
      </c>
    </row>
    <row r="6122" spans="1:5" x14ac:dyDescent="0.2">
      <c r="A6122" t="s">
        <v>1368</v>
      </c>
      <c r="B6122" t="s">
        <v>1367</v>
      </c>
      <c r="C6122" t="s">
        <v>11</v>
      </c>
      <c r="D6122" t="e">
        <f>VLOOKUP(C6122,'lookup table'!$A$2:$B$19,2,FALSE)</f>
        <v>#N/A</v>
      </c>
      <c r="E6122" t="str">
        <f t="shared" si="95"/>
        <v/>
      </c>
    </row>
    <row r="6123" spans="1:5" x14ac:dyDescent="0.2">
      <c r="A6123" t="s">
        <v>1368</v>
      </c>
      <c r="B6123" t="s">
        <v>1367</v>
      </c>
      <c r="C6123" t="s">
        <v>12</v>
      </c>
      <c r="D6123" t="e">
        <f>VLOOKUP(C6123,'lookup table'!$A$2:$B$19,2,FALSE)</f>
        <v>#N/A</v>
      </c>
      <c r="E6123" t="str">
        <f t="shared" si="95"/>
        <v/>
      </c>
    </row>
    <row r="6124" spans="1:5" x14ac:dyDescent="0.2">
      <c r="A6124" t="s">
        <v>1368</v>
      </c>
      <c r="B6124" t="s">
        <v>1367</v>
      </c>
      <c r="C6124" t="s">
        <v>14</v>
      </c>
      <c r="D6124" t="str">
        <f>VLOOKUP(C6124,'lookup table'!$A$2:$B$19,2,FALSE)</f>
        <v>ALC</v>
      </c>
      <c r="E6124" t="str">
        <f t="shared" si="95"/>
        <v>DR5PRU_14|ALC</v>
      </c>
    </row>
    <row r="6125" spans="1:5" x14ac:dyDescent="0.2">
      <c r="A6125" t="s">
        <v>1368</v>
      </c>
      <c r="B6125" t="s">
        <v>1367</v>
      </c>
      <c r="C6125" t="s">
        <v>20</v>
      </c>
      <c r="D6125" t="str">
        <f>VLOOKUP(C6125,'lookup table'!$A$2:$B$19,2,FALSE)</f>
        <v>AY</v>
      </c>
      <c r="E6125" t="str">
        <f t="shared" si="95"/>
        <v>DR5PRU_14|AY</v>
      </c>
    </row>
    <row r="6126" spans="1:5" x14ac:dyDescent="0.2">
      <c r="A6126" t="s">
        <v>1368</v>
      </c>
      <c r="B6126" t="s">
        <v>1367</v>
      </c>
      <c r="C6126" t="s">
        <v>324</v>
      </c>
      <c r="D6126" t="e">
        <f>VLOOKUP(C6126,'lookup table'!$A$2:$B$19,2,FALSE)</f>
        <v>#N/A</v>
      </c>
      <c r="E6126" t="str">
        <f t="shared" si="95"/>
        <v/>
      </c>
    </row>
    <row r="6127" spans="1:5" x14ac:dyDescent="0.2">
      <c r="A6127" t="s">
        <v>1368</v>
      </c>
      <c r="B6127" t="s">
        <v>1367</v>
      </c>
      <c r="C6127" t="s">
        <v>325</v>
      </c>
      <c r="D6127" t="e">
        <f>VLOOKUP(C6127,'lookup table'!$A$2:$B$19,2,FALSE)</f>
        <v>#N/A</v>
      </c>
      <c r="E6127" t="str">
        <f t="shared" si="95"/>
        <v/>
      </c>
    </row>
    <row r="6128" spans="1:5" x14ac:dyDescent="0.2">
      <c r="A6128" t="s">
        <v>1368</v>
      </c>
      <c r="B6128" t="s">
        <v>1367</v>
      </c>
      <c r="C6128" t="s">
        <v>326</v>
      </c>
      <c r="D6128" t="e">
        <f>VLOOKUP(C6128,'lookup table'!$A$2:$B$19,2,FALSE)</f>
        <v>#N/A</v>
      </c>
      <c r="E6128" t="str">
        <f t="shared" si="95"/>
        <v/>
      </c>
    </row>
    <row r="6129" spans="1:5" x14ac:dyDescent="0.2">
      <c r="A6129" t="s">
        <v>1368</v>
      </c>
      <c r="B6129" t="s">
        <v>1367</v>
      </c>
      <c r="C6129" t="s">
        <v>327</v>
      </c>
      <c r="D6129" t="e">
        <f>VLOOKUP(C6129,'lookup table'!$A$2:$B$19,2,FALSE)</f>
        <v>#N/A</v>
      </c>
      <c r="E6129" t="str">
        <f t="shared" si="95"/>
        <v/>
      </c>
    </row>
    <row r="6130" spans="1:5" x14ac:dyDescent="0.2">
      <c r="A6130" t="s">
        <v>1368</v>
      </c>
      <c r="B6130" t="s">
        <v>1367</v>
      </c>
      <c r="C6130" t="s">
        <v>328</v>
      </c>
      <c r="D6130" t="e">
        <f>VLOOKUP(C6130,'lookup table'!$A$2:$B$19,2,FALSE)</f>
        <v>#N/A</v>
      </c>
      <c r="E6130" t="str">
        <f t="shared" si="95"/>
        <v/>
      </c>
    </row>
    <row r="6131" spans="1:5" x14ac:dyDescent="0.2">
      <c r="A6131" t="s">
        <v>1368</v>
      </c>
      <c r="B6131" t="s">
        <v>1367</v>
      </c>
      <c r="C6131" t="s">
        <v>329</v>
      </c>
      <c r="D6131" t="e">
        <f>VLOOKUP(C6131,'lookup table'!$A$2:$B$19,2,FALSE)</f>
        <v>#N/A</v>
      </c>
      <c r="E6131" t="str">
        <f t="shared" si="95"/>
        <v/>
      </c>
    </row>
    <row r="6132" spans="1:5" x14ac:dyDescent="0.2">
      <c r="A6132" t="s">
        <v>1368</v>
      </c>
      <c r="B6132" t="s">
        <v>1367</v>
      </c>
      <c r="C6132" t="s">
        <v>331</v>
      </c>
      <c r="D6132" t="str">
        <f>VLOOKUP(C6132,'lookup table'!$A$2:$B$19,2,FALSE)</f>
        <v>FS Item</v>
      </c>
      <c r="E6132" t="str">
        <f t="shared" si="95"/>
        <v>DR5PRU_14|FS Item</v>
      </c>
    </row>
    <row r="6133" spans="1:5" x14ac:dyDescent="0.2">
      <c r="A6133" t="s">
        <v>1368</v>
      </c>
      <c r="B6133" t="s">
        <v>1367</v>
      </c>
      <c r="C6133" t="s">
        <v>422</v>
      </c>
      <c r="D6133" t="e">
        <f>VLOOKUP(C6133,'lookup table'!$A$2:$B$19,2,FALSE)</f>
        <v>#N/A</v>
      </c>
      <c r="E6133" t="str">
        <f t="shared" si="95"/>
        <v/>
      </c>
    </row>
    <row r="6134" spans="1:5" x14ac:dyDescent="0.2">
      <c r="A6134" t="s">
        <v>1368</v>
      </c>
      <c r="B6134" t="s">
        <v>1367</v>
      </c>
      <c r="C6134" t="s">
        <v>423</v>
      </c>
      <c r="D6134" t="str">
        <f>VLOOKUP(C6134,'lookup table'!$A$2:$B$19,2,FALSE)</f>
        <v>ignore</v>
      </c>
      <c r="E6134" t="str">
        <f t="shared" si="95"/>
        <v>DR5PRU_14|ignore</v>
      </c>
    </row>
    <row r="6135" spans="1:5" x14ac:dyDescent="0.2">
      <c r="A6135" t="s">
        <v>1368</v>
      </c>
      <c r="B6135" t="s">
        <v>1367</v>
      </c>
      <c r="C6135" t="s">
        <v>424</v>
      </c>
      <c r="D6135" t="str">
        <f>VLOOKUP(C6135,'lookup table'!$A$2:$B$19,2,FALSE)</f>
        <v>GRC</v>
      </c>
      <c r="E6135" t="str">
        <f t="shared" si="95"/>
        <v>DR5PRU_14|GRC</v>
      </c>
    </row>
    <row r="6136" spans="1:5" x14ac:dyDescent="0.2">
      <c r="A6136" t="s">
        <v>1368</v>
      </c>
      <c r="B6136" t="s">
        <v>1367</v>
      </c>
      <c r="C6136" t="s">
        <v>425</v>
      </c>
      <c r="D6136" t="str">
        <f>VLOOKUP(C6136,'lookup table'!$A$2:$B$19,2,FALSE)</f>
        <v>Investee Segment</v>
      </c>
      <c r="E6136" t="str">
        <f t="shared" si="95"/>
        <v>DR5PRU_14|Investee Segment</v>
      </c>
    </row>
    <row r="6137" spans="1:5" x14ac:dyDescent="0.2">
      <c r="A6137" t="s">
        <v>1368</v>
      </c>
      <c r="B6137" t="s">
        <v>1367</v>
      </c>
      <c r="C6137" t="s">
        <v>426</v>
      </c>
      <c r="D6137" t="str">
        <f>VLOOKUP(C6137,'lookup table'!$A$2:$B$19,2,FALSE)</f>
        <v>Investee Unit</v>
      </c>
      <c r="E6137" t="str">
        <f t="shared" si="95"/>
        <v>DR5PRU_14|Investee Unit</v>
      </c>
    </row>
    <row r="6138" spans="1:5" x14ac:dyDescent="0.2">
      <c r="A6138" t="s">
        <v>1368</v>
      </c>
      <c r="B6138" t="s">
        <v>1367</v>
      </c>
      <c r="C6138" t="s">
        <v>428</v>
      </c>
      <c r="D6138" t="str">
        <f>VLOOKUP(C6138,'lookup table'!$A$2:$B$19,2,FALSE)</f>
        <v>LoB</v>
      </c>
      <c r="E6138" t="str">
        <f t="shared" si="95"/>
        <v>DR5PRU_14|LoB</v>
      </c>
    </row>
    <row r="6139" spans="1:5" x14ac:dyDescent="0.2">
      <c r="A6139" t="s">
        <v>1368</v>
      </c>
      <c r="B6139" t="s">
        <v>1367</v>
      </c>
      <c r="C6139" t="s">
        <v>436</v>
      </c>
      <c r="D6139" t="str">
        <f>VLOOKUP(C6139,'lookup table'!$A$2:$B$19,2,FALSE)</f>
        <v>MAT</v>
      </c>
      <c r="E6139" t="str">
        <f t="shared" si="95"/>
        <v>DR5PRU_14|MAT</v>
      </c>
    </row>
    <row r="6140" spans="1:5" x14ac:dyDescent="0.2">
      <c r="A6140" t="s">
        <v>1368</v>
      </c>
      <c r="B6140" t="s">
        <v>1367</v>
      </c>
      <c r="C6140" t="s">
        <v>441</v>
      </c>
      <c r="D6140" t="str">
        <f>VLOOKUP(C6140,'lookup table'!$A$2:$B$19,2,FALSE)</f>
        <v>Partner Segment</v>
      </c>
      <c r="E6140" t="str">
        <f t="shared" si="95"/>
        <v>DR5PRU_14|Partner Segment</v>
      </c>
    </row>
    <row r="6141" spans="1:5" x14ac:dyDescent="0.2">
      <c r="A6141" t="s">
        <v>1368</v>
      </c>
      <c r="B6141" t="s">
        <v>1367</v>
      </c>
      <c r="C6141" t="s">
        <v>442</v>
      </c>
      <c r="D6141" t="str">
        <f>VLOOKUP(C6141,'lookup table'!$A$2:$B$19,2,FALSE)</f>
        <v>Partner Unit</v>
      </c>
      <c r="E6141" t="str">
        <f t="shared" si="95"/>
        <v>DR5PRU_14|Partner Unit</v>
      </c>
    </row>
    <row r="6142" spans="1:5" x14ac:dyDescent="0.2">
      <c r="A6142" t="s">
        <v>1368</v>
      </c>
      <c r="B6142" t="s">
        <v>1367</v>
      </c>
      <c r="C6142" t="s">
        <v>447</v>
      </c>
      <c r="D6142" t="str">
        <f>VLOOKUP(C6142,'lookup table'!$A$2:$B$19,2,FALSE)</f>
        <v>REX</v>
      </c>
      <c r="E6142" t="str">
        <f t="shared" si="95"/>
        <v>DR5PRU_14|REX</v>
      </c>
    </row>
    <row r="6143" spans="1:5" x14ac:dyDescent="0.2">
      <c r="A6143" t="s">
        <v>1368</v>
      </c>
      <c r="B6143" t="s">
        <v>1367</v>
      </c>
      <c r="C6143" t="s">
        <v>448</v>
      </c>
      <c r="D6143" t="e">
        <f>VLOOKUP(C6143,'lookup table'!$A$2:$B$19,2,FALSE)</f>
        <v>#N/A</v>
      </c>
      <c r="E6143" t="str">
        <f t="shared" si="95"/>
        <v/>
      </c>
    </row>
    <row r="6144" spans="1:5" x14ac:dyDescent="0.2">
      <c r="A6144" t="s">
        <v>1368</v>
      </c>
      <c r="B6144" t="s">
        <v>1367</v>
      </c>
      <c r="C6144" t="s">
        <v>449</v>
      </c>
      <c r="D6144" t="e">
        <f>VLOOKUP(C6144,'lookup table'!$A$2:$B$19,2,FALSE)</f>
        <v>#N/A</v>
      </c>
      <c r="E6144" t="str">
        <f t="shared" si="95"/>
        <v/>
      </c>
    </row>
    <row r="6145" spans="1:5" x14ac:dyDescent="0.2">
      <c r="A6145" t="s">
        <v>1368</v>
      </c>
      <c r="B6145" t="s">
        <v>1367</v>
      </c>
      <c r="C6145" t="s">
        <v>451</v>
      </c>
      <c r="D6145" t="str">
        <f>VLOOKUP(C6145,'lookup table'!$A$2:$B$19,2,FALSE)</f>
        <v>Segment</v>
      </c>
      <c r="E6145" t="str">
        <f t="shared" si="95"/>
        <v>DR5PRU_14|Segment</v>
      </c>
    </row>
    <row r="6146" spans="1:5" x14ac:dyDescent="0.2">
      <c r="A6146" t="s">
        <v>1368</v>
      </c>
      <c r="B6146" t="s">
        <v>1367</v>
      </c>
      <c r="C6146" t="s">
        <v>455</v>
      </c>
      <c r="D6146" t="e">
        <f>VLOOKUP(C6146,'lookup table'!$A$2:$B$19,2,FALSE)</f>
        <v>#N/A</v>
      </c>
      <c r="E6146" t="str">
        <f t="shared" si="95"/>
        <v/>
      </c>
    </row>
    <row r="6147" spans="1:5" x14ac:dyDescent="0.2">
      <c r="A6147" t="s">
        <v>1368</v>
      </c>
      <c r="B6147" t="s">
        <v>1367</v>
      </c>
      <c r="C6147" t="s">
        <v>456</v>
      </c>
      <c r="D6147" t="e">
        <f>VLOOKUP(C6147,'lookup table'!$A$2:$B$19,2,FALSE)</f>
        <v>#N/A</v>
      </c>
      <c r="E6147" t="str">
        <f t="shared" ref="E6147:E6210" si="96">IF(ISNA(D6147),"",IF(A6147="","",A6147) &amp; "|" &amp; D6147)</f>
        <v/>
      </c>
    </row>
    <row r="6148" spans="1:5" x14ac:dyDescent="0.2">
      <c r="A6148" t="s">
        <v>1368</v>
      </c>
      <c r="B6148" t="s">
        <v>1367</v>
      </c>
      <c r="C6148" t="s">
        <v>457</v>
      </c>
      <c r="D6148" t="str">
        <f>VLOOKUP(C6148,'lookup table'!$A$2:$B$19,2,FALSE)</f>
        <v>VLT</v>
      </c>
      <c r="E6148" t="str">
        <f t="shared" si="96"/>
        <v>DR5PRU_14|VLT</v>
      </c>
    </row>
    <row r="6149" spans="1:5" x14ac:dyDescent="0.2">
      <c r="A6149" t="s">
        <v>1368</v>
      </c>
      <c r="B6149" t="s">
        <v>1367</v>
      </c>
      <c r="C6149" t="s">
        <v>458</v>
      </c>
      <c r="D6149" t="str">
        <f>VLOOKUP(C6149,'lookup table'!$A$2:$B$19,2,FALSE)</f>
        <v>VAR</v>
      </c>
      <c r="E6149" t="str">
        <f t="shared" si="96"/>
        <v>DR5PRU_14|VAR</v>
      </c>
    </row>
    <row r="6150" spans="1:5" x14ac:dyDescent="0.2">
      <c r="A6150" t="s">
        <v>1368</v>
      </c>
      <c r="B6150" t="s">
        <v>1367</v>
      </c>
      <c r="C6150" t="s">
        <v>459</v>
      </c>
      <c r="D6150" t="e">
        <f>VLOOKUP(C6150,'lookup table'!$A$2:$B$19,2,FALSE)</f>
        <v>#N/A</v>
      </c>
      <c r="E6150" t="str">
        <f t="shared" si="96"/>
        <v/>
      </c>
    </row>
    <row r="6151" spans="1:5" x14ac:dyDescent="0.2">
      <c r="A6151" t="s">
        <v>1368</v>
      </c>
      <c r="B6151" t="s">
        <v>1367</v>
      </c>
      <c r="C6151" t="s">
        <v>460</v>
      </c>
      <c r="D6151" t="e">
        <f>VLOOKUP(C6151,'lookup table'!$A$2:$B$19,2,FALSE)</f>
        <v>#N/A</v>
      </c>
      <c r="E6151" t="str">
        <f t="shared" si="96"/>
        <v/>
      </c>
    </row>
    <row r="6152" spans="1:5" x14ac:dyDescent="0.2">
      <c r="A6152" t="s">
        <v>1368</v>
      </c>
      <c r="B6152" t="s">
        <v>1367</v>
      </c>
      <c r="C6152" t="s">
        <v>461</v>
      </c>
      <c r="D6152" t="str">
        <f>VLOOKUP(C6152,'lookup table'!$A$2:$B$19,2,FALSE)</f>
        <v>Posting Level</v>
      </c>
      <c r="E6152" t="str">
        <f t="shared" si="96"/>
        <v>DR5PRU_14|Posting Level</v>
      </c>
    </row>
    <row r="6153" spans="1:5" x14ac:dyDescent="0.2">
      <c r="A6153" t="s">
        <v>1368</v>
      </c>
      <c r="B6153" t="s">
        <v>1367</v>
      </c>
      <c r="C6153" t="s">
        <v>462</v>
      </c>
      <c r="D6153" t="e">
        <f>VLOOKUP(C6153,'lookup table'!$A$2:$B$19,2,FALSE)</f>
        <v>#N/A</v>
      </c>
      <c r="E6153" t="str">
        <f t="shared" si="96"/>
        <v/>
      </c>
    </row>
    <row r="6154" spans="1:5" x14ac:dyDescent="0.2">
      <c r="A6154" t="s">
        <v>1368</v>
      </c>
      <c r="B6154" t="s">
        <v>1367</v>
      </c>
      <c r="C6154" t="s">
        <v>463</v>
      </c>
      <c r="D6154" t="e">
        <f>VLOOKUP(C6154,'lookup table'!$A$2:$B$19,2,FALSE)</f>
        <v>#N/A</v>
      </c>
      <c r="E6154" t="str">
        <f t="shared" si="96"/>
        <v/>
      </c>
    </row>
    <row r="6155" spans="1:5" x14ac:dyDescent="0.2">
      <c r="A6155" t="s">
        <v>1368</v>
      </c>
      <c r="B6155" t="s">
        <v>1367</v>
      </c>
      <c r="C6155" t="s">
        <v>464</v>
      </c>
      <c r="D6155" t="e">
        <f>VLOOKUP(C6155,'lookup table'!$A$2:$B$19,2,FALSE)</f>
        <v>#N/A</v>
      </c>
      <c r="E6155" t="str">
        <f t="shared" si="96"/>
        <v/>
      </c>
    </row>
    <row r="6156" spans="1:5" x14ac:dyDescent="0.2">
      <c r="A6156" t="s">
        <v>1368</v>
      </c>
      <c r="B6156" t="s">
        <v>1367</v>
      </c>
      <c r="C6156" t="s">
        <v>465</v>
      </c>
      <c r="D6156" t="e">
        <f>VLOOKUP(C6156,'lookup table'!$A$2:$B$19,2,FALSE)</f>
        <v>#N/A</v>
      </c>
      <c r="E6156" t="str">
        <f t="shared" si="96"/>
        <v/>
      </c>
    </row>
    <row r="6157" spans="1:5" x14ac:dyDescent="0.2">
      <c r="A6157" t="s">
        <v>1369</v>
      </c>
      <c r="B6157" t="s">
        <v>1370</v>
      </c>
      <c r="C6157" t="s">
        <v>2</v>
      </c>
      <c r="D6157" t="e">
        <f>VLOOKUP(C6157,'lookup table'!$A$2:$B$19,2,FALSE)</f>
        <v>#N/A</v>
      </c>
      <c r="E6157" t="str">
        <f t="shared" si="96"/>
        <v/>
      </c>
    </row>
    <row r="6158" spans="1:5" x14ac:dyDescent="0.2">
      <c r="A6158" t="s">
        <v>1369</v>
      </c>
      <c r="B6158" t="s">
        <v>1370</v>
      </c>
      <c r="C6158" t="s">
        <v>5</v>
      </c>
      <c r="D6158" t="e">
        <f>VLOOKUP(C6158,'lookup table'!$A$2:$B$19,2,FALSE)</f>
        <v>#N/A</v>
      </c>
      <c r="E6158" t="str">
        <f t="shared" si="96"/>
        <v/>
      </c>
    </row>
    <row r="6159" spans="1:5" x14ac:dyDescent="0.2">
      <c r="A6159" t="s">
        <v>1369</v>
      </c>
      <c r="B6159" t="s">
        <v>1370</v>
      </c>
      <c r="C6159" t="s">
        <v>6</v>
      </c>
      <c r="D6159" t="e">
        <f>VLOOKUP(C6159,'lookup table'!$A$2:$B$19,2,FALSE)</f>
        <v>#N/A</v>
      </c>
      <c r="E6159" t="str">
        <f t="shared" si="96"/>
        <v/>
      </c>
    </row>
    <row r="6160" spans="1:5" x14ac:dyDescent="0.2">
      <c r="A6160" t="s">
        <v>1369</v>
      </c>
      <c r="B6160" t="s">
        <v>1370</v>
      </c>
      <c r="C6160" t="s">
        <v>9</v>
      </c>
      <c r="D6160" t="e">
        <f>VLOOKUP(C6160,'lookup table'!$A$2:$B$19,2,FALSE)</f>
        <v>#N/A</v>
      </c>
      <c r="E6160" t="str">
        <f t="shared" si="96"/>
        <v/>
      </c>
    </row>
    <row r="6161" spans="1:5" x14ac:dyDescent="0.2">
      <c r="A6161" t="s">
        <v>1369</v>
      </c>
      <c r="B6161" t="s">
        <v>1370</v>
      </c>
      <c r="C6161" t="s">
        <v>10</v>
      </c>
      <c r="D6161" t="e">
        <f>VLOOKUP(C6161,'lookup table'!$A$2:$B$19,2,FALSE)</f>
        <v>#N/A</v>
      </c>
      <c r="E6161" t="str">
        <f t="shared" si="96"/>
        <v/>
      </c>
    </row>
    <row r="6162" spans="1:5" x14ac:dyDescent="0.2">
      <c r="A6162" t="s">
        <v>1369</v>
      </c>
      <c r="B6162" t="s">
        <v>1370</v>
      </c>
      <c r="C6162" t="s">
        <v>11</v>
      </c>
      <c r="D6162" t="e">
        <f>VLOOKUP(C6162,'lookup table'!$A$2:$B$19,2,FALSE)</f>
        <v>#N/A</v>
      </c>
      <c r="E6162" t="str">
        <f t="shared" si="96"/>
        <v/>
      </c>
    </row>
    <row r="6163" spans="1:5" x14ac:dyDescent="0.2">
      <c r="A6163" t="s">
        <v>1369</v>
      </c>
      <c r="B6163" t="s">
        <v>1370</v>
      </c>
      <c r="C6163" t="s">
        <v>12</v>
      </c>
      <c r="D6163" t="e">
        <f>VLOOKUP(C6163,'lookup table'!$A$2:$B$19,2,FALSE)</f>
        <v>#N/A</v>
      </c>
      <c r="E6163" t="str">
        <f t="shared" si="96"/>
        <v/>
      </c>
    </row>
    <row r="6164" spans="1:5" x14ac:dyDescent="0.2">
      <c r="A6164" t="s">
        <v>1369</v>
      </c>
      <c r="B6164" t="s">
        <v>1370</v>
      </c>
      <c r="C6164" t="s">
        <v>14</v>
      </c>
      <c r="D6164" t="str">
        <f>VLOOKUP(C6164,'lookup table'!$A$2:$B$19,2,FALSE)</f>
        <v>ALC</v>
      </c>
      <c r="E6164" t="str">
        <f t="shared" si="96"/>
        <v>DR5PSE_00|ALC</v>
      </c>
    </row>
    <row r="6165" spans="1:5" x14ac:dyDescent="0.2">
      <c r="A6165" t="s">
        <v>1369</v>
      </c>
      <c r="B6165" t="s">
        <v>1370</v>
      </c>
      <c r="C6165" t="s">
        <v>20</v>
      </c>
      <c r="D6165" t="str">
        <f>VLOOKUP(C6165,'lookup table'!$A$2:$B$19,2,FALSE)</f>
        <v>AY</v>
      </c>
      <c r="E6165" t="str">
        <f t="shared" si="96"/>
        <v>DR5PSE_00|AY</v>
      </c>
    </row>
    <row r="6166" spans="1:5" x14ac:dyDescent="0.2">
      <c r="A6166" t="s">
        <v>1369</v>
      </c>
      <c r="B6166" t="s">
        <v>1370</v>
      </c>
      <c r="C6166" t="s">
        <v>324</v>
      </c>
      <c r="D6166" t="e">
        <f>VLOOKUP(C6166,'lookup table'!$A$2:$B$19,2,FALSE)</f>
        <v>#N/A</v>
      </c>
      <c r="E6166" t="str">
        <f t="shared" si="96"/>
        <v/>
      </c>
    </row>
    <row r="6167" spans="1:5" x14ac:dyDescent="0.2">
      <c r="A6167" t="s">
        <v>1369</v>
      </c>
      <c r="B6167" t="s">
        <v>1370</v>
      </c>
      <c r="C6167" t="s">
        <v>325</v>
      </c>
      <c r="D6167" t="e">
        <f>VLOOKUP(C6167,'lookup table'!$A$2:$B$19,2,FALSE)</f>
        <v>#N/A</v>
      </c>
      <c r="E6167" t="str">
        <f t="shared" si="96"/>
        <v/>
      </c>
    </row>
    <row r="6168" spans="1:5" x14ac:dyDescent="0.2">
      <c r="A6168" t="s">
        <v>1369</v>
      </c>
      <c r="B6168" t="s">
        <v>1370</v>
      </c>
      <c r="C6168" t="s">
        <v>326</v>
      </c>
      <c r="D6168" t="e">
        <f>VLOOKUP(C6168,'lookup table'!$A$2:$B$19,2,FALSE)</f>
        <v>#N/A</v>
      </c>
      <c r="E6168" t="str">
        <f t="shared" si="96"/>
        <v/>
      </c>
    </row>
    <row r="6169" spans="1:5" x14ac:dyDescent="0.2">
      <c r="A6169" t="s">
        <v>1369</v>
      </c>
      <c r="B6169" t="s">
        <v>1370</v>
      </c>
      <c r="C6169" t="s">
        <v>327</v>
      </c>
      <c r="D6169" t="e">
        <f>VLOOKUP(C6169,'lookup table'!$A$2:$B$19,2,FALSE)</f>
        <v>#N/A</v>
      </c>
      <c r="E6169" t="str">
        <f t="shared" si="96"/>
        <v/>
      </c>
    </row>
    <row r="6170" spans="1:5" x14ac:dyDescent="0.2">
      <c r="A6170" t="s">
        <v>1369</v>
      </c>
      <c r="B6170" t="s">
        <v>1370</v>
      </c>
      <c r="C6170" t="s">
        <v>328</v>
      </c>
      <c r="D6170" t="e">
        <f>VLOOKUP(C6170,'lookup table'!$A$2:$B$19,2,FALSE)</f>
        <v>#N/A</v>
      </c>
      <c r="E6170" t="str">
        <f t="shared" si="96"/>
        <v/>
      </c>
    </row>
    <row r="6171" spans="1:5" x14ac:dyDescent="0.2">
      <c r="A6171" t="s">
        <v>1369</v>
      </c>
      <c r="B6171" t="s">
        <v>1370</v>
      </c>
      <c r="C6171" t="s">
        <v>329</v>
      </c>
      <c r="D6171" t="e">
        <f>VLOOKUP(C6171,'lookup table'!$A$2:$B$19,2,FALSE)</f>
        <v>#N/A</v>
      </c>
      <c r="E6171" t="str">
        <f t="shared" si="96"/>
        <v/>
      </c>
    </row>
    <row r="6172" spans="1:5" x14ac:dyDescent="0.2">
      <c r="A6172" t="s">
        <v>1369</v>
      </c>
      <c r="B6172" t="s">
        <v>1370</v>
      </c>
      <c r="C6172" t="s">
        <v>331</v>
      </c>
      <c r="D6172" t="str">
        <f>VLOOKUP(C6172,'lookup table'!$A$2:$B$19,2,FALSE)</f>
        <v>FS Item</v>
      </c>
      <c r="E6172" t="str">
        <f t="shared" si="96"/>
        <v>DR5PSE_00|FS Item</v>
      </c>
    </row>
    <row r="6173" spans="1:5" x14ac:dyDescent="0.2">
      <c r="A6173" t="s">
        <v>1369</v>
      </c>
      <c r="B6173" t="s">
        <v>1370</v>
      </c>
      <c r="C6173" t="s">
        <v>422</v>
      </c>
      <c r="D6173" t="e">
        <f>VLOOKUP(C6173,'lookup table'!$A$2:$B$19,2,FALSE)</f>
        <v>#N/A</v>
      </c>
      <c r="E6173" t="str">
        <f t="shared" si="96"/>
        <v/>
      </c>
    </row>
    <row r="6174" spans="1:5" x14ac:dyDescent="0.2">
      <c r="A6174" t="s">
        <v>1369</v>
      </c>
      <c r="B6174" t="s">
        <v>1370</v>
      </c>
      <c r="C6174" t="s">
        <v>423</v>
      </c>
      <c r="D6174" t="str">
        <f>VLOOKUP(C6174,'lookup table'!$A$2:$B$19,2,FALSE)</f>
        <v>ignore</v>
      </c>
      <c r="E6174" t="str">
        <f t="shared" si="96"/>
        <v>DR5PSE_00|ignore</v>
      </c>
    </row>
    <row r="6175" spans="1:5" x14ac:dyDescent="0.2">
      <c r="A6175" t="s">
        <v>1369</v>
      </c>
      <c r="B6175" t="s">
        <v>1370</v>
      </c>
      <c r="C6175" t="s">
        <v>424</v>
      </c>
      <c r="D6175" t="str">
        <f>VLOOKUP(C6175,'lookup table'!$A$2:$B$19,2,FALSE)</f>
        <v>GRC</v>
      </c>
      <c r="E6175" t="str">
        <f t="shared" si="96"/>
        <v>DR5PSE_00|GRC</v>
      </c>
    </row>
    <row r="6176" spans="1:5" x14ac:dyDescent="0.2">
      <c r="A6176" t="s">
        <v>1369</v>
      </c>
      <c r="B6176" t="s">
        <v>1370</v>
      </c>
      <c r="C6176" t="s">
        <v>425</v>
      </c>
      <c r="D6176" t="str">
        <f>VLOOKUP(C6176,'lookup table'!$A$2:$B$19,2,FALSE)</f>
        <v>Investee Segment</v>
      </c>
      <c r="E6176" t="str">
        <f t="shared" si="96"/>
        <v>DR5PSE_00|Investee Segment</v>
      </c>
    </row>
    <row r="6177" spans="1:5" x14ac:dyDescent="0.2">
      <c r="A6177" t="s">
        <v>1369</v>
      </c>
      <c r="B6177" t="s">
        <v>1370</v>
      </c>
      <c r="C6177" t="s">
        <v>426</v>
      </c>
      <c r="D6177" t="str">
        <f>VLOOKUP(C6177,'lookup table'!$A$2:$B$19,2,FALSE)</f>
        <v>Investee Unit</v>
      </c>
      <c r="E6177" t="str">
        <f t="shared" si="96"/>
        <v>DR5PSE_00|Investee Unit</v>
      </c>
    </row>
    <row r="6178" spans="1:5" x14ac:dyDescent="0.2">
      <c r="A6178" t="s">
        <v>1369</v>
      </c>
      <c r="B6178" t="s">
        <v>1370</v>
      </c>
      <c r="C6178" t="s">
        <v>428</v>
      </c>
      <c r="D6178" t="str">
        <f>VLOOKUP(C6178,'lookup table'!$A$2:$B$19,2,FALSE)</f>
        <v>LoB</v>
      </c>
      <c r="E6178" t="str">
        <f t="shared" si="96"/>
        <v>DR5PSE_00|LoB</v>
      </c>
    </row>
    <row r="6179" spans="1:5" x14ac:dyDescent="0.2">
      <c r="A6179" t="s">
        <v>1369</v>
      </c>
      <c r="B6179" t="s">
        <v>1370</v>
      </c>
      <c r="C6179" t="s">
        <v>436</v>
      </c>
      <c r="D6179" t="str">
        <f>VLOOKUP(C6179,'lookup table'!$A$2:$B$19,2,FALSE)</f>
        <v>MAT</v>
      </c>
      <c r="E6179" t="str">
        <f t="shared" si="96"/>
        <v>DR5PSE_00|MAT</v>
      </c>
    </row>
    <row r="6180" spans="1:5" x14ac:dyDescent="0.2">
      <c r="A6180" t="s">
        <v>1369</v>
      </c>
      <c r="B6180" t="s">
        <v>1370</v>
      </c>
      <c r="C6180" t="s">
        <v>441</v>
      </c>
      <c r="D6180" t="str">
        <f>VLOOKUP(C6180,'lookup table'!$A$2:$B$19,2,FALSE)</f>
        <v>Partner Segment</v>
      </c>
      <c r="E6180" t="str">
        <f t="shared" si="96"/>
        <v>DR5PSE_00|Partner Segment</v>
      </c>
    </row>
    <row r="6181" spans="1:5" x14ac:dyDescent="0.2">
      <c r="A6181" t="s">
        <v>1369</v>
      </c>
      <c r="B6181" t="s">
        <v>1370</v>
      </c>
      <c r="C6181" t="s">
        <v>442</v>
      </c>
      <c r="D6181" t="str">
        <f>VLOOKUP(C6181,'lookup table'!$A$2:$B$19,2,FALSE)</f>
        <v>Partner Unit</v>
      </c>
      <c r="E6181" t="str">
        <f t="shared" si="96"/>
        <v>DR5PSE_00|Partner Unit</v>
      </c>
    </row>
    <row r="6182" spans="1:5" x14ac:dyDescent="0.2">
      <c r="A6182" t="s">
        <v>1369</v>
      </c>
      <c r="B6182" t="s">
        <v>1370</v>
      </c>
      <c r="C6182" t="s">
        <v>447</v>
      </c>
      <c r="D6182" t="str">
        <f>VLOOKUP(C6182,'lookup table'!$A$2:$B$19,2,FALSE)</f>
        <v>REX</v>
      </c>
      <c r="E6182" t="str">
        <f t="shared" si="96"/>
        <v>DR5PSE_00|REX</v>
      </c>
    </row>
    <row r="6183" spans="1:5" x14ac:dyDescent="0.2">
      <c r="A6183" t="s">
        <v>1369</v>
      </c>
      <c r="B6183" t="s">
        <v>1370</v>
      </c>
      <c r="C6183" t="s">
        <v>448</v>
      </c>
      <c r="D6183" t="e">
        <f>VLOOKUP(C6183,'lookup table'!$A$2:$B$19,2,FALSE)</f>
        <v>#N/A</v>
      </c>
      <c r="E6183" t="str">
        <f t="shared" si="96"/>
        <v/>
      </c>
    </row>
    <row r="6184" spans="1:5" x14ac:dyDescent="0.2">
      <c r="A6184" t="s">
        <v>1369</v>
      </c>
      <c r="B6184" t="s">
        <v>1370</v>
      </c>
      <c r="C6184" t="s">
        <v>449</v>
      </c>
      <c r="D6184" t="e">
        <f>VLOOKUP(C6184,'lookup table'!$A$2:$B$19,2,FALSE)</f>
        <v>#N/A</v>
      </c>
      <c r="E6184" t="str">
        <f t="shared" si="96"/>
        <v/>
      </c>
    </row>
    <row r="6185" spans="1:5" x14ac:dyDescent="0.2">
      <c r="A6185" t="s">
        <v>1369</v>
      </c>
      <c r="B6185" t="s">
        <v>1370</v>
      </c>
      <c r="C6185" t="s">
        <v>451</v>
      </c>
      <c r="D6185" t="str">
        <f>VLOOKUP(C6185,'lookup table'!$A$2:$B$19,2,FALSE)</f>
        <v>Segment</v>
      </c>
      <c r="E6185" t="str">
        <f t="shared" si="96"/>
        <v>DR5PSE_00|Segment</v>
      </c>
    </row>
    <row r="6186" spans="1:5" x14ac:dyDescent="0.2">
      <c r="A6186" t="s">
        <v>1369</v>
      </c>
      <c r="B6186" t="s">
        <v>1370</v>
      </c>
      <c r="C6186" t="s">
        <v>455</v>
      </c>
      <c r="D6186" t="e">
        <f>VLOOKUP(C6186,'lookup table'!$A$2:$B$19,2,FALSE)</f>
        <v>#N/A</v>
      </c>
      <c r="E6186" t="str">
        <f t="shared" si="96"/>
        <v/>
      </c>
    </row>
    <row r="6187" spans="1:5" x14ac:dyDescent="0.2">
      <c r="A6187" t="s">
        <v>1369</v>
      </c>
      <c r="B6187" t="s">
        <v>1370</v>
      </c>
      <c r="C6187" t="s">
        <v>456</v>
      </c>
      <c r="D6187" t="e">
        <f>VLOOKUP(C6187,'lookup table'!$A$2:$B$19,2,FALSE)</f>
        <v>#N/A</v>
      </c>
      <c r="E6187" t="str">
        <f t="shared" si="96"/>
        <v/>
      </c>
    </row>
    <row r="6188" spans="1:5" x14ac:dyDescent="0.2">
      <c r="A6188" t="s">
        <v>1369</v>
      </c>
      <c r="B6188" t="s">
        <v>1370</v>
      </c>
      <c r="C6188" t="s">
        <v>457</v>
      </c>
      <c r="D6188" t="str">
        <f>VLOOKUP(C6188,'lookup table'!$A$2:$B$19,2,FALSE)</f>
        <v>VLT</v>
      </c>
      <c r="E6188" t="str">
        <f t="shared" si="96"/>
        <v>DR5PSE_00|VLT</v>
      </c>
    </row>
    <row r="6189" spans="1:5" x14ac:dyDescent="0.2">
      <c r="A6189" t="s">
        <v>1369</v>
      </c>
      <c r="B6189" t="s">
        <v>1370</v>
      </c>
      <c r="C6189" t="s">
        <v>458</v>
      </c>
      <c r="D6189" t="str">
        <f>VLOOKUP(C6189,'lookup table'!$A$2:$B$19,2,FALSE)</f>
        <v>VAR</v>
      </c>
      <c r="E6189" t="str">
        <f t="shared" si="96"/>
        <v>DR5PSE_00|VAR</v>
      </c>
    </row>
    <row r="6190" spans="1:5" x14ac:dyDescent="0.2">
      <c r="A6190" t="s">
        <v>1369</v>
      </c>
      <c r="B6190" t="s">
        <v>1370</v>
      </c>
      <c r="C6190" t="s">
        <v>459</v>
      </c>
      <c r="D6190" t="e">
        <f>VLOOKUP(C6190,'lookup table'!$A$2:$B$19,2,FALSE)</f>
        <v>#N/A</v>
      </c>
      <c r="E6190" t="str">
        <f t="shared" si="96"/>
        <v/>
      </c>
    </row>
    <row r="6191" spans="1:5" x14ac:dyDescent="0.2">
      <c r="A6191" t="s">
        <v>1369</v>
      </c>
      <c r="B6191" t="s">
        <v>1370</v>
      </c>
      <c r="C6191" t="s">
        <v>460</v>
      </c>
      <c r="D6191" t="e">
        <f>VLOOKUP(C6191,'lookup table'!$A$2:$B$19,2,FALSE)</f>
        <v>#N/A</v>
      </c>
      <c r="E6191" t="str">
        <f t="shared" si="96"/>
        <v/>
      </c>
    </row>
    <row r="6192" spans="1:5" x14ac:dyDescent="0.2">
      <c r="A6192" t="s">
        <v>1369</v>
      </c>
      <c r="B6192" t="s">
        <v>1370</v>
      </c>
      <c r="C6192" t="s">
        <v>461</v>
      </c>
      <c r="D6192" t="str">
        <f>VLOOKUP(C6192,'lookup table'!$A$2:$B$19,2,FALSE)</f>
        <v>Posting Level</v>
      </c>
      <c r="E6192" t="str">
        <f t="shared" si="96"/>
        <v>DR5PSE_00|Posting Level</v>
      </c>
    </row>
    <row r="6193" spans="1:5" x14ac:dyDescent="0.2">
      <c r="A6193" t="s">
        <v>1369</v>
      </c>
      <c r="B6193" t="s">
        <v>1370</v>
      </c>
      <c r="C6193" t="s">
        <v>462</v>
      </c>
      <c r="D6193" t="e">
        <f>VLOOKUP(C6193,'lookup table'!$A$2:$B$19,2,FALSE)</f>
        <v>#N/A</v>
      </c>
      <c r="E6193" t="str">
        <f t="shared" si="96"/>
        <v/>
      </c>
    </row>
    <row r="6194" spans="1:5" x14ac:dyDescent="0.2">
      <c r="A6194" t="s">
        <v>1369</v>
      </c>
      <c r="B6194" t="s">
        <v>1370</v>
      </c>
      <c r="C6194" t="s">
        <v>463</v>
      </c>
      <c r="D6194" t="e">
        <f>VLOOKUP(C6194,'lookup table'!$A$2:$B$19,2,FALSE)</f>
        <v>#N/A</v>
      </c>
      <c r="E6194" t="str">
        <f t="shared" si="96"/>
        <v/>
      </c>
    </row>
    <row r="6195" spans="1:5" x14ac:dyDescent="0.2">
      <c r="A6195" t="s">
        <v>1369</v>
      </c>
      <c r="B6195" t="s">
        <v>1370</v>
      </c>
      <c r="C6195" t="s">
        <v>464</v>
      </c>
      <c r="D6195" t="e">
        <f>VLOOKUP(C6195,'lookup table'!$A$2:$B$19,2,FALSE)</f>
        <v>#N/A</v>
      </c>
      <c r="E6195" t="str">
        <f t="shared" si="96"/>
        <v/>
      </c>
    </row>
    <row r="6196" spans="1:5" x14ac:dyDescent="0.2">
      <c r="A6196" t="s">
        <v>1369</v>
      </c>
      <c r="B6196" t="s">
        <v>1370</v>
      </c>
      <c r="C6196" t="s">
        <v>465</v>
      </c>
      <c r="D6196" t="e">
        <f>VLOOKUP(C6196,'lookup table'!$A$2:$B$19,2,FALSE)</f>
        <v>#N/A</v>
      </c>
      <c r="E6196" t="str">
        <f t="shared" si="96"/>
        <v/>
      </c>
    </row>
    <row r="6197" spans="1:5" x14ac:dyDescent="0.2">
      <c r="A6197" t="s">
        <v>1371</v>
      </c>
      <c r="B6197" t="s">
        <v>1370</v>
      </c>
      <c r="C6197" t="s">
        <v>2</v>
      </c>
      <c r="D6197" t="e">
        <f>VLOOKUP(C6197,'lookup table'!$A$2:$B$19,2,FALSE)</f>
        <v>#N/A</v>
      </c>
      <c r="E6197" t="str">
        <f t="shared" si="96"/>
        <v/>
      </c>
    </row>
    <row r="6198" spans="1:5" x14ac:dyDescent="0.2">
      <c r="A6198" t="s">
        <v>1371</v>
      </c>
      <c r="B6198" t="s">
        <v>1370</v>
      </c>
      <c r="C6198" t="s">
        <v>5</v>
      </c>
      <c r="D6198" t="e">
        <f>VLOOKUP(C6198,'lookup table'!$A$2:$B$19,2,FALSE)</f>
        <v>#N/A</v>
      </c>
      <c r="E6198" t="str">
        <f t="shared" si="96"/>
        <v/>
      </c>
    </row>
    <row r="6199" spans="1:5" x14ac:dyDescent="0.2">
      <c r="A6199" t="s">
        <v>1371</v>
      </c>
      <c r="B6199" t="s">
        <v>1370</v>
      </c>
      <c r="C6199" t="s">
        <v>6</v>
      </c>
      <c r="D6199" t="e">
        <f>VLOOKUP(C6199,'lookup table'!$A$2:$B$19,2,FALSE)</f>
        <v>#N/A</v>
      </c>
      <c r="E6199" t="str">
        <f t="shared" si="96"/>
        <v/>
      </c>
    </row>
    <row r="6200" spans="1:5" x14ac:dyDescent="0.2">
      <c r="A6200" t="s">
        <v>1371</v>
      </c>
      <c r="B6200" t="s">
        <v>1370</v>
      </c>
      <c r="C6200" t="s">
        <v>9</v>
      </c>
      <c r="D6200" t="e">
        <f>VLOOKUP(C6200,'lookup table'!$A$2:$B$19,2,FALSE)</f>
        <v>#N/A</v>
      </c>
      <c r="E6200" t="str">
        <f t="shared" si="96"/>
        <v/>
      </c>
    </row>
    <row r="6201" spans="1:5" x14ac:dyDescent="0.2">
      <c r="A6201" t="s">
        <v>1371</v>
      </c>
      <c r="B6201" t="s">
        <v>1370</v>
      </c>
      <c r="C6201" t="s">
        <v>10</v>
      </c>
      <c r="D6201" t="e">
        <f>VLOOKUP(C6201,'lookup table'!$A$2:$B$19,2,FALSE)</f>
        <v>#N/A</v>
      </c>
      <c r="E6201" t="str">
        <f t="shared" si="96"/>
        <v/>
      </c>
    </row>
    <row r="6202" spans="1:5" x14ac:dyDescent="0.2">
      <c r="A6202" t="s">
        <v>1371</v>
      </c>
      <c r="B6202" t="s">
        <v>1370</v>
      </c>
      <c r="C6202" t="s">
        <v>11</v>
      </c>
      <c r="D6202" t="e">
        <f>VLOOKUP(C6202,'lookup table'!$A$2:$B$19,2,FALSE)</f>
        <v>#N/A</v>
      </c>
      <c r="E6202" t="str">
        <f t="shared" si="96"/>
        <v/>
      </c>
    </row>
    <row r="6203" spans="1:5" x14ac:dyDescent="0.2">
      <c r="A6203" t="s">
        <v>1371</v>
      </c>
      <c r="B6203" t="s">
        <v>1370</v>
      </c>
      <c r="C6203" t="s">
        <v>12</v>
      </c>
      <c r="D6203" t="e">
        <f>VLOOKUP(C6203,'lookup table'!$A$2:$B$19,2,FALSE)</f>
        <v>#N/A</v>
      </c>
      <c r="E6203" t="str">
        <f t="shared" si="96"/>
        <v/>
      </c>
    </row>
    <row r="6204" spans="1:5" x14ac:dyDescent="0.2">
      <c r="A6204" t="s">
        <v>1371</v>
      </c>
      <c r="B6204" t="s">
        <v>1370</v>
      </c>
      <c r="C6204" t="s">
        <v>14</v>
      </c>
      <c r="D6204" t="str">
        <f>VLOOKUP(C6204,'lookup table'!$A$2:$B$19,2,FALSE)</f>
        <v>ALC</v>
      </c>
      <c r="E6204" t="str">
        <f t="shared" si="96"/>
        <v>DR5PSE_14|ALC</v>
      </c>
    </row>
    <row r="6205" spans="1:5" x14ac:dyDescent="0.2">
      <c r="A6205" t="s">
        <v>1371</v>
      </c>
      <c r="B6205" t="s">
        <v>1370</v>
      </c>
      <c r="C6205" t="s">
        <v>20</v>
      </c>
      <c r="D6205" t="str">
        <f>VLOOKUP(C6205,'lookup table'!$A$2:$B$19,2,FALSE)</f>
        <v>AY</v>
      </c>
      <c r="E6205" t="str">
        <f t="shared" si="96"/>
        <v>DR5PSE_14|AY</v>
      </c>
    </row>
    <row r="6206" spans="1:5" x14ac:dyDescent="0.2">
      <c r="A6206" t="s">
        <v>1371</v>
      </c>
      <c r="B6206" t="s">
        <v>1370</v>
      </c>
      <c r="C6206" t="s">
        <v>324</v>
      </c>
      <c r="D6206" t="e">
        <f>VLOOKUP(C6206,'lookup table'!$A$2:$B$19,2,FALSE)</f>
        <v>#N/A</v>
      </c>
      <c r="E6206" t="str">
        <f t="shared" si="96"/>
        <v/>
      </c>
    </row>
    <row r="6207" spans="1:5" x14ac:dyDescent="0.2">
      <c r="A6207" t="s">
        <v>1371</v>
      </c>
      <c r="B6207" t="s">
        <v>1370</v>
      </c>
      <c r="C6207" t="s">
        <v>325</v>
      </c>
      <c r="D6207" t="e">
        <f>VLOOKUP(C6207,'lookup table'!$A$2:$B$19,2,FALSE)</f>
        <v>#N/A</v>
      </c>
      <c r="E6207" t="str">
        <f t="shared" si="96"/>
        <v/>
      </c>
    </row>
    <row r="6208" spans="1:5" x14ac:dyDescent="0.2">
      <c r="A6208" t="s">
        <v>1371</v>
      </c>
      <c r="B6208" t="s">
        <v>1370</v>
      </c>
      <c r="C6208" t="s">
        <v>326</v>
      </c>
      <c r="D6208" t="e">
        <f>VLOOKUP(C6208,'lookup table'!$A$2:$B$19,2,FALSE)</f>
        <v>#N/A</v>
      </c>
      <c r="E6208" t="str">
        <f t="shared" si="96"/>
        <v/>
      </c>
    </row>
    <row r="6209" spans="1:5" x14ac:dyDescent="0.2">
      <c r="A6209" t="s">
        <v>1371</v>
      </c>
      <c r="B6209" t="s">
        <v>1370</v>
      </c>
      <c r="C6209" t="s">
        <v>327</v>
      </c>
      <c r="D6209" t="e">
        <f>VLOOKUP(C6209,'lookup table'!$A$2:$B$19,2,FALSE)</f>
        <v>#N/A</v>
      </c>
      <c r="E6209" t="str">
        <f t="shared" si="96"/>
        <v/>
      </c>
    </row>
    <row r="6210" spans="1:5" x14ac:dyDescent="0.2">
      <c r="A6210" t="s">
        <v>1371</v>
      </c>
      <c r="B6210" t="s">
        <v>1370</v>
      </c>
      <c r="C6210" t="s">
        <v>328</v>
      </c>
      <c r="D6210" t="e">
        <f>VLOOKUP(C6210,'lookup table'!$A$2:$B$19,2,FALSE)</f>
        <v>#N/A</v>
      </c>
      <c r="E6210" t="str">
        <f t="shared" si="96"/>
        <v/>
      </c>
    </row>
    <row r="6211" spans="1:5" x14ac:dyDescent="0.2">
      <c r="A6211" t="s">
        <v>1371</v>
      </c>
      <c r="B6211" t="s">
        <v>1370</v>
      </c>
      <c r="C6211" t="s">
        <v>329</v>
      </c>
      <c r="D6211" t="e">
        <f>VLOOKUP(C6211,'lookup table'!$A$2:$B$19,2,FALSE)</f>
        <v>#N/A</v>
      </c>
      <c r="E6211" t="str">
        <f t="shared" ref="E6211:E6274" si="97">IF(ISNA(D6211),"",IF(A6211="","",A6211) &amp; "|" &amp; D6211)</f>
        <v/>
      </c>
    </row>
    <row r="6212" spans="1:5" x14ac:dyDescent="0.2">
      <c r="A6212" t="s">
        <v>1371</v>
      </c>
      <c r="B6212" t="s">
        <v>1370</v>
      </c>
      <c r="C6212" t="s">
        <v>331</v>
      </c>
      <c r="D6212" t="str">
        <f>VLOOKUP(C6212,'lookup table'!$A$2:$B$19,2,FALSE)</f>
        <v>FS Item</v>
      </c>
      <c r="E6212" t="str">
        <f t="shared" si="97"/>
        <v>DR5PSE_14|FS Item</v>
      </c>
    </row>
    <row r="6213" spans="1:5" x14ac:dyDescent="0.2">
      <c r="A6213" t="s">
        <v>1371</v>
      </c>
      <c r="B6213" t="s">
        <v>1370</v>
      </c>
      <c r="C6213" t="s">
        <v>422</v>
      </c>
      <c r="D6213" t="e">
        <f>VLOOKUP(C6213,'lookup table'!$A$2:$B$19,2,FALSE)</f>
        <v>#N/A</v>
      </c>
      <c r="E6213" t="str">
        <f t="shared" si="97"/>
        <v/>
      </c>
    </row>
    <row r="6214" spans="1:5" x14ac:dyDescent="0.2">
      <c r="A6214" t="s">
        <v>1371</v>
      </c>
      <c r="B6214" t="s">
        <v>1370</v>
      </c>
      <c r="C6214" t="s">
        <v>423</v>
      </c>
      <c r="D6214" t="str">
        <f>VLOOKUP(C6214,'lookup table'!$A$2:$B$19,2,FALSE)</f>
        <v>ignore</v>
      </c>
      <c r="E6214" t="str">
        <f t="shared" si="97"/>
        <v>DR5PSE_14|ignore</v>
      </c>
    </row>
    <row r="6215" spans="1:5" x14ac:dyDescent="0.2">
      <c r="A6215" t="s">
        <v>1371</v>
      </c>
      <c r="B6215" t="s">
        <v>1370</v>
      </c>
      <c r="C6215" t="s">
        <v>424</v>
      </c>
      <c r="D6215" t="str">
        <f>VLOOKUP(C6215,'lookup table'!$A$2:$B$19,2,FALSE)</f>
        <v>GRC</v>
      </c>
      <c r="E6215" t="str">
        <f t="shared" si="97"/>
        <v>DR5PSE_14|GRC</v>
      </c>
    </row>
    <row r="6216" spans="1:5" x14ac:dyDescent="0.2">
      <c r="A6216" t="s">
        <v>1371</v>
      </c>
      <c r="B6216" t="s">
        <v>1370</v>
      </c>
      <c r="C6216" t="s">
        <v>425</v>
      </c>
      <c r="D6216" t="str">
        <f>VLOOKUP(C6216,'lookup table'!$A$2:$B$19,2,FALSE)</f>
        <v>Investee Segment</v>
      </c>
      <c r="E6216" t="str">
        <f t="shared" si="97"/>
        <v>DR5PSE_14|Investee Segment</v>
      </c>
    </row>
    <row r="6217" spans="1:5" x14ac:dyDescent="0.2">
      <c r="A6217" t="s">
        <v>1371</v>
      </c>
      <c r="B6217" t="s">
        <v>1370</v>
      </c>
      <c r="C6217" t="s">
        <v>426</v>
      </c>
      <c r="D6217" t="str">
        <f>VLOOKUP(C6217,'lookup table'!$A$2:$B$19,2,FALSE)</f>
        <v>Investee Unit</v>
      </c>
      <c r="E6217" t="str">
        <f t="shared" si="97"/>
        <v>DR5PSE_14|Investee Unit</v>
      </c>
    </row>
    <row r="6218" spans="1:5" x14ac:dyDescent="0.2">
      <c r="A6218" t="s">
        <v>1371</v>
      </c>
      <c r="B6218" t="s">
        <v>1370</v>
      </c>
      <c r="C6218" t="s">
        <v>428</v>
      </c>
      <c r="D6218" t="str">
        <f>VLOOKUP(C6218,'lookup table'!$A$2:$B$19,2,FALSE)</f>
        <v>LoB</v>
      </c>
      <c r="E6218" t="str">
        <f t="shared" si="97"/>
        <v>DR5PSE_14|LoB</v>
      </c>
    </row>
    <row r="6219" spans="1:5" x14ac:dyDescent="0.2">
      <c r="A6219" t="s">
        <v>1371</v>
      </c>
      <c r="B6219" t="s">
        <v>1370</v>
      </c>
      <c r="C6219" t="s">
        <v>436</v>
      </c>
      <c r="D6219" t="str">
        <f>VLOOKUP(C6219,'lookup table'!$A$2:$B$19,2,FALSE)</f>
        <v>MAT</v>
      </c>
      <c r="E6219" t="str">
        <f t="shared" si="97"/>
        <v>DR5PSE_14|MAT</v>
      </c>
    </row>
    <row r="6220" spans="1:5" x14ac:dyDescent="0.2">
      <c r="A6220" t="s">
        <v>1371</v>
      </c>
      <c r="B6220" t="s">
        <v>1370</v>
      </c>
      <c r="C6220" t="s">
        <v>441</v>
      </c>
      <c r="D6220" t="str">
        <f>VLOOKUP(C6220,'lookup table'!$A$2:$B$19,2,FALSE)</f>
        <v>Partner Segment</v>
      </c>
      <c r="E6220" t="str">
        <f t="shared" si="97"/>
        <v>DR5PSE_14|Partner Segment</v>
      </c>
    </row>
    <row r="6221" spans="1:5" x14ac:dyDescent="0.2">
      <c r="A6221" t="s">
        <v>1371</v>
      </c>
      <c r="B6221" t="s">
        <v>1370</v>
      </c>
      <c r="C6221" t="s">
        <v>442</v>
      </c>
      <c r="D6221" t="str">
        <f>VLOOKUP(C6221,'lookup table'!$A$2:$B$19,2,FALSE)</f>
        <v>Partner Unit</v>
      </c>
      <c r="E6221" t="str">
        <f t="shared" si="97"/>
        <v>DR5PSE_14|Partner Unit</v>
      </c>
    </row>
    <row r="6222" spans="1:5" x14ac:dyDescent="0.2">
      <c r="A6222" t="s">
        <v>1371</v>
      </c>
      <c r="B6222" t="s">
        <v>1370</v>
      </c>
      <c r="C6222" t="s">
        <v>447</v>
      </c>
      <c r="D6222" t="str">
        <f>VLOOKUP(C6222,'lookup table'!$A$2:$B$19,2,FALSE)</f>
        <v>REX</v>
      </c>
      <c r="E6222" t="str">
        <f t="shared" si="97"/>
        <v>DR5PSE_14|REX</v>
      </c>
    </row>
    <row r="6223" spans="1:5" x14ac:dyDescent="0.2">
      <c r="A6223" t="s">
        <v>1371</v>
      </c>
      <c r="B6223" t="s">
        <v>1370</v>
      </c>
      <c r="C6223" t="s">
        <v>448</v>
      </c>
      <c r="D6223" t="e">
        <f>VLOOKUP(C6223,'lookup table'!$A$2:$B$19,2,FALSE)</f>
        <v>#N/A</v>
      </c>
      <c r="E6223" t="str">
        <f t="shared" si="97"/>
        <v/>
      </c>
    </row>
    <row r="6224" spans="1:5" x14ac:dyDescent="0.2">
      <c r="A6224" t="s">
        <v>1371</v>
      </c>
      <c r="B6224" t="s">
        <v>1370</v>
      </c>
      <c r="C6224" t="s">
        <v>449</v>
      </c>
      <c r="D6224" t="e">
        <f>VLOOKUP(C6224,'lookup table'!$A$2:$B$19,2,FALSE)</f>
        <v>#N/A</v>
      </c>
      <c r="E6224" t="str">
        <f t="shared" si="97"/>
        <v/>
      </c>
    </row>
    <row r="6225" spans="1:5" x14ac:dyDescent="0.2">
      <c r="A6225" t="s">
        <v>1371</v>
      </c>
      <c r="B6225" t="s">
        <v>1370</v>
      </c>
      <c r="C6225" t="s">
        <v>451</v>
      </c>
      <c r="D6225" t="str">
        <f>VLOOKUP(C6225,'lookup table'!$A$2:$B$19,2,FALSE)</f>
        <v>Segment</v>
      </c>
      <c r="E6225" t="str">
        <f t="shared" si="97"/>
        <v>DR5PSE_14|Segment</v>
      </c>
    </row>
    <row r="6226" spans="1:5" x14ac:dyDescent="0.2">
      <c r="A6226" t="s">
        <v>1371</v>
      </c>
      <c r="B6226" t="s">
        <v>1370</v>
      </c>
      <c r="C6226" t="s">
        <v>455</v>
      </c>
      <c r="D6226" t="e">
        <f>VLOOKUP(C6226,'lookup table'!$A$2:$B$19,2,FALSE)</f>
        <v>#N/A</v>
      </c>
      <c r="E6226" t="str">
        <f t="shared" si="97"/>
        <v/>
      </c>
    </row>
    <row r="6227" spans="1:5" x14ac:dyDescent="0.2">
      <c r="A6227" t="s">
        <v>1371</v>
      </c>
      <c r="B6227" t="s">
        <v>1370</v>
      </c>
      <c r="C6227" t="s">
        <v>456</v>
      </c>
      <c r="D6227" t="e">
        <f>VLOOKUP(C6227,'lookup table'!$A$2:$B$19,2,FALSE)</f>
        <v>#N/A</v>
      </c>
      <c r="E6227" t="str">
        <f t="shared" si="97"/>
        <v/>
      </c>
    </row>
    <row r="6228" spans="1:5" x14ac:dyDescent="0.2">
      <c r="A6228" t="s">
        <v>1371</v>
      </c>
      <c r="B6228" t="s">
        <v>1370</v>
      </c>
      <c r="C6228" t="s">
        <v>457</v>
      </c>
      <c r="D6228" t="str">
        <f>VLOOKUP(C6228,'lookup table'!$A$2:$B$19,2,FALSE)</f>
        <v>VLT</v>
      </c>
      <c r="E6228" t="str">
        <f t="shared" si="97"/>
        <v>DR5PSE_14|VLT</v>
      </c>
    </row>
    <row r="6229" spans="1:5" x14ac:dyDescent="0.2">
      <c r="A6229" t="s">
        <v>1371</v>
      </c>
      <c r="B6229" t="s">
        <v>1370</v>
      </c>
      <c r="C6229" t="s">
        <v>458</v>
      </c>
      <c r="D6229" t="str">
        <f>VLOOKUP(C6229,'lookup table'!$A$2:$B$19,2,FALSE)</f>
        <v>VAR</v>
      </c>
      <c r="E6229" t="str">
        <f t="shared" si="97"/>
        <v>DR5PSE_14|VAR</v>
      </c>
    </row>
    <row r="6230" spans="1:5" x14ac:dyDescent="0.2">
      <c r="A6230" t="s">
        <v>1371</v>
      </c>
      <c r="B6230" t="s">
        <v>1370</v>
      </c>
      <c r="C6230" t="s">
        <v>459</v>
      </c>
      <c r="D6230" t="e">
        <f>VLOOKUP(C6230,'lookup table'!$A$2:$B$19,2,FALSE)</f>
        <v>#N/A</v>
      </c>
      <c r="E6230" t="str">
        <f t="shared" si="97"/>
        <v/>
      </c>
    </row>
    <row r="6231" spans="1:5" x14ac:dyDescent="0.2">
      <c r="A6231" t="s">
        <v>1371</v>
      </c>
      <c r="B6231" t="s">
        <v>1370</v>
      </c>
      <c r="C6231" t="s">
        <v>460</v>
      </c>
      <c r="D6231" t="e">
        <f>VLOOKUP(C6231,'lookup table'!$A$2:$B$19,2,FALSE)</f>
        <v>#N/A</v>
      </c>
      <c r="E6231" t="str">
        <f t="shared" si="97"/>
        <v/>
      </c>
    </row>
    <row r="6232" spans="1:5" x14ac:dyDescent="0.2">
      <c r="A6232" t="s">
        <v>1371</v>
      </c>
      <c r="B6232" t="s">
        <v>1370</v>
      </c>
      <c r="C6232" t="s">
        <v>461</v>
      </c>
      <c r="D6232" t="str">
        <f>VLOOKUP(C6232,'lookup table'!$A$2:$B$19,2,FALSE)</f>
        <v>Posting Level</v>
      </c>
      <c r="E6232" t="str">
        <f t="shared" si="97"/>
        <v>DR5PSE_14|Posting Level</v>
      </c>
    </row>
    <row r="6233" spans="1:5" x14ac:dyDescent="0.2">
      <c r="A6233" t="s">
        <v>1371</v>
      </c>
      <c r="B6233" t="s">
        <v>1370</v>
      </c>
      <c r="C6233" t="s">
        <v>462</v>
      </c>
      <c r="D6233" t="e">
        <f>VLOOKUP(C6233,'lookup table'!$A$2:$B$19,2,FALSE)</f>
        <v>#N/A</v>
      </c>
      <c r="E6233" t="str">
        <f t="shared" si="97"/>
        <v/>
      </c>
    </row>
    <row r="6234" spans="1:5" x14ac:dyDescent="0.2">
      <c r="A6234" t="s">
        <v>1371</v>
      </c>
      <c r="B6234" t="s">
        <v>1370</v>
      </c>
      <c r="C6234" t="s">
        <v>463</v>
      </c>
      <c r="D6234" t="e">
        <f>VLOOKUP(C6234,'lookup table'!$A$2:$B$19,2,FALSE)</f>
        <v>#N/A</v>
      </c>
      <c r="E6234" t="str">
        <f t="shared" si="97"/>
        <v/>
      </c>
    </row>
    <row r="6235" spans="1:5" x14ac:dyDescent="0.2">
      <c r="A6235" t="s">
        <v>1371</v>
      </c>
      <c r="B6235" t="s">
        <v>1370</v>
      </c>
      <c r="C6235" t="s">
        <v>464</v>
      </c>
      <c r="D6235" t="e">
        <f>VLOOKUP(C6235,'lookup table'!$A$2:$B$19,2,FALSE)</f>
        <v>#N/A</v>
      </c>
      <c r="E6235" t="str">
        <f t="shared" si="97"/>
        <v/>
      </c>
    </row>
    <row r="6236" spans="1:5" x14ac:dyDescent="0.2">
      <c r="A6236" t="s">
        <v>1371</v>
      </c>
      <c r="B6236" t="s">
        <v>1370</v>
      </c>
      <c r="C6236" t="s">
        <v>465</v>
      </c>
      <c r="D6236" t="e">
        <f>VLOOKUP(C6236,'lookup table'!$A$2:$B$19,2,FALSE)</f>
        <v>#N/A</v>
      </c>
      <c r="E6236" t="str">
        <f t="shared" si="97"/>
        <v/>
      </c>
    </row>
    <row r="6237" spans="1:5" x14ac:dyDescent="0.2">
      <c r="A6237" t="s">
        <v>1372</v>
      </c>
      <c r="B6237" t="s">
        <v>1373</v>
      </c>
      <c r="C6237" t="s">
        <v>2</v>
      </c>
      <c r="D6237" t="e">
        <f>VLOOKUP(C6237,'lookup table'!$A$2:$B$19,2,FALSE)</f>
        <v>#N/A</v>
      </c>
      <c r="E6237" t="str">
        <f t="shared" si="97"/>
        <v/>
      </c>
    </row>
    <row r="6238" spans="1:5" x14ac:dyDescent="0.2">
      <c r="A6238" t="s">
        <v>1372</v>
      </c>
      <c r="B6238" t="s">
        <v>1373</v>
      </c>
      <c r="C6238" t="s">
        <v>5</v>
      </c>
      <c r="D6238" t="e">
        <f>VLOOKUP(C6238,'lookup table'!$A$2:$B$19,2,FALSE)</f>
        <v>#N/A</v>
      </c>
      <c r="E6238" t="str">
        <f t="shared" si="97"/>
        <v/>
      </c>
    </row>
    <row r="6239" spans="1:5" x14ac:dyDescent="0.2">
      <c r="A6239" t="s">
        <v>1372</v>
      </c>
      <c r="B6239" t="s">
        <v>1373</v>
      </c>
      <c r="C6239" t="s">
        <v>6</v>
      </c>
      <c r="D6239" t="e">
        <f>VLOOKUP(C6239,'lookup table'!$A$2:$B$19,2,FALSE)</f>
        <v>#N/A</v>
      </c>
      <c r="E6239" t="str">
        <f t="shared" si="97"/>
        <v/>
      </c>
    </row>
    <row r="6240" spans="1:5" x14ac:dyDescent="0.2">
      <c r="A6240" t="s">
        <v>1372</v>
      </c>
      <c r="B6240" t="s">
        <v>1373</v>
      </c>
      <c r="C6240" t="s">
        <v>9</v>
      </c>
      <c r="D6240" t="e">
        <f>VLOOKUP(C6240,'lookup table'!$A$2:$B$19,2,FALSE)</f>
        <v>#N/A</v>
      </c>
      <c r="E6240" t="str">
        <f t="shared" si="97"/>
        <v/>
      </c>
    </row>
    <row r="6241" spans="1:5" x14ac:dyDescent="0.2">
      <c r="A6241" t="s">
        <v>1372</v>
      </c>
      <c r="B6241" t="s">
        <v>1373</v>
      </c>
      <c r="C6241" t="s">
        <v>10</v>
      </c>
      <c r="D6241" t="e">
        <f>VLOOKUP(C6241,'lookup table'!$A$2:$B$19,2,FALSE)</f>
        <v>#N/A</v>
      </c>
      <c r="E6241" t="str">
        <f t="shared" si="97"/>
        <v/>
      </c>
    </row>
    <row r="6242" spans="1:5" x14ac:dyDescent="0.2">
      <c r="A6242" t="s">
        <v>1372</v>
      </c>
      <c r="B6242" t="s">
        <v>1373</v>
      </c>
      <c r="C6242" t="s">
        <v>11</v>
      </c>
      <c r="D6242" t="e">
        <f>VLOOKUP(C6242,'lookup table'!$A$2:$B$19,2,FALSE)</f>
        <v>#N/A</v>
      </c>
      <c r="E6242" t="str">
        <f t="shared" si="97"/>
        <v/>
      </c>
    </row>
    <row r="6243" spans="1:5" x14ac:dyDescent="0.2">
      <c r="A6243" t="s">
        <v>1372</v>
      </c>
      <c r="B6243" t="s">
        <v>1373</v>
      </c>
      <c r="C6243" t="s">
        <v>12</v>
      </c>
      <c r="D6243" t="e">
        <f>VLOOKUP(C6243,'lookup table'!$A$2:$B$19,2,FALSE)</f>
        <v>#N/A</v>
      </c>
      <c r="E6243" t="str">
        <f t="shared" si="97"/>
        <v/>
      </c>
    </row>
    <row r="6244" spans="1:5" x14ac:dyDescent="0.2">
      <c r="A6244" t="s">
        <v>1372</v>
      </c>
      <c r="B6244" t="s">
        <v>1373</v>
      </c>
      <c r="C6244" t="s">
        <v>14</v>
      </c>
      <c r="D6244" t="str">
        <f>VLOOKUP(C6244,'lookup table'!$A$2:$B$19,2,FALSE)</f>
        <v>ALC</v>
      </c>
      <c r="E6244" t="str">
        <f t="shared" si="97"/>
        <v>DR5REX_00|ALC</v>
      </c>
    </row>
    <row r="6245" spans="1:5" x14ac:dyDescent="0.2">
      <c r="A6245" t="s">
        <v>1372</v>
      </c>
      <c r="B6245" t="s">
        <v>1373</v>
      </c>
      <c r="C6245" t="s">
        <v>20</v>
      </c>
      <c r="D6245" t="str">
        <f>VLOOKUP(C6245,'lookup table'!$A$2:$B$19,2,FALSE)</f>
        <v>AY</v>
      </c>
      <c r="E6245" t="str">
        <f t="shared" si="97"/>
        <v>DR5REX_00|AY</v>
      </c>
    </row>
    <row r="6246" spans="1:5" x14ac:dyDescent="0.2">
      <c r="A6246" t="s">
        <v>1372</v>
      </c>
      <c r="B6246" t="s">
        <v>1373</v>
      </c>
      <c r="C6246" t="s">
        <v>324</v>
      </c>
      <c r="D6246" t="e">
        <f>VLOOKUP(C6246,'lookup table'!$A$2:$B$19,2,FALSE)</f>
        <v>#N/A</v>
      </c>
      <c r="E6246" t="str">
        <f t="shared" si="97"/>
        <v/>
      </c>
    </row>
    <row r="6247" spans="1:5" x14ac:dyDescent="0.2">
      <c r="A6247" t="s">
        <v>1372</v>
      </c>
      <c r="B6247" t="s">
        <v>1373</v>
      </c>
      <c r="C6247" t="s">
        <v>325</v>
      </c>
      <c r="D6247" t="e">
        <f>VLOOKUP(C6247,'lookup table'!$A$2:$B$19,2,FALSE)</f>
        <v>#N/A</v>
      </c>
      <c r="E6247" t="str">
        <f t="shared" si="97"/>
        <v/>
      </c>
    </row>
    <row r="6248" spans="1:5" x14ac:dyDescent="0.2">
      <c r="A6248" t="s">
        <v>1372</v>
      </c>
      <c r="B6248" t="s">
        <v>1373</v>
      </c>
      <c r="C6248" t="s">
        <v>326</v>
      </c>
      <c r="D6248" t="e">
        <f>VLOOKUP(C6248,'lookup table'!$A$2:$B$19,2,FALSE)</f>
        <v>#N/A</v>
      </c>
      <c r="E6248" t="str">
        <f t="shared" si="97"/>
        <v/>
      </c>
    </row>
    <row r="6249" spans="1:5" x14ac:dyDescent="0.2">
      <c r="A6249" t="s">
        <v>1372</v>
      </c>
      <c r="B6249" t="s">
        <v>1373</v>
      </c>
      <c r="C6249" t="s">
        <v>327</v>
      </c>
      <c r="D6249" t="e">
        <f>VLOOKUP(C6249,'lookup table'!$A$2:$B$19,2,FALSE)</f>
        <v>#N/A</v>
      </c>
      <c r="E6249" t="str">
        <f t="shared" si="97"/>
        <v/>
      </c>
    </row>
    <row r="6250" spans="1:5" x14ac:dyDescent="0.2">
      <c r="A6250" t="s">
        <v>1372</v>
      </c>
      <c r="B6250" t="s">
        <v>1373</v>
      </c>
      <c r="C6250" t="s">
        <v>328</v>
      </c>
      <c r="D6250" t="e">
        <f>VLOOKUP(C6250,'lookup table'!$A$2:$B$19,2,FALSE)</f>
        <v>#N/A</v>
      </c>
      <c r="E6250" t="str">
        <f t="shared" si="97"/>
        <v/>
      </c>
    </row>
    <row r="6251" spans="1:5" x14ac:dyDescent="0.2">
      <c r="A6251" t="s">
        <v>1372</v>
      </c>
      <c r="B6251" t="s">
        <v>1373</v>
      </c>
      <c r="C6251" t="s">
        <v>329</v>
      </c>
      <c r="D6251" t="e">
        <f>VLOOKUP(C6251,'lookup table'!$A$2:$B$19,2,FALSE)</f>
        <v>#N/A</v>
      </c>
      <c r="E6251" t="str">
        <f t="shared" si="97"/>
        <v/>
      </c>
    </row>
    <row r="6252" spans="1:5" x14ac:dyDescent="0.2">
      <c r="A6252" t="s">
        <v>1372</v>
      </c>
      <c r="B6252" t="s">
        <v>1373</v>
      </c>
      <c r="C6252" t="s">
        <v>331</v>
      </c>
      <c r="D6252" t="str">
        <f>VLOOKUP(C6252,'lookup table'!$A$2:$B$19,2,FALSE)</f>
        <v>FS Item</v>
      </c>
      <c r="E6252" t="str">
        <f t="shared" si="97"/>
        <v>DR5REX_00|FS Item</v>
      </c>
    </row>
    <row r="6253" spans="1:5" x14ac:dyDescent="0.2">
      <c r="A6253" t="s">
        <v>1372</v>
      </c>
      <c r="B6253" t="s">
        <v>1373</v>
      </c>
      <c r="C6253" t="s">
        <v>422</v>
      </c>
      <c r="D6253" t="e">
        <f>VLOOKUP(C6253,'lookup table'!$A$2:$B$19,2,FALSE)</f>
        <v>#N/A</v>
      </c>
      <c r="E6253" t="str">
        <f t="shared" si="97"/>
        <v/>
      </c>
    </row>
    <row r="6254" spans="1:5" x14ac:dyDescent="0.2">
      <c r="A6254" t="s">
        <v>1372</v>
      </c>
      <c r="B6254" t="s">
        <v>1373</v>
      </c>
      <c r="C6254" t="s">
        <v>423</v>
      </c>
      <c r="D6254" t="str">
        <f>VLOOKUP(C6254,'lookup table'!$A$2:$B$19,2,FALSE)</f>
        <v>ignore</v>
      </c>
      <c r="E6254" t="str">
        <f t="shared" si="97"/>
        <v>DR5REX_00|ignore</v>
      </c>
    </row>
    <row r="6255" spans="1:5" x14ac:dyDescent="0.2">
      <c r="A6255" t="s">
        <v>1372</v>
      </c>
      <c r="B6255" t="s">
        <v>1373</v>
      </c>
      <c r="C6255" t="s">
        <v>424</v>
      </c>
      <c r="D6255" t="str">
        <f>VLOOKUP(C6255,'lookup table'!$A$2:$B$19,2,FALSE)</f>
        <v>GRC</v>
      </c>
      <c r="E6255" t="str">
        <f t="shared" si="97"/>
        <v>DR5REX_00|GRC</v>
      </c>
    </row>
    <row r="6256" spans="1:5" x14ac:dyDescent="0.2">
      <c r="A6256" t="s">
        <v>1372</v>
      </c>
      <c r="B6256" t="s">
        <v>1373</v>
      </c>
      <c r="C6256" t="s">
        <v>425</v>
      </c>
      <c r="D6256" t="str">
        <f>VLOOKUP(C6256,'lookup table'!$A$2:$B$19,2,FALSE)</f>
        <v>Investee Segment</v>
      </c>
      <c r="E6256" t="str">
        <f t="shared" si="97"/>
        <v>DR5REX_00|Investee Segment</v>
      </c>
    </row>
    <row r="6257" spans="1:5" x14ac:dyDescent="0.2">
      <c r="A6257" t="s">
        <v>1372</v>
      </c>
      <c r="B6257" t="s">
        <v>1373</v>
      </c>
      <c r="C6257" t="s">
        <v>426</v>
      </c>
      <c r="D6257" t="str">
        <f>VLOOKUP(C6257,'lookup table'!$A$2:$B$19,2,FALSE)</f>
        <v>Investee Unit</v>
      </c>
      <c r="E6257" t="str">
        <f t="shared" si="97"/>
        <v>DR5REX_00|Investee Unit</v>
      </c>
    </row>
    <row r="6258" spans="1:5" x14ac:dyDescent="0.2">
      <c r="A6258" t="s">
        <v>1372</v>
      </c>
      <c r="B6258" t="s">
        <v>1373</v>
      </c>
      <c r="C6258" t="s">
        <v>428</v>
      </c>
      <c r="D6258" t="str">
        <f>VLOOKUP(C6258,'lookup table'!$A$2:$B$19,2,FALSE)</f>
        <v>LoB</v>
      </c>
      <c r="E6258" t="str">
        <f t="shared" si="97"/>
        <v>DR5REX_00|LoB</v>
      </c>
    </row>
    <row r="6259" spans="1:5" x14ac:dyDescent="0.2">
      <c r="A6259" t="s">
        <v>1372</v>
      </c>
      <c r="B6259" t="s">
        <v>1373</v>
      </c>
      <c r="C6259" t="s">
        <v>436</v>
      </c>
      <c r="D6259" t="str">
        <f>VLOOKUP(C6259,'lookup table'!$A$2:$B$19,2,FALSE)</f>
        <v>MAT</v>
      </c>
      <c r="E6259" t="str">
        <f t="shared" si="97"/>
        <v>DR5REX_00|MAT</v>
      </c>
    </row>
    <row r="6260" spans="1:5" x14ac:dyDescent="0.2">
      <c r="A6260" t="s">
        <v>1372</v>
      </c>
      <c r="B6260" t="s">
        <v>1373</v>
      </c>
      <c r="C6260" t="s">
        <v>438</v>
      </c>
      <c r="D6260" t="str">
        <f>VLOOKUP(C6260,'lookup table'!$A$2:$B$19,2,FALSE)</f>
        <v>ToM</v>
      </c>
      <c r="E6260" t="str">
        <f t="shared" si="97"/>
        <v>DR5REX_00|ToM</v>
      </c>
    </row>
    <row r="6261" spans="1:5" x14ac:dyDescent="0.2">
      <c r="A6261" t="s">
        <v>1372</v>
      </c>
      <c r="B6261" t="s">
        <v>1373</v>
      </c>
      <c r="C6261" t="s">
        <v>441</v>
      </c>
      <c r="D6261" t="str">
        <f>VLOOKUP(C6261,'lookup table'!$A$2:$B$19,2,FALSE)</f>
        <v>Partner Segment</v>
      </c>
      <c r="E6261" t="str">
        <f t="shared" si="97"/>
        <v>DR5REX_00|Partner Segment</v>
      </c>
    </row>
    <row r="6262" spans="1:5" x14ac:dyDescent="0.2">
      <c r="A6262" t="s">
        <v>1372</v>
      </c>
      <c r="B6262" t="s">
        <v>1373</v>
      </c>
      <c r="C6262" t="s">
        <v>442</v>
      </c>
      <c r="D6262" t="str">
        <f>VLOOKUP(C6262,'lookup table'!$A$2:$B$19,2,FALSE)</f>
        <v>Partner Unit</v>
      </c>
      <c r="E6262" t="str">
        <f t="shared" si="97"/>
        <v>DR5REX_00|Partner Unit</v>
      </c>
    </row>
    <row r="6263" spans="1:5" x14ac:dyDescent="0.2">
      <c r="A6263" t="s">
        <v>1372</v>
      </c>
      <c r="B6263" t="s">
        <v>1373</v>
      </c>
      <c r="C6263" t="s">
        <v>447</v>
      </c>
      <c r="D6263" t="str">
        <f>VLOOKUP(C6263,'lookup table'!$A$2:$B$19,2,FALSE)</f>
        <v>REX</v>
      </c>
      <c r="E6263" t="str">
        <f t="shared" si="97"/>
        <v>DR5REX_00|REX</v>
      </c>
    </row>
    <row r="6264" spans="1:5" x14ac:dyDescent="0.2">
      <c r="A6264" t="s">
        <v>1372</v>
      </c>
      <c r="B6264" t="s">
        <v>1373</v>
      </c>
      <c r="C6264" t="s">
        <v>448</v>
      </c>
      <c r="D6264" t="e">
        <f>VLOOKUP(C6264,'lookup table'!$A$2:$B$19,2,FALSE)</f>
        <v>#N/A</v>
      </c>
      <c r="E6264" t="str">
        <f t="shared" si="97"/>
        <v/>
      </c>
    </row>
    <row r="6265" spans="1:5" x14ac:dyDescent="0.2">
      <c r="A6265" t="s">
        <v>1372</v>
      </c>
      <c r="B6265" t="s">
        <v>1373</v>
      </c>
      <c r="C6265" t="s">
        <v>449</v>
      </c>
      <c r="D6265" t="e">
        <f>VLOOKUP(C6265,'lookup table'!$A$2:$B$19,2,FALSE)</f>
        <v>#N/A</v>
      </c>
      <c r="E6265" t="str">
        <f t="shared" si="97"/>
        <v/>
      </c>
    </row>
    <row r="6266" spans="1:5" x14ac:dyDescent="0.2">
      <c r="A6266" t="s">
        <v>1372</v>
      </c>
      <c r="B6266" t="s">
        <v>1373</v>
      </c>
      <c r="C6266" t="s">
        <v>451</v>
      </c>
      <c r="D6266" t="str">
        <f>VLOOKUP(C6266,'lookup table'!$A$2:$B$19,2,FALSE)</f>
        <v>Segment</v>
      </c>
      <c r="E6266" t="str">
        <f t="shared" si="97"/>
        <v>DR5REX_00|Segment</v>
      </c>
    </row>
    <row r="6267" spans="1:5" x14ac:dyDescent="0.2">
      <c r="A6267" t="s">
        <v>1372</v>
      </c>
      <c r="B6267" t="s">
        <v>1373</v>
      </c>
      <c r="C6267" t="s">
        <v>455</v>
      </c>
      <c r="D6267" t="e">
        <f>VLOOKUP(C6267,'lookup table'!$A$2:$B$19,2,FALSE)</f>
        <v>#N/A</v>
      </c>
      <c r="E6267" t="str">
        <f t="shared" si="97"/>
        <v/>
      </c>
    </row>
    <row r="6268" spans="1:5" x14ac:dyDescent="0.2">
      <c r="A6268" t="s">
        <v>1372</v>
      </c>
      <c r="B6268" t="s">
        <v>1373</v>
      </c>
      <c r="C6268" t="s">
        <v>456</v>
      </c>
      <c r="D6268" t="e">
        <f>VLOOKUP(C6268,'lookup table'!$A$2:$B$19,2,FALSE)</f>
        <v>#N/A</v>
      </c>
      <c r="E6268" t="str">
        <f t="shared" si="97"/>
        <v/>
      </c>
    </row>
    <row r="6269" spans="1:5" x14ac:dyDescent="0.2">
      <c r="A6269" t="s">
        <v>1372</v>
      </c>
      <c r="B6269" t="s">
        <v>1373</v>
      </c>
      <c r="C6269" t="s">
        <v>457</v>
      </c>
      <c r="D6269" t="str">
        <f>VLOOKUP(C6269,'lookup table'!$A$2:$B$19,2,FALSE)</f>
        <v>VLT</v>
      </c>
      <c r="E6269" t="str">
        <f t="shared" si="97"/>
        <v>DR5REX_00|VLT</v>
      </c>
    </row>
    <row r="6270" spans="1:5" x14ac:dyDescent="0.2">
      <c r="A6270" t="s">
        <v>1372</v>
      </c>
      <c r="B6270" t="s">
        <v>1373</v>
      </c>
      <c r="C6270" t="s">
        <v>458</v>
      </c>
      <c r="D6270" t="str">
        <f>VLOOKUP(C6270,'lookup table'!$A$2:$B$19,2,FALSE)</f>
        <v>VAR</v>
      </c>
      <c r="E6270" t="str">
        <f t="shared" si="97"/>
        <v>DR5REX_00|VAR</v>
      </c>
    </row>
    <row r="6271" spans="1:5" x14ac:dyDescent="0.2">
      <c r="A6271" t="s">
        <v>1372</v>
      </c>
      <c r="B6271" t="s">
        <v>1373</v>
      </c>
      <c r="C6271" t="s">
        <v>459</v>
      </c>
      <c r="D6271" t="e">
        <f>VLOOKUP(C6271,'lookup table'!$A$2:$B$19,2,FALSE)</f>
        <v>#N/A</v>
      </c>
      <c r="E6271" t="str">
        <f t="shared" si="97"/>
        <v/>
      </c>
    </row>
    <row r="6272" spans="1:5" x14ac:dyDescent="0.2">
      <c r="A6272" t="s">
        <v>1372</v>
      </c>
      <c r="B6272" t="s">
        <v>1373</v>
      </c>
      <c r="C6272" t="s">
        <v>460</v>
      </c>
      <c r="D6272" t="e">
        <f>VLOOKUP(C6272,'lookup table'!$A$2:$B$19,2,FALSE)</f>
        <v>#N/A</v>
      </c>
      <c r="E6272" t="str">
        <f t="shared" si="97"/>
        <v/>
      </c>
    </row>
    <row r="6273" spans="1:5" x14ac:dyDescent="0.2">
      <c r="A6273" t="s">
        <v>1372</v>
      </c>
      <c r="B6273" t="s">
        <v>1373</v>
      </c>
      <c r="C6273" t="s">
        <v>461</v>
      </c>
      <c r="D6273" t="str">
        <f>VLOOKUP(C6273,'lookup table'!$A$2:$B$19,2,FALSE)</f>
        <v>Posting Level</v>
      </c>
      <c r="E6273" t="str">
        <f t="shared" si="97"/>
        <v>DR5REX_00|Posting Level</v>
      </c>
    </row>
    <row r="6274" spans="1:5" x14ac:dyDescent="0.2">
      <c r="A6274" t="s">
        <v>1372</v>
      </c>
      <c r="B6274" t="s">
        <v>1373</v>
      </c>
      <c r="C6274" t="s">
        <v>462</v>
      </c>
      <c r="D6274" t="e">
        <f>VLOOKUP(C6274,'lookup table'!$A$2:$B$19,2,FALSE)</f>
        <v>#N/A</v>
      </c>
      <c r="E6274" t="str">
        <f t="shared" si="97"/>
        <v/>
      </c>
    </row>
    <row r="6275" spans="1:5" x14ac:dyDescent="0.2">
      <c r="A6275" t="s">
        <v>1372</v>
      </c>
      <c r="B6275" t="s">
        <v>1373</v>
      </c>
      <c r="C6275" t="s">
        <v>463</v>
      </c>
      <c r="D6275" t="e">
        <f>VLOOKUP(C6275,'lookup table'!$A$2:$B$19,2,FALSE)</f>
        <v>#N/A</v>
      </c>
      <c r="E6275" t="str">
        <f t="shared" ref="E6275:E6338" si="98">IF(ISNA(D6275),"",IF(A6275="","",A6275) &amp; "|" &amp; D6275)</f>
        <v/>
      </c>
    </row>
    <row r="6276" spans="1:5" x14ac:dyDescent="0.2">
      <c r="A6276" t="s">
        <v>1372</v>
      </c>
      <c r="B6276" t="s">
        <v>1373</v>
      </c>
      <c r="C6276" t="s">
        <v>464</v>
      </c>
      <c r="D6276" t="e">
        <f>VLOOKUP(C6276,'lookup table'!$A$2:$B$19,2,FALSE)</f>
        <v>#N/A</v>
      </c>
      <c r="E6276" t="str">
        <f t="shared" si="98"/>
        <v/>
      </c>
    </row>
    <row r="6277" spans="1:5" x14ac:dyDescent="0.2">
      <c r="A6277" t="s">
        <v>1372</v>
      </c>
      <c r="B6277" t="s">
        <v>1373</v>
      </c>
      <c r="C6277" t="s">
        <v>465</v>
      </c>
      <c r="D6277" t="e">
        <f>VLOOKUP(C6277,'lookup table'!$A$2:$B$19,2,FALSE)</f>
        <v>#N/A</v>
      </c>
      <c r="E6277" t="str">
        <f t="shared" si="98"/>
        <v/>
      </c>
    </row>
    <row r="6278" spans="1:5" x14ac:dyDescent="0.2">
      <c r="A6278" t="s">
        <v>1374</v>
      </c>
      <c r="B6278" t="s">
        <v>1375</v>
      </c>
      <c r="C6278" t="s">
        <v>2</v>
      </c>
      <c r="D6278" t="e">
        <f>VLOOKUP(C6278,'lookup table'!$A$2:$B$19,2,FALSE)</f>
        <v>#N/A</v>
      </c>
      <c r="E6278" t="str">
        <f t="shared" si="98"/>
        <v/>
      </c>
    </row>
    <row r="6279" spans="1:5" x14ac:dyDescent="0.2">
      <c r="A6279" t="s">
        <v>1374</v>
      </c>
      <c r="B6279" t="s">
        <v>1375</v>
      </c>
      <c r="C6279" t="s">
        <v>5</v>
      </c>
      <c r="D6279" t="e">
        <f>VLOOKUP(C6279,'lookup table'!$A$2:$B$19,2,FALSE)</f>
        <v>#N/A</v>
      </c>
      <c r="E6279" t="str">
        <f t="shared" si="98"/>
        <v/>
      </c>
    </row>
    <row r="6280" spans="1:5" x14ac:dyDescent="0.2">
      <c r="A6280" t="s">
        <v>1374</v>
      </c>
      <c r="B6280" t="s">
        <v>1375</v>
      </c>
      <c r="C6280" t="s">
        <v>6</v>
      </c>
      <c r="D6280" t="e">
        <f>VLOOKUP(C6280,'lookup table'!$A$2:$B$19,2,FALSE)</f>
        <v>#N/A</v>
      </c>
      <c r="E6280" t="str">
        <f t="shared" si="98"/>
        <v/>
      </c>
    </row>
    <row r="6281" spans="1:5" x14ac:dyDescent="0.2">
      <c r="A6281" t="s">
        <v>1374</v>
      </c>
      <c r="B6281" t="s">
        <v>1375</v>
      </c>
      <c r="C6281" t="s">
        <v>9</v>
      </c>
      <c r="D6281" t="e">
        <f>VLOOKUP(C6281,'lookup table'!$A$2:$B$19,2,FALSE)</f>
        <v>#N/A</v>
      </c>
      <c r="E6281" t="str">
        <f t="shared" si="98"/>
        <v/>
      </c>
    </row>
    <row r="6282" spans="1:5" x14ac:dyDescent="0.2">
      <c r="A6282" t="s">
        <v>1374</v>
      </c>
      <c r="B6282" t="s">
        <v>1375</v>
      </c>
      <c r="C6282" t="s">
        <v>10</v>
      </c>
      <c r="D6282" t="e">
        <f>VLOOKUP(C6282,'lookup table'!$A$2:$B$19,2,FALSE)</f>
        <v>#N/A</v>
      </c>
      <c r="E6282" t="str">
        <f t="shared" si="98"/>
        <v/>
      </c>
    </row>
    <row r="6283" spans="1:5" x14ac:dyDescent="0.2">
      <c r="A6283" t="s">
        <v>1374</v>
      </c>
      <c r="B6283" t="s">
        <v>1375</v>
      </c>
      <c r="C6283" t="s">
        <v>11</v>
      </c>
      <c r="D6283" t="e">
        <f>VLOOKUP(C6283,'lookup table'!$A$2:$B$19,2,FALSE)</f>
        <v>#N/A</v>
      </c>
      <c r="E6283" t="str">
        <f t="shared" si="98"/>
        <v/>
      </c>
    </row>
    <row r="6284" spans="1:5" x14ac:dyDescent="0.2">
      <c r="A6284" t="s">
        <v>1374</v>
      </c>
      <c r="B6284" t="s">
        <v>1375</v>
      </c>
      <c r="C6284" t="s">
        <v>12</v>
      </c>
      <c r="D6284" t="e">
        <f>VLOOKUP(C6284,'lookup table'!$A$2:$B$19,2,FALSE)</f>
        <v>#N/A</v>
      </c>
      <c r="E6284" t="str">
        <f t="shared" si="98"/>
        <v/>
      </c>
    </row>
    <row r="6285" spans="1:5" x14ac:dyDescent="0.2">
      <c r="A6285" t="s">
        <v>1374</v>
      </c>
      <c r="B6285" t="s">
        <v>1375</v>
      </c>
      <c r="C6285" t="s">
        <v>14</v>
      </c>
      <c r="D6285" t="str">
        <f>VLOOKUP(C6285,'lookup table'!$A$2:$B$19,2,FALSE)</f>
        <v>ALC</v>
      </c>
      <c r="E6285" t="str">
        <f t="shared" si="98"/>
        <v>DR5TOM_00|ALC</v>
      </c>
    </row>
    <row r="6286" spans="1:5" x14ac:dyDescent="0.2">
      <c r="A6286" t="s">
        <v>1374</v>
      </c>
      <c r="B6286" t="s">
        <v>1375</v>
      </c>
      <c r="C6286" t="s">
        <v>20</v>
      </c>
      <c r="D6286" t="str">
        <f>VLOOKUP(C6286,'lookup table'!$A$2:$B$19,2,FALSE)</f>
        <v>AY</v>
      </c>
      <c r="E6286" t="str">
        <f t="shared" si="98"/>
        <v>DR5TOM_00|AY</v>
      </c>
    </row>
    <row r="6287" spans="1:5" x14ac:dyDescent="0.2">
      <c r="A6287" t="s">
        <v>1374</v>
      </c>
      <c r="B6287" t="s">
        <v>1375</v>
      </c>
      <c r="C6287" t="s">
        <v>324</v>
      </c>
      <c r="D6287" t="e">
        <f>VLOOKUP(C6287,'lookup table'!$A$2:$B$19,2,FALSE)</f>
        <v>#N/A</v>
      </c>
      <c r="E6287" t="str">
        <f t="shared" si="98"/>
        <v/>
      </c>
    </row>
    <row r="6288" spans="1:5" x14ac:dyDescent="0.2">
      <c r="A6288" t="s">
        <v>1374</v>
      </c>
      <c r="B6288" t="s">
        <v>1375</v>
      </c>
      <c r="C6288" t="s">
        <v>325</v>
      </c>
      <c r="D6288" t="e">
        <f>VLOOKUP(C6288,'lookup table'!$A$2:$B$19,2,FALSE)</f>
        <v>#N/A</v>
      </c>
      <c r="E6288" t="str">
        <f t="shared" si="98"/>
        <v/>
      </c>
    </row>
    <row r="6289" spans="1:5" x14ac:dyDescent="0.2">
      <c r="A6289" t="s">
        <v>1374</v>
      </c>
      <c r="B6289" t="s">
        <v>1375</v>
      </c>
      <c r="C6289" t="s">
        <v>326</v>
      </c>
      <c r="D6289" t="e">
        <f>VLOOKUP(C6289,'lookup table'!$A$2:$B$19,2,FALSE)</f>
        <v>#N/A</v>
      </c>
      <c r="E6289" t="str">
        <f t="shared" si="98"/>
        <v/>
      </c>
    </row>
    <row r="6290" spans="1:5" x14ac:dyDescent="0.2">
      <c r="A6290" t="s">
        <v>1374</v>
      </c>
      <c r="B6290" t="s">
        <v>1375</v>
      </c>
      <c r="C6290" t="s">
        <v>327</v>
      </c>
      <c r="D6290" t="e">
        <f>VLOOKUP(C6290,'lookup table'!$A$2:$B$19,2,FALSE)</f>
        <v>#N/A</v>
      </c>
      <c r="E6290" t="str">
        <f t="shared" si="98"/>
        <v/>
      </c>
    </row>
    <row r="6291" spans="1:5" x14ac:dyDescent="0.2">
      <c r="A6291" t="s">
        <v>1374</v>
      </c>
      <c r="B6291" t="s">
        <v>1375</v>
      </c>
      <c r="C6291" t="s">
        <v>328</v>
      </c>
      <c r="D6291" t="e">
        <f>VLOOKUP(C6291,'lookup table'!$A$2:$B$19,2,FALSE)</f>
        <v>#N/A</v>
      </c>
      <c r="E6291" t="str">
        <f t="shared" si="98"/>
        <v/>
      </c>
    </row>
    <row r="6292" spans="1:5" x14ac:dyDescent="0.2">
      <c r="A6292" t="s">
        <v>1374</v>
      </c>
      <c r="B6292" t="s">
        <v>1375</v>
      </c>
      <c r="C6292" t="s">
        <v>329</v>
      </c>
      <c r="D6292" t="e">
        <f>VLOOKUP(C6292,'lookup table'!$A$2:$B$19,2,FALSE)</f>
        <v>#N/A</v>
      </c>
      <c r="E6292" t="str">
        <f t="shared" si="98"/>
        <v/>
      </c>
    </row>
    <row r="6293" spans="1:5" x14ac:dyDescent="0.2">
      <c r="A6293" t="s">
        <v>1374</v>
      </c>
      <c r="B6293" t="s">
        <v>1375</v>
      </c>
      <c r="C6293" t="s">
        <v>331</v>
      </c>
      <c r="D6293" t="str">
        <f>VLOOKUP(C6293,'lookup table'!$A$2:$B$19,2,FALSE)</f>
        <v>FS Item</v>
      </c>
      <c r="E6293" t="str">
        <f t="shared" si="98"/>
        <v>DR5TOM_00|FS Item</v>
      </c>
    </row>
    <row r="6294" spans="1:5" x14ac:dyDescent="0.2">
      <c r="A6294" t="s">
        <v>1374</v>
      </c>
      <c r="B6294" t="s">
        <v>1375</v>
      </c>
      <c r="C6294" t="s">
        <v>422</v>
      </c>
      <c r="D6294" t="e">
        <f>VLOOKUP(C6294,'lookup table'!$A$2:$B$19,2,FALSE)</f>
        <v>#N/A</v>
      </c>
      <c r="E6294" t="str">
        <f t="shared" si="98"/>
        <v/>
      </c>
    </row>
    <row r="6295" spans="1:5" x14ac:dyDescent="0.2">
      <c r="A6295" t="s">
        <v>1374</v>
      </c>
      <c r="B6295" t="s">
        <v>1375</v>
      </c>
      <c r="C6295" t="s">
        <v>423</v>
      </c>
      <c r="D6295" t="str">
        <f>VLOOKUP(C6295,'lookup table'!$A$2:$B$19,2,FALSE)</f>
        <v>ignore</v>
      </c>
      <c r="E6295" t="str">
        <f t="shared" si="98"/>
        <v>DR5TOM_00|ignore</v>
      </c>
    </row>
    <row r="6296" spans="1:5" x14ac:dyDescent="0.2">
      <c r="A6296" t="s">
        <v>1374</v>
      </c>
      <c r="B6296" t="s">
        <v>1375</v>
      </c>
      <c r="C6296" t="s">
        <v>424</v>
      </c>
      <c r="D6296" t="str">
        <f>VLOOKUP(C6296,'lookup table'!$A$2:$B$19,2,FALSE)</f>
        <v>GRC</v>
      </c>
      <c r="E6296" t="str">
        <f t="shared" si="98"/>
        <v>DR5TOM_00|GRC</v>
      </c>
    </row>
    <row r="6297" spans="1:5" x14ac:dyDescent="0.2">
      <c r="A6297" t="s">
        <v>1374</v>
      </c>
      <c r="B6297" t="s">
        <v>1375</v>
      </c>
      <c r="C6297" t="s">
        <v>425</v>
      </c>
      <c r="D6297" t="str">
        <f>VLOOKUP(C6297,'lookup table'!$A$2:$B$19,2,FALSE)</f>
        <v>Investee Segment</v>
      </c>
      <c r="E6297" t="str">
        <f t="shared" si="98"/>
        <v>DR5TOM_00|Investee Segment</v>
      </c>
    </row>
    <row r="6298" spans="1:5" x14ac:dyDescent="0.2">
      <c r="A6298" t="s">
        <v>1374</v>
      </c>
      <c r="B6298" t="s">
        <v>1375</v>
      </c>
      <c r="C6298" t="s">
        <v>426</v>
      </c>
      <c r="D6298" t="str">
        <f>VLOOKUP(C6298,'lookup table'!$A$2:$B$19,2,FALSE)</f>
        <v>Investee Unit</v>
      </c>
      <c r="E6298" t="str">
        <f t="shared" si="98"/>
        <v>DR5TOM_00|Investee Unit</v>
      </c>
    </row>
    <row r="6299" spans="1:5" x14ac:dyDescent="0.2">
      <c r="A6299" t="s">
        <v>1374</v>
      </c>
      <c r="B6299" t="s">
        <v>1375</v>
      </c>
      <c r="C6299" t="s">
        <v>428</v>
      </c>
      <c r="D6299" t="str">
        <f>VLOOKUP(C6299,'lookup table'!$A$2:$B$19,2,FALSE)</f>
        <v>LoB</v>
      </c>
      <c r="E6299" t="str">
        <f t="shared" si="98"/>
        <v>DR5TOM_00|LoB</v>
      </c>
    </row>
    <row r="6300" spans="1:5" x14ac:dyDescent="0.2">
      <c r="A6300" t="s">
        <v>1374</v>
      </c>
      <c r="B6300" t="s">
        <v>1375</v>
      </c>
      <c r="C6300" t="s">
        <v>436</v>
      </c>
      <c r="D6300" t="str">
        <f>VLOOKUP(C6300,'lookup table'!$A$2:$B$19,2,FALSE)</f>
        <v>MAT</v>
      </c>
      <c r="E6300" t="str">
        <f t="shared" si="98"/>
        <v>DR5TOM_00|MAT</v>
      </c>
    </row>
    <row r="6301" spans="1:5" x14ac:dyDescent="0.2">
      <c r="A6301" t="s">
        <v>1374</v>
      </c>
      <c r="B6301" t="s">
        <v>1375</v>
      </c>
      <c r="C6301" t="s">
        <v>438</v>
      </c>
      <c r="D6301" t="str">
        <f>VLOOKUP(C6301,'lookup table'!$A$2:$B$19,2,FALSE)</f>
        <v>ToM</v>
      </c>
      <c r="E6301" t="str">
        <f t="shared" si="98"/>
        <v>DR5TOM_00|ToM</v>
      </c>
    </row>
    <row r="6302" spans="1:5" x14ac:dyDescent="0.2">
      <c r="A6302" t="s">
        <v>1374</v>
      </c>
      <c r="B6302" t="s">
        <v>1375</v>
      </c>
      <c r="C6302" t="s">
        <v>441</v>
      </c>
      <c r="D6302" t="str">
        <f>VLOOKUP(C6302,'lookup table'!$A$2:$B$19,2,FALSE)</f>
        <v>Partner Segment</v>
      </c>
      <c r="E6302" t="str">
        <f t="shared" si="98"/>
        <v>DR5TOM_00|Partner Segment</v>
      </c>
    </row>
    <row r="6303" spans="1:5" x14ac:dyDescent="0.2">
      <c r="A6303" t="s">
        <v>1374</v>
      </c>
      <c r="B6303" t="s">
        <v>1375</v>
      </c>
      <c r="C6303" t="s">
        <v>442</v>
      </c>
      <c r="D6303" t="str">
        <f>VLOOKUP(C6303,'lookup table'!$A$2:$B$19,2,FALSE)</f>
        <v>Partner Unit</v>
      </c>
      <c r="E6303" t="str">
        <f t="shared" si="98"/>
        <v>DR5TOM_00|Partner Unit</v>
      </c>
    </row>
    <row r="6304" spans="1:5" x14ac:dyDescent="0.2">
      <c r="A6304" t="s">
        <v>1374</v>
      </c>
      <c r="B6304" t="s">
        <v>1375</v>
      </c>
      <c r="C6304" t="s">
        <v>447</v>
      </c>
      <c r="D6304" t="str">
        <f>VLOOKUP(C6304,'lookup table'!$A$2:$B$19,2,FALSE)</f>
        <v>REX</v>
      </c>
      <c r="E6304" t="str">
        <f t="shared" si="98"/>
        <v>DR5TOM_00|REX</v>
      </c>
    </row>
    <row r="6305" spans="1:5" x14ac:dyDescent="0.2">
      <c r="A6305" t="s">
        <v>1374</v>
      </c>
      <c r="B6305" t="s">
        <v>1375</v>
      </c>
      <c r="C6305" t="s">
        <v>448</v>
      </c>
      <c r="D6305" t="e">
        <f>VLOOKUP(C6305,'lookup table'!$A$2:$B$19,2,FALSE)</f>
        <v>#N/A</v>
      </c>
      <c r="E6305" t="str">
        <f t="shared" si="98"/>
        <v/>
      </c>
    </row>
    <row r="6306" spans="1:5" x14ac:dyDescent="0.2">
      <c r="A6306" t="s">
        <v>1374</v>
      </c>
      <c r="B6306" t="s">
        <v>1375</v>
      </c>
      <c r="C6306" t="s">
        <v>449</v>
      </c>
      <c r="D6306" t="e">
        <f>VLOOKUP(C6306,'lookup table'!$A$2:$B$19,2,FALSE)</f>
        <v>#N/A</v>
      </c>
      <c r="E6306" t="str">
        <f t="shared" si="98"/>
        <v/>
      </c>
    </row>
    <row r="6307" spans="1:5" x14ac:dyDescent="0.2">
      <c r="A6307" t="s">
        <v>1374</v>
      </c>
      <c r="B6307" t="s">
        <v>1375</v>
      </c>
      <c r="C6307" t="s">
        <v>451</v>
      </c>
      <c r="D6307" t="str">
        <f>VLOOKUP(C6307,'lookup table'!$A$2:$B$19,2,FALSE)</f>
        <v>Segment</v>
      </c>
      <c r="E6307" t="str">
        <f t="shared" si="98"/>
        <v>DR5TOM_00|Segment</v>
      </c>
    </row>
    <row r="6308" spans="1:5" x14ac:dyDescent="0.2">
      <c r="A6308" t="s">
        <v>1374</v>
      </c>
      <c r="B6308" t="s">
        <v>1375</v>
      </c>
      <c r="C6308" t="s">
        <v>455</v>
      </c>
      <c r="D6308" t="e">
        <f>VLOOKUP(C6308,'lookup table'!$A$2:$B$19,2,FALSE)</f>
        <v>#N/A</v>
      </c>
      <c r="E6308" t="str">
        <f t="shared" si="98"/>
        <v/>
      </c>
    </row>
    <row r="6309" spans="1:5" x14ac:dyDescent="0.2">
      <c r="A6309" t="s">
        <v>1374</v>
      </c>
      <c r="B6309" t="s">
        <v>1375</v>
      </c>
      <c r="C6309" t="s">
        <v>456</v>
      </c>
      <c r="D6309" t="e">
        <f>VLOOKUP(C6309,'lookup table'!$A$2:$B$19,2,FALSE)</f>
        <v>#N/A</v>
      </c>
      <c r="E6309" t="str">
        <f t="shared" si="98"/>
        <v/>
      </c>
    </row>
    <row r="6310" spans="1:5" x14ac:dyDescent="0.2">
      <c r="A6310" t="s">
        <v>1374</v>
      </c>
      <c r="B6310" t="s">
        <v>1375</v>
      </c>
      <c r="C6310" t="s">
        <v>457</v>
      </c>
      <c r="D6310" t="str">
        <f>VLOOKUP(C6310,'lookup table'!$A$2:$B$19,2,FALSE)</f>
        <v>VLT</v>
      </c>
      <c r="E6310" t="str">
        <f t="shared" si="98"/>
        <v>DR5TOM_00|VLT</v>
      </c>
    </row>
    <row r="6311" spans="1:5" x14ac:dyDescent="0.2">
      <c r="A6311" t="s">
        <v>1374</v>
      </c>
      <c r="B6311" t="s">
        <v>1375</v>
      </c>
      <c r="C6311" t="s">
        <v>458</v>
      </c>
      <c r="D6311" t="str">
        <f>VLOOKUP(C6311,'lookup table'!$A$2:$B$19,2,FALSE)</f>
        <v>VAR</v>
      </c>
      <c r="E6311" t="str">
        <f t="shared" si="98"/>
        <v>DR5TOM_00|VAR</v>
      </c>
    </row>
    <row r="6312" spans="1:5" x14ac:dyDescent="0.2">
      <c r="A6312" t="s">
        <v>1374</v>
      </c>
      <c r="B6312" t="s">
        <v>1375</v>
      </c>
      <c r="C6312" t="s">
        <v>459</v>
      </c>
      <c r="D6312" t="e">
        <f>VLOOKUP(C6312,'lookup table'!$A$2:$B$19,2,FALSE)</f>
        <v>#N/A</v>
      </c>
      <c r="E6312" t="str">
        <f t="shared" si="98"/>
        <v/>
      </c>
    </row>
    <row r="6313" spans="1:5" x14ac:dyDescent="0.2">
      <c r="A6313" t="s">
        <v>1374</v>
      </c>
      <c r="B6313" t="s">
        <v>1375</v>
      </c>
      <c r="C6313" t="s">
        <v>460</v>
      </c>
      <c r="D6313" t="e">
        <f>VLOOKUP(C6313,'lookup table'!$A$2:$B$19,2,FALSE)</f>
        <v>#N/A</v>
      </c>
      <c r="E6313" t="str">
        <f t="shared" si="98"/>
        <v/>
      </c>
    </row>
    <row r="6314" spans="1:5" x14ac:dyDescent="0.2">
      <c r="A6314" t="s">
        <v>1374</v>
      </c>
      <c r="B6314" t="s">
        <v>1375</v>
      </c>
      <c r="C6314" t="s">
        <v>461</v>
      </c>
      <c r="D6314" t="str">
        <f>VLOOKUP(C6314,'lookup table'!$A$2:$B$19,2,FALSE)</f>
        <v>Posting Level</v>
      </c>
      <c r="E6314" t="str">
        <f t="shared" si="98"/>
        <v>DR5TOM_00|Posting Level</v>
      </c>
    </row>
    <row r="6315" spans="1:5" x14ac:dyDescent="0.2">
      <c r="A6315" t="s">
        <v>1374</v>
      </c>
      <c r="B6315" t="s">
        <v>1375</v>
      </c>
      <c r="C6315" t="s">
        <v>462</v>
      </c>
      <c r="D6315" t="e">
        <f>VLOOKUP(C6315,'lookup table'!$A$2:$B$19,2,FALSE)</f>
        <v>#N/A</v>
      </c>
      <c r="E6315" t="str">
        <f t="shared" si="98"/>
        <v/>
      </c>
    </row>
    <row r="6316" spans="1:5" x14ac:dyDescent="0.2">
      <c r="A6316" t="s">
        <v>1374</v>
      </c>
      <c r="B6316" t="s">
        <v>1375</v>
      </c>
      <c r="C6316" t="s">
        <v>463</v>
      </c>
      <c r="D6316" t="e">
        <f>VLOOKUP(C6316,'lookup table'!$A$2:$B$19,2,FALSE)</f>
        <v>#N/A</v>
      </c>
      <c r="E6316" t="str">
        <f t="shared" si="98"/>
        <v/>
      </c>
    </row>
    <row r="6317" spans="1:5" x14ac:dyDescent="0.2">
      <c r="A6317" t="s">
        <v>1374</v>
      </c>
      <c r="B6317" t="s">
        <v>1375</v>
      </c>
      <c r="C6317" t="s">
        <v>464</v>
      </c>
      <c r="D6317" t="e">
        <f>VLOOKUP(C6317,'lookup table'!$A$2:$B$19,2,FALSE)</f>
        <v>#N/A</v>
      </c>
      <c r="E6317" t="str">
        <f t="shared" si="98"/>
        <v/>
      </c>
    </row>
    <row r="6318" spans="1:5" x14ac:dyDescent="0.2">
      <c r="A6318" t="s">
        <v>1374</v>
      </c>
      <c r="B6318" t="s">
        <v>1375</v>
      </c>
      <c r="C6318" t="s">
        <v>465</v>
      </c>
      <c r="D6318" t="e">
        <f>VLOOKUP(C6318,'lookup table'!$A$2:$B$19,2,FALSE)</f>
        <v>#N/A</v>
      </c>
      <c r="E6318" t="str">
        <f t="shared" si="98"/>
        <v/>
      </c>
    </row>
    <row r="6319" spans="1:5" x14ac:dyDescent="0.2">
      <c r="A6319" t="s">
        <v>1376</v>
      </c>
      <c r="B6319" t="s">
        <v>1377</v>
      </c>
      <c r="C6319" t="s">
        <v>2</v>
      </c>
      <c r="D6319" t="e">
        <f>VLOOKUP(C6319,'lookup table'!$A$2:$B$19,2,FALSE)</f>
        <v>#N/A</v>
      </c>
      <c r="E6319" t="str">
        <f t="shared" si="98"/>
        <v/>
      </c>
    </row>
    <row r="6320" spans="1:5" x14ac:dyDescent="0.2">
      <c r="A6320" t="s">
        <v>1376</v>
      </c>
      <c r="B6320" t="s">
        <v>1377</v>
      </c>
      <c r="C6320" t="s">
        <v>5</v>
      </c>
      <c r="D6320" t="e">
        <f>VLOOKUP(C6320,'lookup table'!$A$2:$B$19,2,FALSE)</f>
        <v>#N/A</v>
      </c>
      <c r="E6320" t="str">
        <f t="shared" si="98"/>
        <v/>
      </c>
    </row>
    <row r="6321" spans="1:5" x14ac:dyDescent="0.2">
      <c r="A6321" t="s">
        <v>1376</v>
      </c>
      <c r="B6321" t="s">
        <v>1377</v>
      </c>
      <c r="C6321" t="s">
        <v>6</v>
      </c>
      <c r="D6321" t="e">
        <f>VLOOKUP(C6321,'lookup table'!$A$2:$B$19,2,FALSE)</f>
        <v>#N/A</v>
      </c>
      <c r="E6321" t="str">
        <f t="shared" si="98"/>
        <v/>
      </c>
    </row>
    <row r="6322" spans="1:5" x14ac:dyDescent="0.2">
      <c r="A6322" t="s">
        <v>1376</v>
      </c>
      <c r="B6322" t="s">
        <v>1377</v>
      </c>
      <c r="C6322" t="s">
        <v>9</v>
      </c>
      <c r="D6322" t="e">
        <f>VLOOKUP(C6322,'lookup table'!$A$2:$B$19,2,FALSE)</f>
        <v>#N/A</v>
      </c>
      <c r="E6322" t="str">
        <f t="shared" si="98"/>
        <v/>
      </c>
    </row>
    <row r="6323" spans="1:5" x14ac:dyDescent="0.2">
      <c r="A6323" t="s">
        <v>1376</v>
      </c>
      <c r="B6323" t="s">
        <v>1377</v>
      </c>
      <c r="C6323" t="s">
        <v>10</v>
      </c>
      <c r="D6323" t="e">
        <f>VLOOKUP(C6323,'lookup table'!$A$2:$B$19,2,FALSE)</f>
        <v>#N/A</v>
      </c>
      <c r="E6323" t="str">
        <f t="shared" si="98"/>
        <v/>
      </c>
    </row>
    <row r="6324" spans="1:5" x14ac:dyDescent="0.2">
      <c r="A6324" t="s">
        <v>1376</v>
      </c>
      <c r="B6324" t="s">
        <v>1377</v>
      </c>
      <c r="C6324" t="s">
        <v>11</v>
      </c>
      <c r="D6324" t="e">
        <f>VLOOKUP(C6324,'lookup table'!$A$2:$B$19,2,FALSE)</f>
        <v>#N/A</v>
      </c>
      <c r="E6324" t="str">
        <f t="shared" si="98"/>
        <v/>
      </c>
    </row>
    <row r="6325" spans="1:5" x14ac:dyDescent="0.2">
      <c r="A6325" t="s">
        <v>1376</v>
      </c>
      <c r="B6325" t="s">
        <v>1377</v>
      </c>
      <c r="C6325" t="s">
        <v>12</v>
      </c>
      <c r="D6325" t="e">
        <f>VLOOKUP(C6325,'lookup table'!$A$2:$B$19,2,FALSE)</f>
        <v>#N/A</v>
      </c>
      <c r="E6325" t="str">
        <f t="shared" si="98"/>
        <v/>
      </c>
    </row>
    <row r="6326" spans="1:5" x14ac:dyDescent="0.2">
      <c r="A6326" t="s">
        <v>1376</v>
      </c>
      <c r="B6326" t="s">
        <v>1377</v>
      </c>
      <c r="C6326" t="s">
        <v>14</v>
      </c>
      <c r="D6326" t="str">
        <f>VLOOKUP(C6326,'lookup table'!$A$2:$B$19,2,FALSE)</f>
        <v>ALC</v>
      </c>
      <c r="E6326" t="str">
        <f t="shared" si="98"/>
        <v>DR5VAR_00|ALC</v>
      </c>
    </row>
    <row r="6327" spans="1:5" x14ac:dyDescent="0.2">
      <c r="A6327" t="s">
        <v>1376</v>
      </c>
      <c r="B6327" t="s">
        <v>1377</v>
      </c>
      <c r="C6327" t="s">
        <v>20</v>
      </c>
      <c r="D6327" t="str">
        <f>VLOOKUP(C6327,'lookup table'!$A$2:$B$19,2,FALSE)</f>
        <v>AY</v>
      </c>
      <c r="E6327" t="str">
        <f t="shared" si="98"/>
        <v>DR5VAR_00|AY</v>
      </c>
    </row>
    <row r="6328" spans="1:5" x14ac:dyDescent="0.2">
      <c r="A6328" t="s">
        <v>1376</v>
      </c>
      <c r="B6328" t="s">
        <v>1377</v>
      </c>
      <c r="C6328" t="s">
        <v>324</v>
      </c>
      <c r="D6328" t="e">
        <f>VLOOKUP(C6328,'lookup table'!$A$2:$B$19,2,FALSE)</f>
        <v>#N/A</v>
      </c>
      <c r="E6328" t="str">
        <f t="shared" si="98"/>
        <v/>
      </c>
    </row>
    <row r="6329" spans="1:5" x14ac:dyDescent="0.2">
      <c r="A6329" t="s">
        <v>1376</v>
      </c>
      <c r="B6329" t="s">
        <v>1377</v>
      </c>
      <c r="C6329" t="s">
        <v>325</v>
      </c>
      <c r="D6329" t="e">
        <f>VLOOKUP(C6329,'lookup table'!$A$2:$B$19,2,FALSE)</f>
        <v>#N/A</v>
      </c>
      <c r="E6329" t="str">
        <f t="shared" si="98"/>
        <v/>
      </c>
    </row>
    <row r="6330" spans="1:5" x14ac:dyDescent="0.2">
      <c r="A6330" t="s">
        <v>1376</v>
      </c>
      <c r="B6330" t="s">
        <v>1377</v>
      </c>
      <c r="C6330" t="s">
        <v>326</v>
      </c>
      <c r="D6330" t="e">
        <f>VLOOKUP(C6330,'lookup table'!$A$2:$B$19,2,FALSE)</f>
        <v>#N/A</v>
      </c>
      <c r="E6330" t="str">
        <f t="shared" si="98"/>
        <v/>
      </c>
    </row>
    <row r="6331" spans="1:5" x14ac:dyDescent="0.2">
      <c r="A6331" t="s">
        <v>1376</v>
      </c>
      <c r="B6331" t="s">
        <v>1377</v>
      </c>
      <c r="C6331" t="s">
        <v>327</v>
      </c>
      <c r="D6331" t="e">
        <f>VLOOKUP(C6331,'lookup table'!$A$2:$B$19,2,FALSE)</f>
        <v>#N/A</v>
      </c>
      <c r="E6331" t="str">
        <f t="shared" si="98"/>
        <v/>
      </c>
    </row>
    <row r="6332" spans="1:5" x14ac:dyDescent="0.2">
      <c r="A6332" t="s">
        <v>1376</v>
      </c>
      <c r="B6332" t="s">
        <v>1377</v>
      </c>
      <c r="C6332" t="s">
        <v>328</v>
      </c>
      <c r="D6332" t="e">
        <f>VLOOKUP(C6332,'lookup table'!$A$2:$B$19,2,FALSE)</f>
        <v>#N/A</v>
      </c>
      <c r="E6332" t="str">
        <f t="shared" si="98"/>
        <v/>
      </c>
    </row>
    <row r="6333" spans="1:5" x14ac:dyDescent="0.2">
      <c r="A6333" t="s">
        <v>1376</v>
      </c>
      <c r="B6333" t="s">
        <v>1377</v>
      </c>
      <c r="C6333" t="s">
        <v>329</v>
      </c>
      <c r="D6333" t="e">
        <f>VLOOKUP(C6333,'lookup table'!$A$2:$B$19,2,FALSE)</f>
        <v>#N/A</v>
      </c>
      <c r="E6333" t="str">
        <f t="shared" si="98"/>
        <v/>
      </c>
    </row>
    <row r="6334" spans="1:5" x14ac:dyDescent="0.2">
      <c r="A6334" t="s">
        <v>1376</v>
      </c>
      <c r="B6334" t="s">
        <v>1377</v>
      </c>
      <c r="C6334" t="s">
        <v>331</v>
      </c>
      <c r="D6334" t="str">
        <f>VLOOKUP(C6334,'lookup table'!$A$2:$B$19,2,FALSE)</f>
        <v>FS Item</v>
      </c>
      <c r="E6334" t="str">
        <f t="shared" si="98"/>
        <v>DR5VAR_00|FS Item</v>
      </c>
    </row>
    <row r="6335" spans="1:5" x14ac:dyDescent="0.2">
      <c r="A6335" t="s">
        <v>1376</v>
      </c>
      <c r="B6335" t="s">
        <v>1377</v>
      </c>
      <c r="C6335" t="s">
        <v>422</v>
      </c>
      <c r="D6335" t="e">
        <f>VLOOKUP(C6335,'lookup table'!$A$2:$B$19,2,FALSE)</f>
        <v>#N/A</v>
      </c>
      <c r="E6335" t="str">
        <f t="shared" si="98"/>
        <v/>
      </c>
    </row>
    <row r="6336" spans="1:5" x14ac:dyDescent="0.2">
      <c r="A6336" t="s">
        <v>1376</v>
      </c>
      <c r="B6336" t="s">
        <v>1377</v>
      </c>
      <c r="C6336" t="s">
        <v>423</v>
      </c>
      <c r="D6336" t="str">
        <f>VLOOKUP(C6336,'lookup table'!$A$2:$B$19,2,FALSE)</f>
        <v>ignore</v>
      </c>
      <c r="E6336" t="str">
        <f t="shared" si="98"/>
        <v>DR5VAR_00|ignore</v>
      </c>
    </row>
    <row r="6337" spans="1:5" x14ac:dyDescent="0.2">
      <c r="A6337" t="s">
        <v>1376</v>
      </c>
      <c r="B6337" t="s">
        <v>1377</v>
      </c>
      <c r="C6337" t="s">
        <v>424</v>
      </c>
      <c r="D6337" t="str">
        <f>VLOOKUP(C6337,'lookup table'!$A$2:$B$19,2,FALSE)</f>
        <v>GRC</v>
      </c>
      <c r="E6337" t="str">
        <f t="shared" si="98"/>
        <v>DR5VAR_00|GRC</v>
      </c>
    </row>
    <row r="6338" spans="1:5" x14ac:dyDescent="0.2">
      <c r="A6338" t="s">
        <v>1376</v>
      </c>
      <c r="B6338" t="s">
        <v>1377</v>
      </c>
      <c r="C6338" t="s">
        <v>425</v>
      </c>
      <c r="D6338" t="str">
        <f>VLOOKUP(C6338,'lookup table'!$A$2:$B$19,2,FALSE)</f>
        <v>Investee Segment</v>
      </c>
      <c r="E6338" t="str">
        <f t="shared" si="98"/>
        <v>DR5VAR_00|Investee Segment</v>
      </c>
    </row>
    <row r="6339" spans="1:5" x14ac:dyDescent="0.2">
      <c r="A6339" t="s">
        <v>1376</v>
      </c>
      <c r="B6339" t="s">
        <v>1377</v>
      </c>
      <c r="C6339" t="s">
        <v>426</v>
      </c>
      <c r="D6339" t="str">
        <f>VLOOKUP(C6339,'lookup table'!$A$2:$B$19,2,FALSE)</f>
        <v>Investee Unit</v>
      </c>
      <c r="E6339" t="str">
        <f t="shared" ref="E6339:E6402" si="99">IF(ISNA(D6339),"",IF(A6339="","",A6339) &amp; "|" &amp; D6339)</f>
        <v>DR5VAR_00|Investee Unit</v>
      </c>
    </row>
    <row r="6340" spans="1:5" x14ac:dyDescent="0.2">
      <c r="A6340" t="s">
        <v>1376</v>
      </c>
      <c r="B6340" t="s">
        <v>1377</v>
      </c>
      <c r="C6340" t="s">
        <v>428</v>
      </c>
      <c r="D6340" t="str">
        <f>VLOOKUP(C6340,'lookup table'!$A$2:$B$19,2,FALSE)</f>
        <v>LoB</v>
      </c>
      <c r="E6340" t="str">
        <f t="shared" si="99"/>
        <v>DR5VAR_00|LoB</v>
      </c>
    </row>
    <row r="6341" spans="1:5" x14ac:dyDescent="0.2">
      <c r="A6341" t="s">
        <v>1376</v>
      </c>
      <c r="B6341" t="s">
        <v>1377</v>
      </c>
      <c r="C6341" t="s">
        <v>436</v>
      </c>
      <c r="D6341" t="str">
        <f>VLOOKUP(C6341,'lookup table'!$A$2:$B$19,2,FALSE)</f>
        <v>MAT</v>
      </c>
      <c r="E6341" t="str">
        <f t="shared" si="99"/>
        <v>DR5VAR_00|MAT</v>
      </c>
    </row>
    <row r="6342" spans="1:5" x14ac:dyDescent="0.2">
      <c r="A6342" t="s">
        <v>1376</v>
      </c>
      <c r="B6342" t="s">
        <v>1377</v>
      </c>
      <c r="C6342" t="s">
        <v>438</v>
      </c>
      <c r="D6342" t="str">
        <f>VLOOKUP(C6342,'lookup table'!$A$2:$B$19,2,FALSE)</f>
        <v>ToM</v>
      </c>
      <c r="E6342" t="str">
        <f t="shared" si="99"/>
        <v>DR5VAR_00|ToM</v>
      </c>
    </row>
    <row r="6343" spans="1:5" x14ac:dyDescent="0.2">
      <c r="A6343" t="s">
        <v>1376</v>
      </c>
      <c r="B6343" t="s">
        <v>1377</v>
      </c>
      <c r="C6343" t="s">
        <v>441</v>
      </c>
      <c r="D6343" t="str">
        <f>VLOOKUP(C6343,'lookup table'!$A$2:$B$19,2,FALSE)</f>
        <v>Partner Segment</v>
      </c>
      <c r="E6343" t="str">
        <f t="shared" si="99"/>
        <v>DR5VAR_00|Partner Segment</v>
      </c>
    </row>
    <row r="6344" spans="1:5" x14ac:dyDescent="0.2">
      <c r="A6344" t="s">
        <v>1376</v>
      </c>
      <c r="B6344" t="s">
        <v>1377</v>
      </c>
      <c r="C6344" t="s">
        <v>442</v>
      </c>
      <c r="D6344" t="str">
        <f>VLOOKUP(C6344,'lookup table'!$A$2:$B$19,2,FALSE)</f>
        <v>Partner Unit</v>
      </c>
      <c r="E6344" t="str">
        <f t="shared" si="99"/>
        <v>DR5VAR_00|Partner Unit</v>
      </c>
    </row>
    <row r="6345" spans="1:5" x14ac:dyDescent="0.2">
      <c r="A6345" t="s">
        <v>1376</v>
      </c>
      <c r="B6345" t="s">
        <v>1377</v>
      </c>
      <c r="C6345" t="s">
        <v>447</v>
      </c>
      <c r="D6345" t="str">
        <f>VLOOKUP(C6345,'lookup table'!$A$2:$B$19,2,FALSE)</f>
        <v>REX</v>
      </c>
      <c r="E6345" t="str">
        <f t="shared" si="99"/>
        <v>DR5VAR_00|REX</v>
      </c>
    </row>
    <row r="6346" spans="1:5" x14ac:dyDescent="0.2">
      <c r="A6346" t="s">
        <v>1376</v>
      </c>
      <c r="B6346" t="s">
        <v>1377</v>
      </c>
      <c r="C6346" t="s">
        <v>448</v>
      </c>
      <c r="D6346" t="e">
        <f>VLOOKUP(C6346,'lookup table'!$A$2:$B$19,2,FALSE)</f>
        <v>#N/A</v>
      </c>
      <c r="E6346" t="str">
        <f t="shared" si="99"/>
        <v/>
      </c>
    </row>
    <row r="6347" spans="1:5" x14ac:dyDescent="0.2">
      <c r="A6347" t="s">
        <v>1376</v>
      </c>
      <c r="B6347" t="s">
        <v>1377</v>
      </c>
      <c r="C6347" t="s">
        <v>449</v>
      </c>
      <c r="D6347" t="e">
        <f>VLOOKUP(C6347,'lookup table'!$A$2:$B$19,2,FALSE)</f>
        <v>#N/A</v>
      </c>
      <c r="E6347" t="str">
        <f t="shared" si="99"/>
        <v/>
      </c>
    </row>
    <row r="6348" spans="1:5" x14ac:dyDescent="0.2">
      <c r="A6348" t="s">
        <v>1376</v>
      </c>
      <c r="B6348" t="s">
        <v>1377</v>
      </c>
      <c r="C6348" t="s">
        <v>451</v>
      </c>
      <c r="D6348" t="str">
        <f>VLOOKUP(C6348,'lookup table'!$A$2:$B$19,2,FALSE)</f>
        <v>Segment</v>
      </c>
      <c r="E6348" t="str">
        <f t="shared" si="99"/>
        <v>DR5VAR_00|Segment</v>
      </c>
    </row>
    <row r="6349" spans="1:5" x14ac:dyDescent="0.2">
      <c r="A6349" t="s">
        <v>1376</v>
      </c>
      <c r="B6349" t="s">
        <v>1377</v>
      </c>
      <c r="C6349" t="s">
        <v>455</v>
      </c>
      <c r="D6349" t="e">
        <f>VLOOKUP(C6349,'lookup table'!$A$2:$B$19,2,FALSE)</f>
        <v>#N/A</v>
      </c>
      <c r="E6349" t="str">
        <f t="shared" si="99"/>
        <v/>
      </c>
    </row>
    <row r="6350" spans="1:5" x14ac:dyDescent="0.2">
      <c r="A6350" t="s">
        <v>1376</v>
      </c>
      <c r="B6350" t="s">
        <v>1377</v>
      </c>
      <c r="C6350" t="s">
        <v>456</v>
      </c>
      <c r="D6350" t="e">
        <f>VLOOKUP(C6350,'lookup table'!$A$2:$B$19,2,FALSE)</f>
        <v>#N/A</v>
      </c>
      <c r="E6350" t="str">
        <f t="shared" si="99"/>
        <v/>
      </c>
    </row>
    <row r="6351" spans="1:5" x14ac:dyDescent="0.2">
      <c r="A6351" t="s">
        <v>1376</v>
      </c>
      <c r="B6351" t="s">
        <v>1377</v>
      </c>
      <c r="C6351" t="s">
        <v>457</v>
      </c>
      <c r="D6351" t="str">
        <f>VLOOKUP(C6351,'lookup table'!$A$2:$B$19,2,FALSE)</f>
        <v>VLT</v>
      </c>
      <c r="E6351" t="str">
        <f t="shared" si="99"/>
        <v>DR5VAR_00|VLT</v>
      </c>
    </row>
    <row r="6352" spans="1:5" x14ac:dyDescent="0.2">
      <c r="A6352" t="s">
        <v>1376</v>
      </c>
      <c r="B6352" t="s">
        <v>1377</v>
      </c>
      <c r="C6352" t="s">
        <v>458</v>
      </c>
      <c r="D6352" t="str">
        <f>VLOOKUP(C6352,'lookup table'!$A$2:$B$19,2,FALSE)</f>
        <v>VAR</v>
      </c>
      <c r="E6352" t="str">
        <f t="shared" si="99"/>
        <v>DR5VAR_00|VAR</v>
      </c>
    </row>
    <row r="6353" spans="1:5" x14ac:dyDescent="0.2">
      <c r="A6353" t="s">
        <v>1376</v>
      </c>
      <c r="B6353" t="s">
        <v>1377</v>
      </c>
      <c r="C6353" t="s">
        <v>459</v>
      </c>
      <c r="D6353" t="e">
        <f>VLOOKUP(C6353,'lookup table'!$A$2:$B$19,2,FALSE)</f>
        <v>#N/A</v>
      </c>
      <c r="E6353" t="str">
        <f t="shared" si="99"/>
        <v/>
      </c>
    </row>
    <row r="6354" spans="1:5" x14ac:dyDescent="0.2">
      <c r="A6354" t="s">
        <v>1376</v>
      </c>
      <c r="B6354" t="s">
        <v>1377</v>
      </c>
      <c r="C6354" t="s">
        <v>460</v>
      </c>
      <c r="D6354" t="e">
        <f>VLOOKUP(C6354,'lookup table'!$A$2:$B$19,2,FALSE)</f>
        <v>#N/A</v>
      </c>
      <c r="E6354" t="str">
        <f t="shared" si="99"/>
        <v/>
      </c>
    </row>
    <row r="6355" spans="1:5" x14ac:dyDescent="0.2">
      <c r="A6355" t="s">
        <v>1376</v>
      </c>
      <c r="B6355" t="s">
        <v>1377</v>
      </c>
      <c r="C6355" t="s">
        <v>461</v>
      </c>
      <c r="D6355" t="str">
        <f>VLOOKUP(C6355,'lookup table'!$A$2:$B$19,2,FALSE)</f>
        <v>Posting Level</v>
      </c>
      <c r="E6355" t="str">
        <f t="shared" si="99"/>
        <v>DR5VAR_00|Posting Level</v>
      </c>
    </row>
    <row r="6356" spans="1:5" x14ac:dyDescent="0.2">
      <c r="A6356" t="s">
        <v>1376</v>
      </c>
      <c r="B6356" t="s">
        <v>1377</v>
      </c>
      <c r="C6356" t="s">
        <v>462</v>
      </c>
      <c r="D6356" t="e">
        <f>VLOOKUP(C6356,'lookup table'!$A$2:$B$19,2,FALSE)</f>
        <v>#N/A</v>
      </c>
      <c r="E6356" t="str">
        <f t="shared" si="99"/>
        <v/>
      </c>
    </row>
    <row r="6357" spans="1:5" x14ac:dyDescent="0.2">
      <c r="A6357" t="s">
        <v>1376</v>
      </c>
      <c r="B6357" t="s">
        <v>1377</v>
      </c>
      <c r="C6357" t="s">
        <v>463</v>
      </c>
      <c r="D6357" t="e">
        <f>VLOOKUP(C6357,'lookup table'!$A$2:$B$19,2,FALSE)</f>
        <v>#N/A</v>
      </c>
      <c r="E6357" t="str">
        <f t="shared" si="99"/>
        <v/>
      </c>
    </row>
    <row r="6358" spans="1:5" x14ac:dyDescent="0.2">
      <c r="A6358" t="s">
        <v>1376</v>
      </c>
      <c r="B6358" t="s">
        <v>1377</v>
      </c>
      <c r="C6358" t="s">
        <v>464</v>
      </c>
      <c r="D6358" t="e">
        <f>VLOOKUP(C6358,'lookup table'!$A$2:$B$19,2,FALSE)</f>
        <v>#N/A</v>
      </c>
      <c r="E6358" t="str">
        <f t="shared" si="99"/>
        <v/>
      </c>
    </row>
    <row r="6359" spans="1:5" x14ac:dyDescent="0.2">
      <c r="A6359" t="s">
        <v>1376</v>
      </c>
      <c r="B6359" t="s">
        <v>1377</v>
      </c>
      <c r="C6359" t="s">
        <v>465</v>
      </c>
      <c r="D6359" t="e">
        <f>VLOOKUP(C6359,'lookup table'!$A$2:$B$19,2,FALSE)</f>
        <v>#N/A</v>
      </c>
      <c r="E6359" t="str">
        <f t="shared" si="99"/>
        <v/>
      </c>
    </row>
    <row r="6360" spans="1:5" x14ac:dyDescent="0.2">
      <c r="A6360" t="s">
        <v>1378</v>
      </c>
      <c r="B6360" t="s">
        <v>1379</v>
      </c>
      <c r="C6360" t="s">
        <v>2</v>
      </c>
      <c r="D6360" t="e">
        <f>VLOOKUP(C6360,'lookup table'!$A$2:$B$19,2,FALSE)</f>
        <v>#N/A</v>
      </c>
      <c r="E6360" t="str">
        <f t="shared" si="99"/>
        <v/>
      </c>
    </row>
    <row r="6361" spans="1:5" x14ac:dyDescent="0.2">
      <c r="A6361" t="s">
        <v>1378</v>
      </c>
      <c r="B6361" t="s">
        <v>1379</v>
      </c>
      <c r="C6361" t="s">
        <v>5</v>
      </c>
      <c r="D6361" t="e">
        <f>VLOOKUP(C6361,'lookup table'!$A$2:$B$19,2,FALSE)</f>
        <v>#N/A</v>
      </c>
      <c r="E6361" t="str">
        <f t="shared" si="99"/>
        <v/>
      </c>
    </row>
    <row r="6362" spans="1:5" x14ac:dyDescent="0.2">
      <c r="A6362" t="s">
        <v>1378</v>
      </c>
      <c r="B6362" t="s">
        <v>1379</v>
      </c>
      <c r="C6362" t="s">
        <v>6</v>
      </c>
      <c r="D6362" t="e">
        <f>VLOOKUP(C6362,'lookup table'!$A$2:$B$19,2,FALSE)</f>
        <v>#N/A</v>
      </c>
      <c r="E6362" t="str">
        <f t="shared" si="99"/>
        <v/>
      </c>
    </row>
    <row r="6363" spans="1:5" x14ac:dyDescent="0.2">
      <c r="A6363" t="s">
        <v>1378</v>
      </c>
      <c r="B6363" t="s">
        <v>1379</v>
      </c>
      <c r="C6363" t="s">
        <v>9</v>
      </c>
      <c r="D6363" t="e">
        <f>VLOOKUP(C6363,'lookup table'!$A$2:$B$19,2,FALSE)</f>
        <v>#N/A</v>
      </c>
      <c r="E6363" t="str">
        <f t="shared" si="99"/>
        <v/>
      </c>
    </row>
    <row r="6364" spans="1:5" x14ac:dyDescent="0.2">
      <c r="A6364" t="s">
        <v>1378</v>
      </c>
      <c r="B6364" t="s">
        <v>1379</v>
      </c>
      <c r="C6364" t="s">
        <v>10</v>
      </c>
      <c r="D6364" t="e">
        <f>VLOOKUP(C6364,'lookup table'!$A$2:$B$19,2,FALSE)</f>
        <v>#N/A</v>
      </c>
      <c r="E6364" t="str">
        <f t="shared" si="99"/>
        <v/>
      </c>
    </row>
    <row r="6365" spans="1:5" x14ac:dyDescent="0.2">
      <c r="A6365" t="s">
        <v>1378</v>
      </c>
      <c r="B6365" t="s">
        <v>1379</v>
      </c>
      <c r="C6365" t="s">
        <v>11</v>
      </c>
      <c r="D6365" t="e">
        <f>VLOOKUP(C6365,'lookup table'!$A$2:$B$19,2,FALSE)</f>
        <v>#N/A</v>
      </c>
      <c r="E6365" t="str">
        <f t="shared" si="99"/>
        <v/>
      </c>
    </row>
    <row r="6366" spans="1:5" x14ac:dyDescent="0.2">
      <c r="A6366" t="s">
        <v>1378</v>
      </c>
      <c r="B6366" t="s">
        <v>1379</v>
      </c>
      <c r="C6366" t="s">
        <v>12</v>
      </c>
      <c r="D6366" t="e">
        <f>VLOOKUP(C6366,'lookup table'!$A$2:$B$19,2,FALSE)</f>
        <v>#N/A</v>
      </c>
      <c r="E6366" t="str">
        <f t="shared" si="99"/>
        <v/>
      </c>
    </row>
    <row r="6367" spans="1:5" x14ac:dyDescent="0.2">
      <c r="A6367" t="s">
        <v>1378</v>
      </c>
      <c r="B6367" t="s">
        <v>1379</v>
      </c>
      <c r="C6367" t="s">
        <v>14</v>
      </c>
      <c r="D6367" t="str">
        <f>VLOOKUP(C6367,'lookup table'!$A$2:$B$19,2,FALSE)</f>
        <v>ALC</v>
      </c>
      <c r="E6367" t="str">
        <f t="shared" si="99"/>
        <v>DR6ACA_00|ALC</v>
      </c>
    </row>
    <row r="6368" spans="1:5" x14ac:dyDescent="0.2">
      <c r="A6368" t="s">
        <v>1378</v>
      </c>
      <c r="B6368" t="s">
        <v>1379</v>
      </c>
      <c r="C6368" t="s">
        <v>20</v>
      </c>
      <c r="D6368" t="str">
        <f>VLOOKUP(C6368,'lookup table'!$A$2:$B$19,2,FALSE)</f>
        <v>AY</v>
      </c>
      <c r="E6368" t="str">
        <f t="shared" si="99"/>
        <v>DR6ACA_00|AY</v>
      </c>
    </row>
    <row r="6369" spans="1:5" x14ac:dyDescent="0.2">
      <c r="A6369" t="s">
        <v>1378</v>
      </c>
      <c r="B6369" t="s">
        <v>1379</v>
      </c>
      <c r="C6369" t="s">
        <v>136</v>
      </c>
      <c r="D6369" t="str">
        <f>VLOOKUP(C6369,'lookup table'!$A$2:$B$19,2,FALSE)</f>
        <v>BBA Set</v>
      </c>
      <c r="E6369" t="str">
        <f t="shared" si="99"/>
        <v>DR6ACA_00|BBA Set</v>
      </c>
    </row>
    <row r="6370" spans="1:5" x14ac:dyDescent="0.2">
      <c r="A6370" t="s">
        <v>1378</v>
      </c>
      <c r="B6370" t="s">
        <v>1379</v>
      </c>
      <c r="C6370" t="s">
        <v>324</v>
      </c>
      <c r="D6370" t="e">
        <f>VLOOKUP(C6370,'lookup table'!$A$2:$B$19,2,FALSE)</f>
        <v>#N/A</v>
      </c>
      <c r="E6370" t="str">
        <f t="shared" si="99"/>
        <v/>
      </c>
    </row>
    <row r="6371" spans="1:5" x14ac:dyDescent="0.2">
      <c r="A6371" t="s">
        <v>1378</v>
      </c>
      <c r="B6371" t="s">
        <v>1379</v>
      </c>
      <c r="C6371" t="s">
        <v>325</v>
      </c>
      <c r="D6371" t="e">
        <f>VLOOKUP(C6371,'lookup table'!$A$2:$B$19,2,FALSE)</f>
        <v>#N/A</v>
      </c>
      <c r="E6371" t="str">
        <f t="shared" si="99"/>
        <v/>
      </c>
    </row>
    <row r="6372" spans="1:5" x14ac:dyDescent="0.2">
      <c r="A6372" t="s">
        <v>1378</v>
      </c>
      <c r="B6372" t="s">
        <v>1379</v>
      </c>
      <c r="C6372" t="s">
        <v>326</v>
      </c>
      <c r="D6372" t="e">
        <f>VLOOKUP(C6372,'lookup table'!$A$2:$B$19,2,FALSE)</f>
        <v>#N/A</v>
      </c>
      <c r="E6372" t="str">
        <f t="shared" si="99"/>
        <v/>
      </c>
    </row>
    <row r="6373" spans="1:5" x14ac:dyDescent="0.2">
      <c r="A6373" t="s">
        <v>1378</v>
      </c>
      <c r="B6373" t="s">
        <v>1379</v>
      </c>
      <c r="C6373" t="s">
        <v>327</v>
      </c>
      <c r="D6373" t="e">
        <f>VLOOKUP(C6373,'lookup table'!$A$2:$B$19,2,FALSE)</f>
        <v>#N/A</v>
      </c>
      <c r="E6373" t="str">
        <f t="shared" si="99"/>
        <v/>
      </c>
    </row>
    <row r="6374" spans="1:5" x14ac:dyDescent="0.2">
      <c r="A6374" t="s">
        <v>1378</v>
      </c>
      <c r="B6374" t="s">
        <v>1379</v>
      </c>
      <c r="C6374" t="s">
        <v>328</v>
      </c>
      <c r="D6374" t="e">
        <f>VLOOKUP(C6374,'lookup table'!$A$2:$B$19,2,FALSE)</f>
        <v>#N/A</v>
      </c>
      <c r="E6374" t="str">
        <f t="shared" si="99"/>
        <v/>
      </c>
    </row>
    <row r="6375" spans="1:5" x14ac:dyDescent="0.2">
      <c r="A6375" t="s">
        <v>1378</v>
      </c>
      <c r="B6375" t="s">
        <v>1379</v>
      </c>
      <c r="C6375" t="s">
        <v>329</v>
      </c>
      <c r="D6375" t="e">
        <f>VLOOKUP(C6375,'lookup table'!$A$2:$B$19,2,FALSE)</f>
        <v>#N/A</v>
      </c>
      <c r="E6375" t="str">
        <f t="shared" si="99"/>
        <v/>
      </c>
    </row>
    <row r="6376" spans="1:5" x14ac:dyDescent="0.2">
      <c r="A6376" t="s">
        <v>1378</v>
      </c>
      <c r="B6376" t="s">
        <v>1379</v>
      </c>
      <c r="C6376" t="s">
        <v>331</v>
      </c>
      <c r="D6376" t="str">
        <f>VLOOKUP(C6376,'lookup table'!$A$2:$B$19,2,FALSE)</f>
        <v>FS Item</v>
      </c>
      <c r="E6376" t="str">
        <f t="shared" si="99"/>
        <v>DR6ACA_00|FS Item</v>
      </c>
    </row>
    <row r="6377" spans="1:5" x14ac:dyDescent="0.2">
      <c r="A6377" t="s">
        <v>1378</v>
      </c>
      <c r="B6377" t="s">
        <v>1379</v>
      </c>
      <c r="C6377" t="s">
        <v>422</v>
      </c>
      <c r="D6377" t="e">
        <f>VLOOKUP(C6377,'lookup table'!$A$2:$B$19,2,FALSE)</f>
        <v>#N/A</v>
      </c>
      <c r="E6377" t="str">
        <f t="shared" si="99"/>
        <v/>
      </c>
    </row>
    <row r="6378" spans="1:5" x14ac:dyDescent="0.2">
      <c r="A6378" t="s">
        <v>1378</v>
      </c>
      <c r="B6378" t="s">
        <v>1379</v>
      </c>
      <c r="C6378" t="s">
        <v>423</v>
      </c>
      <c r="D6378" t="str">
        <f>VLOOKUP(C6378,'lookup table'!$A$2:$B$19,2,FALSE)</f>
        <v>ignore</v>
      </c>
      <c r="E6378" t="str">
        <f t="shared" si="99"/>
        <v>DR6ACA_00|ignore</v>
      </c>
    </row>
    <row r="6379" spans="1:5" x14ac:dyDescent="0.2">
      <c r="A6379" t="s">
        <v>1378</v>
      </c>
      <c r="B6379" t="s">
        <v>1379</v>
      </c>
      <c r="C6379" t="s">
        <v>424</v>
      </c>
      <c r="D6379" t="str">
        <f>VLOOKUP(C6379,'lookup table'!$A$2:$B$19,2,FALSE)</f>
        <v>GRC</v>
      </c>
      <c r="E6379" t="str">
        <f t="shared" si="99"/>
        <v>DR6ACA_00|GRC</v>
      </c>
    </row>
    <row r="6380" spans="1:5" x14ac:dyDescent="0.2">
      <c r="A6380" t="s">
        <v>1378</v>
      </c>
      <c r="B6380" t="s">
        <v>1379</v>
      </c>
      <c r="C6380" t="s">
        <v>425</v>
      </c>
      <c r="D6380" t="str">
        <f>VLOOKUP(C6380,'lookup table'!$A$2:$B$19,2,FALSE)</f>
        <v>Investee Segment</v>
      </c>
      <c r="E6380" t="str">
        <f t="shared" si="99"/>
        <v>DR6ACA_00|Investee Segment</v>
      </c>
    </row>
    <row r="6381" spans="1:5" x14ac:dyDescent="0.2">
      <c r="A6381" t="s">
        <v>1378</v>
      </c>
      <c r="B6381" t="s">
        <v>1379</v>
      </c>
      <c r="C6381" t="s">
        <v>426</v>
      </c>
      <c r="D6381" t="str">
        <f>VLOOKUP(C6381,'lookup table'!$A$2:$B$19,2,FALSE)</f>
        <v>Investee Unit</v>
      </c>
      <c r="E6381" t="str">
        <f t="shared" si="99"/>
        <v>DR6ACA_00|Investee Unit</v>
      </c>
    </row>
    <row r="6382" spans="1:5" x14ac:dyDescent="0.2">
      <c r="A6382" t="s">
        <v>1378</v>
      </c>
      <c r="B6382" t="s">
        <v>1379</v>
      </c>
      <c r="C6382" t="s">
        <v>428</v>
      </c>
      <c r="D6382" t="str">
        <f>VLOOKUP(C6382,'lookup table'!$A$2:$B$19,2,FALSE)</f>
        <v>LoB</v>
      </c>
      <c r="E6382" t="str">
        <f t="shared" si="99"/>
        <v>DR6ACA_00|LoB</v>
      </c>
    </row>
    <row r="6383" spans="1:5" x14ac:dyDescent="0.2">
      <c r="A6383" t="s">
        <v>1378</v>
      </c>
      <c r="B6383" t="s">
        <v>1379</v>
      </c>
      <c r="C6383" t="s">
        <v>436</v>
      </c>
      <c r="D6383" t="str">
        <f>VLOOKUP(C6383,'lookup table'!$A$2:$B$19,2,FALSE)</f>
        <v>MAT</v>
      </c>
      <c r="E6383" t="str">
        <f t="shared" si="99"/>
        <v>DR6ACA_00|MAT</v>
      </c>
    </row>
    <row r="6384" spans="1:5" x14ac:dyDescent="0.2">
      <c r="A6384" t="s">
        <v>1378</v>
      </c>
      <c r="B6384" t="s">
        <v>1379</v>
      </c>
      <c r="C6384" t="s">
        <v>441</v>
      </c>
      <c r="D6384" t="str">
        <f>VLOOKUP(C6384,'lookup table'!$A$2:$B$19,2,FALSE)</f>
        <v>Partner Segment</v>
      </c>
      <c r="E6384" t="str">
        <f t="shared" si="99"/>
        <v>DR6ACA_00|Partner Segment</v>
      </c>
    </row>
    <row r="6385" spans="1:5" x14ac:dyDescent="0.2">
      <c r="A6385" t="s">
        <v>1378</v>
      </c>
      <c r="B6385" t="s">
        <v>1379</v>
      </c>
      <c r="C6385" t="s">
        <v>442</v>
      </c>
      <c r="D6385" t="str">
        <f>VLOOKUP(C6385,'lookup table'!$A$2:$B$19,2,FALSE)</f>
        <v>Partner Unit</v>
      </c>
      <c r="E6385" t="str">
        <f t="shared" si="99"/>
        <v>DR6ACA_00|Partner Unit</v>
      </c>
    </row>
    <row r="6386" spans="1:5" x14ac:dyDescent="0.2">
      <c r="A6386" t="s">
        <v>1378</v>
      </c>
      <c r="B6386" t="s">
        <v>1379</v>
      </c>
      <c r="C6386" t="s">
        <v>447</v>
      </c>
      <c r="D6386" t="str">
        <f>VLOOKUP(C6386,'lookup table'!$A$2:$B$19,2,FALSE)</f>
        <v>REX</v>
      </c>
      <c r="E6386" t="str">
        <f t="shared" si="99"/>
        <v>DR6ACA_00|REX</v>
      </c>
    </row>
    <row r="6387" spans="1:5" x14ac:dyDescent="0.2">
      <c r="A6387" t="s">
        <v>1378</v>
      </c>
      <c r="B6387" t="s">
        <v>1379</v>
      </c>
      <c r="C6387" t="s">
        <v>448</v>
      </c>
      <c r="D6387" t="e">
        <f>VLOOKUP(C6387,'lookup table'!$A$2:$B$19,2,FALSE)</f>
        <v>#N/A</v>
      </c>
      <c r="E6387" t="str">
        <f t="shared" si="99"/>
        <v/>
      </c>
    </row>
    <row r="6388" spans="1:5" x14ac:dyDescent="0.2">
      <c r="A6388" t="s">
        <v>1378</v>
      </c>
      <c r="B6388" t="s">
        <v>1379</v>
      </c>
      <c r="C6388" t="s">
        <v>449</v>
      </c>
      <c r="D6388" t="e">
        <f>VLOOKUP(C6388,'lookup table'!$A$2:$B$19,2,FALSE)</f>
        <v>#N/A</v>
      </c>
      <c r="E6388" t="str">
        <f t="shared" si="99"/>
        <v/>
      </c>
    </row>
    <row r="6389" spans="1:5" x14ac:dyDescent="0.2">
      <c r="A6389" t="s">
        <v>1378</v>
      </c>
      <c r="B6389" t="s">
        <v>1379</v>
      </c>
      <c r="C6389" t="s">
        <v>451</v>
      </c>
      <c r="D6389" t="str">
        <f>VLOOKUP(C6389,'lookup table'!$A$2:$B$19,2,FALSE)</f>
        <v>Segment</v>
      </c>
      <c r="E6389" t="str">
        <f t="shared" si="99"/>
        <v>DR6ACA_00|Segment</v>
      </c>
    </row>
    <row r="6390" spans="1:5" x14ac:dyDescent="0.2">
      <c r="A6390" t="s">
        <v>1378</v>
      </c>
      <c r="B6390" t="s">
        <v>1379</v>
      </c>
      <c r="C6390" t="s">
        <v>455</v>
      </c>
      <c r="D6390" t="e">
        <f>VLOOKUP(C6390,'lookup table'!$A$2:$B$19,2,FALSE)</f>
        <v>#N/A</v>
      </c>
      <c r="E6390" t="str">
        <f t="shared" si="99"/>
        <v/>
      </c>
    </row>
    <row r="6391" spans="1:5" x14ac:dyDescent="0.2">
      <c r="A6391" t="s">
        <v>1378</v>
      </c>
      <c r="B6391" t="s">
        <v>1379</v>
      </c>
      <c r="C6391" t="s">
        <v>456</v>
      </c>
      <c r="D6391" t="e">
        <f>VLOOKUP(C6391,'lookup table'!$A$2:$B$19,2,FALSE)</f>
        <v>#N/A</v>
      </c>
      <c r="E6391" t="str">
        <f t="shared" si="99"/>
        <v/>
      </c>
    </row>
    <row r="6392" spans="1:5" x14ac:dyDescent="0.2">
      <c r="A6392" t="s">
        <v>1378</v>
      </c>
      <c r="B6392" t="s">
        <v>1379</v>
      </c>
      <c r="C6392" t="s">
        <v>457</v>
      </c>
      <c r="D6392" t="str">
        <f>VLOOKUP(C6392,'lookup table'!$A$2:$B$19,2,FALSE)</f>
        <v>VLT</v>
      </c>
      <c r="E6392" t="str">
        <f t="shared" si="99"/>
        <v>DR6ACA_00|VLT</v>
      </c>
    </row>
    <row r="6393" spans="1:5" x14ac:dyDescent="0.2">
      <c r="A6393" t="s">
        <v>1378</v>
      </c>
      <c r="B6393" t="s">
        <v>1379</v>
      </c>
      <c r="C6393" t="s">
        <v>458</v>
      </c>
      <c r="D6393" t="str">
        <f>VLOOKUP(C6393,'lookup table'!$A$2:$B$19,2,FALSE)</f>
        <v>VAR</v>
      </c>
      <c r="E6393" t="str">
        <f t="shared" si="99"/>
        <v>DR6ACA_00|VAR</v>
      </c>
    </row>
    <row r="6394" spans="1:5" x14ac:dyDescent="0.2">
      <c r="A6394" t="s">
        <v>1378</v>
      </c>
      <c r="B6394" t="s">
        <v>1379</v>
      </c>
      <c r="C6394" t="s">
        <v>459</v>
      </c>
      <c r="D6394" t="e">
        <f>VLOOKUP(C6394,'lookup table'!$A$2:$B$19,2,FALSE)</f>
        <v>#N/A</v>
      </c>
      <c r="E6394" t="str">
        <f t="shared" si="99"/>
        <v/>
      </c>
    </row>
    <row r="6395" spans="1:5" x14ac:dyDescent="0.2">
      <c r="A6395" t="s">
        <v>1378</v>
      </c>
      <c r="B6395" t="s">
        <v>1379</v>
      </c>
      <c r="C6395" t="s">
        <v>460</v>
      </c>
      <c r="D6395" t="e">
        <f>VLOOKUP(C6395,'lookup table'!$A$2:$B$19,2,FALSE)</f>
        <v>#N/A</v>
      </c>
      <c r="E6395" t="str">
        <f t="shared" si="99"/>
        <v/>
      </c>
    </row>
    <row r="6396" spans="1:5" x14ac:dyDescent="0.2">
      <c r="A6396" t="s">
        <v>1378</v>
      </c>
      <c r="B6396" t="s">
        <v>1379</v>
      </c>
      <c r="C6396" t="s">
        <v>461</v>
      </c>
      <c r="D6396" t="str">
        <f>VLOOKUP(C6396,'lookup table'!$A$2:$B$19,2,FALSE)</f>
        <v>Posting Level</v>
      </c>
      <c r="E6396" t="str">
        <f t="shared" si="99"/>
        <v>DR6ACA_00|Posting Level</v>
      </c>
    </row>
    <row r="6397" spans="1:5" x14ac:dyDescent="0.2">
      <c r="A6397" t="s">
        <v>1378</v>
      </c>
      <c r="B6397" t="s">
        <v>1379</v>
      </c>
      <c r="C6397" t="s">
        <v>462</v>
      </c>
      <c r="D6397" t="e">
        <f>VLOOKUP(C6397,'lookup table'!$A$2:$B$19,2,FALSE)</f>
        <v>#N/A</v>
      </c>
      <c r="E6397" t="str">
        <f t="shared" si="99"/>
        <v/>
      </c>
    </row>
    <row r="6398" spans="1:5" x14ac:dyDescent="0.2">
      <c r="A6398" t="s">
        <v>1378</v>
      </c>
      <c r="B6398" t="s">
        <v>1379</v>
      </c>
      <c r="C6398" t="s">
        <v>463</v>
      </c>
      <c r="D6398" t="e">
        <f>VLOOKUP(C6398,'lookup table'!$A$2:$B$19,2,FALSE)</f>
        <v>#N/A</v>
      </c>
      <c r="E6398" t="str">
        <f t="shared" si="99"/>
        <v/>
      </c>
    </row>
    <row r="6399" spans="1:5" x14ac:dyDescent="0.2">
      <c r="A6399" t="s">
        <v>1378</v>
      </c>
      <c r="B6399" t="s">
        <v>1379</v>
      </c>
      <c r="C6399" t="s">
        <v>464</v>
      </c>
      <c r="D6399" t="e">
        <f>VLOOKUP(C6399,'lookup table'!$A$2:$B$19,2,FALSE)</f>
        <v>#N/A</v>
      </c>
      <c r="E6399" t="str">
        <f t="shared" si="99"/>
        <v/>
      </c>
    </row>
    <row r="6400" spans="1:5" x14ac:dyDescent="0.2">
      <c r="A6400" t="s">
        <v>1378</v>
      </c>
      <c r="B6400" t="s">
        <v>1379</v>
      </c>
      <c r="C6400" t="s">
        <v>465</v>
      </c>
      <c r="D6400" t="e">
        <f>VLOOKUP(C6400,'lookup table'!$A$2:$B$19,2,FALSE)</f>
        <v>#N/A</v>
      </c>
      <c r="E6400" t="str">
        <f t="shared" si="99"/>
        <v/>
      </c>
    </row>
    <row r="6401" spans="1:5" x14ac:dyDescent="0.2">
      <c r="A6401" t="s">
        <v>1380</v>
      </c>
      <c r="B6401" t="s">
        <v>1379</v>
      </c>
      <c r="C6401" t="s">
        <v>2</v>
      </c>
      <c r="D6401" t="e">
        <f>VLOOKUP(C6401,'lookup table'!$A$2:$B$19,2,FALSE)</f>
        <v>#N/A</v>
      </c>
      <c r="E6401" t="str">
        <f t="shared" si="99"/>
        <v/>
      </c>
    </row>
    <row r="6402" spans="1:5" x14ac:dyDescent="0.2">
      <c r="A6402" t="s">
        <v>1380</v>
      </c>
      <c r="B6402" t="s">
        <v>1379</v>
      </c>
      <c r="C6402" t="s">
        <v>5</v>
      </c>
      <c r="D6402" t="e">
        <f>VLOOKUP(C6402,'lookup table'!$A$2:$B$19,2,FALSE)</f>
        <v>#N/A</v>
      </c>
      <c r="E6402" t="str">
        <f t="shared" si="99"/>
        <v/>
      </c>
    </row>
    <row r="6403" spans="1:5" x14ac:dyDescent="0.2">
      <c r="A6403" t="s">
        <v>1380</v>
      </c>
      <c r="B6403" t="s">
        <v>1379</v>
      </c>
      <c r="C6403" t="s">
        <v>6</v>
      </c>
      <c r="D6403" t="e">
        <f>VLOOKUP(C6403,'lookup table'!$A$2:$B$19,2,FALSE)</f>
        <v>#N/A</v>
      </c>
      <c r="E6403" t="str">
        <f t="shared" ref="E6403:E6466" si="100">IF(ISNA(D6403),"",IF(A6403="","",A6403) &amp; "|" &amp; D6403)</f>
        <v/>
      </c>
    </row>
    <row r="6404" spans="1:5" x14ac:dyDescent="0.2">
      <c r="A6404" t="s">
        <v>1380</v>
      </c>
      <c r="B6404" t="s">
        <v>1379</v>
      </c>
      <c r="C6404" t="s">
        <v>9</v>
      </c>
      <c r="D6404" t="e">
        <f>VLOOKUP(C6404,'lookup table'!$A$2:$B$19,2,FALSE)</f>
        <v>#N/A</v>
      </c>
      <c r="E6404" t="str">
        <f t="shared" si="100"/>
        <v/>
      </c>
    </row>
    <row r="6405" spans="1:5" x14ac:dyDescent="0.2">
      <c r="A6405" t="s">
        <v>1380</v>
      </c>
      <c r="B6405" t="s">
        <v>1379</v>
      </c>
      <c r="C6405" t="s">
        <v>10</v>
      </c>
      <c r="D6405" t="e">
        <f>VLOOKUP(C6405,'lookup table'!$A$2:$B$19,2,FALSE)</f>
        <v>#N/A</v>
      </c>
      <c r="E6405" t="str">
        <f t="shared" si="100"/>
        <v/>
      </c>
    </row>
    <row r="6406" spans="1:5" x14ac:dyDescent="0.2">
      <c r="A6406" t="s">
        <v>1380</v>
      </c>
      <c r="B6406" t="s">
        <v>1379</v>
      </c>
      <c r="C6406" t="s">
        <v>11</v>
      </c>
      <c r="D6406" t="e">
        <f>VLOOKUP(C6406,'lookup table'!$A$2:$B$19,2,FALSE)</f>
        <v>#N/A</v>
      </c>
      <c r="E6406" t="str">
        <f t="shared" si="100"/>
        <v/>
      </c>
    </row>
    <row r="6407" spans="1:5" x14ac:dyDescent="0.2">
      <c r="A6407" t="s">
        <v>1380</v>
      </c>
      <c r="B6407" t="s">
        <v>1379</v>
      </c>
      <c r="C6407" t="s">
        <v>12</v>
      </c>
      <c r="D6407" t="e">
        <f>VLOOKUP(C6407,'lookup table'!$A$2:$B$19,2,FALSE)</f>
        <v>#N/A</v>
      </c>
      <c r="E6407" t="str">
        <f t="shared" si="100"/>
        <v/>
      </c>
    </row>
    <row r="6408" spans="1:5" x14ac:dyDescent="0.2">
      <c r="A6408" t="s">
        <v>1380</v>
      </c>
      <c r="B6408" t="s">
        <v>1379</v>
      </c>
      <c r="C6408" t="s">
        <v>14</v>
      </c>
      <c r="D6408" t="str">
        <f>VLOOKUP(C6408,'lookup table'!$A$2:$B$19,2,FALSE)</f>
        <v>ALC</v>
      </c>
      <c r="E6408" t="str">
        <f t="shared" si="100"/>
        <v>DR6ACA_14|ALC</v>
      </c>
    </row>
    <row r="6409" spans="1:5" x14ac:dyDescent="0.2">
      <c r="A6409" t="s">
        <v>1380</v>
      </c>
      <c r="B6409" t="s">
        <v>1379</v>
      </c>
      <c r="C6409" t="s">
        <v>20</v>
      </c>
      <c r="D6409" t="str">
        <f>VLOOKUP(C6409,'lookup table'!$A$2:$B$19,2,FALSE)</f>
        <v>AY</v>
      </c>
      <c r="E6409" t="str">
        <f t="shared" si="100"/>
        <v>DR6ACA_14|AY</v>
      </c>
    </row>
    <row r="6410" spans="1:5" x14ac:dyDescent="0.2">
      <c r="A6410" t="s">
        <v>1380</v>
      </c>
      <c r="B6410" t="s">
        <v>1379</v>
      </c>
      <c r="C6410" t="s">
        <v>136</v>
      </c>
      <c r="D6410" t="str">
        <f>VLOOKUP(C6410,'lookup table'!$A$2:$B$19,2,FALSE)</f>
        <v>BBA Set</v>
      </c>
      <c r="E6410" t="str">
        <f t="shared" si="100"/>
        <v>DR6ACA_14|BBA Set</v>
      </c>
    </row>
    <row r="6411" spans="1:5" x14ac:dyDescent="0.2">
      <c r="A6411" t="s">
        <v>1380</v>
      </c>
      <c r="B6411" t="s">
        <v>1379</v>
      </c>
      <c r="C6411" t="s">
        <v>324</v>
      </c>
      <c r="D6411" t="e">
        <f>VLOOKUP(C6411,'lookup table'!$A$2:$B$19,2,FALSE)</f>
        <v>#N/A</v>
      </c>
      <c r="E6411" t="str">
        <f t="shared" si="100"/>
        <v/>
      </c>
    </row>
    <row r="6412" spans="1:5" x14ac:dyDescent="0.2">
      <c r="A6412" t="s">
        <v>1380</v>
      </c>
      <c r="B6412" t="s">
        <v>1379</v>
      </c>
      <c r="C6412" t="s">
        <v>325</v>
      </c>
      <c r="D6412" t="e">
        <f>VLOOKUP(C6412,'lookup table'!$A$2:$B$19,2,FALSE)</f>
        <v>#N/A</v>
      </c>
      <c r="E6412" t="str">
        <f t="shared" si="100"/>
        <v/>
      </c>
    </row>
    <row r="6413" spans="1:5" x14ac:dyDescent="0.2">
      <c r="A6413" t="s">
        <v>1380</v>
      </c>
      <c r="B6413" t="s">
        <v>1379</v>
      </c>
      <c r="C6413" t="s">
        <v>326</v>
      </c>
      <c r="D6413" t="e">
        <f>VLOOKUP(C6413,'lookup table'!$A$2:$B$19,2,FALSE)</f>
        <v>#N/A</v>
      </c>
      <c r="E6413" t="str">
        <f t="shared" si="100"/>
        <v/>
      </c>
    </row>
    <row r="6414" spans="1:5" x14ac:dyDescent="0.2">
      <c r="A6414" t="s">
        <v>1380</v>
      </c>
      <c r="B6414" t="s">
        <v>1379</v>
      </c>
      <c r="C6414" t="s">
        <v>327</v>
      </c>
      <c r="D6414" t="e">
        <f>VLOOKUP(C6414,'lookup table'!$A$2:$B$19,2,FALSE)</f>
        <v>#N/A</v>
      </c>
      <c r="E6414" t="str">
        <f t="shared" si="100"/>
        <v/>
      </c>
    </row>
    <row r="6415" spans="1:5" x14ac:dyDescent="0.2">
      <c r="A6415" t="s">
        <v>1380</v>
      </c>
      <c r="B6415" t="s">
        <v>1379</v>
      </c>
      <c r="C6415" t="s">
        <v>328</v>
      </c>
      <c r="D6415" t="e">
        <f>VLOOKUP(C6415,'lookup table'!$A$2:$B$19,2,FALSE)</f>
        <v>#N/A</v>
      </c>
      <c r="E6415" t="str">
        <f t="shared" si="100"/>
        <v/>
      </c>
    </row>
    <row r="6416" spans="1:5" x14ac:dyDescent="0.2">
      <c r="A6416" t="s">
        <v>1380</v>
      </c>
      <c r="B6416" t="s">
        <v>1379</v>
      </c>
      <c r="C6416" t="s">
        <v>329</v>
      </c>
      <c r="D6416" t="e">
        <f>VLOOKUP(C6416,'lookup table'!$A$2:$B$19,2,FALSE)</f>
        <v>#N/A</v>
      </c>
      <c r="E6416" t="str">
        <f t="shared" si="100"/>
        <v/>
      </c>
    </row>
    <row r="6417" spans="1:5" x14ac:dyDescent="0.2">
      <c r="A6417" t="s">
        <v>1380</v>
      </c>
      <c r="B6417" t="s">
        <v>1379</v>
      </c>
      <c r="C6417" t="s">
        <v>331</v>
      </c>
      <c r="D6417" t="str">
        <f>VLOOKUP(C6417,'lookup table'!$A$2:$B$19,2,FALSE)</f>
        <v>FS Item</v>
      </c>
      <c r="E6417" t="str">
        <f t="shared" si="100"/>
        <v>DR6ACA_14|FS Item</v>
      </c>
    </row>
    <row r="6418" spans="1:5" x14ac:dyDescent="0.2">
      <c r="A6418" t="s">
        <v>1380</v>
      </c>
      <c r="B6418" t="s">
        <v>1379</v>
      </c>
      <c r="C6418" t="s">
        <v>422</v>
      </c>
      <c r="D6418" t="e">
        <f>VLOOKUP(C6418,'lookup table'!$A$2:$B$19,2,FALSE)</f>
        <v>#N/A</v>
      </c>
      <c r="E6418" t="str">
        <f t="shared" si="100"/>
        <v/>
      </c>
    </row>
    <row r="6419" spans="1:5" x14ac:dyDescent="0.2">
      <c r="A6419" t="s">
        <v>1380</v>
      </c>
      <c r="B6419" t="s">
        <v>1379</v>
      </c>
      <c r="C6419" t="s">
        <v>423</v>
      </c>
      <c r="D6419" t="str">
        <f>VLOOKUP(C6419,'lookup table'!$A$2:$B$19,2,FALSE)</f>
        <v>ignore</v>
      </c>
      <c r="E6419" t="str">
        <f t="shared" si="100"/>
        <v>DR6ACA_14|ignore</v>
      </c>
    </row>
    <row r="6420" spans="1:5" x14ac:dyDescent="0.2">
      <c r="A6420" t="s">
        <v>1380</v>
      </c>
      <c r="B6420" t="s">
        <v>1379</v>
      </c>
      <c r="C6420" t="s">
        <v>424</v>
      </c>
      <c r="D6420" t="str">
        <f>VLOOKUP(C6420,'lookup table'!$A$2:$B$19,2,FALSE)</f>
        <v>GRC</v>
      </c>
      <c r="E6420" t="str">
        <f t="shared" si="100"/>
        <v>DR6ACA_14|GRC</v>
      </c>
    </row>
    <row r="6421" spans="1:5" x14ac:dyDescent="0.2">
      <c r="A6421" t="s">
        <v>1380</v>
      </c>
      <c r="B6421" t="s">
        <v>1379</v>
      </c>
      <c r="C6421" t="s">
        <v>425</v>
      </c>
      <c r="D6421" t="str">
        <f>VLOOKUP(C6421,'lookup table'!$A$2:$B$19,2,FALSE)</f>
        <v>Investee Segment</v>
      </c>
      <c r="E6421" t="str">
        <f t="shared" si="100"/>
        <v>DR6ACA_14|Investee Segment</v>
      </c>
    </row>
    <row r="6422" spans="1:5" x14ac:dyDescent="0.2">
      <c r="A6422" t="s">
        <v>1380</v>
      </c>
      <c r="B6422" t="s">
        <v>1379</v>
      </c>
      <c r="C6422" t="s">
        <v>426</v>
      </c>
      <c r="D6422" t="str">
        <f>VLOOKUP(C6422,'lookup table'!$A$2:$B$19,2,FALSE)</f>
        <v>Investee Unit</v>
      </c>
      <c r="E6422" t="str">
        <f t="shared" si="100"/>
        <v>DR6ACA_14|Investee Unit</v>
      </c>
    </row>
    <row r="6423" spans="1:5" x14ac:dyDescent="0.2">
      <c r="A6423" t="s">
        <v>1380</v>
      </c>
      <c r="B6423" t="s">
        <v>1379</v>
      </c>
      <c r="C6423" t="s">
        <v>428</v>
      </c>
      <c r="D6423" t="str">
        <f>VLOOKUP(C6423,'lookup table'!$A$2:$B$19,2,FALSE)</f>
        <v>LoB</v>
      </c>
      <c r="E6423" t="str">
        <f t="shared" si="100"/>
        <v>DR6ACA_14|LoB</v>
      </c>
    </row>
    <row r="6424" spans="1:5" x14ac:dyDescent="0.2">
      <c r="A6424" t="s">
        <v>1380</v>
      </c>
      <c r="B6424" t="s">
        <v>1379</v>
      </c>
      <c r="C6424" t="s">
        <v>436</v>
      </c>
      <c r="D6424" t="str">
        <f>VLOOKUP(C6424,'lookup table'!$A$2:$B$19,2,FALSE)</f>
        <v>MAT</v>
      </c>
      <c r="E6424" t="str">
        <f t="shared" si="100"/>
        <v>DR6ACA_14|MAT</v>
      </c>
    </row>
    <row r="6425" spans="1:5" x14ac:dyDescent="0.2">
      <c r="A6425" t="s">
        <v>1380</v>
      </c>
      <c r="B6425" t="s">
        <v>1379</v>
      </c>
      <c r="C6425" t="s">
        <v>441</v>
      </c>
      <c r="D6425" t="str">
        <f>VLOOKUP(C6425,'lookup table'!$A$2:$B$19,2,FALSE)</f>
        <v>Partner Segment</v>
      </c>
      <c r="E6425" t="str">
        <f t="shared" si="100"/>
        <v>DR6ACA_14|Partner Segment</v>
      </c>
    </row>
    <row r="6426" spans="1:5" x14ac:dyDescent="0.2">
      <c r="A6426" t="s">
        <v>1380</v>
      </c>
      <c r="B6426" t="s">
        <v>1379</v>
      </c>
      <c r="C6426" t="s">
        <v>442</v>
      </c>
      <c r="D6426" t="str">
        <f>VLOOKUP(C6426,'lookup table'!$A$2:$B$19,2,FALSE)</f>
        <v>Partner Unit</v>
      </c>
      <c r="E6426" t="str">
        <f t="shared" si="100"/>
        <v>DR6ACA_14|Partner Unit</v>
      </c>
    </row>
    <row r="6427" spans="1:5" x14ac:dyDescent="0.2">
      <c r="A6427" t="s">
        <v>1380</v>
      </c>
      <c r="B6427" t="s">
        <v>1379</v>
      </c>
      <c r="C6427" t="s">
        <v>447</v>
      </c>
      <c r="D6427" t="str">
        <f>VLOOKUP(C6427,'lookup table'!$A$2:$B$19,2,FALSE)</f>
        <v>REX</v>
      </c>
      <c r="E6427" t="str">
        <f t="shared" si="100"/>
        <v>DR6ACA_14|REX</v>
      </c>
    </row>
    <row r="6428" spans="1:5" x14ac:dyDescent="0.2">
      <c r="A6428" t="s">
        <v>1380</v>
      </c>
      <c r="B6428" t="s">
        <v>1379</v>
      </c>
      <c r="C6428" t="s">
        <v>448</v>
      </c>
      <c r="D6428" t="e">
        <f>VLOOKUP(C6428,'lookup table'!$A$2:$B$19,2,FALSE)</f>
        <v>#N/A</v>
      </c>
      <c r="E6428" t="str">
        <f t="shared" si="100"/>
        <v/>
      </c>
    </row>
    <row r="6429" spans="1:5" x14ac:dyDescent="0.2">
      <c r="A6429" t="s">
        <v>1380</v>
      </c>
      <c r="B6429" t="s">
        <v>1379</v>
      </c>
      <c r="C6429" t="s">
        <v>449</v>
      </c>
      <c r="D6429" t="e">
        <f>VLOOKUP(C6429,'lookup table'!$A$2:$B$19,2,FALSE)</f>
        <v>#N/A</v>
      </c>
      <c r="E6429" t="str">
        <f t="shared" si="100"/>
        <v/>
      </c>
    </row>
    <row r="6430" spans="1:5" x14ac:dyDescent="0.2">
      <c r="A6430" t="s">
        <v>1380</v>
      </c>
      <c r="B6430" t="s">
        <v>1379</v>
      </c>
      <c r="C6430" t="s">
        <v>451</v>
      </c>
      <c r="D6430" t="str">
        <f>VLOOKUP(C6430,'lookup table'!$A$2:$B$19,2,FALSE)</f>
        <v>Segment</v>
      </c>
      <c r="E6430" t="str">
        <f t="shared" si="100"/>
        <v>DR6ACA_14|Segment</v>
      </c>
    </row>
    <row r="6431" spans="1:5" x14ac:dyDescent="0.2">
      <c r="A6431" t="s">
        <v>1380</v>
      </c>
      <c r="B6431" t="s">
        <v>1379</v>
      </c>
      <c r="C6431" t="s">
        <v>455</v>
      </c>
      <c r="D6431" t="e">
        <f>VLOOKUP(C6431,'lookup table'!$A$2:$B$19,2,FALSE)</f>
        <v>#N/A</v>
      </c>
      <c r="E6431" t="str">
        <f t="shared" si="100"/>
        <v/>
      </c>
    </row>
    <row r="6432" spans="1:5" x14ac:dyDescent="0.2">
      <c r="A6432" t="s">
        <v>1380</v>
      </c>
      <c r="B6432" t="s">
        <v>1379</v>
      </c>
      <c r="C6432" t="s">
        <v>456</v>
      </c>
      <c r="D6432" t="e">
        <f>VLOOKUP(C6432,'lookup table'!$A$2:$B$19,2,FALSE)</f>
        <v>#N/A</v>
      </c>
      <c r="E6432" t="str">
        <f t="shared" si="100"/>
        <v/>
      </c>
    </row>
    <row r="6433" spans="1:5" x14ac:dyDescent="0.2">
      <c r="A6433" t="s">
        <v>1380</v>
      </c>
      <c r="B6433" t="s">
        <v>1379</v>
      </c>
      <c r="C6433" t="s">
        <v>457</v>
      </c>
      <c r="D6433" t="str">
        <f>VLOOKUP(C6433,'lookup table'!$A$2:$B$19,2,FALSE)</f>
        <v>VLT</v>
      </c>
      <c r="E6433" t="str">
        <f t="shared" si="100"/>
        <v>DR6ACA_14|VLT</v>
      </c>
    </row>
    <row r="6434" spans="1:5" x14ac:dyDescent="0.2">
      <c r="A6434" t="s">
        <v>1380</v>
      </c>
      <c r="B6434" t="s">
        <v>1379</v>
      </c>
      <c r="C6434" t="s">
        <v>458</v>
      </c>
      <c r="D6434" t="str">
        <f>VLOOKUP(C6434,'lookup table'!$A$2:$B$19,2,FALSE)</f>
        <v>VAR</v>
      </c>
      <c r="E6434" t="str">
        <f t="shared" si="100"/>
        <v>DR6ACA_14|VAR</v>
      </c>
    </row>
    <row r="6435" spans="1:5" x14ac:dyDescent="0.2">
      <c r="A6435" t="s">
        <v>1380</v>
      </c>
      <c r="B6435" t="s">
        <v>1379</v>
      </c>
      <c r="C6435" t="s">
        <v>459</v>
      </c>
      <c r="D6435" t="e">
        <f>VLOOKUP(C6435,'lookup table'!$A$2:$B$19,2,FALSE)</f>
        <v>#N/A</v>
      </c>
      <c r="E6435" t="str">
        <f t="shared" si="100"/>
        <v/>
      </c>
    </row>
    <row r="6436" spans="1:5" x14ac:dyDescent="0.2">
      <c r="A6436" t="s">
        <v>1380</v>
      </c>
      <c r="B6436" t="s">
        <v>1379</v>
      </c>
      <c r="C6436" t="s">
        <v>460</v>
      </c>
      <c r="D6436" t="e">
        <f>VLOOKUP(C6436,'lookup table'!$A$2:$B$19,2,FALSE)</f>
        <v>#N/A</v>
      </c>
      <c r="E6436" t="str">
        <f t="shared" si="100"/>
        <v/>
      </c>
    </row>
    <row r="6437" spans="1:5" x14ac:dyDescent="0.2">
      <c r="A6437" t="s">
        <v>1380</v>
      </c>
      <c r="B6437" t="s">
        <v>1379</v>
      </c>
      <c r="C6437" t="s">
        <v>461</v>
      </c>
      <c r="D6437" t="str">
        <f>VLOOKUP(C6437,'lookup table'!$A$2:$B$19,2,FALSE)</f>
        <v>Posting Level</v>
      </c>
      <c r="E6437" t="str">
        <f t="shared" si="100"/>
        <v>DR6ACA_14|Posting Level</v>
      </c>
    </row>
    <row r="6438" spans="1:5" x14ac:dyDescent="0.2">
      <c r="A6438" t="s">
        <v>1380</v>
      </c>
      <c r="B6438" t="s">
        <v>1379</v>
      </c>
      <c r="C6438" t="s">
        <v>462</v>
      </c>
      <c r="D6438" t="e">
        <f>VLOOKUP(C6438,'lookup table'!$A$2:$B$19,2,FALSE)</f>
        <v>#N/A</v>
      </c>
      <c r="E6438" t="str">
        <f t="shared" si="100"/>
        <v/>
      </c>
    </row>
    <row r="6439" spans="1:5" x14ac:dyDescent="0.2">
      <c r="A6439" t="s">
        <v>1380</v>
      </c>
      <c r="B6439" t="s">
        <v>1379</v>
      </c>
      <c r="C6439" t="s">
        <v>463</v>
      </c>
      <c r="D6439" t="e">
        <f>VLOOKUP(C6439,'lookup table'!$A$2:$B$19,2,FALSE)</f>
        <v>#N/A</v>
      </c>
      <c r="E6439" t="str">
        <f t="shared" si="100"/>
        <v/>
      </c>
    </row>
    <row r="6440" spans="1:5" x14ac:dyDescent="0.2">
      <c r="A6440" t="s">
        <v>1380</v>
      </c>
      <c r="B6440" t="s">
        <v>1379</v>
      </c>
      <c r="C6440" t="s">
        <v>464</v>
      </c>
      <c r="D6440" t="e">
        <f>VLOOKUP(C6440,'lookup table'!$A$2:$B$19,2,FALSE)</f>
        <v>#N/A</v>
      </c>
      <c r="E6440" t="str">
        <f t="shared" si="100"/>
        <v/>
      </c>
    </row>
    <row r="6441" spans="1:5" x14ac:dyDescent="0.2">
      <c r="A6441" t="s">
        <v>1380</v>
      </c>
      <c r="B6441" t="s">
        <v>1379</v>
      </c>
      <c r="C6441" t="s">
        <v>465</v>
      </c>
      <c r="D6441" t="e">
        <f>VLOOKUP(C6441,'lookup table'!$A$2:$B$19,2,FALSE)</f>
        <v>#N/A</v>
      </c>
      <c r="E6441" t="str">
        <f t="shared" si="100"/>
        <v/>
      </c>
    </row>
    <row r="6442" spans="1:5" x14ac:dyDescent="0.2">
      <c r="A6442" t="s">
        <v>1381</v>
      </c>
      <c r="B6442" t="s">
        <v>1382</v>
      </c>
      <c r="C6442" t="s">
        <v>2</v>
      </c>
      <c r="D6442" t="e">
        <f>VLOOKUP(C6442,'lookup table'!$A$2:$B$19,2,FALSE)</f>
        <v>#N/A</v>
      </c>
      <c r="E6442" t="str">
        <f t="shared" si="100"/>
        <v/>
      </c>
    </row>
    <row r="6443" spans="1:5" x14ac:dyDescent="0.2">
      <c r="A6443" t="s">
        <v>1381</v>
      </c>
      <c r="B6443" t="s">
        <v>1382</v>
      </c>
      <c r="C6443" t="s">
        <v>5</v>
      </c>
      <c r="D6443" t="e">
        <f>VLOOKUP(C6443,'lookup table'!$A$2:$B$19,2,FALSE)</f>
        <v>#N/A</v>
      </c>
      <c r="E6443" t="str">
        <f t="shared" si="100"/>
        <v/>
      </c>
    </row>
    <row r="6444" spans="1:5" x14ac:dyDescent="0.2">
      <c r="A6444" t="s">
        <v>1381</v>
      </c>
      <c r="B6444" t="s">
        <v>1382</v>
      </c>
      <c r="C6444" t="s">
        <v>6</v>
      </c>
      <c r="D6444" t="e">
        <f>VLOOKUP(C6444,'lookup table'!$A$2:$B$19,2,FALSE)</f>
        <v>#N/A</v>
      </c>
      <c r="E6444" t="str">
        <f t="shared" si="100"/>
        <v/>
      </c>
    </row>
    <row r="6445" spans="1:5" x14ac:dyDescent="0.2">
      <c r="A6445" t="s">
        <v>1381</v>
      </c>
      <c r="B6445" t="s">
        <v>1382</v>
      </c>
      <c r="C6445" t="s">
        <v>9</v>
      </c>
      <c r="D6445" t="e">
        <f>VLOOKUP(C6445,'lookup table'!$A$2:$B$19,2,FALSE)</f>
        <v>#N/A</v>
      </c>
      <c r="E6445" t="str">
        <f t="shared" si="100"/>
        <v/>
      </c>
    </row>
    <row r="6446" spans="1:5" x14ac:dyDescent="0.2">
      <c r="A6446" t="s">
        <v>1381</v>
      </c>
      <c r="B6446" t="s">
        <v>1382</v>
      </c>
      <c r="C6446" t="s">
        <v>10</v>
      </c>
      <c r="D6446" t="e">
        <f>VLOOKUP(C6446,'lookup table'!$A$2:$B$19,2,FALSE)</f>
        <v>#N/A</v>
      </c>
      <c r="E6446" t="str">
        <f t="shared" si="100"/>
        <v/>
      </c>
    </row>
    <row r="6447" spans="1:5" x14ac:dyDescent="0.2">
      <c r="A6447" t="s">
        <v>1381</v>
      </c>
      <c r="B6447" t="s">
        <v>1382</v>
      </c>
      <c r="C6447" t="s">
        <v>11</v>
      </c>
      <c r="D6447" t="e">
        <f>VLOOKUP(C6447,'lookup table'!$A$2:$B$19,2,FALSE)</f>
        <v>#N/A</v>
      </c>
      <c r="E6447" t="str">
        <f t="shared" si="100"/>
        <v/>
      </c>
    </row>
    <row r="6448" spans="1:5" x14ac:dyDescent="0.2">
      <c r="A6448" t="s">
        <v>1381</v>
      </c>
      <c r="B6448" t="s">
        <v>1382</v>
      </c>
      <c r="C6448" t="s">
        <v>12</v>
      </c>
      <c r="D6448" t="e">
        <f>VLOOKUP(C6448,'lookup table'!$A$2:$B$19,2,FALSE)</f>
        <v>#N/A</v>
      </c>
      <c r="E6448" t="str">
        <f t="shared" si="100"/>
        <v/>
      </c>
    </row>
    <row r="6449" spans="1:5" x14ac:dyDescent="0.2">
      <c r="A6449" t="s">
        <v>1381</v>
      </c>
      <c r="B6449" t="s">
        <v>1382</v>
      </c>
      <c r="C6449" t="s">
        <v>14</v>
      </c>
      <c r="D6449" t="str">
        <f>VLOOKUP(C6449,'lookup table'!$A$2:$B$19,2,FALSE)</f>
        <v>ALC</v>
      </c>
      <c r="E6449" t="str">
        <f t="shared" si="100"/>
        <v>DR6ACY_00|ALC</v>
      </c>
    </row>
    <row r="6450" spans="1:5" x14ac:dyDescent="0.2">
      <c r="A6450" t="s">
        <v>1381</v>
      </c>
      <c r="B6450" t="s">
        <v>1382</v>
      </c>
      <c r="C6450" t="s">
        <v>20</v>
      </c>
      <c r="D6450" t="str">
        <f>VLOOKUP(C6450,'lookup table'!$A$2:$B$19,2,FALSE)</f>
        <v>AY</v>
      </c>
      <c r="E6450" t="str">
        <f t="shared" si="100"/>
        <v>DR6ACY_00|AY</v>
      </c>
    </row>
    <row r="6451" spans="1:5" x14ac:dyDescent="0.2">
      <c r="A6451" t="s">
        <v>1381</v>
      </c>
      <c r="B6451" t="s">
        <v>1382</v>
      </c>
      <c r="C6451" t="s">
        <v>136</v>
      </c>
      <c r="D6451" t="str">
        <f>VLOOKUP(C6451,'lookup table'!$A$2:$B$19,2,FALSE)</f>
        <v>BBA Set</v>
      </c>
      <c r="E6451" t="str">
        <f t="shared" si="100"/>
        <v>DR6ACY_00|BBA Set</v>
      </c>
    </row>
    <row r="6452" spans="1:5" x14ac:dyDescent="0.2">
      <c r="A6452" t="s">
        <v>1381</v>
      </c>
      <c r="B6452" t="s">
        <v>1382</v>
      </c>
      <c r="C6452" t="s">
        <v>324</v>
      </c>
      <c r="D6452" t="e">
        <f>VLOOKUP(C6452,'lookup table'!$A$2:$B$19,2,FALSE)</f>
        <v>#N/A</v>
      </c>
      <c r="E6452" t="str">
        <f t="shared" si="100"/>
        <v/>
      </c>
    </row>
    <row r="6453" spans="1:5" x14ac:dyDescent="0.2">
      <c r="A6453" t="s">
        <v>1381</v>
      </c>
      <c r="B6453" t="s">
        <v>1382</v>
      </c>
      <c r="C6453" t="s">
        <v>325</v>
      </c>
      <c r="D6453" t="e">
        <f>VLOOKUP(C6453,'lookup table'!$A$2:$B$19,2,FALSE)</f>
        <v>#N/A</v>
      </c>
      <c r="E6453" t="str">
        <f t="shared" si="100"/>
        <v/>
      </c>
    </row>
    <row r="6454" spans="1:5" x14ac:dyDescent="0.2">
      <c r="A6454" t="s">
        <v>1381</v>
      </c>
      <c r="B6454" t="s">
        <v>1382</v>
      </c>
      <c r="C6454" t="s">
        <v>326</v>
      </c>
      <c r="D6454" t="e">
        <f>VLOOKUP(C6454,'lookup table'!$A$2:$B$19,2,FALSE)</f>
        <v>#N/A</v>
      </c>
      <c r="E6454" t="str">
        <f t="shared" si="100"/>
        <v/>
      </c>
    </row>
    <row r="6455" spans="1:5" x14ac:dyDescent="0.2">
      <c r="A6455" t="s">
        <v>1381</v>
      </c>
      <c r="B6455" t="s">
        <v>1382</v>
      </c>
      <c r="C6455" t="s">
        <v>327</v>
      </c>
      <c r="D6455" t="e">
        <f>VLOOKUP(C6455,'lookup table'!$A$2:$B$19,2,FALSE)</f>
        <v>#N/A</v>
      </c>
      <c r="E6455" t="str">
        <f t="shared" si="100"/>
        <v/>
      </c>
    </row>
    <row r="6456" spans="1:5" x14ac:dyDescent="0.2">
      <c r="A6456" t="s">
        <v>1381</v>
      </c>
      <c r="B6456" t="s">
        <v>1382</v>
      </c>
      <c r="C6456" t="s">
        <v>328</v>
      </c>
      <c r="D6456" t="e">
        <f>VLOOKUP(C6456,'lookup table'!$A$2:$B$19,2,FALSE)</f>
        <v>#N/A</v>
      </c>
      <c r="E6456" t="str">
        <f t="shared" si="100"/>
        <v/>
      </c>
    </row>
    <row r="6457" spans="1:5" x14ac:dyDescent="0.2">
      <c r="A6457" t="s">
        <v>1381</v>
      </c>
      <c r="B6457" t="s">
        <v>1382</v>
      </c>
      <c r="C6457" t="s">
        <v>329</v>
      </c>
      <c r="D6457" t="e">
        <f>VLOOKUP(C6457,'lookup table'!$A$2:$B$19,2,FALSE)</f>
        <v>#N/A</v>
      </c>
      <c r="E6457" t="str">
        <f t="shared" si="100"/>
        <v/>
      </c>
    </row>
    <row r="6458" spans="1:5" x14ac:dyDescent="0.2">
      <c r="A6458" t="s">
        <v>1381</v>
      </c>
      <c r="B6458" t="s">
        <v>1382</v>
      </c>
      <c r="C6458" t="s">
        <v>331</v>
      </c>
      <c r="D6458" t="str">
        <f>VLOOKUP(C6458,'lookup table'!$A$2:$B$19,2,FALSE)</f>
        <v>FS Item</v>
      </c>
      <c r="E6458" t="str">
        <f t="shared" si="100"/>
        <v>DR6ACY_00|FS Item</v>
      </c>
    </row>
    <row r="6459" spans="1:5" x14ac:dyDescent="0.2">
      <c r="A6459" t="s">
        <v>1381</v>
      </c>
      <c r="B6459" t="s">
        <v>1382</v>
      </c>
      <c r="C6459" t="s">
        <v>422</v>
      </c>
      <c r="D6459" t="e">
        <f>VLOOKUP(C6459,'lookup table'!$A$2:$B$19,2,FALSE)</f>
        <v>#N/A</v>
      </c>
      <c r="E6459" t="str">
        <f t="shared" si="100"/>
        <v/>
      </c>
    </row>
    <row r="6460" spans="1:5" x14ac:dyDescent="0.2">
      <c r="A6460" t="s">
        <v>1381</v>
      </c>
      <c r="B6460" t="s">
        <v>1382</v>
      </c>
      <c r="C6460" t="s">
        <v>423</v>
      </c>
      <c r="D6460" t="str">
        <f>VLOOKUP(C6460,'lookup table'!$A$2:$B$19,2,FALSE)</f>
        <v>ignore</v>
      </c>
      <c r="E6460" t="str">
        <f t="shared" si="100"/>
        <v>DR6ACY_00|ignore</v>
      </c>
    </row>
    <row r="6461" spans="1:5" x14ac:dyDescent="0.2">
      <c r="A6461" t="s">
        <v>1381</v>
      </c>
      <c r="B6461" t="s">
        <v>1382</v>
      </c>
      <c r="C6461" t="s">
        <v>424</v>
      </c>
      <c r="D6461" t="str">
        <f>VLOOKUP(C6461,'lookup table'!$A$2:$B$19,2,FALSE)</f>
        <v>GRC</v>
      </c>
      <c r="E6461" t="str">
        <f t="shared" si="100"/>
        <v>DR6ACY_00|GRC</v>
      </c>
    </row>
    <row r="6462" spans="1:5" x14ac:dyDescent="0.2">
      <c r="A6462" t="s">
        <v>1381</v>
      </c>
      <c r="B6462" t="s">
        <v>1382</v>
      </c>
      <c r="C6462" t="s">
        <v>425</v>
      </c>
      <c r="D6462" t="str">
        <f>VLOOKUP(C6462,'lookup table'!$A$2:$B$19,2,FALSE)</f>
        <v>Investee Segment</v>
      </c>
      <c r="E6462" t="str">
        <f t="shared" si="100"/>
        <v>DR6ACY_00|Investee Segment</v>
      </c>
    </row>
    <row r="6463" spans="1:5" x14ac:dyDescent="0.2">
      <c r="A6463" t="s">
        <v>1381</v>
      </c>
      <c r="B6463" t="s">
        <v>1382</v>
      </c>
      <c r="C6463" t="s">
        <v>426</v>
      </c>
      <c r="D6463" t="str">
        <f>VLOOKUP(C6463,'lookup table'!$A$2:$B$19,2,FALSE)</f>
        <v>Investee Unit</v>
      </c>
      <c r="E6463" t="str">
        <f t="shared" si="100"/>
        <v>DR6ACY_00|Investee Unit</v>
      </c>
    </row>
    <row r="6464" spans="1:5" x14ac:dyDescent="0.2">
      <c r="A6464" t="s">
        <v>1381</v>
      </c>
      <c r="B6464" t="s">
        <v>1382</v>
      </c>
      <c r="C6464" t="s">
        <v>428</v>
      </c>
      <c r="D6464" t="str">
        <f>VLOOKUP(C6464,'lookup table'!$A$2:$B$19,2,FALSE)</f>
        <v>LoB</v>
      </c>
      <c r="E6464" t="str">
        <f t="shared" si="100"/>
        <v>DR6ACY_00|LoB</v>
      </c>
    </row>
    <row r="6465" spans="1:5" x14ac:dyDescent="0.2">
      <c r="A6465" t="s">
        <v>1381</v>
      </c>
      <c r="B6465" t="s">
        <v>1382</v>
      </c>
      <c r="C6465" t="s">
        <v>436</v>
      </c>
      <c r="D6465" t="str">
        <f>VLOOKUP(C6465,'lookup table'!$A$2:$B$19,2,FALSE)</f>
        <v>MAT</v>
      </c>
      <c r="E6465" t="str">
        <f t="shared" si="100"/>
        <v>DR6ACY_00|MAT</v>
      </c>
    </row>
    <row r="6466" spans="1:5" x14ac:dyDescent="0.2">
      <c r="A6466" t="s">
        <v>1381</v>
      </c>
      <c r="B6466" t="s">
        <v>1382</v>
      </c>
      <c r="C6466" t="s">
        <v>441</v>
      </c>
      <c r="D6466" t="str">
        <f>VLOOKUP(C6466,'lookup table'!$A$2:$B$19,2,FALSE)</f>
        <v>Partner Segment</v>
      </c>
      <c r="E6466" t="str">
        <f t="shared" si="100"/>
        <v>DR6ACY_00|Partner Segment</v>
      </c>
    </row>
    <row r="6467" spans="1:5" x14ac:dyDescent="0.2">
      <c r="A6467" t="s">
        <v>1381</v>
      </c>
      <c r="B6467" t="s">
        <v>1382</v>
      </c>
      <c r="C6467" t="s">
        <v>442</v>
      </c>
      <c r="D6467" t="str">
        <f>VLOOKUP(C6467,'lookup table'!$A$2:$B$19,2,FALSE)</f>
        <v>Partner Unit</v>
      </c>
      <c r="E6467" t="str">
        <f t="shared" ref="E6467:E6530" si="101">IF(ISNA(D6467),"",IF(A6467="","",A6467) &amp; "|" &amp; D6467)</f>
        <v>DR6ACY_00|Partner Unit</v>
      </c>
    </row>
    <row r="6468" spans="1:5" x14ac:dyDescent="0.2">
      <c r="A6468" t="s">
        <v>1381</v>
      </c>
      <c r="B6468" t="s">
        <v>1382</v>
      </c>
      <c r="C6468" t="s">
        <v>447</v>
      </c>
      <c r="D6468" t="str">
        <f>VLOOKUP(C6468,'lookup table'!$A$2:$B$19,2,FALSE)</f>
        <v>REX</v>
      </c>
      <c r="E6468" t="str">
        <f t="shared" si="101"/>
        <v>DR6ACY_00|REX</v>
      </c>
    </row>
    <row r="6469" spans="1:5" x14ac:dyDescent="0.2">
      <c r="A6469" t="s">
        <v>1381</v>
      </c>
      <c r="B6469" t="s">
        <v>1382</v>
      </c>
      <c r="C6469" t="s">
        <v>448</v>
      </c>
      <c r="D6469" t="e">
        <f>VLOOKUP(C6469,'lookup table'!$A$2:$B$19,2,FALSE)</f>
        <v>#N/A</v>
      </c>
      <c r="E6469" t="str">
        <f t="shared" si="101"/>
        <v/>
      </c>
    </row>
    <row r="6470" spans="1:5" x14ac:dyDescent="0.2">
      <c r="A6470" t="s">
        <v>1381</v>
      </c>
      <c r="B6470" t="s">
        <v>1382</v>
      </c>
      <c r="C6470" t="s">
        <v>449</v>
      </c>
      <c r="D6470" t="e">
        <f>VLOOKUP(C6470,'lookup table'!$A$2:$B$19,2,FALSE)</f>
        <v>#N/A</v>
      </c>
      <c r="E6470" t="str">
        <f t="shared" si="101"/>
        <v/>
      </c>
    </row>
    <row r="6471" spans="1:5" x14ac:dyDescent="0.2">
      <c r="A6471" t="s">
        <v>1381</v>
      </c>
      <c r="B6471" t="s">
        <v>1382</v>
      </c>
      <c r="C6471" t="s">
        <v>451</v>
      </c>
      <c r="D6471" t="str">
        <f>VLOOKUP(C6471,'lookup table'!$A$2:$B$19,2,FALSE)</f>
        <v>Segment</v>
      </c>
      <c r="E6471" t="str">
        <f t="shared" si="101"/>
        <v>DR6ACY_00|Segment</v>
      </c>
    </row>
    <row r="6472" spans="1:5" x14ac:dyDescent="0.2">
      <c r="A6472" t="s">
        <v>1381</v>
      </c>
      <c r="B6472" t="s">
        <v>1382</v>
      </c>
      <c r="C6472" t="s">
        <v>455</v>
      </c>
      <c r="D6472" t="e">
        <f>VLOOKUP(C6472,'lookup table'!$A$2:$B$19,2,FALSE)</f>
        <v>#N/A</v>
      </c>
      <c r="E6472" t="str">
        <f t="shared" si="101"/>
        <v/>
      </c>
    </row>
    <row r="6473" spans="1:5" x14ac:dyDescent="0.2">
      <c r="A6473" t="s">
        <v>1381</v>
      </c>
      <c r="B6473" t="s">
        <v>1382</v>
      </c>
      <c r="C6473" t="s">
        <v>456</v>
      </c>
      <c r="D6473" t="e">
        <f>VLOOKUP(C6473,'lookup table'!$A$2:$B$19,2,FALSE)</f>
        <v>#N/A</v>
      </c>
      <c r="E6473" t="str">
        <f t="shared" si="101"/>
        <v/>
      </c>
    </row>
    <row r="6474" spans="1:5" x14ac:dyDescent="0.2">
      <c r="A6474" t="s">
        <v>1381</v>
      </c>
      <c r="B6474" t="s">
        <v>1382</v>
      </c>
      <c r="C6474" t="s">
        <v>457</v>
      </c>
      <c r="D6474" t="str">
        <f>VLOOKUP(C6474,'lookup table'!$A$2:$B$19,2,FALSE)</f>
        <v>VLT</v>
      </c>
      <c r="E6474" t="str">
        <f t="shared" si="101"/>
        <v>DR6ACY_00|VLT</v>
      </c>
    </row>
    <row r="6475" spans="1:5" x14ac:dyDescent="0.2">
      <c r="A6475" t="s">
        <v>1381</v>
      </c>
      <c r="B6475" t="s">
        <v>1382</v>
      </c>
      <c r="C6475" t="s">
        <v>458</v>
      </c>
      <c r="D6475" t="str">
        <f>VLOOKUP(C6475,'lookup table'!$A$2:$B$19,2,FALSE)</f>
        <v>VAR</v>
      </c>
      <c r="E6475" t="str">
        <f t="shared" si="101"/>
        <v>DR6ACY_00|VAR</v>
      </c>
    </row>
    <row r="6476" spans="1:5" x14ac:dyDescent="0.2">
      <c r="A6476" t="s">
        <v>1381</v>
      </c>
      <c r="B6476" t="s">
        <v>1382</v>
      </c>
      <c r="C6476" t="s">
        <v>459</v>
      </c>
      <c r="D6476" t="e">
        <f>VLOOKUP(C6476,'lookup table'!$A$2:$B$19,2,FALSE)</f>
        <v>#N/A</v>
      </c>
      <c r="E6476" t="str">
        <f t="shared" si="101"/>
        <v/>
      </c>
    </row>
    <row r="6477" spans="1:5" x14ac:dyDescent="0.2">
      <c r="A6477" t="s">
        <v>1381</v>
      </c>
      <c r="B6477" t="s">
        <v>1382</v>
      </c>
      <c r="C6477" t="s">
        <v>460</v>
      </c>
      <c r="D6477" t="e">
        <f>VLOOKUP(C6477,'lookup table'!$A$2:$B$19,2,FALSE)</f>
        <v>#N/A</v>
      </c>
      <c r="E6477" t="str">
        <f t="shared" si="101"/>
        <v/>
      </c>
    </row>
    <row r="6478" spans="1:5" x14ac:dyDescent="0.2">
      <c r="A6478" t="s">
        <v>1381</v>
      </c>
      <c r="B6478" t="s">
        <v>1382</v>
      </c>
      <c r="C6478" t="s">
        <v>461</v>
      </c>
      <c r="D6478" t="str">
        <f>VLOOKUP(C6478,'lookup table'!$A$2:$B$19,2,FALSE)</f>
        <v>Posting Level</v>
      </c>
      <c r="E6478" t="str">
        <f t="shared" si="101"/>
        <v>DR6ACY_00|Posting Level</v>
      </c>
    </row>
    <row r="6479" spans="1:5" x14ac:dyDescent="0.2">
      <c r="A6479" t="s">
        <v>1381</v>
      </c>
      <c r="B6479" t="s">
        <v>1382</v>
      </c>
      <c r="C6479" t="s">
        <v>462</v>
      </c>
      <c r="D6479" t="e">
        <f>VLOOKUP(C6479,'lookup table'!$A$2:$B$19,2,FALSE)</f>
        <v>#N/A</v>
      </c>
      <c r="E6479" t="str">
        <f t="shared" si="101"/>
        <v/>
      </c>
    </row>
    <row r="6480" spans="1:5" x14ac:dyDescent="0.2">
      <c r="A6480" t="s">
        <v>1381</v>
      </c>
      <c r="B6480" t="s">
        <v>1382</v>
      </c>
      <c r="C6480" t="s">
        <v>463</v>
      </c>
      <c r="D6480" t="e">
        <f>VLOOKUP(C6480,'lookup table'!$A$2:$B$19,2,FALSE)</f>
        <v>#N/A</v>
      </c>
      <c r="E6480" t="str">
        <f t="shared" si="101"/>
        <v/>
      </c>
    </row>
    <row r="6481" spans="1:5" x14ac:dyDescent="0.2">
      <c r="A6481" t="s">
        <v>1381</v>
      </c>
      <c r="B6481" t="s">
        <v>1382</v>
      </c>
      <c r="C6481" t="s">
        <v>464</v>
      </c>
      <c r="D6481" t="e">
        <f>VLOOKUP(C6481,'lookup table'!$A$2:$B$19,2,FALSE)</f>
        <v>#N/A</v>
      </c>
      <c r="E6481" t="str">
        <f t="shared" si="101"/>
        <v/>
      </c>
    </row>
    <row r="6482" spans="1:5" x14ac:dyDescent="0.2">
      <c r="A6482" t="s">
        <v>1381</v>
      </c>
      <c r="B6482" t="s">
        <v>1382</v>
      </c>
      <c r="C6482" t="s">
        <v>465</v>
      </c>
      <c r="D6482" t="e">
        <f>VLOOKUP(C6482,'lookup table'!$A$2:$B$19,2,FALSE)</f>
        <v>#N/A</v>
      </c>
      <c r="E6482" t="str">
        <f t="shared" si="101"/>
        <v/>
      </c>
    </row>
    <row r="6483" spans="1:5" x14ac:dyDescent="0.2">
      <c r="A6483" t="s">
        <v>1383</v>
      </c>
      <c r="B6483" t="s">
        <v>1382</v>
      </c>
      <c r="C6483" t="s">
        <v>2</v>
      </c>
      <c r="D6483" t="e">
        <f>VLOOKUP(C6483,'lookup table'!$A$2:$B$19,2,FALSE)</f>
        <v>#N/A</v>
      </c>
      <c r="E6483" t="str">
        <f t="shared" si="101"/>
        <v/>
      </c>
    </row>
    <row r="6484" spans="1:5" x14ac:dyDescent="0.2">
      <c r="A6484" t="s">
        <v>1383</v>
      </c>
      <c r="B6484" t="s">
        <v>1382</v>
      </c>
      <c r="C6484" t="s">
        <v>5</v>
      </c>
      <c r="D6484" t="e">
        <f>VLOOKUP(C6484,'lookup table'!$A$2:$B$19,2,FALSE)</f>
        <v>#N/A</v>
      </c>
      <c r="E6484" t="str">
        <f t="shared" si="101"/>
        <v/>
      </c>
    </row>
    <row r="6485" spans="1:5" x14ac:dyDescent="0.2">
      <c r="A6485" t="s">
        <v>1383</v>
      </c>
      <c r="B6485" t="s">
        <v>1382</v>
      </c>
      <c r="C6485" t="s">
        <v>6</v>
      </c>
      <c r="D6485" t="e">
        <f>VLOOKUP(C6485,'lookup table'!$A$2:$B$19,2,FALSE)</f>
        <v>#N/A</v>
      </c>
      <c r="E6485" t="str">
        <f t="shared" si="101"/>
        <v/>
      </c>
    </row>
    <row r="6486" spans="1:5" x14ac:dyDescent="0.2">
      <c r="A6486" t="s">
        <v>1383</v>
      </c>
      <c r="B6486" t="s">
        <v>1382</v>
      </c>
      <c r="C6486" t="s">
        <v>9</v>
      </c>
      <c r="D6486" t="e">
        <f>VLOOKUP(C6486,'lookup table'!$A$2:$B$19,2,FALSE)</f>
        <v>#N/A</v>
      </c>
      <c r="E6486" t="str">
        <f t="shared" si="101"/>
        <v/>
      </c>
    </row>
    <row r="6487" spans="1:5" x14ac:dyDescent="0.2">
      <c r="A6487" t="s">
        <v>1383</v>
      </c>
      <c r="B6487" t="s">
        <v>1382</v>
      </c>
      <c r="C6487" t="s">
        <v>10</v>
      </c>
      <c r="D6487" t="e">
        <f>VLOOKUP(C6487,'lookup table'!$A$2:$B$19,2,FALSE)</f>
        <v>#N/A</v>
      </c>
      <c r="E6487" t="str">
        <f t="shared" si="101"/>
        <v/>
      </c>
    </row>
    <row r="6488" spans="1:5" x14ac:dyDescent="0.2">
      <c r="A6488" t="s">
        <v>1383</v>
      </c>
      <c r="B6488" t="s">
        <v>1382</v>
      </c>
      <c r="C6488" t="s">
        <v>11</v>
      </c>
      <c r="D6488" t="e">
        <f>VLOOKUP(C6488,'lookup table'!$A$2:$B$19,2,FALSE)</f>
        <v>#N/A</v>
      </c>
      <c r="E6488" t="str">
        <f t="shared" si="101"/>
        <v/>
      </c>
    </row>
    <row r="6489" spans="1:5" x14ac:dyDescent="0.2">
      <c r="A6489" t="s">
        <v>1383</v>
      </c>
      <c r="B6489" t="s">
        <v>1382</v>
      </c>
      <c r="C6489" t="s">
        <v>12</v>
      </c>
      <c r="D6489" t="e">
        <f>VLOOKUP(C6489,'lookup table'!$A$2:$B$19,2,FALSE)</f>
        <v>#N/A</v>
      </c>
      <c r="E6489" t="str">
        <f t="shared" si="101"/>
        <v/>
      </c>
    </row>
    <row r="6490" spans="1:5" x14ac:dyDescent="0.2">
      <c r="A6490" t="s">
        <v>1383</v>
      </c>
      <c r="B6490" t="s">
        <v>1382</v>
      </c>
      <c r="C6490" t="s">
        <v>14</v>
      </c>
      <c r="D6490" t="str">
        <f>VLOOKUP(C6490,'lookup table'!$A$2:$B$19,2,FALSE)</f>
        <v>ALC</v>
      </c>
      <c r="E6490" t="str">
        <f t="shared" si="101"/>
        <v>DR6ACY_14|ALC</v>
      </c>
    </row>
    <row r="6491" spans="1:5" x14ac:dyDescent="0.2">
      <c r="A6491" t="s">
        <v>1383</v>
      </c>
      <c r="B6491" t="s">
        <v>1382</v>
      </c>
      <c r="C6491" t="s">
        <v>20</v>
      </c>
      <c r="D6491" t="str">
        <f>VLOOKUP(C6491,'lookup table'!$A$2:$B$19,2,FALSE)</f>
        <v>AY</v>
      </c>
      <c r="E6491" t="str">
        <f t="shared" si="101"/>
        <v>DR6ACY_14|AY</v>
      </c>
    </row>
    <row r="6492" spans="1:5" x14ac:dyDescent="0.2">
      <c r="A6492" t="s">
        <v>1383</v>
      </c>
      <c r="B6492" t="s">
        <v>1382</v>
      </c>
      <c r="C6492" t="s">
        <v>136</v>
      </c>
      <c r="D6492" t="str">
        <f>VLOOKUP(C6492,'lookup table'!$A$2:$B$19,2,FALSE)</f>
        <v>BBA Set</v>
      </c>
      <c r="E6492" t="str">
        <f t="shared" si="101"/>
        <v>DR6ACY_14|BBA Set</v>
      </c>
    </row>
    <row r="6493" spans="1:5" x14ac:dyDescent="0.2">
      <c r="A6493" t="s">
        <v>1383</v>
      </c>
      <c r="B6493" t="s">
        <v>1382</v>
      </c>
      <c r="C6493" t="s">
        <v>324</v>
      </c>
      <c r="D6493" t="e">
        <f>VLOOKUP(C6493,'lookup table'!$A$2:$B$19,2,FALSE)</f>
        <v>#N/A</v>
      </c>
      <c r="E6493" t="str">
        <f t="shared" si="101"/>
        <v/>
      </c>
    </row>
    <row r="6494" spans="1:5" x14ac:dyDescent="0.2">
      <c r="A6494" t="s">
        <v>1383</v>
      </c>
      <c r="B6494" t="s">
        <v>1382</v>
      </c>
      <c r="C6494" t="s">
        <v>325</v>
      </c>
      <c r="D6494" t="e">
        <f>VLOOKUP(C6494,'lookup table'!$A$2:$B$19,2,FALSE)</f>
        <v>#N/A</v>
      </c>
      <c r="E6494" t="str">
        <f t="shared" si="101"/>
        <v/>
      </c>
    </row>
    <row r="6495" spans="1:5" x14ac:dyDescent="0.2">
      <c r="A6495" t="s">
        <v>1383</v>
      </c>
      <c r="B6495" t="s">
        <v>1382</v>
      </c>
      <c r="C6495" t="s">
        <v>326</v>
      </c>
      <c r="D6495" t="e">
        <f>VLOOKUP(C6495,'lookup table'!$A$2:$B$19,2,FALSE)</f>
        <v>#N/A</v>
      </c>
      <c r="E6495" t="str">
        <f t="shared" si="101"/>
        <v/>
      </c>
    </row>
    <row r="6496" spans="1:5" x14ac:dyDescent="0.2">
      <c r="A6496" t="s">
        <v>1383</v>
      </c>
      <c r="B6496" t="s">
        <v>1382</v>
      </c>
      <c r="C6496" t="s">
        <v>327</v>
      </c>
      <c r="D6496" t="e">
        <f>VLOOKUP(C6496,'lookup table'!$A$2:$B$19,2,FALSE)</f>
        <v>#N/A</v>
      </c>
      <c r="E6496" t="str">
        <f t="shared" si="101"/>
        <v/>
      </c>
    </row>
    <row r="6497" spans="1:5" x14ac:dyDescent="0.2">
      <c r="A6497" t="s">
        <v>1383</v>
      </c>
      <c r="B6497" t="s">
        <v>1382</v>
      </c>
      <c r="C6497" t="s">
        <v>328</v>
      </c>
      <c r="D6497" t="e">
        <f>VLOOKUP(C6497,'lookup table'!$A$2:$B$19,2,FALSE)</f>
        <v>#N/A</v>
      </c>
      <c r="E6497" t="str">
        <f t="shared" si="101"/>
        <v/>
      </c>
    </row>
    <row r="6498" spans="1:5" x14ac:dyDescent="0.2">
      <c r="A6498" t="s">
        <v>1383</v>
      </c>
      <c r="B6498" t="s">
        <v>1382</v>
      </c>
      <c r="C6498" t="s">
        <v>329</v>
      </c>
      <c r="D6498" t="e">
        <f>VLOOKUP(C6498,'lookup table'!$A$2:$B$19,2,FALSE)</f>
        <v>#N/A</v>
      </c>
      <c r="E6498" t="str">
        <f t="shared" si="101"/>
        <v/>
      </c>
    </row>
    <row r="6499" spans="1:5" x14ac:dyDescent="0.2">
      <c r="A6499" t="s">
        <v>1383</v>
      </c>
      <c r="B6499" t="s">
        <v>1382</v>
      </c>
      <c r="C6499" t="s">
        <v>331</v>
      </c>
      <c r="D6499" t="str">
        <f>VLOOKUP(C6499,'lookup table'!$A$2:$B$19,2,FALSE)</f>
        <v>FS Item</v>
      </c>
      <c r="E6499" t="str">
        <f t="shared" si="101"/>
        <v>DR6ACY_14|FS Item</v>
      </c>
    </row>
    <row r="6500" spans="1:5" x14ac:dyDescent="0.2">
      <c r="A6500" t="s">
        <v>1383</v>
      </c>
      <c r="B6500" t="s">
        <v>1382</v>
      </c>
      <c r="C6500" t="s">
        <v>422</v>
      </c>
      <c r="D6500" t="e">
        <f>VLOOKUP(C6500,'lookup table'!$A$2:$B$19,2,FALSE)</f>
        <v>#N/A</v>
      </c>
      <c r="E6500" t="str">
        <f t="shared" si="101"/>
        <v/>
      </c>
    </row>
    <row r="6501" spans="1:5" x14ac:dyDescent="0.2">
      <c r="A6501" t="s">
        <v>1383</v>
      </c>
      <c r="B6501" t="s">
        <v>1382</v>
      </c>
      <c r="C6501" t="s">
        <v>423</v>
      </c>
      <c r="D6501" t="str">
        <f>VLOOKUP(C6501,'lookup table'!$A$2:$B$19,2,FALSE)</f>
        <v>ignore</v>
      </c>
      <c r="E6501" t="str">
        <f t="shared" si="101"/>
        <v>DR6ACY_14|ignore</v>
      </c>
    </row>
    <row r="6502" spans="1:5" x14ac:dyDescent="0.2">
      <c r="A6502" t="s">
        <v>1383</v>
      </c>
      <c r="B6502" t="s">
        <v>1382</v>
      </c>
      <c r="C6502" t="s">
        <v>424</v>
      </c>
      <c r="D6502" t="str">
        <f>VLOOKUP(C6502,'lookup table'!$A$2:$B$19,2,FALSE)</f>
        <v>GRC</v>
      </c>
      <c r="E6502" t="str">
        <f t="shared" si="101"/>
        <v>DR6ACY_14|GRC</v>
      </c>
    </row>
    <row r="6503" spans="1:5" x14ac:dyDescent="0.2">
      <c r="A6503" t="s">
        <v>1383</v>
      </c>
      <c r="B6503" t="s">
        <v>1382</v>
      </c>
      <c r="C6503" t="s">
        <v>425</v>
      </c>
      <c r="D6503" t="str">
        <f>VLOOKUP(C6503,'lookup table'!$A$2:$B$19,2,FALSE)</f>
        <v>Investee Segment</v>
      </c>
      <c r="E6503" t="str">
        <f t="shared" si="101"/>
        <v>DR6ACY_14|Investee Segment</v>
      </c>
    </row>
    <row r="6504" spans="1:5" x14ac:dyDescent="0.2">
      <c r="A6504" t="s">
        <v>1383</v>
      </c>
      <c r="B6504" t="s">
        <v>1382</v>
      </c>
      <c r="C6504" t="s">
        <v>426</v>
      </c>
      <c r="D6504" t="str">
        <f>VLOOKUP(C6504,'lookup table'!$A$2:$B$19,2,FALSE)</f>
        <v>Investee Unit</v>
      </c>
      <c r="E6504" t="str">
        <f t="shared" si="101"/>
        <v>DR6ACY_14|Investee Unit</v>
      </c>
    </row>
    <row r="6505" spans="1:5" x14ac:dyDescent="0.2">
      <c r="A6505" t="s">
        <v>1383</v>
      </c>
      <c r="B6505" t="s">
        <v>1382</v>
      </c>
      <c r="C6505" t="s">
        <v>428</v>
      </c>
      <c r="D6505" t="str">
        <f>VLOOKUP(C6505,'lookup table'!$A$2:$B$19,2,FALSE)</f>
        <v>LoB</v>
      </c>
      <c r="E6505" t="str">
        <f t="shared" si="101"/>
        <v>DR6ACY_14|LoB</v>
      </c>
    </row>
    <row r="6506" spans="1:5" x14ac:dyDescent="0.2">
      <c r="A6506" t="s">
        <v>1383</v>
      </c>
      <c r="B6506" t="s">
        <v>1382</v>
      </c>
      <c r="C6506" t="s">
        <v>436</v>
      </c>
      <c r="D6506" t="str">
        <f>VLOOKUP(C6506,'lookup table'!$A$2:$B$19,2,FALSE)</f>
        <v>MAT</v>
      </c>
      <c r="E6506" t="str">
        <f t="shared" si="101"/>
        <v>DR6ACY_14|MAT</v>
      </c>
    </row>
    <row r="6507" spans="1:5" x14ac:dyDescent="0.2">
      <c r="A6507" t="s">
        <v>1383</v>
      </c>
      <c r="B6507" t="s">
        <v>1382</v>
      </c>
      <c r="C6507" t="s">
        <v>441</v>
      </c>
      <c r="D6507" t="str">
        <f>VLOOKUP(C6507,'lookup table'!$A$2:$B$19,2,FALSE)</f>
        <v>Partner Segment</v>
      </c>
      <c r="E6507" t="str">
        <f t="shared" si="101"/>
        <v>DR6ACY_14|Partner Segment</v>
      </c>
    </row>
    <row r="6508" spans="1:5" x14ac:dyDescent="0.2">
      <c r="A6508" t="s">
        <v>1383</v>
      </c>
      <c r="B6508" t="s">
        <v>1382</v>
      </c>
      <c r="C6508" t="s">
        <v>442</v>
      </c>
      <c r="D6508" t="str">
        <f>VLOOKUP(C6508,'lookup table'!$A$2:$B$19,2,FALSE)</f>
        <v>Partner Unit</v>
      </c>
      <c r="E6508" t="str">
        <f t="shared" si="101"/>
        <v>DR6ACY_14|Partner Unit</v>
      </c>
    </row>
    <row r="6509" spans="1:5" x14ac:dyDescent="0.2">
      <c r="A6509" t="s">
        <v>1383</v>
      </c>
      <c r="B6509" t="s">
        <v>1382</v>
      </c>
      <c r="C6509" t="s">
        <v>447</v>
      </c>
      <c r="D6509" t="str">
        <f>VLOOKUP(C6509,'lookup table'!$A$2:$B$19,2,FALSE)</f>
        <v>REX</v>
      </c>
      <c r="E6509" t="str">
        <f t="shared" si="101"/>
        <v>DR6ACY_14|REX</v>
      </c>
    </row>
    <row r="6510" spans="1:5" x14ac:dyDescent="0.2">
      <c r="A6510" t="s">
        <v>1383</v>
      </c>
      <c r="B6510" t="s">
        <v>1382</v>
      </c>
      <c r="C6510" t="s">
        <v>448</v>
      </c>
      <c r="D6510" t="e">
        <f>VLOOKUP(C6510,'lookup table'!$A$2:$B$19,2,FALSE)</f>
        <v>#N/A</v>
      </c>
      <c r="E6510" t="str">
        <f t="shared" si="101"/>
        <v/>
      </c>
    </row>
    <row r="6511" spans="1:5" x14ac:dyDescent="0.2">
      <c r="A6511" t="s">
        <v>1383</v>
      </c>
      <c r="B6511" t="s">
        <v>1382</v>
      </c>
      <c r="C6511" t="s">
        <v>449</v>
      </c>
      <c r="D6511" t="e">
        <f>VLOOKUP(C6511,'lookup table'!$A$2:$B$19,2,FALSE)</f>
        <v>#N/A</v>
      </c>
      <c r="E6511" t="str">
        <f t="shared" si="101"/>
        <v/>
      </c>
    </row>
    <row r="6512" spans="1:5" x14ac:dyDescent="0.2">
      <c r="A6512" t="s">
        <v>1383</v>
      </c>
      <c r="B6512" t="s">
        <v>1382</v>
      </c>
      <c r="C6512" t="s">
        <v>451</v>
      </c>
      <c r="D6512" t="str">
        <f>VLOOKUP(C6512,'lookup table'!$A$2:$B$19,2,FALSE)</f>
        <v>Segment</v>
      </c>
      <c r="E6512" t="str">
        <f t="shared" si="101"/>
        <v>DR6ACY_14|Segment</v>
      </c>
    </row>
    <row r="6513" spans="1:5" x14ac:dyDescent="0.2">
      <c r="A6513" t="s">
        <v>1383</v>
      </c>
      <c r="B6513" t="s">
        <v>1382</v>
      </c>
      <c r="C6513" t="s">
        <v>455</v>
      </c>
      <c r="D6513" t="e">
        <f>VLOOKUP(C6513,'lookup table'!$A$2:$B$19,2,FALSE)</f>
        <v>#N/A</v>
      </c>
      <c r="E6513" t="str">
        <f t="shared" si="101"/>
        <v/>
      </c>
    </row>
    <row r="6514" spans="1:5" x14ac:dyDescent="0.2">
      <c r="A6514" t="s">
        <v>1383</v>
      </c>
      <c r="B6514" t="s">
        <v>1382</v>
      </c>
      <c r="C6514" t="s">
        <v>456</v>
      </c>
      <c r="D6514" t="e">
        <f>VLOOKUP(C6514,'lookup table'!$A$2:$B$19,2,FALSE)</f>
        <v>#N/A</v>
      </c>
      <c r="E6514" t="str">
        <f t="shared" si="101"/>
        <v/>
      </c>
    </row>
    <row r="6515" spans="1:5" x14ac:dyDescent="0.2">
      <c r="A6515" t="s">
        <v>1383</v>
      </c>
      <c r="B6515" t="s">
        <v>1382</v>
      </c>
      <c r="C6515" t="s">
        <v>457</v>
      </c>
      <c r="D6515" t="str">
        <f>VLOOKUP(C6515,'lookup table'!$A$2:$B$19,2,FALSE)</f>
        <v>VLT</v>
      </c>
      <c r="E6515" t="str">
        <f t="shared" si="101"/>
        <v>DR6ACY_14|VLT</v>
      </c>
    </row>
    <row r="6516" spans="1:5" x14ac:dyDescent="0.2">
      <c r="A6516" t="s">
        <v>1383</v>
      </c>
      <c r="B6516" t="s">
        <v>1382</v>
      </c>
      <c r="C6516" t="s">
        <v>458</v>
      </c>
      <c r="D6516" t="str">
        <f>VLOOKUP(C6516,'lookup table'!$A$2:$B$19,2,FALSE)</f>
        <v>VAR</v>
      </c>
      <c r="E6516" t="str">
        <f t="shared" si="101"/>
        <v>DR6ACY_14|VAR</v>
      </c>
    </row>
    <row r="6517" spans="1:5" x14ac:dyDescent="0.2">
      <c r="A6517" t="s">
        <v>1383</v>
      </c>
      <c r="B6517" t="s">
        <v>1382</v>
      </c>
      <c r="C6517" t="s">
        <v>459</v>
      </c>
      <c r="D6517" t="e">
        <f>VLOOKUP(C6517,'lookup table'!$A$2:$B$19,2,FALSE)</f>
        <v>#N/A</v>
      </c>
      <c r="E6517" t="str">
        <f t="shared" si="101"/>
        <v/>
      </c>
    </row>
    <row r="6518" spans="1:5" x14ac:dyDescent="0.2">
      <c r="A6518" t="s">
        <v>1383</v>
      </c>
      <c r="B6518" t="s">
        <v>1382</v>
      </c>
      <c r="C6518" t="s">
        <v>460</v>
      </c>
      <c r="D6518" t="e">
        <f>VLOOKUP(C6518,'lookup table'!$A$2:$B$19,2,FALSE)</f>
        <v>#N/A</v>
      </c>
      <c r="E6518" t="str">
        <f t="shared" si="101"/>
        <v/>
      </c>
    </row>
    <row r="6519" spans="1:5" x14ac:dyDescent="0.2">
      <c r="A6519" t="s">
        <v>1383</v>
      </c>
      <c r="B6519" t="s">
        <v>1382</v>
      </c>
      <c r="C6519" t="s">
        <v>461</v>
      </c>
      <c r="D6519" t="str">
        <f>VLOOKUP(C6519,'lookup table'!$A$2:$B$19,2,FALSE)</f>
        <v>Posting Level</v>
      </c>
      <c r="E6519" t="str">
        <f t="shared" si="101"/>
        <v>DR6ACY_14|Posting Level</v>
      </c>
    </row>
    <row r="6520" spans="1:5" x14ac:dyDescent="0.2">
      <c r="A6520" t="s">
        <v>1383</v>
      </c>
      <c r="B6520" t="s">
        <v>1382</v>
      </c>
      <c r="C6520" t="s">
        <v>462</v>
      </c>
      <c r="D6520" t="e">
        <f>VLOOKUP(C6520,'lookup table'!$A$2:$B$19,2,FALSE)</f>
        <v>#N/A</v>
      </c>
      <c r="E6520" t="str">
        <f t="shared" si="101"/>
        <v/>
      </c>
    </row>
    <row r="6521" spans="1:5" x14ac:dyDescent="0.2">
      <c r="A6521" t="s">
        <v>1383</v>
      </c>
      <c r="B6521" t="s">
        <v>1382</v>
      </c>
      <c r="C6521" t="s">
        <v>463</v>
      </c>
      <c r="D6521" t="e">
        <f>VLOOKUP(C6521,'lookup table'!$A$2:$B$19,2,FALSE)</f>
        <v>#N/A</v>
      </c>
      <c r="E6521" t="str">
        <f t="shared" si="101"/>
        <v/>
      </c>
    </row>
    <row r="6522" spans="1:5" x14ac:dyDescent="0.2">
      <c r="A6522" t="s">
        <v>1383</v>
      </c>
      <c r="B6522" t="s">
        <v>1382</v>
      </c>
      <c r="C6522" t="s">
        <v>464</v>
      </c>
      <c r="D6522" t="e">
        <f>VLOOKUP(C6522,'lookup table'!$A$2:$B$19,2,FALSE)</f>
        <v>#N/A</v>
      </c>
      <c r="E6522" t="str">
        <f t="shared" si="101"/>
        <v/>
      </c>
    </row>
    <row r="6523" spans="1:5" x14ac:dyDescent="0.2">
      <c r="A6523" t="s">
        <v>1383</v>
      </c>
      <c r="B6523" t="s">
        <v>1382</v>
      </c>
      <c r="C6523" t="s">
        <v>465</v>
      </c>
      <c r="D6523" t="e">
        <f>VLOOKUP(C6523,'lookup table'!$A$2:$B$19,2,FALSE)</f>
        <v>#N/A</v>
      </c>
      <c r="E6523" t="str">
        <f t="shared" si="101"/>
        <v/>
      </c>
    </row>
    <row r="6524" spans="1:5" x14ac:dyDescent="0.2">
      <c r="A6524" t="s">
        <v>1384</v>
      </c>
      <c r="B6524" t="s">
        <v>1385</v>
      </c>
      <c r="C6524" t="s">
        <v>2</v>
      </c>
      <c r="D6524" t="e">
        <f>VLOOKUP(C6524,'lookup table'!$A$2:$B$19,2,FALSE)</f>
        <v>#N/A</v>
      </c>
      <c r="E6524" t="str">
        <f t="shared" si="101"/>
        <v/>
      </c>
    </row>
    <row r="6525" spans="1:5" x14ac:dyDescent="0.2">
      <c r="A6525" t="s">
        <v>1384</v>
      </c>
      <c r="B6525" t="s">
        <v>1385</v>
      </c>
      <c r="C6525" t="s">
        <v>5</v>
      </c>
      <c r="D6525" t="e">
        <f>VLOOKUP(C6525,'lookup table'!$A$2:$B$19,2,FALSE)</f>
        <v>#N/A</v>
      </c>
      <c r="E6525" t="str">
        <f t="shared" si="101"/>
        <v/>
      </c>
    </row>
    <row r="6526" spans="1:5" x14ac:dyDescent="0.2">
      <c r="A6526" t="s">
        <v>1384</v>
      </c>
      <c r="B6526" t="s">
        <v>1385</v>
      </c>
      <c r="C6526" t="s">
        <v>6</v>
      </c>
      <c r="D6526" t="e">
        <f>VLOOKUP(C6526,'lookup table'!$A$2:$B$19,2,FALSE)</f>
        <v>#N/A</v>
      </c>
      <c r="E6526" t="str">
        <f t="shared" si="101"/>
        <v/>
      </c>
    </row>
    <row r="6527" spans="1:5" x14ac:dyDescent="0.2">
      <c r="A6527" t="s">
        <v>1384</v>
      </c>
      <c r="B6527" t="s">
        <v>1385</v>
      </c>
      <c r="C6527" t="s">
        <v>9</v>
      </c>
      <c r="D6527" t="e">
        <f>VLOOKUP(C6527,'lookup table'!$A$2:$B$19,2,FALSE)</f>
        <v>#N/A</v>
      </c>
      <c r="E6527" t="str">
        <f t="shared" si="101"/>
        <v/>
      </c>
    </row>
    <row r="6528" spans="1:5" x14ac:dyDescent="0.2">
      <c r="A6528" t="s">
        <v>1384</v>
      </c>
      <c r="B6528" t="s">
        <v>1385</v>
      </c>
      <c r="C6528" t="s">
        <v>10</v>
      </c>
      <c r="D6528" t="e">
        <f>VLOOKUP(C6528,'lookup table'!$A$2:$B$19,2,FALSE)</f>
        <v>#N/A</v>
      </c>
      <c r="E6528" t="str">
        <f t="shared" si="101"/>
        <v/>
      </c>
    </row>
    <row r="6529" spans="1:5" x14ac:dyDescent="0.2">
      <c r="A6529" t="s">
        <v>1384</v>
      </c>
      <c r="B6529" t="s">
        <v>1385</v>
      </c>
      <c r="C6529" t="s">
        <v>11</v>
      </c>
      <c r="D6529" t="e">
        <f>VLOOKUP(C6529,'lookup table'!$A$2:$B$19,2,FALSE)</f>
        <v>#N/A</v>
      </c>
      <c r="E6529" t="str">
        <f t="shared" si="101"/>
        <v/>
      </c>
    </row>
    <row r="6530" spans="1:5" x14ac:dyDescent="0.2">
      <c r="A6530" t="s">
        <v>1384</v>
      </c>
      <c r="B6530" t="s">
        <v>1385</v>
      </c>
      <c r="C6530" t="s">
        <v>12</v>
      </c>
      <c r="D6530" t="e">
        <f>VLOOKUP(C6530,'lookup table'!$A$2:$B$19,2,FALSE)</f>
        <v>#N/A</v>
      </c>
      <c r="E6530" t="str">
        <f t="shared" si="101"/>
        <v/>
      </c>
    </row>
    <row r="6531" spans="1:5" x14ac:dyDescent="0.2">
      <c r="A6531" t="s">
        <v>1384</v>
      </c>
      <c r="B6531" t="s">
        <v>1385</v>
      </c>
      <c r="C6531" t="s">
        <v>14</v>
      </c>
      <c r="D6531" t="str">
        <f>VLOOKUP(C6531,'lookup table'!$A$2:$B$19,2,FALSE)</f>
        <v>ALC</v>
      </c>
      <c r="E6531" t="str">
        <f t="shared" ref="E6531:E6594" si="102">IF(ISNA(D6531),"",IF(A6531="","",A6531) &amp; "|" &amp; D6531)</f>
        <v>DR6ALC_00|ALC</v>
      </c>
    </row>
    <row r="6532" spans="1:5" x14ac:dyDescent="0.2">
      <c r="A6532" t="s">
        <v>1384</v>
      </c>
      <c r="B6532" t="s">
        <v>1385</v>
      </c>
      <c r="C6532" t="s">
        <v>20</v>
      </c>
      <c r="D6532" t="str">
        <f>VLOOKUP(C6532,'lookup table'!$A$2:$B$19,2,FALSE)</f>
        <v>AY</v>
      </c>
      <c r="E6532" t="str">
        <f t="shared" si="102"/>
        <v>DR6ALC_00|AY</v>
      </c>
    </row>
    <row r="6533" spans="1:5" x14ac:dyDescent="0.2">
      <c r="A6533" t="s">
        <v>1384</v>
      </c>
      <c r="B6533" t="s">
        <v>1385</v>
      </c>
      <c r="C6533" t="s">
        <v>136</v>
      </c>
      <c r="D6533" t="str">
        <f>VLOOKUP(C6533,'lookup table'!$A$2:$B$19,2,FALSE)</f>
        <v>BBA Set</v>
      </c>
      <c r="E6533" t="str">
        <f t="shared" si="102"/>
        <v>DR6ALC_00|BBA Set</v>
      </c>
    </row>
    <row r="6534" spans="1:5" x14ac:dyDescent="0.2">
      <c r="A6534" t="s">
        <v>1384</v>
      </c>
      <c r="B6534" t="s">
        <v>1385</v>
      </c>
      <c r="C6534" t="s">
        <v>324</v>
      </c>
      <c r="D6534" t="e">
        <f>VLOOKUP(C6534,'lookup table'!$A$2:$B$19,2,FALSE)</f>
        <v>#N/A</v>
      </c>
      <c r="E6534" t="str">
        <f t="shared" si="102"/>
        <v/>
      </c>
    </row>
    <row r="6535" spans="1:5" x14ac:dyDescent="0.2">
      <c r="A6535" t="s">
        <v>1384</v>
      </c>
      <c r="B6535" t="s">
        <v>1385</v>
      </c>
      <c r="C6535" t="s">
        <v>325</v>
      </c>
      <c r="D6535" t="e">
        <f>VLOOKUP(C6535,'lookup table'!$A$2:$B$19,2,FALSE)</f>
        <v>#N/A</v>
      </c>
      <c r="E6535" t="str">
        <f t="shared" si="102"/>
        <v/>
      </c>
    </row>
    <row r="6536" spans="1:5" x14ac:dyDescent="0.2">
      <c r="A6536" t="s">
        <v>1384</v>
      </c>
      <c r="B6536" t="s">
        <v>1385</v>
      </c>
      <c r="C6536" t="s">
        <v>326</v>
      </c>
      <c r="D6536" t="e">
        <f>VLOOKUP(C6536,'lookup table'!$A$2:$B$19,2,FALSE)</f>
        <v>#N/A</v>
      </c>
      <c r="E6536" t="str">
        <f t="shared" si="102"/>
        <v/>
      </c>
    </row>
    <row r="6537" spans="1:5" x14ac:dyDescent="0.2">
      <c r="A6537" t="s">
        <v>1384</v>
      </c>
      <c r="B6537" t="s">
        <v>1385</v>
      </c>
      <c r="C6537" t="s">
        <v>327</v>
      </c>
      <c r="D6537" t="e">
        <f>VLOOKUP(C6537,'lookup table'!$A$2:$B$19,2,FALSE)</f>
        <v>#N/A</v>
      </c>
      <c r="E6537" t="str">
        <f t="shared" si="102"/>
        <v/>
      </c>
    </row>
    <row r="6538" spans="1:5" x14ac:dyDescent="0.2">
      <c r="A6538" t="s">
        <v>1384</v>
      </c>
      <c r="B6538" t="s">
        <v>1385</v>
      </c>
      <c r="C6538" t="s">
        <v>328</v>
      </c>
      <c r="D6538" t="e">
        <f>VLOOKUP(C6538,'lookup table'!$A$2:$B$19,2,FALSE)</f>
        <v>#N/A</v>
      </c>
      <c r="E6538" t="str">
        <f t="shared" si="102"/>
        <v/>
      </c>
    </row>
    <row r="6539" spans="1:5" x14ac:dyDescent="0.2">
      <c r="A6539" t="s">
        <v>1384</v>
      </c>
      <c r="B6539" t="s">
        <v>1385</v>
      </c>
      <c r="C6539" t="s">
        <v>329</v>
      </c>
      <c r="D6539" t="e">
        <f>VLOOKUP(C6539,'lookup table'!$A$2:$B$19,2,FALSE)</f>
        <v>#N/A</v>
      </c>
      <c r="E6539" t="str">
        <f t="shared" si="102"/>
        <v/>
      </c>
    </row>
    <row r="6540" spans="1:5" x14ac:dyDescent="0.2">
      <c r="A6540" t="s">
        <v>1384</v>
      </c>
      <c r="B6540" t="s">
        <v>1385</v>
      </c>
      <c r="C6540" t="s">
        <v>331</v>
      </c>
      <c r="D6540" t="str">
        <f>VLOOKUP(C6540,'lookup table'!$A$2:$B$19,2,FALSE)</f>
        <v>FS Item</v>
      </c>
      <c r="E6540" t="str">
        <f t="shared" si="102"/>
        <v>DR6ALC_00|FS Item</v>
      </c>
    </row>
    <row r="6541" spans="1:5" x14ac:dyDescent="0.2">
      <c r="A6541" t="s">
        <v>1384</v>
      </c>
      <c r="B6541" t="s">
        <v>1385</v>
      </c>
      <c r="C6541" t="s">
        <v>422</v>
      </c>
      <c r="D6541" t="e">
        <f>VLOOKUP(C6541,'lookup table'!$A$2:$B$19,2,FALSE)</f>
        <v>#N/A</v>
      </c>
      <c r="E6541" t="str">
        <f t="shared" si="102"/>
        <v/>
      </c>
    </row>
    <row r="6542" spans="1:5" x14ac:dyDescent="0.2">
      <c r="A6542" t="s">
        <v>1384</v>
      </c>
      <c r="B6542" t="s">
        <v>1385</v>
      </c>
      <c r="C6542" t="s">
        <v>423</v>
      </c>
      <c r="D6542" t="str">
        <f>VLOOKUP(C6542,'lookup table'!$A$2:$B$19,2,FALSE)</f>
        <v>ignore</v>
      </c>
      <c r="E6542" t="str">
        <f t="shared" si="102"/>
        <v>DR6ALC_00|ignore</v>
      </c>
    </row>
    <row r="6543" spans="1:5" x14ac:dyDescent="0.2">
      <c r="A6543" t="s">
        <v>1384</v>
      </c>
      <c r="B6543" t="s">
        <v>1385</v>
      </c>
      <c r="C6543" t="s">
        <v>424</v>
      </c>
      <c r="D6543" t="str">
        <f>VLOOKUP(C6543,'lookup table'!$A$2:$B$19,2,FALSE)</f>
        <v>GRC</v>
      </c>
      <c r="E6543" t="str">
        <f t="shared" si="102"/>
        <v>DR6ALC_00|GRC</v>
      </c>
    </row>
    <row r="6544" spans="1:5" x14ac:dyDescent="0.2">
      <c r="A6544" t="s">
        <v>1384</v>
      </c>
      <c r="B6544" t="s">
        <v>1385</v>
      </c>
      <c r="C6544" t="s">
        <v>425</v>
      </c>
      <c r="D6544" t="str">
        <f>VLOOKUP(C6544,'lookup table'!$A$2:$B$19,2,FALSE)</f>
        <v>Investee Segment</v>
      </c>
      <c r="E6544" t="str">
        <f t="shared" si="102"/>
        <v>DR6ALC_00|Investee Segment</v>
      </c>
    </row>
    <row r="6545" spans="1:5" x14ac:dyDescent="0.2">
      <c r="A6545" t="s">
        <v>1384</v>
      </c>
      <c r="B6545" t="s">
        <v>1385</v>
      </c>
      <c r="C6545" t="s">
        <v>426</v>
      </c>
      <c r="D6545" t="str">
        <f>VLOOKUP(C6545,'lookup table'!$A$2:$B$19,2,FALSE)</f>
        <v>Investee Unit</v>
      </c>
      <c r="E6545" t="str">
        <f t="shared" si="102"/>
        <v>DR6ALC_00|Investee Unit</v>
      </c>
    </row>
    <row r="6546" spans="1:5" x14ac:dyDescent="0.2">
      <c r="A6546" t="s">
        <v>1384</v>
      </c>
      <c r="B6546" t="s">
        <v>1385</v>
      </c>
      <c r="C6546" t="s">
        <v>428</v>
      </c>
      <c r="D6546" t="str">
        <f>VLOOKUP(C6546,'lookup table'!$A$2:$B$19,2,FALSE)</f>
        <v>LoB</v>
      </c>
      <c r="E6546" t="str">
        <f t="shared" si="102"/>
        <v>DR6ALC_00|LoB</v>
      </c>
    </row>
    <row r="6547" spans="1:5" x14ac:dyDescent="0.2">
      <c r="A6547" t="s">
        <v>1384</v>
      </c>
      <c r="B6547" t="s">
        <v>1385</v>
      </c>
      <c r="C6547" t="s">
        <v>436</v>
      </c>
      <c r="D6547" t="str">
        <f>VLOOKUP(C6547,'lookup table'!$A$2:$B$19,2,FALSE)</f>
        <v>MAT</v>
      </c>
      <c r="E6547" t="str">
        <f t="shared" si="102"/>
        <v>DR6ALC_00|MAT</v>
      </c>
    </row>
    <row r="6548" spans="1:5" x14ac:dyDescent="0.2">
      <c r="A6548" t="s">
        <v>1384</v>
      </c>
      <c r="B6548" t="s">
        <v>1385</v>
      </c>
      <c r="C6548" t="s">
        <v>438</v>
      </c>
      <c r="D6548" t="str">
        <f>VLOOKUP(C6548,'lookup table'!$A$2:$B$19,2,FALSE)</f>
        <v>ToM</v>
      </c>
      <c r="E6548" t="str">
        <f t="shared" si="102"/>
        <v>DR6ALC_00|ToM</v>
      </c>
    </row>
    <row r="6549" spans="1:5" x14ac:dyDescent="0.2">
      <c r="A6549" t="s">
        <v>1384</v>
      </c>
      <c r="B6549" t="s">
        <v>1385</v>
      </c>
      <c r="C6549" t="s">
        <v>441</v>
      </c>
      <c r="D6549" t="str">
        <f>VLOOKUP(C6549,'lookup table'!$A$2:$B$19,2,FALSE)</f>
        <v>Partner Segment</v>
      </c>
      <c r="E6549" t="str">
        <f t="shared" si="102"/>
        <v>DR6ALC_00|Partner Segment</v>
      </c>
    </row>
    <row r="6550" spans="1:5" x14ac:dyDescent="0.2">
      <c r="A6550" t="s">
        <v>1384</v>
      </c>
      <c r="B6550" t="s">
        <v>1385</v>
      </c>
      <c r="C6550" t="s">
        <v>442</v>
      </c>
      <c r="D6550" t="str">
        <f>VLOOKUP(C6550,'lookup table'!$A$2:$B$19,2,FALSE)</f>
        <v>Partner Unit</v>
      </c>
      <c r="E6550" t="str">
        <f t="shared" si="102"/>
        <v>DR6ALC_00|Partner Unit</v>
      </c>
    </row>
    <row r="6551" spans="1:5" x14ac:dyDescent="0.2">
      <c r="A6551" t="s">
        <v>1384</v>
      </c>
      <c r="B6551" t="s">
        <v>1385</v>
      </c>
      <c r="C6551" t="s">
        <v>447</v>
      </c>
      <c r="D6551" t="str">
        <f>VLOOKUP(C6551,'lookup table'!$A$2:$B$19,2,FALSE)</f>
        <v>REX</v>
      </c>
      <c r="E6551" t="str">
        <f t="shared" si="102"/>
        <v>DR6ALC_00|REX</v>
      </c>
    </row>
    <row r="6552" spans="1:5" x14ac:dyDescent="0.2">
      <c r="A6552" t="s">
        <v>1384</v>
      </c>
      <c r="B6552" t="s">
        <v>1385</v>
      </c>
      <c r="C6552" t="s">
        <v>448</v>
      </c>
      <c r="D6552" t="e">
        <f>VLOOKUP(C6552,'lookup table'!$A$2:$B$19,2,FALSE)</f>
        <v>#N/A</v>
      </c>
      <c r="E6552" t="str">
        <f t="shared" si="102"/>
        <v/>
      </c>
    </row>
    <row r="6553" spans="1:5" x14ac:dyDescent="0.2">
      <c r="A6553" t="s">
        <v>1384</v>
      </c>
      <c r="B6553" t="s">
        <v>1385</v>
      </c>
      <c r="C6553" t="s">
        <v>449</v>
      </c>
      <c r="D6553" t="e">
        <f>VLOOKUP(C6553,'lookup table'!$A$2:$B$19,2,FALSE)</f>
        <v>#N/A</v>
      </c>
      <c r="E6553" t="str">
        <f t="shared" si="102"/>
        <v/>
      </c>
    </row>
    <row r="6554" spans="1:5" x14ac:dyDescent="0.2">
      <c r="A6554" t="s">
        <v>1384</v>
      </c>
      <c r="B6554" t="s">
        <v>1385</v>
      </c>
      <c r="C6554" t="s">
        <v>451</v>
      </c>
      <c r="D6554" t="str">
        <f>VLOOKUP(C6554,'lookup table'!$A$2:$B$19,2,FALSE)</f>
        <v>Segment</v>
      </c>
      <c r="E6554" t="str">
        <f t="shared" si="102"/>
        <v>DR6ALC_00|Segment</v>
      </c>
    </row>
    <row r="6555" spans="1:5" x14ac:dyDescent="0.2">
      <c r="A6555" t="s">
        <v>1384</v>
      </c>
      <c r="B6555" t="s">
        <v>1385</v>
      </c>
      <c r="C6555" t="s">
        <v>455</v>
      </c>
      <c r="D6555" t="e">
        <f>VLOOKUP(C6555,'lookup table'!$A$2:$B$19,2,FALSE)</f>
        <v>#N/A</v>
      </c>
      <c r="E6555" t="str">
        <f t="shared" si="102"/>
        <v/>
      </c>
    </row>
    <row r="6556" spans="1:5" x14ac:dyDescent="0.2">
      <c r="A6556" t="s">
        <v>1384</v>
      </c>
      <c r="B6556" t="s">
        <v>1385</v>
      </c>
      <c r="C6556" t="s">
        <v>456</v>
      </c>
      <c r="D6556" t="e">
        <f>VLOOKUP(C6556,'lookup table'!$A$2:$B$19,2,FALSE)</f>
        <v>#N/A</v>
      </c>
      <c r="E6556" t="str">
        <f t="shared" si="102"/>
        <v/>
      </c>
    </row>
    <row r="6557" spans="1:5" x14ac:dyDescent="0.2">
      <c r="A6557" t="s">
        <v>1384</v>
      </c>
      <c r="B6557" t="s">
        <v>1385</v>
      </c>
      <c r="C6557" t="s">
        <v>457</v>
      </c>
      <c r="D6557" t="str">
        <f>VLOOKUP(C6557,'lookup table'!$A$2:$B$19,2,FALSE)</f>
        <v>VLT</v>
      </c>
      <c r="E6557" t="str">
        <f t="shared" si="102"/>
        <v>DR6ALC_00|VLT</v>
      </c>
    </row>
    <row r="6558" spans="1:5" x14ac:dyDescent="0.2">
      <c r="A6558" t="s">
        <v>1384</v>
      </c>
      <c r="B6558" t="s">
        <v>1385</v>
      </c>
      <c r="C6558" t="s">
        <v>458</v>
      </c>
      <c r="D6558" t="str">
        <f>VLOOKUP(C6558,'lookup table'!$A$2:$B$19,2,FALSE)</f>
        <v>VAR</v>
      </c>
      <c r="E6558" t="str">
        <f t="shared" si="102"/>
        <v>DR6ALC_00|VAR</v>
      </c>
    </row>
    <row r="6559" spans="1:5" x14ac:dyDescent="0.2">
      <c r="A6559" t="s">
        <v>1384</v>
      </c>
      <c r="B6559" t="s">
        <v>1385</v>
      </c>
      <c r="C6559" t="s">
        <v>459</v>
      </c>
      <c r="D6559" t="e">
        <f>VLOOKUP(C6559,'lookup table'!$A$2:$B$19,2,FALSE)</f>
        <v>#N/A</v>
      </c>
      <c r="E6559" t="str">
        <f t="shared" si="102"/>
        <v/>
      </c>
    </row>
    <row r="6560" spans="1:5" x14ac:dyDescent="0.2">
      <c r="A6560" t="s">
        <v>1384</v>
      </c>
      <c r="B6560" t="s">
        <v>1385</v>
      </c>
      <c r="C6560" t="s">
        <v>460</v>
      </c>
      <c r="D6560" t="e">
        <f>VLOOKUP(C6560,'lookup table'!$A$2:$B$19,2,FALSE)</f>
        <v>#N/A</v>
      </c>
      <c r="E6560" t="str">
        <f t="shared" si="102"/>
        <v/>
      </c>
    </row>
    <row r="6561" spans="1:5" x14ac:dyDescent="0.2">
      <c r="A6561" t="s">
        <v>1384</v>
      </c>
      <c r="B6561" t="s">
        <v>1385</v>
      </c>
      <c r="C6561" t="s">
        <v>461</v>
      </c>
      <c r="D6561" t="str">
        <f>VLOOKUP(C6561,'lookup table'!$A$2:$B$19,2,FALSE)</f>
        <v>Posting Level</v>
      </c>
      <c r="E6561" t="str">
        <f t="shared" si="102"/>
        <v>DR6ALC_00|Posting Level</v>
      </c>
    </row>
    <row r="6562" spans="1:5" x14ac:dyDescent="0.2">
      <c r="A6562" t="s">
        <v>1384</v>
      </c>
      <c r="B6562" t="s">
        <v>1385</v>
      </c>
      <c r="C6562" t="s">
        <v>462</v>
      </c>
      <c r="D6562" t="e">
        <f>VLOOKUP(C6562,'lookup table'!$A$2:$B$19,2,FALSE)</f>
        <v>#N/A</v>
      </c>
      <c r="E6562" t="str">
        <f t="shared" si="102"/>
        <v/>
      </c>
    </row>
    <row r="6563" spans="1:5" x14ac:dyDescent="0.2">
      <c r="A6563" t="s">
        <v>1384</v>
      </c>
      <c r="B6563" t="s">
        <v>1385</v>
      </c>
      <c r="C6563" t="s">
        <v>463</v>
      </c>
      <c r="D6563" t="e">
        <f>VLOOKUP(C6563,'lookup table'!$A$2:$B$19,2,FALSE)</f>
        <v>#N/A</v>
      </c>
      <c r="E6563" t="str">
        <f t="shared" si="102"/>
        <v/>
      </c>
    </row>
    <row r="6564" spans="1:5" x14ac:dyDescent="0.2">
      <c r="A6564" t="s">
        <v>1384</v>
      </c>
      <c r="B6564" t="s">
        <v>1385</v>
      </c>
      <c r="C6564" t="s">
        <v>464</v>
      </c>
      <c r="D6564" t="e">
        <f>VLOOKUP(C6564,'lookup table'!$A$2:$B$19,2,FALSE)</f>
        <v>#N/A</v>
      </c>
      <c r="E6564" t="str">
        <f t="shared" si="102"/>
        <v/>
      </c>
    </row>
    <row r="6565" spans="1:5" x14ac:dyDescent="0.2">
      <c r="A6565" t="s">
        <v>1384</v>
      </c>
      <c r="B6565" t="s">
        <v>1385</v>
      </c>
      <c r="C6565" t="s">
        <v>465</v>
      </c>
      <c r="D6565" t="e">
        <f>VLOOKUP(C6565,'lookup table'!$A$2:$B$19,2,FALSE)</f>
        <v>#N/A</v>
      </c>
      <c r="E6565" t="str">
        <f t="shared" si="102"/>
        <v/>
      </c>
    </row>
    <row r="6566" spans="1:5" x14ac:dyDescent="0.2">
      <c r="A6566" t="s">
        <v>1386</v>
      </c>
      <c r="B6566" t="s">
        <v>1310</v>
      </c>
      <c r="C6566" t="s">
        <v>2</v>
      </c>
      <c r="D6566" t="e">
        <f>VLOOKUP(C6566,'lookup table'!$A$2:$B$19,2,FALSE)</f>
        <v>#N/A</v>
      </c>
      <c r="E6566" t="str">
        <f t="shared" si="102"/>
        <v/>
      </c>
    </row>
    <row r="6567" spans="1:5" x14ac:dyDescent="0.2">
      <c r="A6567" t="s">
        <v>1386</v>
      </c>
      <c r="B6567" t="s">
        <v>1310</v>
      </c>
      <c r="C6567" t="s">
        <v>5</v>
      </c>
      <c r="D6567" t="e">
        <f>VLOOKUP(C6567,'lookup table'!$A$2:$B$19,2,FALSE)</f>
        <v>#N/A</v>
      </c>
      <c r="E6567" t="str">
        <f t="shared" si="102"/>
        <v/>
      </c>
    </row>
    <row r="6568" spans="1:5" x14ac:dyDescent="0.2">
      <c r="A6568" t="s">
        <v>1386</v>
      </c>
      <c r="B6568" t="s">
        <v>1310</v>
      </c>
      <c r="C6568" t="s">
        <v>6</v>
      </c>
      <c r="D6568" t="e">
        <f>VLOOKUP(C6568,'lookup table'!$A$2:$B$19,2,FALSE)</f>
        <v>#N/A</v>
      </c>
      <c r="E6568" t="str">
        <f t="shared" si="102"/>
        <v/>
      </c>
    </row>
    <row r="6569" spans="1:5" x14ac:dyDescent="0.2">
      <c r="A6569" t="s">
        <v>1386</v>
      </c>
      <c r="B6569" t="s">
        <v>1310</v>
      </c>
      <c r="C6569" t="s">
        <v>9</v>
      </c>
      <c r="D6569" t="e">
        <f>VLOOKUP(C6569,'lookup table'!$A$2:$B$19,2,FALSE)</f>
        <v>#N/A</v>
      </c>
      <c r="E6569" t="str">
        <f t="shared" si="102"/>
        <v/>
      </c>
    </row>
    <row r="6570" spans="1:5" x14ac:dyDescent="0.2">
      <c r="A6570" t="s">
        <v>1386</v>
      </c>
      <c r="B6570" t="s">
        <v>1310</v>
      </c>
      <c r="C6570" t="s">
        <v>10</v>
      </c>
      <c r="D6570" t="e">
        <f>VLOOKUP(C6570,'lookup table'!$A$2:$B$19,2,FALSE)</f>
        <v>#N/A</v>
      </c>
      <c r="E6570" t="str">
        <f t="shared" si="102"/>
        <v/>
      </c>
    </row>
    <row r="6571" spans="1:5" x14ac:dyDescent="0.2">
      <c r="A6571" t="s">
        <v>1386</v>
      </c>
      <c r="B6571" t="s">
        <v>1310</v>
      </c>
      <c r="C6571" t="s">
        <v>11</v>
      </c>
      <c r="D6571" t="e">
        <f>VLOOKUP(C6571,'lookup table'!$A$2:$B$19,2,FALSE)</f>
        <v>#N/A</v>
      </c>
      <c r="E6571" t="str">
        <f t="shared" si="102"/>
        <v/>
      </c>
    </row>
    <row r="6572" spans="1:5" x14ac:dyDescent="0.2">
      <c r="A6572" t="s">
        <v>1386</v>
      </c>
      <c r="B6572" t="s">
        <v>1310</v>
      </c>
      <c r="C6572" t="s">
        <v>12</v>
      </c>
      <c r="D6572" t="e">
        <f>VLOOKUP(C6572,'lookup table'!$A$2:$B$19,2,FALSE)</f>
        <v>#N/A</v>
      </c>
      <c r="E6572" t="str">
        <f t="shared" si="102"/>
        <v/>
      </c>
    </row>
    <row r="6573" spans="1:5" x14ac:dyDescent="0.2">
      <c r="A6573" t="s">
        <v>1386</v>
      </c>
      <c r="B6573" t="s">
        <v>1310</v>
      </c>
      <c r="C6573" t="s">
        <v>14</v>
      </c>
      <c r="D6573" t="str">
        <f>VLOOKUP(C6573,'lookup table'!$A$2:$B$19,2,FALSE)</f>
        <v>ALC</v>
      </c>
      <c r="E6573" t="str">
        <f t="shared" si="102"/>
        <v>DR6AR_00|ALC</v>
      </c>
    </row>
    <row r="6574" spans="1:5" x14ac:dyDescent="0.2">
      <c r="A6574" t="s">
        <v>1386</v>
      </c>
      <c r="B6574" t="s">
        <v>1310</v>
      </c>
      <c r="C6574" t="s">
        <v>20</v>
      </c>
      <c r="D6574" t="str">
        <f>VLOOKUP(C6574,'lookup table'!$A$2:$B$19,2,FALSE)</f>
        <v>AY</v>
      </c>
      <c r="E6574" t="str">
        <f t="shared" si="102"/>
        <v>DR6AR_00|AY</v>
      </c>
    </row>
    <row r="6575" spans="1:5" x14ac:dyDescent="0.2">
      <c r="A6575" t="s">
        <v>1386</v>
      </c>
      <c r="B6575" t="s">
        <v>1310</v>
      </c>
      <c r="C6575" t="s">
        <v>324</v>
      </c>
      <c r="D6575" t="e">
        <f>VLOOKUP(C6575,'lookup table'!$A$2:$B$19,2,FALSE)</f>
        <v>#N/A</v>
      </c>
      <c r="E6575" t="str">
        <f t="shared" si="102"/>
        <v/>
      </c>
    </row>
    <row r="6576" spans="1:5" x14ac:dyDescent="0.2">
      <c r="A6576" t="s">
        <v>1386</v>
      </c>
      <c r="B6576" t="s">
        <v>1310</v>
      </c>
      <c r="C6576" t="s">
        <v>325</v>
      </c>
      <c r="D6576" t="e">
        <f>VLOOKUP(C6576,'lookup table'!$A$2:$B$19,2,FALSE)</f>
        <v>#N/A</v>
      </c>
      <c r="E6576" t="str">
        <f t="shared" si="102"/>
        <v/>
      </c>
    </row>
    <row r="6577" spans="1:5" x14ac:dyDescent="0.2">
      <c r="A6577" t="s">
        <v>1386</v>
      </c>
      <c r="B6577" t="s">
        <v>1310</v>
      </c>
      <c r="C6577" t="s">
        <v>326</v>
      </c>
      <c r="D6577" t="e">
        <f>VLOOKUP(C6577,'lookup table'!$A$2:$B$19,2,FALSE)</f>
        <v>#N/A</v>
      </c>
      <c r="E6577" t="str">
        <f t="shared" si="102"/>
        <v/>
      </c>
    </row>
    <row r="6578" spans="1:5" x14ac:dyDescent="0.2">
      <c r="A6578" t="s">
        <v>1386</v>
      </c>
      <c r="B6578" t="s">
        <v>1310</v>
      </c>
      <c r="C6578" t="s">
        <v>327</v>
      </c>
      <c r="D6578" t="e">
        <f>VLOOKUP(C6578,'lookup table'!$A$2:$B$19,2,FALSE)</f>
        <v>#N/A</v>
      </c>
      <c r="E6578" t="str">
        <f t="shared" si="102"/>
        <v/>
      </c>
    </row>
    <row r="6579" spans="1:5" x14ac:dyDescent="0.2">
      <c r="A6579" t="s">
        <v>1386</v>
      </c>
      <c r="B6579" t="s">
        <v>1310</v>
      </c>
      <c r="C6579" t="s">
        <v>328</v>
      </c>
      <c r="D6579" t="e">
        <f>VLOOKUP(C6579,'lookup table'!$A$2:$B$19,2,FALSE)</f>
        <v>#N/A</v>
      </c>
      <c r="E6579" t="str">
        <f t="shared" si="102"/>
        <v/>
      </c>
    </row>
    <row r="6580" spans="1:5" x14ac:dyDescent="0.2">
      <c r="A6580" t="s">
        <v>1386</v>
      </c>
      <c r="B6580" t="s">
        <v>1310</v>
      </c>
      <c r="C6580" t="s">
        <v>329</v>
      </c>
      <c r="D6580" t="e">
        <f>VLOOKUP(C6580,'lookup table'!$A$2:$B$19,2,FALSE)</f>
        <v>#N/A</v>
      </c>
      <c r="E6580" t="str">
        <f t="shared" si="102"/>
        <v/>
      </c>
    </row>
    <row r="6581" spans="1:5" x14ac:dyDescent="0.2">
      <c r="A6581" t="s">
        <v>1386</v>
      </c>
      <c r="B6581" t="s">
        <v>1310</v>
      </c>
      <c r="C6581" t="s">
        <v>331</v>
      </c>
      <c r="D6581" t="str">
        <f>VLOOKUP(C6581,'lookup table'!$A$2:$B$19,2,FALSE)</f>
        <v>FS Item</v>
      </c>
      <c r="E6581" t="str">
        <f t="shared" si="102"/>
        <v>DR6AR_00|FS Item</v>
      </c>
    </row>
    <row r="6582" spans="1:5" x14ac:dyDescent="0.2">
      <c r="A6582" t="s">
        <v>1386</v>
      </c>
      <c r="B6582" t="s">
        <v>1310</v>
      </c>
      <c r="C6582" t="s">
        <v>422</v>
      </c>
      <c r="D6582" t="e">
        <f>VLOOKUP(C6582,'lookup table'!$A$2:$B$19,2,FALSE)</f>
        <v>#N/A</v>
      </c>
      <c r="E6582" t="str">
        <f t="shared" si="102"/>
        <v/>
      </c>
    </row>
    <row r="6583" spans="1:5" x14ac:dyDescent="0.2">
      <c r="A6583" t="s">
        <v>1386</v>
      </c>
      <c r="B6583" t="s">
        <v>1310</v>
      </c>
      <c r="C6583" t="s">
        <v>423</v>
      </c>
      <c r="D6583" t="str">
        <f>VLOOKUP(C6583,'lookup table'!$A$2:$B$19,2,FALSE)</f>
        <v>ignore</v>
      </c>
      <c r="E6583" t="str">
        <f t="shared" si="102"/>
        <v>DR6AR_00|ignore</v>
      </c>
    </row>
    <row r="6584" spans="1:5" x14ac:dyDescent="0.2">
      <c r="A6584" t="s">
        <v>1386</v>
      </c>
      <c r="B6584" t="s">
        <v>1310</v>
      </c>
      <c r="C6584" t="s">
        <v>424</v>
      </c>
      <c r="D6584" t="str">
        <f>VLOOKUP(C6584,'lookup table'!$A$2:$B$19,2,FALSE)</f>
        <v>GRC</v>
      </c>
      <c r="E6584" t="str">
        <f t="shared" si="102"/>
        <v>DR6AR_00|GRC</v>
      </c>
    </row>
    <row r="6585" spans="1:5" x14ac:dyDescent="0.2">
      <c r="A6585" t="s">
        <v>1386</v>
      </c>
      <c r="B6585" t="s">
        <v>1310</v>
      </c>
      <c r="C6585" t="s">
        <v>425</v>
      </c>
      <c r="D6585" t="str">
        <f>VLOOKUP(C6585,'lookup table'!$A$2:$B$19,2,FALSE)</f>
        <v>Investee Segment</v>
      </c>
      <c r="E6585" t="str">
        <f t="shared" si="102"/>
        <v>DR6AR_00|Investee Segment</v>
      </c>
    </row>
    <row r="6586" spans="1:5" x14ac:dyDescent="0.2">
      <c r="A6586" t="s">
        <v>1386</v>
      </c>
      <c r="B6586" t="s">
        <v>1310</v>
      </c>
      <c r="C6586" t="s">
        <v>426</v>
      </c>
      <c r="D6586" t="str">
        <f>VLOOKUP(C6586,'lookup table'!$A$2:$B$19,2,FALSE)</f>
        <v>Investee Unit</v>
      </c>
      <c r="E6586" t="str">
        <f t="shared" si="102"/>
        <v>DR6AR_00|Investee Unit</v>
      </c>
    </row>
    <row r="6587" spans="1:5" x14ac:dyDescent="0.2">
      <c r="A6587" t="s">
        <v>1386</v>
      </c>
      <c r="B6587" t="s">
        <v>1310</v>
      </c>
      <c r="C6587" t="s">
        <v>428</v>
      </c>
      <c r="D6587" t="str">
        <f>VLOOKUP(C6587,'lookup table'!$A$2:$B$19,2,FALSE)</f>
        <v>LoB</v>
      </c>
      <c r="E6587" t="str">
        <f t="shared" si="102"/>
        <v>DR6AR_00|LoB</v>
      </c>
    </row>
    <row r="6588" spans="1:5" x14ac:dyDescent="0.2">
      <c r="A6588" t="s">
        <v>1386</v>
      </c>
      <c r="B6588" t="s">
        <v>1310</v>
      </c>
      <c r="C6588" t="s">
        <v>436</v>
      </c>
      <c r="D6588" t="str">
        <f>VLOOKUP(C6588,'lookup table'!$A$2:$B$19,2,FALSE)</f>
        <v>MAT</v>
      </c>
      <c r="E6588" t="str">
        <f t="shared" si="102"/>
        <v>DR6AR_00|MAT</v>
      </c>
    </row>
    <row r="6589" spans="1:5" x14ac:dyDescent="0.2">
      <c r="A6589" t="s">
        <v>1386</v>
      </c>
      <c r="B6589" t="s">
        <v>1310</v>
      </c>
      <c r="C6589" t="s">
        <v>438</v>
      </c>
      <c r="D6589" t="str">
        <f>VLOOKUP(C6589,'lookup table'!$A$2:$B$19,2,FALSE)</f>
        <v>ToM</v>
      </c>
      <c r="E6589" t="str">
        <f t="shared" si="102"/>
        <v>DR6AR_00|ToM</v>
      </c>
    </row>
    <row r="6590" spans="1:5" x14ac:dyDescent="0.2">
      <c r="A6590" t="s">
        <v>1386</v>
      </c>
      <c r="B6590" t="s">
        <v>1310</v>
      </c>
      <c r="C6590" t="s">
        <v>441</v>
      </c>
      <c r="D6590" t="str">
        <f>VLOOKUP(C6590,'lookup table'!$A$2:$B$19,2,FALSE)</f>
        <v>Partner Segment</v>
      </c>
      <c r="E6590" t="str">
        <f t="shared" si="102"/>
        <v>DR6AR_00|Partner Segment</v>
      </c>
    </row>
    <row r="6591" spans="1:5" x14ac:dyDescent="0.2">
      <c r="A6591" t="s">
        <v>1386</v>
      </c>
      <c r="B6591" t="s">
        <v>1310</v>
      </c>
      <c r="C6591" t="s">
        <v>442</v>
      </c>
      <c r="D6591" t="str">
        <f>VLOOKUP(C6591,'lookup table'!$A$2:$B$19,2,FALSE)</f>
        <v>Partner Unit</v>
      </c>
      <c r="E6591" t="str">
        <f t="shared" si="102"/>
        <v>DR6AR_00|Partner Unit</v>
      </c>
    </row>
    <row r="6592" spans="1:5" x14ac:dyDescent="0.2">
      <c r="A6592" t="s">
        <v>1386</v>
      </c>
      <c r="B6592" t="s">
        <v>1310</v>
      </c>
      <c r="C6592" t="s">
        <v>447</v>
      </c>
      <c r="D6592" t="str">
        <f>VLOOKUP(C6592,'lookup table'!$A$2:$B$19,2,FALSE)</f>
        <v>REX</v>
      </c>
      <c r="E6592" t="str">
        <f t="shared" si="102"/>
        <v>DR6AR_00|REX</v>
      </c>
    </row>
    <row r="6593" spans="1:5" x14ac:dyDescent="0.2">
      <c r="A6593" t="s">
        <v>1386</v>
      </c>
      <c r="B6593" t="s">
        <v>1310</v>
      </c>
      <c r="C6593" t="s">
        <v>448</v>
      </c>
      <c r="D6593" t="e">
        <f>VLOOKUP(C6593,'lookup table'!$A$2:$B$19,2,FALSE)</f>
        <v>#N/A</v>
      </c>
      <c r="E6593" t="str">
        <f t="shared" si="102"/>
        <v/>
      </c>
    </row>
    <row r="6594" spans="1:5" x14ac:dyDescent="0.2">
      <c r="A6594" t="s">
        <v>1386</v>
      </c>
      <c r="B6594" t="s">
        <v>1310</v>
      </c>
      <c r="C6594" t="s">
        <v>449</v>
      </c>
      <c r="D6594" t="e">
        <f>VLOOKUP(C6594,'lookup table'!$A$2:$B$19,2,FALSE)</f>
        <v>#N/A</v>
      </c>
      <c r="E6594" t="str">
        <f t="shared" si="102"/>
        <v/>
      </c>
    </row>
    <row r="6595" spans="1:5" x14ac:dyDescent="0.2">
      <c r="A6595" t="s">
        <v>1386</v>
      </c>
      <c r="B6595" t="s">
        <v>1310</v>
      </c>
      <c r="C6595" t="s">
        <v>451</v>
      </c>
      <c r="D6595" t="str">
        <f>VLOOKUP(C6595,'lookup table'!$A$2:$B$19,2,FALSE)</f>
        <v>Segment</v>
      </c>
      <c r="E6595" t="str">
        <f t="shared" ref="E6595:E6658" si="103">IF(ISNA(D6595),"",IF(A6595="","",A6595) &amp; "|" &amp; D6595)</f>
        <v>DR6AR_00|Segment</v>
      </c>
    </row>
    <row r="6596" spans="1:5" x14ac:dyDescent="0.2">
      <c r="A6596" t="s">
        <v>1386</v>
      </c>
      <c r="B6596" t="s">
        <v>1310</v>
      </c>
      <c r="C6596" t="s">
        <v>455</v>
      </c>
      <c r="D6596" t="e">
        <f>VLOOKUP(C6596,'lookup table'!$A$2:$B$19,2,FALSE)</f>
        <v>#N/A</v>
      </c>
      <c r="E6596" t="str">
        <f t="shared" si="103"/>
        <v/>
      </c>
    </row>
    <row r="6597" spans="1:5" x14ac:dyDescent="0.2">
      <c r="A6597" t="s">
        <v>1386</v>
      </c>
      <c r="B6597" t="s">
        <v>1310</v>
      </c>
      <c r="C6597" t="s">
        <v>456</v>
      </c>
      <c r="D6597" t="e">
        <f>VLOOKUP(C6597,'lookup table'!$A$2:$B$19,2,FALSE)</f>
        <v>#N/A</v>
      </c>
      <c r="E6597" t="str">
        <f t="shared" si="103"/>
        <v/>
      </c>
    </row>
    <row r="6598" spans="1:5" x14ac:dyDescent="0.2">
      <c r="A6598" t="s">
        <v>1386</v>
      </c>
      <c r="B6598" t="s">
        <v>1310</v>
      </c>
      <c r="C6598" t="s">
        <v>457</v>
      </c>
      <c r="D6598" t="str">
        <f>VLOOKUP(C6598,'lookup table'!$A$2:$B$19,2,FALSE)</f>
        <v>VLT</v>
      </c>
      <c r="E6598" t="str">
        <f t="shared" si="103"/>
        <v>DR6AR_00|VLT</v>
      </c>
    </row>
    <row r="6599" spans="1:5" x14ac:dyDescent="0.2">
      <c r="A6599" t="s">
        <v>1386</v>
      </c>
      <c r="B6599" t="s">
        <v>1310</v>
      </c>
      <c r="C6599" t="s">
        <v>458</v>
      </c>
      <c r="D6599" t="str">
        <f>VLOOKUP(C6599,'lookup table'!$A$2:$B$19,2,FALSE)</f>
        <v>VAR</v>
      </c>
      <c r="E6599" t="str">
        <f t="shared" si="103"/>
        <v>DR6AR_00|VAR</v>
      </c>
    </row>
    <row r="6600" spans="1:5" x14ac:dyDescent="0.2">
      <c r="A6600" t="s">
        <v>1386</v>
      </c>
      <c r="B6600" t="s">
        <v>1310</v>
      </c>
      <c r="C6600" t="s">
        <v>459</v>
      </c>
      <c r="D6600" t="e">
        <f>VLOOKUP(C6600,'lookup table'!$A$2:$B$19,2,FALSE)</f>
        <v>#N/A</v>
      </c>
      <c r="E6600" t="str">
        <f t="shared" si="103"/>
        <v/>
      </c>
    </row>
    <row r="6601" spans="1:5" x14ac:dyDescent="0.2">
      <c r="A6601" t="s">
        <v>1386</v>
      </c>
      <c r="B6601" t="s">
        <v>1310</v>
      </c>
      <c r="C6601" t="s">
        <v>460</v>
      </c>
      <c r="D6601" t="e">
        <f>VLOOKUP(C6601,'lookup table'!$A$2:$B$19,2,FALSE)</f>
        <v>#N/A</v>
      </c>
      <c r="E6601" t="str">
        <f t="shared" si="103"/>
        <v/>
      </c>
    </row>
    <row r="6602" spans="1:5" x14ac:dyDescent="0.2">
      <c r="A6602" t="s">
        <v>1386</v>
      </c>
      <c r="B6602" t="s">
        <v>1310</v>
      </c>
      <c r="C6602" t="s">
        <v>461</v>
      </c>
      <c r="D6602" t="str">
        <f>VLOOKUP(C6602,'lookup table'!$A$2:$B$19,2,FALSE)</f>
        <v>Posting Level</v>
      </c>
      <c r="E6602" t="str">
        <f t="shared" si="103"/>
        <v>DR6AR_00|Posting Level</v>
      </c>
    </row>
    <row r="6603" spans="1:5" x14ac:dyDescent="0.2">
      <c r="A6603" t="s">
        <v>1386</v>
      </c>
      <c r="B6603" t="s">
        <v>1310</v>
      </c>
      <c r="C6603" t="s">
        <v>462</v>
      </c>
      <c r="D6603" t="e">
        <f>VLOOKUP(C6603,'lookup table'!$A$2:$B$19,2,FALSE)</f>
        <v>#N/A</v>
      </c>
      <c r="E6603" t="str">
        <f t="shared" si="103"/>
        <v/>
      </c>
    </row>
    <row r="6604" spans="1:5" x14ac:dyDescent="0.2">
      <c r="A6604" t="s">
        <v>1386</v>
      </c>
      <c r="B6604" t="s">
        <v>1310</v>
      </c>
      <c r="C6604" t="s">
        <v>463</v>
      </c>
      <c r="D6604" t="e">
        <f>VLOOKUP(C6604,'lookup table'!$A$2:$B$19,2,FALSE)</f>
        <v>#N/A</v>
      </c>
      <c r="E6604" t="str">
        <f t="shared" si="103"/>
        <v/>
      </c>
    </row>
    <row r="6605" spans="1:5" x14ac:dyDescent="0.2">
      <c r="A6605" t="s">
        <v>1386</v>
      </c>
      <c r="B6605" t="s">
        <v>1310</v>
      </c>
      <c r="C6605" t="s">
        <v>464</v>
      </c>
      <c r="D6605" t="e">
        <f>VLOOKUP(C6605,'lookup table'!$A$2:$B$19,2,FALSE)</f>
        <v>#N/A</v>
      </c>
      <c r="E6605" t="str">
        <f t="shared" si="103"/>
        <v/>
      </c>
    </row>
    <row r="6606" spans="1:5" x14ac:dyDescent="0.2">
      <c r="A6606" t="s">
        <v>1386</v>
      </c>
      <c r="B6606" t="s">
        <v>1310</v>
      </c>
      <c r="C6606" t="s">
        <v>465</v>
      </c>
      <c r="D6606" t="e">
        <f>VLOOKUP(C6606,'lookup table'!$A$2:$B$19,2,FALSE)</f>
        <v>#N/A</v>
      </c>
      <c r="E6606" t="str">
        <f t="shared" si="103"/>
        <v/>
      </c>
    </row>
    <row r="6607" spans="1:5" x14ac:dyDescent="0.2">
      <c r="A6607" t="s">
        <v>1387</v>
      </c>
      <c r="B6607" t="s">
        <v>1388</v>
      </c>
      <c r="C6607" t="s">
        <v>2</v>
      </c>
      <c r="D6607" t="e">
        <f>VLOOKUP(C6607,'lookup table'!$A$2:$B$19,2,FALSE)</f>
        <v>#N/A</v>
      </c>
      <c r="E6607" t="str">
        <f t="shared" si="103"/>
        <v/>
      </c>
    </row>
    <row r="6608" spans="1:5" x14ac:dyDescent="0.2">
      <c r="A6608" t="s">
        <v>1387</v>
      </c>
      <c r="B6608" t="s">
        <v>1388</v>
      </c>
      <c r="C6608" t="s">
        <v>5</v>
      </c>
      <c r="D6608" t="e">
        <f>VLOOKUP(C6608,'lookup table'!$A$2:$B$19,2,FALSE)</f>
        <v>#N/A</v>
      </c>
      <c r="E6608" t="str">
        <f t="shared" si="103"/>
        <v/>
      </c>
    </row>
    <row r="6609" spans="1:5" x14ac:dyDescent="0.2">
      <c r="A6609" t="s">
        <v>1387</v>
      </c>
      <c r="B6609" t="s">
        <v>1388</v>
      </c>
      <c r="C6609" t="s">
        <v>6</v>
      </c>
      <c r="D6609" t="e">
        <f>VLOOKUP(C6609,'lookup table'!$A$2:$B$19,2,FALSE)</f>
        <v>#N/A</v>
      </c>
      <c r="E6609" t="str">
        <f t="shared" si="103"/>
        <v/>
      </c>
    </row>
    <row r="6610" spans="1:5" x14ac:dyDescent="0.2">
      <c r="A6610" t="s">
        <v>1387</v>
      </c>
      <c r="B6610" t="s">
        <v>1388</v>
      </c>
      <c r="C6610" t="s">
        <v>9</v>
      </c>
      <c r="D6610" t="e">
        <f>VLOOKUP(C6610,'lookup table'!$A$2:$B$19,2,FALSE)</f>
        <v>#N/A</v>
      </c>
      <c r="E6610" t="str">
        <f t="shared" si="103"/>
        <v/>
      </c>
    </row>
    <row r="6611" spans="1:5" x14ac:dyDescent="0.2">
      <c r="A6611" t="s">
        <v>1387</v>
      </c>
      <c r="B6611" t="s">
        <v>1388</v>
      </c>
      <c r="C6611" t="s">
        <v>10</v>
      </c>
      <c r="D6611" t="e">
        <f>VLOOKUP(C6611,'lookup table'!$A$2:$B$19,2,FALSE)</f>
        <v>#N/A</v>
      </c>
      <c r="E6611" t="str">
        <f t="shared" si="103"/>
        <v/>
      </c>
    </row>
    <row r="6612" spans="1:5" x14ac:dyDescent="0.2">
      <c r="A6612" t="s">
        <v>1387</v>
      </c>
      <c r="B6612" t="s">
        <v>1388</v>
      </c>
      <c r="C6612" t="s">
        <v>11</v>
      </c>
      <c r="D6612" t="e">
        <f>VLOOKUP(C6612,'lookup table'!$A$2:$B$19,2,FALSE)</f>
        <v>#N/A</v>
      </c>
      <c r="E6612" t="str">
        <f t="shared" si="103"/>
        <v/>
      </c>
    </row>
    <row r="6613" spans="1:5" x14ac:dyDescent="0.2">
      <c r="A6613" t="s">
        <v>1387</v>
      </c>
      <c r="B6613" t="s">
        <v>1388</v>
      </c>
      <c r="C6613" t="s">
        <v>12</v>
      </c>
      <c r="D6613" t="e">
        <f>VLOOKUP(C6613,'lookup table'!$A$2:$B$19,2,FALSE)</f>
        <v>#N/A</v>
      </c>
      <c r="E6613" t="str">
        <f t="shared" si="103"/>
        <v/>
      </c>
    </row>
    <row r="6614" spans="1:5" x14ac:dyDescent="0.2">
      <c r="A6614" t="s">
        <v>1387</v>
      </c>
      <c r="B6614" t="s">
        <v>1388</v>
      </c>
      <c r="C6614" t="s">
        <v>14</v>
      </c>
      <c r="D6614" t="str">
        <f>VLOOKUP(C6614,'lookup table'!$A$2:$B$19,2,FALSE)</f>
        <v>ALC</v>
      </c>
      <c r="E6614" t="str">
        <f t="shared" si="103"/>
        <v>DR6LOB_00|ALC</v>
      </c>
    </row>
    <row r="6615" spans="1:5" x14ac:dyDescent="0.2">
      <c r="A6615" t="s">
        <v>1387</v>
      </c>
      <c r="B6615" t="s">
        <v>1388</v>
      </c>
      <c r="C6615" t="s">
        <v>20</v>
      </c>
      <c r="D6615" t="str">
        <f>VLOOKUP(C6615,'lookup table'!$A$2:$B$19,2,FALSE)</f>
        <v>AY</v>
      </c>
      <c r="E6615" t="str">
        <f t="shared" si="103"/>
        <v>DR6LOB_00|AY</v>
      </c>
    </row>
    <row r="6616" spans="1:5" x14ac:dyDescent="0.2">
      <c r="A6616" t="s">
        <v>1387</v>
      </c>
      <c r="B6616" t="s">
        <v>1388</v>
      </c>
      <c r="C6616" t="s">
        <v>136</v>
      </c>
      <c r="D6616" t="str">
        <f>VLOOKUP(C6616,'lookup table'!$A$2:$B$19,2,FALSE)</f>
        <v>BBA Set</v>
      </c>
      <c r="E6616" t="str">
        <f t="shared" si="103"/>
        <v>DR6LOB_00|BBA Set</v>
      </c>
    </row>
    <row r="6617" spans="1:5" x14ac:dyDescent="0.2">
      <c r="A6617" t="s">
        <v>1387</v>
      </c>
      <c r="B6617" t="s">
        <v>1388</v>
      </c>
      <c r="C6617" t="s">
        <v>324</v>
      </c>
      <c r="D6617" t="e">
        <f>VLOOKUP(C6617,'lookup table'!$A$2:$B$19,2,FALSE)</f>
        <v>#N/A</v>
      </c>
      <c r="E6617" t="str">
        <f t="shared" si="103"/>
        <v/>
      </c>
    </row>
    <row r="6618" spans="1:5" x14ac:dyDescent="0.2">
      <c r="A6618" t="s">
        <v>1387</v>
      </c>
      <c r="B6618" t="s">
        <v>1388</v>
      </c>
      <c r="C6618" t="s">
        <v>325</v>
      </c>
      <c r="D6618" t="e">
        <f>VLOOKUP(C6618,'lookup table'!$A$2:$B$19,2,FALSE)</f>
        <v>#N/A</v>
      </c>
      <c r="E6618" t="str">
        <f t="shared" si="103"/>
        <v/>
      </c>
    </row>
    <row r="6619" spans="1:5" x14ac:dyDescent="0.2">
      <c r="A6619" t="s">
        <v>1387</v>
      </c>
      <c r="B6619" t="s">
        <v>1388</v>
      </c>
      <c r="C6619" t="s">
        <v>326</v>
      </c>
      <c r="D6619" t="e">
        <f>VLOOKUP(C6619,'lookup table'!$A$2:$B$19,2,FALSE)</f>
        <v>#N/A</v>
      </c>
      <c r="E6619" t="str">
        <f t="shared" si="103"/>
        <v/>
      </c>
    </row>
    <row r="6620" spans="1:5" x14ac:dyDescent="0.2">
      <c r="A6620" t="s">
        <v>1387</v>
      </c>
      <c r="B6620" t="s">
        <v>1388</v>
      </c>
      <c r="C6620" t="s">
        <v>327</v>
      </c>
      <c r="D6620" t="e">
        <f>VLOOKUP(C6620,'lookup table'!$A$2:$B$19,2,FALSE)</f>
        <v>#N/A</v>
      </c>
      <c r="E6620" t="str">
        <f t="shared" si="103"/>
        <v/>
      </c>
    </row>
    <row r="6621" spans="1:5" x14ac:dyDescent="0.2">
      <c r="A6621" t="s">
        <v>1387</v>
      </c>
      <c r="B6621" t="s">
        <v>1388</v>
      </c>
      <c r="C6621" t="s">
        <v>328</v>
      </c>
      <c r="D6621" t="e">
        <f>VLOOKUP(C6621,'lookup table'!$A$2:$B$19,2,FALSE)</f>
        <v>#N/A</v>
      </c>
      <c r="E6621" t="str">
        <f t="shared" si="103"/>
        <v/>
      </c>
    </row>
    <row r="6622" spans="1:5" x14ac:dyDescent="0.2">
      <c r="A6622" t="s">
        <v>1387</v>
      </c>
      <c r="B6622" t="s">
        <v>1388</v>
      </c>
      <c r="C6622" t="s">
        <v>329</v>
      </c>
      <c r="D6622" t="e">
        <f>VLOOKUP(C6622,'lookup table'!$A$2:$B$19,2,FALSE)</f>
        <v>#N/A</v>
      </c>
      <c r="E6622" t="str">
        <f t="shared" si="103"/>
        <v/>
      </c>
    </row>
    <row r="6623" spans="1:5" x14ac:dyDescent="0.2">
      <c r="A6623" t="s">
        <v>1387</v>
      </c>
      <c r="B6623" t="s">
        <v>1388</v>
      </c>
      <c r="C6623" t="s">
        <v>331</v>
      </c>
      <c r="D6623" t="str">
        <f>VLOOKUP(C6623,'lookup table'!$A$2:$B$19,2,FALSE)</f>
        <v>FS Item</v>
      </c>
      <c r="E6623" t="str">
        <f t="shared" si="103"/>
        <v>DR6LOB_00|FS Item</v>
      </c>
    </row>
    <row r="6624" spans="1:5" x14ac:dyDescent="0.2">
      <c r="A6624" t="s">
        <v>1387</v>
      </c>
      <c r="B6624" t="s">
        <v>1388</v>
      </c>
      <c r="C6624" t="s">
        <v>422</v>
      </c>
      <c r="D6624" t="e">
        <f>VLOOKUP(C6624,'lookup table'!$A$2:$B$19,2,FALSE)</f>
        <v>#N/A</v>
      </c>
      <c r="E6624" t="str">
        <f t="shared" si="103"/>
        <v/>
      </c>
    </row>
    <row r="6625" spans="1:5" x14ac:dyDescent="0.2">
      <c r="A6625" t="s">
        <v>1387</v>
      </c>
      <c r="B6625" t="s">
        <v>1388</v>
      </c>
      <c r="C6625" t="s">
        <v>423</v>
      </c>
      <c r="D6625" t="str">
        <f>VLOOKUP(C6625,'lookup table'!$A$2:$B$19,2,FALSE)</f>
        <v>ignore</v>
      </c>
      <c r="E6625" t="str">
        <f t="shared" si="103"/>
        <v>DR6LOB_00|ignore</v>
      </c>
    </row>
    <row r="6626" spans="1:5" x14ac:dyDescent="0.2">
      <c r="A6626" t="s">
        <v>1387</v>
      </c>
      <c r="B6626" t="s">
        <v>1388</v>
      </c>
      <c r="C6626" t="s">
        <v>424</v>
      </c>
      <c r="D6626" t="str">
        <f>VLOOKUP(C6626,'lookup table'!$A$2:$B$19,2,FALSE)</f>
        <v>GRC</v>
      </c>
      <c r="E6626" t="str">
        <f t="shared" si="103"/>
        <v>DR6LOB_00|GRC</v>
      </c>
    </row>
    <row r="6627" spans="1:5" x14ac:dyDescent="0.2">
      <c r="A6627" t="s">
        <v>1387</v>
      </c>
      <c r="B6627" t="s">
        <v>1388</v>
      </c>
      <c r="C6627" t="s">
        <v>425</v>
      </c>
      <c r="D6627" t="str">
        <f>VLOOKUP(C6627,'lookup table'!$A$2:$B$19,2,FALSE)</f>
        <v>Investee Segment</v>
      </c>
      <c r="E6627" t="str">
        <f t="shared" si="103"/>
        <v>DR6LOB_00|Investee Segment</v>
      </c>
    </row>
    <row r="6628" spans="1:5" x14ac:dyDescent="0.2">
      <c r="A6628" t="s">
        <v>1387</v>
      </c>
      <c r="B6628" t="s">
        <v>1388</v>
      </c>
      <c r="C6628" t="s">
        <v>426</v>
      </c>
      <c r="D6628" t="str">
        <f>VLOOKUP(C6628,'lookup table'!$A$2:$B$19,2,FALSE)</f>
        <v>Investee Unit</v>
      </c>
      <c r="E6628" t="str">
        <f t="shared" si="103"/>
        <v>DR6LOB_00|Investee Unit</v>
      </c>
    </row>
    <row r="6629" spans="1:5" x14ac:dyDescent="0.2">
      <c r="A6629" t="s">
        <v>1387</v>
      </c>
      <c r="B6629" t="s">
        <v>1388</v>
      </c>
      <c r="C6629" t="s">
        <v>428</v>
      </c>
      <c r="D6629" t="str">
        <f>VLOOKUP(C6629,'lookup table'!$A$2:$B$19,2,FALSE)</f>
        <v>LoB</v>
      </c>
      <c r="E6629" t="str">
        <f t="shared" si="103"/>
        <v>DR6LOB_00|LoB</v>
      </c>
    </row>
    <row r="6630" spans="1:5" x14ac:dyDescent="0.2">
      <c r="A6630" t="s">
        <v>1387</v>
      </c>
      <c r="B6630" t="s">
        <v>1388</v>
      </c>
      <c r="C6630" t="s">
        <v>436</v>
      </c>
      <c r="D6630" t="str">
        <f>VLOOKUP(C6630,'lookup table'!$A$2:$B$19,2,FALSE)</f>
        <v>MAT</v>
      </c>
      <c r="E6630" t="str">
        <f t="shared" si="103"/>
        <v>DR6LOB_00|MAT</v>
      </c>
    </row>
    <row r="6631" spans="1:5" x14ac:dyDescent="0.2">
      <c r="A6631" t="s">
        <v>1387</v>
      </c>
      <c r="B6631" t="s">
        <v>1388</v>
      </c>
      <c r="C6631" t="s">
        <v>441</v>
      </c>
      <c r="D6631" t="str">
        <f>VLOOKUP(C6631,'lookup table'!$A$2:$B$19,2,FALSE)</f>
        <v>Partner Segment</v>
      </c>
      <c r="E6631" t="str">
        <f t="shared" si="103"/>
        <v>DR6LOB_00|Partner Segment</v>
      </c>
    </row>
    <row r="6632" spans="1:5" x14ac:dyDescent="0.2">
      <c r="A6632" t="s">
        <v>1387</v>
      </c>
      <c r="B6632" t="s">
        <v>1388</v>
      </c>
      <c r="C6632" t="s">
        <v>442</v>
      </c>
      <c r="D6632" t="str">
        <f>VLOOKUP(C6632,'lookup table'!$A$2:$B$19,2,FALSE)</f>
        <v>Partner Unit</v>
      </c>
      <c r="E6632" t="str">
        <f t="shared" si="103"/>
        <v>DR6LOB_00|Partner Unit</v>
      </c>
    </row>
    <row r="6633" spans="1:5" x14ac:dyDescent="0.2">
      <c r="A6633" t="s">
        <v>1387</v>
      </c>
      <c r="B6633" t="s">
        <v>1388</v>
      </c>
      <c r="C6633" t="s">
        <v>447</v>
      </c>
      <c r="D6633" t="str">
        <f>VLOOKUP(C6633,'lookup table'!$A$2:$B$19,2,FALSE)</f>
        <v>REX</v>
      </c>
      <c r="E6633" t="str">
        <f t="shared" si="103"/>
        <v>DR6LOB_00|REX</v>
      </c>
    </row>
    <row r="6634" spans="1:5" x14ac:dyDescent="0.2">
      <c r="A6634" t="s">
        <v>1387</v>
      </c>
      <c r="B6634" t="s">
        <v>1388</v>
      </c>
      <c r="C6634" t="s">
        <v>448</v>
      </c>
      <c r="D6634" t="e">
        <f>VLOOKUP(C6634,'lookup table'!$A$2:$B$19,2,FALSE)</f>
        <v>#N/A</v>
      </c>
      <c r="E6634" t="str">
        <f t="shared" si="103"/>
        <v/>
      </c>
    </row>
    <row r="6635" spans="1:5" x14ac:dyDescent="0.2">
      <c r="A6635" t="s">
        <v>1387</v>
      </c>
      <c r="B6635" t="s">
        <v>1388</v>
      </c>
      <c r="C6635" t="s">
        <v>449</v>
      </c>
      <c r="D6635" t="e">
        <f>VLOOKUP(C6635,'lookup table'!$A$2:$B$19,2,FALSE)</f>
        <v>#N/A</v>
      </c>
      <c r="E6635" t="str">
        <f t="shared" si="103"/>
        <v/>
      </c>
    </row>
    <row r="6636" spans="1:5" x14ac:dyDescent="0.2">
      <c r="A6636" t="s">
        <v>1387</v>
      </c>
      <c r="B6636" t="s">
        <v>1388</v>
      </c>
      <c r="C6636" t="s">
        <v>451</v>
      </c>
      <c r="D6636" t="str">
        <f>VLOOKUP(C6636,'lookup table'!$A$2:$B$19,2,FALSE)</f>
        <v>Segment</v>
      </c>
      <c r="E6636" t="str">
        <f t="shared" si="103"/>
        <v>DR6LOB_00|Segment</v>
      </c>
    </row>
    <row r="6637" spans="1:5" x14ac:dyDescent="0.2">
      <c r="A6637" t="s">
        <v>1387</v>
      </c>
      <c r="B6637" t="s">
        <v>1388</v>
      </c>
      <c r="C6637" t="s">
        <v>455</v>
      </c>
      <c r="D6637" t="e">
        <f>VLOOKUP(C6637,'lookup table'!$A$2:$B$19,2,FALSE)</f>
        <v>#N/A</v>
      </c>
      <c r="E6637" t="str">
        <f t="shared" si="103"/>
        <v/>
      </c>
    </row>
    <row r="6638" spans="1:5" x14ac:dyDescent="0.2">
      <c r="A6638" t="s">
        <v>1387</v>
      </c>
      <c r="B6638" t="s">
        <v>1388</v>
      </c>
      <c r="C6638" t="s">
        <v>456</v>
      </c>
      <c r="D6638" t="e">
        <f>VLOOKUP(C6638,'lookup table'!$A$2:$B$19,2,FALSE)</f>
        <v>#N/A</v>
      </c>
      <c r="E6638" t="str">
        <f t="shared" si="103"/>
        <v/>
      </c>
    </row>
    <row r="6639" spans="1:5" x14ac:dyDescent="0.2">
      <c r="A6639" t="s">
        <v>1387</v>
      </c>
      <c r="B6639" t="s">
        <v>1388</v>
      </c>
      <c r="C6639" t="s">
        <v>457</v>
      </c>
      <c r="D6639" t="str">
        <f>VLOOKUP(C6639,'lookup table'!$A$2:$B$19,2,FALSE)</f>
        <v>VLT</v>
      </c>
      <c r="E6639" t="str">
        <f t="shared" si="103"/>
        <v>DR6LOB_00|VLT</v>
      </c>
    </row>
    <row r="6640" spans="1:5" x14ac:dyDescent="0.2">
      <c r="A6640" t="s">
        <v>1387</v>
      </c>
      <c r="B6640" t="s">
        <v>1388</v>
      </c>
      <c r="C6640" t="s">
        <v>458</v>
      </c>
      <c r="D6640" t="str">
        <f>VLOOKUP(C6640,'lookup table'!$A$2:$B$19,2,FALSE)</f>
        <v>VAR</v>
      </c>
      <c r="E6640" t="str">
        <f t="shared" si="103"/>
        <v>DR6LOB_00|VAR</v>
      </c>
    </row>
    <row r="6641" spans="1:5" x14ac:dyDescent="0.2">
      <c r="A6641" t="s">
        <v>1387</v>
      </c>
      <c r="B6641" t="s">
        <v>1388</v>
      </c>
      <c r="C6641" t="s">
        <v>459</v>
      </c>
      <c r="D6641" t="e">
        <f>VLOOKUP(C6641,'lookup table'!$A$2:$B$19,2,FALSE)</f>
        <v>#N/A</v>
      </c>
      <c r="E6641" t="str">
        <f t="shared" si="103"/>
        <v/>
      </c>
    </row>
    <row r="6642" spans="1:5" x14ac:dyDescent="0.2">
      <c r="A6642" t="s">
        <v>1387</v>
      </c>
      <c r="B6642" t="s">
        <v>1388</v>
      </c>
      <c r="C6642" t="s">
        <v>460</v>
      </c>
      <c r="D6642" t="e">
        <f>VLOOKUP(C6642,'lookup table'!$A$2:$B$19,2,FALSE)</f>
        <v>#N/A</v>
      </c>
      <c r="E6642" t="str">
        <f t="shared" si="103"/>
        <v/>
      </c>
    </row>
    <row r="6643" spans="1:5" x14ac:dyDescent="0.2">
      <c r="A6643" t="s">
        <v>1387</v>
      </c>
      <c r="B6643" t="s">
        <v>1388</v>
      </c>
      <c r="C6643" t="s">
        <v>461</v>
      </c>
      <c r="D6643" t="str">
        <f>VLOOKUP(C6643,'lookup table'!$A$2:$B$19,2,FALSE)</f>
        <v>Posting Level</v>
      </c>
      <c r="E6643" t="str">
        <f t="shared" si="103"/>
        <v>DR6LOB_00|Posting Level</v>
      </c>
    </row>
    <row r="6644" spans="1:5" x14ac:dyDescent="0.2">
      <c r="A6644" t="s">
        <v>1387</v>
      </c>
      <c r="B6644" t="s">
        <v>1388</v>
      </c>
      <c r="C6644" t="s">
        <v>462</v>
      </c>
      <c r="D6644" t="e">
        <f>VLOOKUP(C6644,'lookup table'!$A$2:$B$19,2,FALSE)</f>
        <v>#N/A</v>
      </c>
      <c r="E6644" t="str">
        <f t="shared" si="103"/>
        <v/>
      </c>
    </row>
    <row r="6645" spans="1:5" x14ac:dyDescent="0.2">
      <c r="A6645" t="s">
        <v>1387</v>
      </c>
      <c r="B6645" t="s">
        <v>1388</v>
      </c>
      <c r="C6645" t="s">
        <v>463</v>
      </c>
      <c r="D6645" t="e">
        <f>VLOOKUP(C6645,'lookup table'!$A$2:$B$19,2,FALSE)</f>
        <v>#N/A</v>
      </c>
      <c r="E6645" t="str">
        <f t="shared" si="103"/>
        <v/>
      </c>
    </row>
    <row r="6646" spans="1:5" x14ac:dyDescent="0.2">
      <c r="A6646" t="s">
        <v>1387</v>
      </c>
      <c r="B6646" t="s">
        <v>1388</v>
      </c>
      <c r="C6646" t="s">
        <v>464</v>
      </c>
      <c r="D6646" t="e">
        <f>VLOOKUP(C6646,'lookup table'!$A$2:$B$19,2,FALSE)</f>
        <v>#N/A</v>
      </c>
      <c r="E6646" t="str">
        <f t="shared" si="103"/>
        <v/>
      </c>
    </row>
    <row r="6647" spans="1:5" x14ac:dyDescent="0.2">
      <c r="A6647" t="s">
        <v>1387</v>
      </c>
      <c r="B6647" t="s">
        <v>1388</v>
      </c>
      <c r="C6647" t="s">
        <v>465</v>
      </c>
      <c r="D6647" t="e">
        <f>VLOOKUP(C6647,'lookup table'!$A$2:$B$19,2,FALSE)</f>
        <v>#N/A</v>
      </c>
      <c r="E6647" t="str">
        <f t="shared" si="103"/>
        <v/>
      </c>
    </row>
    <row r="6648" spans="1:5" x14ac:dyDescent="0.2">
      <c r="A6648" t="s">
        <v>1389</v>
      </c>
      <c r="B6648" t="s">
        <v>1388</v>
      </c>
      <c r="C6648" t="s">
        <v>2</v>
      </c>
      <c r="D6648" t="e">
        <f>VLOOKUP(C6648,'lookup table'!$A$2:$B$19,2,FALSE)</f>
        <v>#N/A</v>
      </c>
      <c r="E6648" t="str">
        <f t="shared" si="103"/>
        <v/>
      </c>
    </row>
    <row r="6649" spans="1:5" x14ac:dyDescent="0.2">
      <c r="A6649" t="s">
        <v>1389</v>
      </c>
      <c r="B6649" t="s">
        <v>1388</v>
      </c>
      <c r="C6649" t="s">
        <v>5</v>
      </c>
      <c r="D6649" t="e">
        <f>VLOOKUP(C6649,'lookup table'!$A$2:$B$19,2,FALSE)</f>
        <v>#N/A</v>
      </c>
      <c r="E6649" t="str">
        <f t="shared" si="103"/>
        <v/>
      </c>
    </row>
    <row r="6650" spans="1:5" x14ac:dyDescent="0.2">
      <c r="A6650" t="s">
        <v>1389</v>
      </c>
      <c r="B6650" t="s">
        <v>1388</v>
      </c>
      <c r="C6650" t="s">
        <v>6</v>
      </c>
      <c r="D6650" t="e">
        <f>VLOOKUP(C6650,'lookup table'!$A$2:$B$19,2,FALSE)</f>
        <v>#N/A</v>
      </c>
      <c r="E6650" t="str">
        <f t="shared" si="103"/>
        <v/>
      </c>
    </row>
    <row r="6651" spans="1:5" x14ac:dyDescent="0.2">
      <c r="A6651" t="s">
        <v>1389</v>
      </c>
      <c r="B6651" t="s">
        <v>1388</v>
      </c>
      <c r="C6651" t="s">
        <v>9</v>
      </c>
      <c r="D6651" t="e">
        <f>VLOOKUP(C6651,'lookup table'!$A$2:$B$19,2,FALSE)</f>
        <v>#N/A</v>
      </c>
      <c r="E6651" t="str">
        <f t="shared" si="103"/>
        <v/>
      </c>
    </row>
    <row r="6652" spans="1:5" x14ac:dyDescent="0.2">
      <c r="A6652" t="s">
        <v>1389</v>
      </c>
      <c r="B6652" t="s">
        <v>1388</v>
      </c>
      <c r="C6652" t="s">
        <v>10</v>
      </c>
      <c r="D6652" t="e">
        <f>VLOOKUP(C6652,'lookup table'!$A$2:$B$19,2,FALSE)</f>
        <v>#N/A</v>
      </c>
      <c r="E6652" t="str">
        <f t="shared" si="103"/>
        <v/>
      </c>
    </row>
    <row r="6653" spans="1:5" x14ac:dyDescent="0.2">
      <c r="A6653" t="s">
        <v>1389</v>
      </c>
      <c r="B6653" t="s">
        <v>1388</v>
      </c>
      <c r="C6653" t="s">
        <v>11</v>
      </c>
      <c r="D6653" t="e">
        <f>VLOOKUP(C6653,'lookup table'!$A$2:$B$19,2,FALSE)</f>
        <v>#N/A</v>
      </c>
      <c r="E6653" t="str">
        <f t="shared" si="103"/>
        <v/>
      </c>
    </row>
    <row r="6654" spans="1:5" x14ac:dyDescent="0.2">
      <c r="A6654" t="s">
        <v>1389</v>
      </c>
      <c r="B6654" t="s">
        <v>1388</v>
      </c>
      <c r="C6654" t="s">
        <v>12</v>
      </c>
      <c r="D6654" t="e">
        <f>VLOOKUP(C6654,'lookup table'!$A$2:$B$19,2,FALSE)</f>
        <v>#N/A</v>
      </c>
      <c r="E6654" t="str">
        <f t="shared" si="103"/>
        <v/>
      </c>
    </row>
    <row r="6655" spans="1:5" x14ac:dyDescent="0.2">
      <c r="A6655" t="s">
        <v>1389</v>
      </c>
      <c r="B6655" t="s">
        <v>1388</v>
      </c>
      <c r="C6655" t="s">
        <v>14</v>
      </c>
      <c r="D6655" t="str">
        <f>VLOOKUP(C6655,'lookup table'!$A$2:$B$19,2,FALSE)</f>
        <v>ALC</v>
      </c>
      <c r="E6655" t="str">
        <f t="shared" si="103"/>
        <v>DR6LOB_14|ALC</v>
      </c>
    </row>
    <row r="6656" spans="1:5" x14ac:dyDescent="0.2">
      <c r="A6656" t="s">
        <v>1389</v>
      </c>
      <c r="B6656" t="s">
        <v>1388</v>
      </c>
      <c r="C6656" t="s">
        <v>20</v>
      </c>
      <c r="D6656" t="str">
        <f>VLOOKUP(C6656,'lookup table'!$A$2:$B$19,2,FALSE)</f>
        <v>AY</v>
      </c>
      <c r="E6656" t="str">
        <f t="shared" si="103"/>
        <v>DR6LOB_14|AY</v>
      </c>
    </row>
    <row r="6657" spans="1:5" x14ac:dyDescent="0.2">
      <c r="A6657" t="s">
        <v>1389</v>
      </c>
      <c r="B6657" t="s">
        <v>1388</v>
      </c>
      <c r="C6657" t="s">
        <v>136</v>
      </c>
      <c r="D6657" t="str">
        <f>VLOOKUP(C6657,'lookup table'!$A$2:$B$19,2,FALSE)</f>
        <v>BBA Set</v>
      </c>
      <c r="E6657" t="str">
        <f t="shared" si="103"/>
        <v>DR6LOB_14|BBA Set</v>
      </c>
    </row>
    <row r="6658" spans="1:5" x14ac:dyDescent="0.2">
      <c r="A6658" t="s">
        <v>1389</v>
      </c>
      <c r="B6658" t="s">
        <v>1388</v>
      </c>
      <c r="C6658" t="s">
        <v>324</v>
      </c>
      <c r="D6658" t="e">
        <f>VLOOKUP(C6658,'lookup table'!$A$2:$B$19,2,FALSE)</f>
        <v>#N/A</v>
      </c>
      <c r="E6658" t="str">
        <f t="shared" si="103"/>
        <v/>
      </c>
    </row>
    <row r="6659" spans="1:5" x14ac:dyDescent="0.2">
      <c r="A6659" t="s">
        <v>1389</v>
      </c>
      <c r="B6659" t="s">
        <v>1388</v>
      </c>
      <c r="C6659" t="s">
        <v>325</v>
      </c>
      <c r="D6659" t="e">
        <f>VLOOKUP(C6659,'lookup table'!$A$2:$B$19,2,FALSE)</f>
        <v>#N/A</v>
      </c>
      <c r="E6659" t="str">
        <f t="shared" ref="E6659:E6722" si="104">IF(ISNA(D6659),"",IF(A6659="","",A6659) &amp; "|" &amp; D6659)</f>
        <v/>
      </c>
    </row>
    <row r="6660" spans="1:5" x14ac:dyDescent="0.2">
      <c r="A6660" t="s">
        <v>1389</v>
      </c>
      <c r="B6660" t="s">
        <v>1388</v>
      </c>
      <c r="C6660" t="s">
        <v>326</v>
      </c>
      <c r="D6660" t="e">
        <f>VLOOKUP(C6660,'lookup table'!$A$2:$B$19,2,FALSE)</f>
        <v>#N/A</v>
      </c>
      <c r="E6660" t="str">
        <f t="shared" si="104"/>
        <v/>
      </c>
    </row>
    <row r="6661" spans="1:5" x14ac:dyDescent="0.2">
      <c r="A6661" t="s">
        <v>1389</v>
      </c>
      <c r="B6661" t="s">
        <v>1388</v>
      </c>
      <c r="C6661" t="s">
        <v>327</v>
      </c>
      <c r="D6661" t="e">
        <f>VLOOKUP(C6661,'lookup table'!$A$2:$B$19,2,FALSE)</f>
        <v>#N/A</v>
      </c>
      <c r="E6661" t="str">
        <f t="shared" si="104"/>
        <v/>
      </c>
    </row>
    <row r="6662" spans="1:5" x14ac:dyDescent="0.2">
      <c r="A6662" t="s">
        <v>1389</v>
      </c>
      <c r="B6662" t="s">
        <v>1388</v>
      </c>
      <c r="C6662" t="s">
        <v>328</v>
      </c>
      <c r="D6662" t="e">
        <f>VLOOKUP(C6662,'lookup table'!$A$2:$B$19,2,FALSE)</f>
        <v>#N/A</v>
      </c>
      <c r="E6662" t="str">
        <f t="shared" si="104"/>
        <v/>
      </c>
    </row>
    <row r="6663" spans="1:5" x14ac:dyDescent="0.2">
      <c r="A6663" t="s">
        <v>1389</v>
      </c>
      <c r="B6663" t="s">
        <v>1388</v>
      </c>
      <c r="C6663" t="s">
        <v>329</v>
      </c>
      <c r="D6663" t="e">
        <f>VLOOKUP(C6663,'lookup table'!$A$2:$B$19,2,FALSE)</f>
        <v>#N/A</v>
      </c>
      <c r="E6663" t="str">
        <f t="shared" si="104"/>
        <v/>
      </c>
    </row>
    <row r="6664" spans="1:5" x14ac:dyDescent="0.2">
      <c r="A6664" t="s">
        <v>1389</v>
      </c>
      <c r="B6664" t="s">
        <v>1388</v>
      </c>
      <c r="C6664" t="s">
        <v>331</v>
      </c>
      <c r="D6664" t="str">
        <f>VLOOKUP(C6664,'lookup table'!$A$2:$B$19,2,FALSE)</f>
        <v>FS Item</v>
      </c>
      <c r="E6664" t="str">
        <f t="shared" si="104"/>
        <v>DR6LOB_14|FS Item</v>
      </c>
    </row>
    <row r="6665" spans="1:5" x14ac:dyDescent="0.2">
      <c r="A6665" t="s">
        <v>1389</v>
      </c>
      <c r="B6665" t="s">
        <v>1388</v>
      </c>
      <c r="C6665" t="s">
        <v>422</v>
      </c>
      <c r="D6665" t="e">
        <f>VLOOKUP(C6665,'lookup table'!$A$2:$B$19,2,FALSE)</f>
        <v>#N/A</v>
      </c>
      <c r="E6665" t="str">
        <f t="shared" si="104"/>
        <v/>
      </c>
    </row>
    <row r="6666" spans="1:5" x14ac:dyDescent="0.2">
      <c r="A6666" t="s">
        <v>1389</v>
      </c>
      <c r="B6666" t="s">
        <v>1388</v>
      </c>
      <c r="C6666" t="s">
        <v>423</v>
      </c>
      <c r="D6666" t="str">
        <f>VLOOKUP(C6666,'lookup table'!$A$2:$B$19,2,FALSE)</f>
        <v>ignore</v>
      </c>
      <c r="E6666" t="str">
        <f t="shared" si="104"/>
        <v>DR6LOB_14|ignore</v>
      </c>
    </row>
    <row r="6667" spans="1:5" x14ac:dyDescent="0.2">
      <c r="A6667" t="s">
        <v>1389</v>
      </c>
      <c r="B6667" t="s">
        <v>1388</v>
      </c>
      <c r="C6667" t="s">
        <v>424</v>
      </c>
      <c r="D6667" t="str">
        <f>VLOOKUP(C6667,'lookup table'!$A$2:$B$19,2,FALSE)</f>
        <v>GRC</v>
      </c>
      <c r="E6667" t="str">
        <f t="shared" si="104"/>
        <v>DR6LOB_14|GRC</v>
      </c>
    </row>
    <row r="6668" spans="1:5" x14ac:dyDescent="0.2">
      <c r="A6668" t="s">
        <v>1389</v>
      </c>
      <c r="B6668" t="s">
        <v>1388</v>
      </c>
      <c r="C6668" t="s">
        <v>425</v>
      </c>
      <c r="D6668" t="str">
        <f>VLOOKUP(C6668,'lookup table'!$A$2:$B$19,2,FALSE)</f>
        <v>Investee Segment</v>
      </c>
      <c r="E6668" t="str">
        <f t="shared" si="104"/>
        <v>DR6LOB_14|Investee Segment</v>
      </c>
    </row>
    <row r="6669" spans="1:5" x14ac:dyDescent="0.2">
      <c r="A6669" t="s">
        <v>1389</v>
      </c>
      <c r="B6669" t="s">
        <v>1388</v>
      </c>
      <c r="C6669" t="s">
        <v>426</v>
      </c>
      <c r="D6669" t="str">
        <f>VLOOKUP(C6669,'lookup table'!$A$2:$B$19,2,FALSE)</f>
        <v>Investee Unit</v>
      </c>
      <c r="E6669" t="str">
        <f t="shared" si="104"/>
        <v>DR6LOB_14|Investee Unit</v>
      </c>
    </row>
    <row r="6670" spans="1:5" x14ac:dyDescent="0.2">
      <c r="A6670" t="s">
        <v>1389</v>
      </c>
      <c r="B6670" t="s">
        <v>1388</v>
      </c>
      <c r="C6670" t="s">
        <v>428</v>
      </c>
      <c r="D6670" t="str">
        <f>VLOOKUP(C6670,'lookup table'!$A$2:$B$19,2,FALSE)</f>
        <v>LoB</v>
      </c>
      <c r="E6670" t="str">
        <f t="shared" si="104"/>
        <v>DR6LOB_14|LoB</v>
      </c>
    </row>
    <row r="6671" spans="1:5" x14ac:dyDescent="0.2">
      <c r="A6671" t="s">
        <v>1389</v>
      </c>
      <c r="B6671" t="s">
        <v>1388</v>
      </c>
      <c r="C6671" t="s">
        <v>436</v>
      </c>
      <c r="D6671" t="str">
        <f>VLOOKUP(C6671,'lookup table'!$A$2:$B$19,2,FALSE)</f>
        <v>MAT</v>
      </c>
      <c r="E6671" t="str">
        <f t="shared" si="104"/>
        <v>DR6LOB_14|MAT</v>
      </c>
    </row>
    <row r="6672" spans="1:5" x14ac:dyDescent="0.2">
      <c r="A6672" t="s">
        <v>1389</v>
      </c>
      <c r="B6672" t="s">
        <v>1388</v>
      </c>
      <c r="C6672" t="s">
        <v>441</v>
      </c>
      <c r="D6672" t="str">
        <f>VLOOKUP(C6672,'lookup table'!$A$2:$B$19,2,FALSE)</f>
        <v>Partner Segment</v>
      </c>
      <c r="E6672" t="str">
        <f t="shared" si="104"/>
        <v>DR6LOB_14|Partner Segment</v>
      </c>
    </row>
    <row r="6673" spans="1:5" x14ac:dyDescent="0.2">
      <c r="A6673" t="s">
        <v>1389</v>
      </c>
      <c r="B6673" t="s">
        <v>1388</v>
      </c>
      <c r="C6673" t="s">
        <v>442</v>
      </c>
      <c r="D6673" t="str">
        <f>VLOOKUP(C6673,'lookup table'!$A$2:$B$19,2,FALSE)</f>
        <v>Partner Unit</v>
      </c>
      <c r="E6673" t="str">
        <f t="shared" si="104"/>
        <v>DR6LOB_14|Partner Unit</v>
      </c>
    </row>
    <row r="6674" spans="1:5" x14ac:dyDescent="0.2">
      <c r="A6674" t="s">
        <v>1389</v>
      </c>
      <c r="B6674" t="s">
        <v>1388</v>
      </c>
      <c r="C6674" t="s">
        <v>447</v>
      </c>
      <c r="D6674" t="str">
        <f>VLOOKUP(C6674,'lookup table'!$A$2:$B$19,2,FALSE)</f>
        <v>REX</v>
      </c>
      <c r="E6674" t="str">
        <f t="shared" si="104"/>
        <v>DR6LOB_14|REX</v>
      </c>
    </row>
    <row r="6675" spans="1:5" x14ac:dyDescent="0.2">
      <c r="A6675" t="s">
        <v>1389</v>
      </c>
      <c r="B6675" t="s">
        <v>1388</v>
      </c>
      <c r="C6675" t="s">
        <v>448</v>
      </c>
      <c r="D6675" t="e">
        <f>VLOOKUP(C6675,'lookup table'!$A$2:$B$19,2,FALSE)</f>
        <v>#N/A</v>
      </c>
      <c r="E6675" t="str">
        <f t="shared" si="104"/>
        <v/>
      </c>
    </row>
    <row r="6676" spans="1:5" x14ac:dyDescent="0.2">
      <c r="A6676" t="s">
        <v>1389</v>
      </c>
      <c r="B6676" t="s">
        <v>1388</v>
      </c>
      <c r="C6676" t="s">
        <v>449</v>
      </c>
      <c r="D6676" t="e">
        <f>VLOOKUP(C6676,'lookup table'!$A$2:$B$19,2,FALSE)</f>
        <v>#N/A</v>
      </c>
      <c r="E6676" t="str">
        <f t="shared" si="104"/>
        <v/>
      </c>
    </row>
    <row r="6677" spans="1:5" x14ac:dyDescent="0.2">
      <c r="A6677" t="s">
        <v>1389</v>
      </c>
      <c r="B6677" t="s">
        <v>1388</v>
      </c>
      <c r="C6677" t="s">
        <v>451</v>
      </c>
      <c r="D6677" t="str">
        <f>VLOOKUP(C6677,'lookup table'!$A$2:$B$19,2,FALSE)</f>
        <v>Segment</v>
      </c>
      <c r="E6677" t="str">
        <f t="shared" si="104"/>
        <v>DR6LOB_14|Segment</v>
      </c>
    </row>
    <row r="6678" spans="1:5" x14ac:dyDescent="0.2">
      <c r="A6678" t="s">
        <v>1389</v>
      </c>
      <c r="B6678" t="s">
        <v>1388</v>
      </c>
      <c r="C6678" t="s">
        <v>455</v>
      </c>
      <c r="D6678" t="e">
        <f>VLOOKUP(C6678,'lookup table'!$A$2:$B$19,2,FALSE)</f>
        <v>#N/A</v>
      </c>
      <c r="E6678" t="str">
        <f t="shared" si="104"/>
        <v/>
      </c>
    </row>
    <row r="6679" spans="1:5" x14ac:dyDescent="0.2">
      <c r="A6679" t="s">
        <v>1389</v>
      </c>
      <c r="B6679" t="s">
        <v>1388</v>
      </c>
      <c r="C6679" t="s">
        <v>456</v>
      </c>
      <c r="D6679" t="e">
        <f>VLOOKUP(C6679,'lookup table'!$A$2:$B$19,2,FALSE)</f>
        <v>#N/A</v>
      </c>
      <c r="E6679" t="str">
        <f t="shared" si="104"/>
        <v/>
      </c>
    </row>
    <row r="6680" spans="1:5" x14ac:dyDescent="0.2">
      <c r="A6680" t="s">
        <v>1389</v>
      </c>
      <c r="B6680" t="s">
        <v>1388</v>
      </c>
      <c r="C6680" t="s">
        <v>457</v>
      </c>
      <c r="D6680" t="str">
        <f>VLOOKUP(C6680,'lookup table'!$A$2:$B$19,2,FALSE)</f>
        <v>VLT</v>
      </c>
      <c r="E6680" t="str">
        <f t="shared" si="104"/>
        <v>DR6LOB_14|VLT</v>
      </c>
    </row>
    <row r="6681" spans="1:5" x14ac:dyDescent="0.2">
      <c r="A6681" t="s">
        <v>1389</v>
      </c>
      <c r="B6681" t="s">
        <v>1388</v>
      </c>
      <c r="C6681" t="s">
        <v>458</v>
      </c>
      <c r="D6681" t="str">
        <f>VLOOKUP(C6681,'lookup table'!$A$2:$B$19,2,FALSE)</f>
        <v>VAR</v>
      </c>
      <c r="E6681" t="str">
        <f t="shared" si="104"/>
        <v>DR6LOB_14|VAR</v>
      </c>
    </row>
    <row r="6682" spans="1:5" x14ac:dyDescent="0.2">
      <c r="A6682" t="s">
        <v>1389</v>
      </c>
      <c r="B6682" t="s">
        <v>1388</v>
      </c>
      <c r="C6682" t="s">
        <v>459</v>
      </c>
      <c r="D6682" t="e">
        <f>VLOOKUP(C6682,'lookup table'!$A$2:$B$19,2,FALSE)</f>
        <v>#N/A</v>
      </c>
      <c r="E6682" t="str">
        <f t="shared" si="104"/>
        <v/>
      </c>
    </row>
    <row r="6683" spans="1:5" x14ac:dyDescent="0.2">
      <c r="A6683" t="s">
        <v>1389</v>
      </c>
      <c r="B6683" t="s">
        <v>1388</v>
      </c>
      <c r="C6683" t="s">
        <v>460</v>
      </c>
      <c r="D6683" t="e">
        <f>VLOOKUP(C6683,'lookup table'!$A$2:$B$19,2,FALSE)</f>
        <v>#N/A</v>
      </c>
      <c r="E6683" t="str">
        <f t="shared" si="104"/>
        <v/>
      </c>
    </row>
    <row r="6684" spans="1:5" x14ac:dyDescent="0.2">
      <c r="A6684" t="s">
        <v>1389</v>
      </c>
      <c r="B6684" t="s">
        <v>1388</v>
      </c>
      <c r="C6684" t="s">
        <v>461</v>
      </c>
      <c r="D6684" t="str">
        <f>VLOOKUP(C6684,'lookup table'!$A$2:$B$19,2,FALSE)</f>
        <v>Posting Level</v>
      </c>
      <c r="E6684" t="str">
        <f t="shared" si="104"/>
        <v>DR6LOB_14|Posting Level</v>
      </c>
    </row>
    <row r="6685" spans="1:5" x14ac:dyDescent="0.2">
      <c r="A6685" t="s">
        <v>1389</v>
      </c>
      <c r="B6685" t="s">
        <v>1388</v>
      </c>
      <c r="C6685" t="s">
        <v>462</v>
      </c>
      <c r="D6685" t="e">
        <f>VLOOKUP(C6685,'lookup table'!$A$2:$B$19,2,FALSE)</f>
        <v>#N/A</v>
      </c>
      <c r="E6685" t="str">
        <f t="shared" si="104"/>
        <v/>
      </c>
    </row>
    <row r="6686" spans="1:5" x14ac:dyDescent="0.2">
      <c r="A6686" t="s">
        <v>1389</v>
      </c>
      <c r="B6686" t="s">
        <v>1388</v>
      </c>
      <c r="C6686" t="s">
        <v>463</v>
      </c>
      <c r="D6686" t="e">
        <f>VLOOKUP(C6686,'lookup table'!$A$2:$B$19,2,FALSE)</f>
        <v>#N/A</v>
      </c>
      <c r="E6686" t="str">
        <f t="shared" si="104"/>
        <v/>
      </c>
    </row>
    <row r="6687" spans="1:5" x14ac:dyDescent="0.2">
      <c r="A6687" t="s">
        <v>1389</v>
      </c>
      <c r="B6687" t="s">
        <v>1388</v>
      </c>
      <c r="C6687" t="s">
        <v>464</v>
      </c>
      <c r="D6687" t="e">
        <f>VLOOKUP(C6687,'lookup table'!$A$2:$B$19,2,FALSE)</f>
        <v>#N/A</v>
      </c>
      <c r="E6687" t="str">
        <f t="shared" si="104"/>
        <v/>
      </c>
    </row>
    <row r="6688" spans="1:5" x14ac:dyDescent="0.2">
      <c r="A6688" t="s">
        <v>1389</v>
      </c>
      <c r="B6688" t="s">
        <v>1388</v>
      </c>
      <c r="C6688" t="s">
        <v>465</v>
      </c>
      <c r="D6688" t="e">
        <f>VLOOKUP(C6688,'lookup table'!$A$2:$B$19,2,FALSE)</f>
        <v>#N/A</v>
      </c>
      <c r="E6688" t="str">
        <f t="shared" si="104"/>
        <v/>
      </c>
    </row>
    <row r="6689" spans="1:5" x14ac:dyDescent="0.2">
      <c r="A6689" t="s">
        <v>1390</v>
      </c>
      <c r="B6689" t="s">
        <v>1391</v>
      </c>
      <c r="C6689" t="s">
        <v>2</v>
      </c>
      <c r="D6689" t="e">
        <f>VLOOKUP(C6689,'lookup table'!$A$2:$B$19,2,FALSE)</f>
        <v>#N/A</v>
      </c>
      <c r="E6689" t="str">
        <f t="shared" si="104"/>
        <v/>
      </c>
    </row>
    <row r="6690" spans="1:5" x14ac:dyDescent="0.2">
      <c r="A6690" t="s">
        <v>1390</v>
      </c>
      <c r="B6690" t="s">
        <v>1391</v>
      </c>
      <c r="C6690" t="s">
        <v>5</v>
      </c>
      <c r="D6690" t="e">
        <f>VLOOKUP(C6690,'lookup table'!$A$2:$B$19,2,FALSE)</f>
        <v>#N/A</v>
      </c>
      <c r="E6690" t="str">
        <f t="shared" si="104"/>
        <v/>
      </c>
    </row>
    <row r="6691" spans="1:5" x14ac:dyDescent="0.2">
      <c r="A6691" t="s">
        <v>1390</v>
      </c>
      <c r="B6691" t="s">
        <v>1391</v>
      </c>
      <c r="C6691" t="s">
        <v>6</v>
      </c>
      <c r="D6691" t="e">
        <f>VLOOKUP(C6691,'lookup table'!$A$2:$B$19,2,FALSE)</f>
        <v>#N/A</v>
      </c>
      <c r="E6691" t="str">
        <f t="shared" si="104"/>
        <v/>
      </c>
    </row>
    <row r="6692" spans="1:5" x14ac:dyDescent="0.2">
      <c r="A6692" t="s">
        <v>1390</v>
      </c>
      <c r="B6692" t="s">
        <v>1391</v>
      </c>
      <c r="C6692" t="s">
        <v>9</v>
      </c>
      <c r="D6692" t="e">
        <f>VLOOKUP(C6692,'lookup table'!$A$2:$B$19,2,FALSE)</f>
        <v>#N/A</v>
      </c>
      <c r="E6692" t="str">
        <f t="shared" si="104"/>
        <v/>
      </c>
    </row>
    <row r="6693" spans="1:5" x14ac:dyDescent="0.2">
      <c r="A6693" t="s">
        <v>1390</v>
      </c>
      <c r="B6693" t="s">
        <v>1391</v>
      </c>
      <c r="C6693" t="s">
        <v>10</v>
      </c>
      <c r="D6693" t="e">
        <f>VLOOKUP(C6693,'lookup table'!$A$2:$B$19,2,FALSE)</f>
        <v>#N/A</v>
      </c>
      <c r="E6693" t="str">
        <f t="shared" si="104"/>
        <v/>
      </c>
    </row>
    <row r="6694" spans="1:5" x14ac:dyDescent="0.2">
      <c r="A6694" t="s">
        <v>1390</v>
      </c>
      <c r="B6694" t="s">
        <v>1391</v>
      </c>
      <c r="C6694" t="s">
        <v>11</v>
      </c>
      <c r="D6694" t="e">
        <f>VLOOKUP(C6694,'lookup table'!$A$2:$B$19,2,FALSE)</f>
        <v>#N/A</v>
      </c>
      <c r="E6694" t="str">
        <f t="shared" si="104"/>
        <v/>
      </c>
    </row>
    <row r="6695" spans="1:5" x14ac:dyDescent="0.2">
      <c r="A6695" t="s">
        <v>1390</v>
      </c>
      <c r="B6695" t="s">
        <v>1391</v>
      </c>
      <c r="C6695" t="s">
        <v>12</v>
      </c>
      <c r="D6695" t="e">
        <f>VLOOKUP(C6695,'lookup table'!$A$2:$B$19,2,FALSE)</f>
        <v>#N/A</v>
      </c>
      <c r="E6695" t="str">
        <f t="shared" si="104"/>
        <v/>
      </c>
    </row>
    <row r="6696" spans="1:5" x14ac:dyDescent="0.2">
      <c r="A6696" t="s">
        <v>1390</v>
      </c>
      <c r="B6696" t="s">
        <v>1391</v>
      </c>
      <c r="C6696" t="s">
        <v>14</v>
      </c>
      <c r="D6696" t="str">
        <f>VLOOKUP(C6696,'lookup table'!$A$2:$B$19,2,FALSE)</f>
        <v>ALC</v>
      </c>
      <c r="E6696" t="str">
        <f t="shared" si="104"/>
        <v>DR6MAT_00|ALC</v>
      </c>
    </row>
    <row r="6697" spans="1:5" x14ac:dyDescent="0.2">
      <c r="A6697" t="s">
        <v>1390</v>
      </c>
      <c r="B6697" t="s">
        <v>1391</v>
      </c>
      <c r="C6697" t="s">
        <v>20</v>
      </c>
      <c r="D6697" t="str">
        <f>VLOOKUP(C6697,'lookup table'!$A$2:$B$19,2,FALSE)</f>
        <v>AY</v>
      </c>
      <c r="E6697" t="str">
        <f t="shared" si="104"/>
        <v>DR6MAT_00|AY</v>
      </c>
    </row>
    <row r="6698" spans="1:5" x14ac:dyDescent="0.2">
      <c r="A6698" t="s">
        <v>1390</v>
      </c>
      <c r="B6698" t="s">
        <v>1391</v>
      </c>
      <c r="C6698" t="s">
        <v>136</v>
      </c>
      <c r="D6698" t="str">
        <f>VLOOKUP(C6698,'lookup table'!$A$2:$B$19,2,FALSE)</f>
        <v>BBA Set</v>
      </c>
      <c r="E6698" t="str">
        <f t="shared" si="104"/>
        <v>DR6MAT_00|BBA Set</v>
      </c>
    </row>
    <row r="6699" spans="1:5" x14ac:dyDescent="0.2">
      <c r="A6699" t="s">
        <v>1390</v>
      </c>
      <c r="B6699" t="s">
        <v>1391</v>
      </c>
      <c r="C6699" t="s">
        <v>324</v>
      </c>
      <c r="D6699" t="e">
        <f>VLOOKUP(C6699,'lookup table'!$A$2:$B$19,2,FALSE)</f>
        <v>#N/A</v>
      </c>
      <c r="E6699" t="str">
        <f t="shared" si="104"/>
        <v/>
      </c>
    </row>
    <row r="6700" spans="1:5" x14ac:dyDescent="0.2">
      <c r="A6700" t="s">
        <v>1390</v>
      </c>
      <c r="B6700" t="s">
        <v>1391</v>
      </c>
      <c r="C6700" t="s">
        <v>325</v>
      </c>
      <c r="D6700" t="e">
        <f>VLOOKUP(C6700,'lookup table'!$A$2:$B$19,2,FALSE)</f>
        <v>#N/A</v>
      </c>
      <c r="E6700" t="str">
        <f t="shared" si="104"/>
        <v/>
      </c>
    </row>
    <row r="6701" spans="1:5" x14ac:dyDescent="0.2">
      <c r="A6701" t="s">
        <v>1390</v>
      </c>
      <c r="B6701" t="s">
        <v>1391</v>
      </c>
      <c r="C6701" t="s">
        <v>326</v>
      </c>
      <c r="D6701" t="e">
        <f>VLOOKUP(C6701,'lookup table'!$A$2:$B$19,2,FALSE)</f>
        <v>#N/A</v>
      </c>
      <c r="E6701" t="str">
        <f t="shared" si="104"/>
        <v/>
      </c>
    </row>
    <row r="6702" spans="1:5" x14ac:dyDescent="0.2">
      <c r="A6702" t="s">
        <v>1390</v>
      </c>
      <c r="B6702" t="s">
        <v>1391</v>
      </c>
      <c r="C6702" t="s">
        <v>327</v>
      </c>
      <c r="D6702" t="e">
        <f>VLOOKUP(C6702,'lookup table'!$A$2:$B$19,2,FALSE)</f>
        <v>#N/A</v>
      </c>
      <c r="E6702" t="str">
        <f t="shared" si="104"/>
        <v/>
      </c>
    </row>
    <row r="6703" spans="1:5" x14ac:dyDescent="0.2">
      <c r="A6703" t="s">
        <v>1390</v>
      </c>
      <c r="B6703" t="s">
        <v>1391</v>
      </c>
      <c r="C6703" t="s">
        <v>328</v>
      </c>
      <c r="D6703" t="e">
        <f>VLOOKUP(C6703,'lookup table'!$A$2:$B$19,2,FALSE)</f>
        <v>#N/A</v>
      </c>
      <c r="E6703" t="str">
        <f t="shared" si="104"/>
        <v/>
      </c>
    </row>
    <row r="6704" spans="1:5" x14ac:dyDescent="0.2">
      <c r="A6704" t="s">
        <v>1390</v>
      </c>
      <c r="B6704" t="s">
        <v>1391</v>
      </c>
      <c r="C6704" t="s">
        <v>329</v>
      </c>
      <c r="D6704" t="e">
        <f>VLOOKUP(C6704,'lookup table'!$A$2:$B$19,2,FALSE)</f>
        <v>#N/A</v>
      </c>
      <c r="E6704" t="str">
        <f t="shared" si="104"/>
        <v/>
      </c>
    </row>
    <row r="6705" spans="1:5" x14ac:dyDescent="0.2">
      <c r="A6705" t="s">
        <v>1390</v>
      </c>
      <c r="B6705" t="s">
        <v>1391</v>
      </c>
      <c r="C6705" t="s">
        <v>331</v>
      </c>
      <c r="D6705" t="str">
        <f>VLOOKUP(C6705,'lookup table'!$A$2:$B$19,2,FALSE)</f>
        <v>FS Item</v>
      </c>
      <c r="E6705" t="str">
        <f t="shared" si="104"/>
        <v>DR6MAT_00|FS Item</v>
      </c>
    </row>
    <row r="6706" spans="1:5" x14ac:dyDescent="0.2">
      <c r="A6706" t="s">
        <v>1390</v>
      </c>
      <c r="B6706" t="s">
        <v>1391</v>
      </c>
      <c r="C6706" t="s">
        <v>422</v>
      </c>
      <c r="D6706" t="e">
        <f>VLOOKUP(C6706,'lookup table'!$A$2:$B$19,2,FALSE)</f>
        <v>#N/A</v>
      </c>
      <c r="E6706" t="str">
        <f t="shared" si="104"/>
        <v/>
      </c>
    </row>
    <row r="6707" spans="1:5" x14ac:dyDescent="0.2">
      <c r="A6707" t="s">
        <v>1390</v>
      </c>
      <c r="B6707" t="s">
        <v>1391</v>
      </c>
      <c r="C6707" t="s">
        <v>423</v>
      </c>
      <c r="D6707" t="str">
        <f>VLOOKUP(C6707,'lookup table'!$A$2:$B$19,2,FALSE)</f>
        <v>ignore</v>
      </c>
      <c r="E6707" t="str">
        <f t="shared" si="104"/>
        <v>DR6MAT_00|ignore</v>
      </c>
    </row>
    <row r="6708" spans="1:5" x14ac:dyDescent="0.2">
      <c r="A6708" t="s">
        <v>1390</v>
      </c>
      <c r="B6708" t="s">
        <v>1391</v>
      </c>
      <c r="C6708" t="s">
        <v>424</v>
      </c>
      <c r="D6708" t="str">
        <f>VLOOKUP(C6708,'lookup table'!$A$2:$B$19,2,FALSE)</f>
        <v>GRC</v>
      </c>
      <c r="E6708" t="str">
        <f t="shared" si="104"/>
        <v>DR6MAT_00|GRC</v>
      </c>
    </row>
    <row r="6709" spans="1:5" x14ac:dyDescent="0.2">
      <c r="A6709" t="s">
        <v>1390</v>
      </c>
      <c r="B6709" t="s">
        <v>1391</v>
      </c>
      <c r="C6709" t="s">
        <v>425</v>
      </c>
      <c r="D6709" t="str">
        <f>VLOOKUP(C6709,'lookup table'!$A$2:$B$19,2,FALSE)</f>
        <v>Investee Segment</v>
      </c>
      <c r="E6709" t="str">
        <f t="shared" si="104"/>
        <v>DR6MAT_00|Investee Segment</v>
      </c>
    </row>
    <row r="6710" spans="1:5" x14ac:dyDescent="0.2">
      <c r="A6710" t="s">
        <v>1390</v>
      </c>
      <c r="B6710" t="s">
        <v>1391</v>
      </c>
      <c r="C6710" t="s">
        <v>426</v>
      </c>
      <c r="D6710" t="str">
        <f>VLOOKUP(C6710,'lookup table'!$A$2:$B$19,2,FALSE)</f>
        <v>Investee Unit</v>
      </c>
      <c r="E6710" t="str">
        <f t="shared" si="104"/>
        <v>DR6MAT_00|Investee Unit</v>
      </c>
    </row>
    <row r="6711" spans="1:5" x14ac:dyDescent="0.2">
      <c r="A6711" t="s">
        <v>1390</v>
      </c>
      <c r="B6711" t="s">
        <v>1391</v>
      </c>
      <c r="C6711" t="s">
        <v>428</v>
      </c>
      <c r="D6711" t="str">
        <f>VLOOKUP(C6711,'lookup table'!$A$2:$B$19,2,FALSE)</f>
        <v>LoB</v>
      </c>
      <c r="E6711" t="str">
        <f t="shared" si="104"/>
        <v>DR6MAT_00|LoB</v>
      </c>
    </row>
    <row r="6712" spans="1:5" x14ac:dyDescent="0.2">
      <c r="A6712" t="s">
        <v>1390</v>
      </c>
      <c r="B6712" t="s">
        <v>1391</v>
      </c>
      <c r="C6712" t="s">
        <v>436</v>
      </c>
      <c r="D6712" t="str">
        <f>VLOOKUP(C6712,'lookup table'!$A$2:$B$19,2,FALSE)</f>
        <v>MAT</v>
      </c>
      <c r="E6712" t="str">
        <f t="shared" si="104"/>
        <v>DR6MAT_00|MAT</v>
      </c>
    </row>
    <row r="6713" spans="1:5" x14ac:dyDescent="0.2">
      <c r="A6713" t="s">
        <v>1390</v>
      </c>
      <c r="B6713" t="s">
        <v>1391</v>
      </c>
      <c r="C6713" t="s">
        <v>438</v>
      </c>
      <c r="D6713" t="str">
        <f>VLOOKUP(C6713,'lookup table'!$A$2:$B$19,2,FALSE)</f>
        <v>ToM</v>
      </c>
      <c r="E6713" t="str">
        <f t="shared" si="104"/>
        <v>DR6MAT_00|ToM</v>
      </c>
    </row>
    <row r="6714" spans="1:5" x14ac:dyDescent="0.2">
      <c r="A6714" t="s">
        <v>1390</v>
      </c>
      <c r="B6714" t="s">
        <v>1391</v>
      </c>
      <c r="C6714" t="s">
        <v>441</v>
      </c>
      <c r="D6714" t="str">
        <f>VLOOKUP(C6714,'lookup table'!$A$2:$B$19,2,FALSE)</f>
        <v>Partner Segment</v>
      </c>
      <c r="E6714" t="str">
        <f t="shared" si="104"/>
        <v>DR6MAT_00|Partner Segment</v>
      </c>
    </row>
    <row r="6715" spans="1:5" x14ac:dyDescent="0.2">
      <c r="A6715" t="s">
        <v>1390</v>
      </c>
      <c r="B6715" t="s">
        <v>1391</v>
      </c>
      <c r="C6715" t="s">
        <v>442</v>
      </c>
      <c r="D6715" t="str">
        <f>VLOOKUP(C6715,'lookup table'!$A$2:$B$19,2,FALSE)</f>
        <v>Partner Unit</v>
      </c>
      <c r="E6715" t="str">
        <f t="shared" si="104"/>
        <v>DR6MAT_00|Partner Unit</v>
      </c>
    </row>
    <row r="6716" spans="1:5" x14ac:dyDescent="0.2">
      <c r="A6716" t="s">
        <v>1390</v>
      </c>
      <c r="B6716" t="s">
        <v>1391</v>
      </c>
      <c r="C6716" t="s">
        <v>447</v>
      </c>
      <c r="D6716" t="str">
        <f>VLOOKUP(C6716,'lookup table'!$A$2:$B$19,2,FALSE)</f>
        <v>REX</v>
      </c>
      <c r="E6716" t="str">
        <f t="shared" si="104"/>
        <v>DR6MAT_00|REX</v>
      </c>
    </row>
    <row r="6717" spans="1:5" x14ac:dyDescent="0.2">
      <c r="A6717" t="s">
        <v>1390</v>
      </c>
      <c r="B6717" t="s">
        <v>1391</v>
      </c>
      <c r="C6717" t="s">
        <v>448</v>
      </c>
      <c r="D6717" t="e">
        <f>VLOOKUP(C6717,'lookup table'!$A$2:$B$19,2,FALSE)</f>
        <v>#N/A</v>
      </c>
      <c r="E6717" t="str">
        <f t="shared" si="104"/>
        <v/>
      </c>
    </row>
    <row r="6718" spans="1:5" x14ac:dyDescent="0.2">
      <c r="A6718" t="s">
        <v>1390</v>
      </c>
      <c r="B6718" t="s">
        <v>1391</v>
      </c>
      <c r="C6718" t="s">
        <v>449</v>
      </c>
      <c r="D6718" t="e">
        <f>VLOOKUP(C6718,'lookup table'!$A$2:$B$19,2,FALSE)</f>
        <v>#N/A</v>
      </c>
      <c r="E6718" t="str">
        <f t="shared" si="104"/>
        <v/>
      </c>
    </row>
    <row r="6719" spans="1:5" x14ac:dyDescent="0.2">
      <c r="A6719" t="s">
        <v>1390</v>
      </c>
      <c r="B6719" t="s">
        <v>1391</v>
      </c>
      <c r="C6719" t="s">
        <v>451</v>
      </c>
      <c r="D6719" t="str">
        <f>VLOOKUP(C6719,'lookup table'!$A$2:$B$19,2,FALSE)</f>
        <v>Segment</v>
      </c>
      <c r="E6719" t="str">
        <f t="shared" si="104"/>
        <v>DR6MAT_00|Segment</v>
      </c>
    </row>
    <row r="6720" spans="1:5" x14ac:dyDescent="0.2">
      <c r="A6720" t="s">
        <v>1390</v>
      </c>
      <c r="B6720" t="s">
        <v>1391</v>
      </c>
      <c r="C6720" t="s">
        <v>455</v>
      </c>
      <c r="D6720" t="e">
        <f>VLOOKUP(C6720,'lookup table'!$A$2:$B$19,2,FALSE)</f>
        <v>#N/A</v>
      </c>
      <c r="E6720" t="str">
        <f t="shared" si="104"/>
        <v/>
      </c>
    </row>
    <row r="6721" spans="1:5" x14ac:dyDescent="0.2">
      <c r="A6721" t="s">
        <v>1390</v>
      </c>
      <c r="B6721" t="s">
        <v>1391</v>
      </c>
      <c r="C6721" t="s">
        <v>456</v>
      </c>
      <c r="D6721" t="e">
        <f>VLOOKUP(C6721,'lookup table'!$A$2:$B$19,2,FALSE)</f>
        <v>#N/A</v>
      </c>
      <c r="E6721" t="str">
        <f t="shared" si="104"/>
        <v/>
      </c>
    </row>
    <row r="6722" spans="1:5" x14ac:dyDescent="0.2">
      <c r="A6722" t="s">
        <v>1390</v>
      </c>
      <c r="B6722" t="s">
        <v>1391</v>
      </c>
      <c r="C6722" t="s">
        <v>457</v>
      </c>
      <c r="D6722" t="str">
        <f>VLOOKUP(C6722,'lookup table'!$A$2:$B$19,2,FALSE)</f>
        <v>VLT</v>
      </c>
      <c r="E6722" t="str">
        <f t="shared" si="104"/>
        <v>DR6MAT_00|VLT</v>
      </c>
    </row>
    <row r="6723" spans="1:5" x14ac:dyDescent="0.2">
      <c r="A6723" t="s">
        <v>1390</v>
      </c>
      <c r="B6723" t="s">
        <v>1391</v>
      </c>
      <c r="C6723" t="s">
        <v>458</v>
      </c>
      <c r="D6723" t="str">
        <f>VLOOKUP(C6723,'lookup table'!$A$2:$B$19,2,FALSE)</f>
        <v>VAR</v>
      </c>
      <c r="E6723" t="str">
        <f t="shared" ref="E6723:E6786" si="105">IF(ISNA(D6723),"",IF(A6723="","",A6723) &amp; "|" &amp; D6723)</f>
        <v>DR6MAT_00|VAR</v>
      </c>
    </row>
    <row r="6724" spans="1:5" x14ac:dyDescent="0.2">
      <c r="A6724" t="s">
        <v>1390</v>
      </c>
      <c r="B6724" t="s">
        <v>1391</v>
      </c>
      <c r="C6724" t="s">
        <v>459</v>
      </c>
      <c r="D6724" t="e">
        <f>VLOOKUP(C6724,'lookup table'!$A$2:$B$19,2,FALSE)</f>
        <v>#N/A</v>
      </c>
      <c r="E6724" t="str">
        <f t="shared" si="105"/>
        <v/>
      </c>
    </row>
    <row r="6725" spans="1:5" x14ac:dyDescent="0.2">
      <c r="A6725" t="s">
        <v>1390</v>
      </c>
      <c r="B6725" t="s">
        <v>1391</v>
      </c>
      <c r="C6725" t="s">
        <v>460</v>
      </c>
      <c r="D6725" t="e">
        <f>VLOOKUP(C6725,'lookup table'!$A$2:$B$19,2,FALSE)</f>
        <v>#N/A</v>
      </c>
      <c r="E6725" t="str">
        <f t="shared" si="105"/>
        <v/>
      </c>
    </row>
    <row r="6726" spans="1:5" x14ac:dyDescent="0.2">
      <c r="A6726" t="s">
        <v>1390</v>
      </c>
      <c r="B6726" t="s">
        <v>1391</v>
      </c>
      <c r="C6726" t="s">
        <v>461</v>
      </c>
      <c r="D6726" t="str">
        <f>VLOOKUP(C6726,'lookup table'!$A$2:$B$19,2,FALSE)</f>
        <v>Posting Level</v>
      </c>
      <c r="E6726" t="str">
        <f t="shared" si="105"/>
        <v>DR6MAT_00|Posting Level</v>
      </c>
    </row>
    <row r="6727" spans="1:5" x14ac:dyDescent="0.2">
      <c r="A6727" t="s">
        <v>1390</v>
      </c>
      <c r="B6727" t="s">
        <v>1391</v>
      </c>
      <c r="C6727" t="s">
        <v>462</v>
      </c>
      <c r="D6727" t="e">
        <f>VLOOKUP(C6727,'lookup table'!$A$2:$B$19,2,FALSE)</f>
        <v>#N/A</v>
      </c>
      <c r="E6727" t="str">
        <f t="shared" si="105"/>
        <v/>
      </c>
    </row>
    <row r="6728" spans="1:5" x14ac:dyDescent="0.2">
      <c r="A6728" t="s">
        <v>1390</v>
      </c>
      <c r="B6728" t="s">
        <v>1391</v>
      </c>
      <c r="C6728" t="s">
        <v>463</v>
      </c>
      <c r="D6728" t="e">
        <f>VLOOKUP(C6728,'lookup table'!$A$2:$B$19,2,FALSE)</f>
        <v>#N/A</v>
      </c>
      <c r="E6728" t="str">
        <f t="shared" si="105"/>
        <v/>
      </c>
    </row>
    <row r="6729" spans="1:5" x14ac:dyDescent="0.2">
      <c r="A6729" t="s">
        <v>1390</v>
      </c>
      <c r="B6729" t="s">
        <v>1391</v>
      </c>
      <c r="C6729" t="s">
        <v>464</v>
      </c>
      <c r="D6729" t="e">
        <f>VLOOKUP(C6729,'lookup table'!$A$2:$B$19,2,FALSE)</f>
        <v>#N/A</v>
      </c>
      <c r="E6729" t="str">
        <f t="shared" si="105"/>
        <v/>
      </c>
    </row>
    <row r="6730" spans="1:5" x14ac:dyDescent="0.2">
      <c r="A6730" t="s">
        <v>1390</v>
      </c>
      <c r="B6730" t="s">
        <v>1391</v>
      </c>
      <c r="C6730" t="s">
        <v>465</v>
      </c>
      <c r="D6730" t="e">
        <f>VLOOKUP(C6730,'lookup table'!$A$2:$B$19,2,FALSE)</f>
        <v>#N/A</v>
      </c>
      <c r="E6730" t="str">
        <f t="shared" si="105"/>
        <v/>
      </c>
    </row>
    <row r="6731" spans="1:5" x14ac:dyDescent="0.2">
      <c r="A6731" t="s">
        <v>1392</v>
      </c>
      <c r="B6731" t="s">
        <v>1393</v>
      </c>
      <c r="C6731" t="s">
        <v>2</v>
      </c>
      <c r="D6731" t="e">
        <f>VLOOKUP(C6731,'lookup table'!$A$2:$B$19,2,FALSE)</f>
        <v>#N/A</v>
      </c>
      <c r="E6731" t="str">
        <f t="shared" si="105"/>
        <v/>
      </c>
    </row>
    <row r="6732" spans="1:5" x14ac:dyDescent="0.2">
      <c r="A6732" t="s">
        <v>1392</v>
      </c>
      <c r="B6732" t="s">
        <v>1393</v>
      </c>
      <c r="C6732" t="s">
        <v>5</v>
      </c>
      <c r="D6732" t="e">
        <f>VLOOKUP(C6732,'lookup table'!$A$2:$B$19,2,FALSE)</f>
        <v>#N/A</v>
      </c>
      <c r="E6732" t="str">
        <f t="shared" si="105"/>
        <v/>
      </c>
    </row>
    <row r="6733" spans="1:5" x14ac:dyDescent="0.2">
      <c r="A6733" t="s">
        <v>1392</v>
      </c>
      <c r="B6733" t="s">
        <v>1393</v>
      </c>
      <c r="C6733" t="s">
        <v>6</v>
      </c>
      <c r="D6733" t="e">
        <f>VLOOKUP(C6733,'lookup table'!$A$2:$B$19,2,FALSE)</f>
        <v>#N/A</v>
      </c>
      <c r="E6733" t="str">
        <f t="shared" si="105"/>
        <v/>
      </c>
    </row>
    <row r="6734" spans="1:5" x14ac:dyDescent="0.2">
      <c r="A6734" t="s">
        <v>1392</v>
      </c>
      <c r="B6734" t="s">
        <v>1393</v>
      </c>
      <c r="C6734" t="s">
        <v>9</v>
      </c>
      <c r="D6734" t="e">
        <f>VLOOKUP(C6734,'lookup table'!$A$2:$B$19,2,FALSE)</f>
        <v>#N/A</v>
      </c>
      <c r="E6734" t="str">
        <f t="shared" si="105"/>
        <v/>
      </c>
    </row>
    <row r="6735" spans="1:5" x14ac:dyDescent="0.2">
      <c r="A6735" t="s">
        <v>1392</v>
      </c>
      <c r="B6735" t="s">
        <v>1393</v>
      </c>
      <c r="C6735" t="s">
        <v>10</v>
      </c>
      <c r="D6735" t="e">
        <f>VLOOKUP(C6735,'lookup table'!$A$2:$B$19,2,FALSE)</f>
        <v>#N/A</v>
      </c>
      <c r="E6735" t="str">
        <f t="shared" si="105"/>
        <v/>
      </c>
    </row>
    <row r="6736" spans="1:5" x14ac:dyDescent="0.2">
      <c r="A6736" t="s">
        <v>1392</v>
      </c>
      <c r="B6736" t="s">
        <v>1393</v>
      </c>
      <c r="C6736" t="s">
        <v>11</v>
      </c>
      <c r="D6736" t="e">
        <f>VLOOKUP(C6736,'lookup table'!$A$2:$B$19,2,FALSE)</f>
        <v>#N/A</v>
      </c>
      <c r="E6736" t="str">
        <f t="shared" si="105"/>
        <v/>
      </c>
    </row>
    <row r="6737" spans="1:5" x14ac:dyDescent="0.2">
      <c r="A6737" t="s">
        <v>1392</v>
      </c>
      <c r="B6737" t="s">
        <v>1393</v>
      </c>
      <c r="C6737" t="s">
        <v>12</v>
      </c>
      <c r="D6737" t="e">
        <f>VLOOKUP(C6737,'lookup table'!$A$2:$B$19,2,FALSE)</f>
        <v>#N/A</v>
      </c>
      <c r="E6737" t="str">
        <f t="shared" si="105"/>
        <v/>
      </c>
    </row>
    <row r="6738" spans="1:5" x14ac:dyDescent="0.2">
      <c r="A6738" t="s">
        <v>1392</v>
      </c>
      <c r="B6738" t="s">
        <v>1393</v>
      </c>
      <c r="C6738" t="s">
        <v>14</v>
      </c>
      <c r="D6738" t="str">
        <f>VLOOKUP(C6738,'lookup table'!$A$2:$B$19,2,FALSE)</f>
        <v>ALC</v>
      </c>
      <c r="E6738" t="str">
        <f t="shared" si="105"/>
        <v>DR6PRU_00|ALC</v>
      </c>
    </row>
    <row r="6739" spans="1:5" x14ac:dyDescent="0.2">
      <c r="A6739" t="s">
        <v>1392</v>
      </c>
      <c r="B6739" t="s">
        <v>1393</v>
      </c>
      <c r="C6739" t="s">
        <v>20</v>
      </c>
      <c r="D6739" t="str">
        <f>VLOOKUP(C6739,'lookup table'!$A$2:$B$19,2,FALSE)</f>
        <v>AY</v>
      </c>
      <c r="E6739" t="str">
        <f t="shared" si="105"/>
        <v>DR6PRU_00|AY</v>
      </c>
    </row>
    <row r="6740" spans="1:5" x14ac:dyDescent="0.2">
      <c r="A6740" t="s">
        <v>1392</v>
      </c>
      <c r="B6740" t="s">
        <v>1393</v>
      </c>
      <c r="C6740" t="s">
        <v>136</v>
      </c>
      <c r="D6740" t="str">
        <f>VLOOKUP(C6740,'lookup table'!$A$2:$B$19,2,FALSE)</f>
        <v>BBA Set</v>
      </c>
      <c r="E6740" t="str">
        <f t="shared" si="105"/>
        <v>DR6PRU_00|BBA Set</v>
      </c>
    </row>
    <row r="6741" spans="1:5" x14ac:dyDescent="0.2">
      <c r="A6741" t="s">
        <v>1392</v>
      </c>
      <c r="B6741" t="s">
        <v>1393</v>
      </c>
      <c r="C6741" t="s">
        <v>324</v>
      </c>
      <c r="D6741" t="e">
        <f>VLOOKUP(C6741,'lookup table'!$A$2:$B$19,2,FALSE)</f>
        <v>#N/A</v>
      </c>
      <c r="E6741" t="str">
        <f t="shared" si="105"/>
        <v/>
      </c>
    </row>
    <row r="6742" spans="1:5" x14ac:dyDescent="0.2">
      <c r="A6742" t="s">
        <v>1392</v>
      </c>
      <c r="B6742" t="s">
        <v>1393</v>
      </c>
      <c r="C6742" t="s">
        <v>325</v>
      </c>
      <c r="D6742" t="e">
        <f>VLOOKUP(C6742,'lookup table'!$A$2:$B$19,2,FALSE)</f>
        <v>#N/A</v>
      </c>
      <c r="E6742" t="str">
        <f t="shared" si="105"/>
        <v/>
      </c>
    </row>
    <row r="6743" spans="1:5" x14ac:dyDescent="0.2">
      <c r="A6743" t="s">
        <v>1392</v>
      </c>
      <c r="B6743" t="s">
        <v>1393</v>
      </c>
      <c r="C6743" t="s">
        <v>326</v>
      </c>
      <c r="D6743" t="e">
        <f>VLOOKUP(C6743,'lookup table'!$A$2:$B$19,2,FALSE)</f>
        <v>#N/A</v>
      </c>
      <c r="E6743" t="str">
        <f t="shared" si="105"/>
        <v/>
      </c>
    </row>
    <row r="6744" spans="1:5" x14ac:dyDescent="0.2">
      <c r="A6744" t="s">
        <v>1392</v>
      </c>
      <c r="B6744" t="s">
        <v>1393</v>
      </c>
      <c r="C6744" t="s">
        <v>327</v>
      </c>
      <c r="D6744" t="e">
        <f>VLOOKUP(C6744,'lookup table'!$A$2:$B$19,2,FALSE)</f>
        <v>#N/A</v>
      </c>
      <c r="E6744" t="str">
        <f t="shared" si="105"/>
        <v/>
      </c>
    </row>
    <row r="6745" spans="1:5" x14ac:dyDescent="0.2">
      <c r="A6745" t="s">
        <v>1392</v>
      </c>
      <c r="B6745" t="s">
        <v>1393</v>
      </c>
      <c r="C6745" t="s">
        <v>328</v>
      </c>
      <c r="D6745" t="e">
        <f>VLOOKUP(C6745,'lookup table'!$A$2:$B$19,2,FALSE)</f>
        <v>#N/A</v>
      </c>
      <c r="E6745" t="str">
        <f t="shared" si="105"/>
        <v/>
      </c>
    </row>
    <row r="6746" spans="1:5" x14ac:dyDescent="0.2">
      <c r="A6746" t="s">
        <v>1392</v>
      </c>
      <c r="B6746" t="s">
        <v>1393</v>
      </c>
      <c r="C6746" t="s">
        <v>329</v>
      </c>
      <c r="D6746" t="e">
        <f>VLOOKUP(C6746,'lookup table'!$A$2:$B$19,2,FALSE)</f>
        <v>#N/A</v>
      </c>
      <c r="E6746" t="str">
        <f t="shared" si="105"/>
        <v/>
      </c>
    </row>
    <row r="6747" spans="1:5" x14ac:dyDescent="0.2">
      <c r="A6747" t="s">
        <v>1392</v>
      </c>
      <c r="B6747" t="s">
        <v>1393</v>
      </c>
      <c r="C6747" t="s">
        <v>331</v>
      </c>
      <c r="D6747" t="str">
        <f>VLOOKUP(C6747,'lookup table'!$A$2:$B$19,2,FALSE)</f>
        <v>FS Item</v>
      </c>
      <c r="E6747" t="str">
        <f t="shared" si="105"/>
        <v>DR6PRU_00|FS Item</v>
      </c>
    </row>
    <row r="6748" spans="1:5" x14ac:dyDescent="0.2">
      <c r="A6748" t="s">
        <v>1392</v>
      </c>
      <c r="B6748" t="s">
        <v>1393</v>
      </c>
      <c r="C6748" t="s">
        <v>422</v>
      </c>
      <c r="D6748" t="e">
        <f>VLOOKUP(C6748,'lookup table'!$A$2:$B$19,2,FALSE)</f>
        <v>#N/A</v>
      </c>
      <c r="E6748" t="str">
        <f t="shared" si="105"/>
        <v/>
      </c>
    </row>
    <row r="6749" spans="1:5" x14ac:dyDescent="0.2">
      <c r="A6749" t="s">
        <v>1392</v>
      </c>
      <c r="B6749" t="s">
        <v>1393</v>
      </c>
      <c r="C6749" t="s">
        <v>423</v>
      </c>
      <c r="D6749" t="str">
        <f>VLOOKUP(C6749,'lookup table'!$A$2:$B$19,2,FALSE)</f>
        <v>ignore</v>
      </c>
      <c r="E6749" t="str">
        <f t="shared" si="105"/>
        <v>DR6PRU_00|ignore</v>
      </c>
    </row>
    <row r="6750" spans="1:5" x14ac:dyDescent="0.2">
      <c r="A6750" t="s">
        <v>1392</v>
      </c>
      <c r="B6750" t="s">
        <v>1393</v>
      </c>
      <c r="C6750" t="s">
        <v>424</v>
      </c>
      <c r="D6750" t="str">
        <f>VLOOKUP(C6750,'lookup table'!$A$2:$B$19,2,FALSE)</f>
        <v>GRC</v>
      </c>
      <c r="E6750" t="str">
        <f t="shared" si="105"/>
        <v>DR6PRU_00|GRC</v>
      </c>
    </row>
    <row r="6751" spans="1:5" x14ac:dyDescent="0.2">
      <c r="A6751" t="s">
        <v>1392</v>
      </c>
      <c r="B6751" t="s">
        <v>1393</v>
      </c>
      <c r="C6751" t="s">
        <v>425</v>
      </c>
      <c r="D6751" t="str">
        <f>VLOOKUP(C6751,'lookup table'!$A$2:$B$19,2,FALSE)</f>
        <v>Investee Segment</v>
      </c>
      <c r="E6751" t="str">
        <f t="shared" si="105"/>
        <v>DR6PRU_00|Investee Segment</v>
      </c>
    </row>
    <row r="6752" spans="1:5" x14ac:dyDescent="0.2">
      <c r="A6752" t="s">
        <v>1392</v>
      </c>
      <c r="B6752" t="s">
        <v>1393</v>
      </c>
      <c r="C6752" t="s">
        <v>426</v>
      </c>
      <c r="D6752" t="str">
        <f>VLOOKUP(C6752,'lookup table'!$A$2:$B$19,2,FALSE)</f>
        <v>Investee Unit</v>
      </c>
      <c r="E6752" t="str">
        <f t="shared" si="105"/>
        <v>DR6PRU_00|Investee Unit</v>
      </c>
    </row>
    <row r="6753" spans="1:5" x14ac:dyDescent="0.2">
      <c r="A6753" t="s">
        <v>1392</v>
      </c>
      <c r="B6753" t="s">
        <v>1393</v>
      </c>
      <c r="C6753" t="s">
        <v>428</v>
      </c>
      <c r="D6753" t="str">
        <f>VLOOKUP(C6753,'lookup table'!$A$2:$B$19,2,FALSE)</f>
        <v>LoB</v>
      </c>
      <c r="E6753" t="str">
        <f t="shared" si="105"/>
        <v>DR6PRU_00|LoB</v>
      </c>
    </row>
    <row r="6754" spans="1:5" x14ac:dyDescent="0.2">
      <c r="A6754" t="s">
        <v>1392</v>
      </c>
      <c r="B6754" t="s">
        <v>1393</v>
      </c>
      <c r="C6754" t="s">
        <v>436</v>
      </c>
      <c r="D6754" t="str">
        <f>VLOOKUP(C6754,'lookup table'!$A$2:$B$19,2,FALSE)</f>
        <v>MAT</v>
      </c>
      <c r="E6754" t="str">
        <f t="shared" si="105"/>
        <v>DR6PRU_00|MAT</v>
      </c>
    </row>
    <row r="6755" spans="1:5" x14ac:dyDescent="0.2">
      <c r="A6755" t="s">
        <v>1392</v>
      </c>
      <c r="B6755" t="s">
        <v>1393</v>
      </c>
      <c r="C6755" t="s">
        <v>441</v>
      </c>
      <c r="D6755" t="str">
        <f>VLOOKUP(C6755,'lookup table'!$A$2:$B$19,2,FALSE)</f>
        <v>Partner Segment</v>
      </c>
      <c r="E6755" t="str">
        <f t="shared" si="105"/>
        <v>DR6PRU_00|Partner Segment</v>
      </c>
    </row>
    <row r="6756" spans="1:5" x14ac:dyDescent="0.2">
      <c r="A6756" t="s">
        <v>1392</v>
      </c>
      <c r="B6756" t="s">
        <v>1393</v>
      </c>
      <c r="C6756" t="s">
        <v>442</v>
      </c>
      <c r="D6756" t="str">
        <f>VLOOKUP(C6756,'lookup table'!$A$2:$B$19,2,FALSE)</f>
        <v>Partner Unit</v>
      </c>
      <c r="E6756" t="str">
        <f t="shared" si="105"/>
        <v>DR6PRU_00|Partner Unit</v>
      </c>
    </row>
    <row r="6757" spans="1:5" x14ac:dyDescent="0.2">
      <c r="A6757" t="s">
        <v>1392</v>
      </c>
      <c r="B6757" t="s">
        <v>1393</v>
      </c>
      <c r="C6757" t="s">
        <v>447</v>
      </c>
      <c r="D6757" t="str">
        <f>VLOOKUP(C6757,'lookup table'!$A$2:$B$19,2,FALSE)</f>
        <v>REX</v>
      </c>
      <c r="E6757" t="str">
        <f t="shared" si="105"/>
        <v>DR6PRU_00|REX</v>
      </c>
    </row>
    <row r="6758" spans="1:5" x14ac:dyDescent="0.2">
      <c r="A6758" t="s">
        <v>1392</v>
      </c>
      <c r="B6758" t="s">
        <v>1393</v>
      </c>
      <c r="C6758" t="s">
        <v>448</v>
      </c>
      <c r="D6758" t="e">
        <f>VLOOKUP(C6758,'lookup table'!$A$2:$B$19,2,FALSE)</f>
        <v>#N/A</v>
      </c>
      <c r="E6758" t="str">
        <f t="shared" si="105"/>
        <v/>
      </c>
    </row>
    <row r="6759" spans="1:5" x14ac:dyDescent="0.2">
      <c r="A6759" t="s">
        <v>1392</v>
      </c>
      <c r="B6759" t="s">
        <v>1393</v>
      </c>
      <c r="C6759" t="s">
        <v>449</v>
      </c>
      <c r="D6759" t="e">
        <f>VLOOKUP(C6759,'lookup table'!$A$2:$B$19,2,FALSE)</f>
        <v>#N/A</v>
      </c>
      <c r="E6759" t="str">
        <f t="shared" si="105"/>
        <v/>
      </c>
    </row>
    <row r="6760" spans="1:5" x14ac:dyDescent="0.2">
      <c r="A6760" t="s">
        <v>1392</v>
      </c>
      <c r="B6760" t="s">
        <v>1393</v>
      </c>
      <c r="C6760" t="s">
        <v>451</v>
      </c>
      <c r="D6760" t="str">
        <f>VLOOKUP(C6760,'lookup table'!$A$2:$B$19,2,FALSE)</f>
        <v>Segment</v>
      </c>
      <c r="E6760" t="str">
        <f t="shared" si="105"/>
        <v>DR6PRU_00|Segment</v>
      </c>
    </row>
    <row r="6761" spans="1:5" x14ac:dyDescent="0.2">
      <c r="A6761" t="s">
        <v>1392</v>
      </c>
      <c r="B6761" t="s">
        <v>1393</v>
      </c>
      <c r="C6761" t="s">
        <v>455</v>
      </c>
      <c r="D6761" t="e">
        <f>VLOOKUP(C6761,'lookup table'!$A$2:$B$19,2,FALSE)</f>
        <v>#N/A</v>
      </c>
      <c r="E6761" t="str">
        <f t="shared" si="105"/>
        <v/>
      </c>
    </row>
    <row r="6762" spans="1:5" x14ac:dyDescent="0.2">
      <c r="A6762" t="s">
        <v>1392</v>
      </c>
      <c r="B6762" t="s">
        <v>1393</v>
      </c>
      <c r="C6762" t="s">
        <v>456</v>
      </c>
      <c r="D6762" t="e">
        <f>VLOOKUP(C6762,'lookup table'!$A$2:$B$19,2,FALSE)</f>
        <v>#N/A</v>
      </c>
      <c r="E6762" t="str">
        <f t="shared" si="105"/>
        <v/>
      </c>
    </row>
    <row r="6763" spans="1:5" x14ac:dyDescent="0.2">
      <c r="A6763" t="s">
        <v>1392</v>
      </c>
      <c r="B6763" t="s">
        <v>1393</v>
      </c>
      <c r="C6763" t="s">
        <v>457</v>
      </c>
      <c r="D6763" t="str">
        <f>VLOOKUP(C6763,'lookup table'!$A$2:$B$19,2,FALSE)</f>
        <v>VLT</v>
      </c>
      <c r="E6763" t="str">
        <f t="shared" si="105"/>
        <v>DR6PRU_00|VLT</v>
      </c>
    </row>
    <row r="6764" spans="1:5" x14ac:dyDescent="0.2">
      <c r="A6764" t="s">
        <v>1392</v>
      </c>
      <c r="B6764" t="s">
        <v>1393</v>
      </c>
      <c r="C6764" t="s">
        <v>458</v>
      </c>
      <c r="D6764" t="str">
        <f>VLOOKUP(C6764,'lookup table'!$A$2:$B$19,2,FALSE)</f>
        <v>VAR</v>
      </c>
      <c r="E6764" t="str">
        <f t="shared" si="105"/>
        <v>DR6PRU_00|VAR</v>
      </c>
    </row>
    <row r="6765" spans="1:5" x14ac:dyDescent="0.2">
      <c r="A6765" t="s">
        <v>1392</v>
      </c>
      <c r="B6765" t="s">
        <v>1393</v>
      </c>
      <c r="C6765" t="s">
        <v>459</v>
      </c>
      <c r="D6765" t="e">
        <f>VLOOKUP(C6765,'lookup table'!$A$2:$B$19,2,FALSE)</f>
        <v>#N/A</v>
      </c>
      <c r="E6765" t="str">
        <f t="shared" si="105"/>
        <v/>
      </c>
    </row>
    <row r="6766" spans="1:5" x14ac:dyDescent="0.2">
      <c r="A6766" t="s">
        <v>1392</v>
      </c>
      <c r="B6766" t="s">
        <v>1393</v>
      </c>
      <c r="C6766" t="s">
        <v>460</v>
      </c>
      <c r="D6766" t="e">
        <f>VLOOKUP(C6766,'lookup table'!$A$2:$B$19,2,FALSE)</f>
        <v>#N/A</v>
      </c>
      <c r="E6766" t="str">
        <f t="shared" si="105"/>
        <v/>
      </c>
    </row>
    <row r="6767" spans="1:5" x14ac:dyDescent="0.2">
      <c r="A6767" t="s">
        <v>1392</v>
      </c>
      <c r="B6767" t="s">
        <v>1393</v>
      </c>
      <c r="C6767" t="s">
        <v>461</v>
      </c>
      <c r="D6767" t="str">
        <f>VLOOKUP(C6767,'lookup table'!$A$2:$B$19,2,FALSE)</f>
        <v>Posting Level</v>
      </c>
      <c r="E6767" t="str">
        <f t="shared" si="105"/>
        <v>DR6PRU_00|Posting Level</v>
      </c>
    </row>
    <row r="6768" spans="1:5" x14ac:dyDescent="0.2">
      <c r="A6768" t="s">
        <v>1392</v>
      </c>
      <c r="B6768" t="s">
        <v>1393</v>
      </c>
      <c r="C6768" t="s">
        <v>462</v>
      </c>
      <c r="D6768" t="e">
        <f>VLOOKUP(C6768,'lookup table'!$A$2:$B$19,2,FALSE)</f>
        <v>#N/A</v>
      </c>
      <c r="E6768" t="str">
        <f t="shared" si="105"/>
        <v/>
      </c>
    </row>
    <row r="6769" spans="1:5" x14ac:dyDescent="0.2">
      <c r="A6769" t="s">
        <v>1392</v>
      </c>
      <c r="B6769" t="s">
        <v>1393</v>
      </c>
      <c r="C6769" t="s">
        <v>463</v>
      </c>
      <c r="D6769" t="e">
        <f>VLOOKUP(C6769,'lookup table'!$A$2:$B$19,2,FALSE)</f>
        <v>#N/A</v>
      </c>
      <c r="E6769" t="str">
        <f t="shared" si="105"/>
        <v/>
      </c>
    </row>
    <row r="6770" spans="1:5" x14ac:dyDescent="0.2">
      <c r="A6770" t="s">
        <v>1392</v>
      </c>
      <c r="B6770" t="s">
        <v>1393</v>
      </c>
      <c r="C6770" t="s">
        <v>464</v>
      </c>
      <c r="D6770" t="e">
        <f>VLOOKUP(C6770,'lookup table'!$A$2:$B$19,2,FALSE)</f>
        <v>#N/A</v>
      </c>
      <c r="E6770" t="str">
        <f t="shared" si="105"/>
        <v/>
      </c>
    </row>
    <row r="6771" spans="1:5" x14ac:dyDescent="0.2">
      <c r="A6771" t="s">
        <v>1392</v>
      </c>
      <c r="B6771" t="s">
        <v>1393</v>
      </c>
      <c r="C6771" t="s">
        <v>465</v>
      </c>
      <c r="D6771" t="e">
        <f>VLOOKUP(C6771,'lookup table'!$A$2:$B$19,2,FALSE)</f>
        <v>#N/A</v>
      </c>
      <c r="E6771" t="str">
        <f t="shared" si="105"/>
        <v/>
      </c>
    </row>
    <row r="6772" spans="1:5" x14ac:dyDescent="0.2">
      <c r="A6772" t="s">
        <v>1394</v>
      </c>
      <c r="B6772" t="s">
        <v>1393</v>
      </c>
      <c r="C6772" t="s">
        <v>2</v>
      </c>
      <c r="D6772" t="e">
        <f>VLOOKUP(C6772,'lookup table'!$A$2:$B$19,2,FALSE)</f>
        <v>#N/A</v>
      </c>
      <c r="E6772" t="str">
        <f t="shared" si="105"/>
        <v/>
      </c>
    </row>
    <row r="6773" spans="1:5" x14ac:dyDescent="0.2">
      <c r="A6773" t="s">
        <v>1394</v>
      </c>
      <c r="B6773" t="s">
        <v>1393</v>
      </c>
      <c r="C6773" t="s">
        <v>5</v>
      </c>
      <c r="D6773" t="e">
        <f>VLOOKUP(C6773,'lookup table'!$A$2:$B$19,2,FALSE)</f>
        <v>#N/A</v>
      </c>
      <c r="E6773" t="str">
        <f t="shared" si="105"/>
        <v/>
      </c>
    </row>
    <row r="6774" spans="1:5" x14ac:dyDescent="0.2">
      <c r="A6774" t="s">
        <v>1394</v>
      </c>
      <c r="B6774" t="s">
        <v>1393</v>
      </c>
      <c r="C6774" t="s">
        <v>6</v>
      </c>
      <c r="D6774" t="e">
        <f>VLOOKUP(C6774,'lookup table'!$A$2:$B$19,2,FALSE)</f>
        <v>#N/A</v>
      </c>
      <c r="E6774" t="str">
        <f t="shared" si="105"/>
        <v/>
      </c>
    </row>
    <row r="6775" spans="1:5" x14ac:dyDescent="0.2">
      <c r="A6775" t="s">
        <v>1394</v>
      </c>
      <c r="B6775" t="s">
        <v>1393</v>
      </c>
      <c r="C6775" t="s">
        <v>9</v>
      </c>
      <c r="D6775" t="e">
        <f>VLOOKUP(C6775,'lookup table'!$A$2:$B$19,2,FALSE)</f>
        <v>#N/A</v>
      </c>
      <c r="E6775" t="str">
        <f t="shared" si="105"/>
        <v/>
      </c>
    </row>
    <row r="6776" spans="1:5" x14ac:dyDescent="0.2">
      <c r="A6776" t="s">
        <v>1394</v>
      </c>
      <c r="B6776" t="s">
        <v>1393</v>
      </c>
      <c r="C6776" t="s">
        <v>10</v>
      </c>
      <c r="D6776" t="e">
        <f>VLOOKUP(C6776,'lookup table'!$A$2:$B$19,2,FALSE)</f>
        <v>#N/A</v>
      </c>
      <c r="E6776" t="str">
        <f t="shared" si="105"/>
        <v/>
      </c>
    </row>
    <row r="6777" spans="1:5" x14ac:dyDescent="0.2">
      <c r="A6777" t="s">
        <v>1394</v>
      </c>
      <c r="B6777" t="s">
        <v>1393</v>
      </c>
      <c r="C6777" t="s">
        <v>11</v>
      </c>
      <c r="D6777" t="e">
        <f>VLOOKUP(C6777,'lookup table'!$A$2:$B$19,2,FALSE)</f>
        <v>#N/A</v>
      </c>
      <c r="E6777" t="str">
        <f t="shared" si="105"/>
        <v/>
      </c>
    </row>
    <row r="6778" spans="1:5" x14ac:dyDescent="0.2">
      <c r="A6778" t="s">
        <v>1394</v>
      </c>
      <c r="B6778" t="s">
        <v>1393</v>
      </c>
      <c r="C6778" t="s">
        <v>12</v>
      </c>
      <c r="D6778" t="e">
        <f>VLOOKUP(C6778,'lookup table'!$A$2:$B$19,2,FALSE)</f>
        <v>#N/A</v>
      </c>
      <c r="E6778" t="str">
        <f t="shared" si="105"/>
        <v/>
      </c>
    </row>
    <row r="6779" spans="1:5" x14ac:dyDescent="0.2">
      <c r="A6779" t="s">
        <v>1394</v>
      </c>
      <c r="B6779" t="s">
        <v>1393</v>
      </c>
      <c r="C6779" t="s">
        <v>14</v>
      </c>
      <c r="D6779" t="str">
        <f>VLOOKUP(C6779,'lookup table'!$A$2:$B$19,2,FALSE)</f>
        <v>ALC</v>
      </c>
      <c r="E6779" t="str">
        <f t="shared" si="105"/>
        <v>DR6PRU_14|ALC</v>
      </c>
    </row>
    <row r="6780" spans="1:5" x14ac:dyDescent="0.2">
      <c r="A6780" t="s">
        <v>1394</v>
      </c>
      <c r="B6780" t="s">
        <v>1393</v>
      </c>
      <c r="C6780" t="s">
        <v>20</v>
      </c>
      <c r="D6780" t="str">
        <f>VLOOKUP(C6780,'lookup table'!$A$2:$B$19,2,FALSE)</f>
        <v>AY</v>
      </c>
      <c r="E6780" t="str">
        <f t="shared" si="105"/>
        <v>DR6PRU_14|AY</v>
      </c>
    </row>
    <row r="6781" spans="1:5" x14ac:dyDescent="0.2">
      <c r="A6781" t="s">
        <v>1394</v>
      </c>
      <c r="B6781" t="s">
        <v>1393</v>
      </c>
      <c r="C6781" t="s">
        <v>136</v>
      </c>
      <c r="D6781" t="str">
        <f>VLOOKUP(C6781,'lookup table'!$A$2:$B$19,2,FALSE)</f>
        <v>BBA Set</v>
      </c>
      <c r="E6781" t="str">
        <f t="shared" si="105"/>
        <v>DR6PRU_14|BBA Set</v>
      </c>
    </row>
    <row r="6782" spans="1:5" x14ac:dyDescent="0.2">
      <c r="A6782" t="s">
        <v>1394</v>
      </c>
      <c r="B6782" t="s">
        <v>1393</v>
      </c>
      <c r="C6782" t="s">
        <v>324</v>
      </c>
      <c r="D6782" t="e">
        <f>VLOOKUP(C6782,'lookup table'!$A$2:$B$19,2,FALSE)</f>
        <v>#N/A</v>
      </c>
      <c r="E6782" t="str">
        <f t="shared" si="105"/>
        <v/>
      </c>
    </row>
    <row r="6783" spans="1:5" x14ac:dyDescent="0.2">
      <c r="A6783" t="s">
        <v>1394</v>
      </c>
      <c r="B6783" t="s">
        <v>1393</v>
      </c>
      <c r="C6783" t="s">
        <v>325</v>
      </c>
      <c r="D6783" t="e">
        <f>VLOOKUP(C6783,'lookup table'!$A$2:$B$19,2,FALSE)</f>
        <v>#N/A</v>
      </c>
      <c r="E6783" t="str">
        <f t="shared" si="105"/>
        <v/>
      </c>
    </row>
    <row r="6784" spans="1:5" x14ac:dyDescent="0.2">
      <c r="A6784" t="s">
        <v>1394</v>
      </c>
      <c r="B6784" t="s">
        <v>1393</v>
      </c>
      <c r="C6784" t="s">
        <v>326</v>
      </c>
      <c r="D6784" t="e">
        <f>VLOOKUP(C6784,'lookup table'!$A$2:$B$19,2,FALSE)</f>
        <v>#N/A</v>
      </c>
      <c r="E6784" t="str">
        <f t="shared" si="105"/>
        <v/>
      </c>
    </row>
    <row r="6785" spans="1:5" x14ac:dyDescent="0.2">
      <c r="A6785" t="s">
        <v>1394</v>
      </c>
      <c r="B6785" t="s">
        <v>1393</v>
      </c>
      <c r="C6785" t="s">
        <v>327</v>
      </c>
      <c r="D6785" t="e">
        <f>VLOOKUP(C6785,'lookup table'!$A$2:$B$19,2,FALSE)</f>
        <v>#N/A</v>
      </c>
      <c r="E6785" t="str">
        <f t="shared" si="105"/>
        <v/>
      </c>
    </row>
    <row r="6786" spans="1:5" x14ac:dyDescent="0.2">
      <c r="A6786" t="s">
        <v>1394</v>
      </c>
      <c r="B6786" t="s">
        <v>1393</v>
      </c>
      <c r="C6786" t="s">
        <v>328</v>
      </c>
      <c r="D6786" t="e">
        <f>VLOOKUP(C6786,'lookup table'!$A$2:$B$19,2,FALSE)</f>
        <v>#N/A</v>
      </c>
      <c r="E6786" t="str">
        <f t="shared" si="105"/>
        <v/>
      </c>
    </row>
    <row r="6787" spans="1:5" x14ac:dyDescent="0.2">
      <c r="A6787" t="s">
        <v>1394</v>
      </c>
      <c r="B6787" t="s">
        <v>1393</v>
      </c>
      <c r="C6787" t="s">
        <v>329</v>
      </c>
      <c r="D6787" t="e">
        <f>VLOOKUP(C6787,'lookup table'!$A$2:$B$19,2,FALSE)</f>
        <v>#N/A</v>
      </c>
      <c r="E6787" t="str">
        <f t="shared" ref="E6787:E6850" si="106">IF(ISNA(D6787),"",IF(A6787="","",A6787) &amp; "|" &amp; D6787)</f>
        <v/>
      </c>
    </row>
    <row r="6788" spans="1:5" x14ac:dyDescent="0.2">
      <c r="A6788" t="s">
        <v>1394</v>
      </c>
      <c r="B6788" t="s">
        <v>1393</v>
      </c>
      <c r="C6788" t="s">
        <v>331</v>
      </c>
      <c r="D6788" t="str">
        <f>VLOOKUP(C6788,'lookup table'!$A$2:$B$19,2,FALSE)</f>
        <v>FS Item</v>
      </c>
      <c r="E6788" t="str">
        <f t="shared" si="106"/>
        <v>DR6PRU_14|FS Item</v>
      </c>
    </row>
    <row r="6789" spans="1:5" x14ac:dyDescent="0.2">
      <c r="A6789" t="s">
        <v>1394</v>
      </c>
      <c r="B6789" t="s">
        <v>1393</v>
      </c>
      <c r="C6789" t="s">
        <v>422</v>
      </c>
      <c r="D6789" t="e">
        <f>VLOOKUP(C6789,'lookup table'!$A$2:$B$19,2,FALSE)</f>
        <v>#N/A</v>
      </c>
      <c r="E6789" t="str">
        <f t="shared" si="106"/>
        <v/>
      </c>
    </row>
    <row r="6790" spans="1:5" x14ac:dyDescent="0.2">
      <c r="A6790" t="s">
        <v>1394</v>
      </c>
      <c r="B6790" t="s">
        <v>1393</v>
      </c>
      <c r="C6790" t="s">
        <v>423</v>
      </c>
      <c r="D6790" t="str">
        <f>VLOOKUP(C6790,'lookup table'!$A$2:$B$19,2,FALSE)</f>
        <v>ignore</v>
      </c>
      <c r="E6790" t="str">
        <f t="shared" si="106"/>
        <v>DR6PRU_14|ignore</v>
      </c>
    </row>
    <row r="6791" spans="1:5" x14ac:dyDescent="0.2">
      <c r="A6791" t="s">
        <v>1394</v>
      </c>
      <c r="B6791" t="s">
        <v>1393</v>
      </c>
      <c r="C6791" t="s">
        <v>424</v>
      </c>
      <c r="D6791" t="str">
        <f>VLOOKUP(C6791,'lookup table'!$A$2:$B$19,2,FALSE)</f>
        <v>GRC</v>
      </c>
      <c r="E6791" t="str">
        <f t="shared" si="106"/>
        <v>DR6PRU_14|GRC</v>
      </c>
    </row>
    <row r="6792" spans="1:5" x14ac:dyDescent="0.2">
      <c r="A6792" t="s">
        <v>1394</v>
      </c>
      <c r="B6792" t="s">
        <v>1393</v>
      </c>
      <c r="C6792" t="s">
        <v>425</v>
      </c>
      <c r="D6792" t="str">
        <f>VLOOKUP(C6792,'lookup table'!$A$2:$B$19,2,FALSE)</f>
        <v>Investee Segment</v>
      </c>
      <c r="E6792" t="str">
        <f t="shared" si="106"/>
        <v>DR6PRU_14|Investee Segment</v>
      </c>
    </row>
    <row r="6793" spans="1:5" x14ac:dyDescent="0.2">
      <c r="A6793" t="s">
        <v>1394</v>
      </c>
      <c r="B6793" t="s">
        <v>1393</v>
      </c>
      <c r="C6793" t="s">
        <v>426</v>
      </c>
      <c r="D6793" t="str">
        <f>VLOOKUP(C6793,'lookup table'!$A$2:$B$19,2,FALSE)</f>
        <v>Investee Unit</v>
      </c>
      <c r="E6793" t="str">
        <f t="shared" si="106"/>
        <v>DR6PRU_14|Investee Unit</v>
      </c>
    </row>
    <row r="6794" spans="1:5" x14ac:dyDescent="0.2">
      <c r="A6794" t="s">
        <v>1394</v>
      </c>
      <c r="B6794" t="s">
        <v>1393</v>
      </c>
      <c r="C6794" t="s">
        <v>428</v>
      </c>
      <c r="D6794" t="str">
        <f>VLOOKUP(C6794,'lookup table'!$A$2:$B$19,2,FALSE)</f>
        <v>LoB</v>
      </c>
      <c r="E6794" t="str">
        <f t="shared" si="106"/>
        <v>DR6PRU_14|LoB</v>
      </c>
    </row>
    <row r="6795" spans="1:5" x14ac:dyDescent="0.2">
      <c r="A6795" t="s">
        <v>1394</v>
      </c>
      <c r="B6795" t="s">
        <v>1393</v>
      </c>
      <c r="C6795" t="s">
        <v>436</v>
      </c>
      <c r="D6795" t="str">
        <f>VLOOKUP(C6795,'lookup table'!$A$2:$B$19,2,FALSE)</f>
        <v>MAT</v>
      </c>
      <c r="E6795" t="str">
        <f t="shared" si="106"/>
        <v>DR6PRU_14|MAT</v>
      </c>
    </row>
    <row r="6796" spans="1:5" x14ac:dyDescent="0.2">
      <c r="A6796" t="s">
        <v>1394</v>
      </c>
      <c r="B6796" t="s">
        <v>1393</v>
      </c>
      <c r="C6796" t="s">
        <v>441</v>
      </c>
      <c r="D6796" t="str">
        <f>VLOOKUP(C6796,'lookup table'!$A$2:$B$19,2,FALSE)</f>
        <v>Partner Segment</v>
      </c>
      <c r="E6796" t="str">
        <f t="shared" si="106"/>
        <v>DR6PRU_14|Partner Segment</v>
      </c>
    </row>
    <row r="6797" spans="1:5" x14ac:dyDescent="0.2">
      <c r="A6797" t="s">
        <v>1394</v>
      </c>
      <c r="B6797" t="s">
        <v>1393</v>
      </c>
      <c r="C6797" t="s">
        <v>442</v>
      </c>
      <c r="D6797" t="str">
        <f>VLOOKUP(C6797,'lookup table'!$A$2:$B$19,2,FALSE)</f>
        <v>Partner Unit</v>
      </c>
      <c r="E6797" t="str">
        <f t="shared" si="106"/>
        <v>DR6PRU_14|Partner Unit</v>
      </c>
    </row>
    <row r="6798" spans="1:5" x14ac:dyDescent="0.2">
      <c r="A6798" t="s">
        <v>1394</v>
      </c>
      <c r="B6798" t="s">
        <v>1393</v>
      </c>
      <c r="C6798" t="s">
        <v>447</v>
      </c>
      <c r="D6798" t="str">
        <f>VLOOKUP(C6798,'lookup table'!$A$2:$B$19,2,FALSE)</f>
        <v>REX</v>
      </c>
      <c r="E6798" t="str">
        <f t="shared" si="106"/>
        <v>DR6PRU_14|REX</v>
      </c>
    </row>
    <row r="6799" spans="1:5" x14ac:dyDescent="0.2">
      <c r="A6799" t="s">
        <v>1394</v>
      </c>
      <c r="B6799" t="s">
        <v>1393</v>
      </c>
      <c r="C6799" t="s">
        <v>448</v>
      </c>
      <c r="D6799" t="e">
        <f>VLOOKUP(C6799,'lookup table'!$A$2:$B$19,2,FALSE)</f>
        <v>#N/A</v>
      </c>
      <c r="E6799" t="str">
        <f t="shared" si="106"/>
        <v/>
      </c>
    </row>
    <row r="6800" spans="1:5" x14ac:dyDescent="0.2">
      <c r="A6800" t="s">
        <v>1394</v>
      </c>
      <c r="B6800" t="s">
        <v>1393</v>
      </c>
      <c r="C6800" t="s">
        <v>449</v>
      </c>
      <c r="D6800" t="e">
        <f>VLOOKUP(C6800,'lookup table'!$A$2:$B$19,2,FALSE)</f>
        <v>#N/A</v>
      </c>
      <c r="E6800" t="str">
        <f t="shared" si="106"/>
        <v/>
      </c>
    </row>
    <row r="6801" spans="1:5" x14ac:dyDescent="0.2">
      <c r="A6801" t="s">
        <v>1394</v>
      </c>
      <c r="B6801" t="s">
        <v>1393</v>
      </c>
      <c r="C6801" t="s">
        <v>451</v>
      </c>
      <c r="D6801" t="str">
        <f>VLOOKUP(C6801,'lookup table'!$A$2:$B$19,2,FALSE)</f>
        <v>Segment</v>
      </c>
      <c r="E6801" t="str">
        <f t="shared" si="106"/>
        <v>DR6PRU_14|Segment</v>
      </c>
    </row>
    <row r="6802" spans="1:5" x14ac:dyDescent="0.2">
      <c r="A6802" t="s">
        <v>1394</v>
      </c>
      <c r="B6802" t="s">
        <v>1393</v>
      </c>
      <c r="C6802" t="s">
        <v>455</v>
      </c>
      <c r="D6802" t="e">
        <f>VLOOKUP(C6802,'lookup table'!$A$2:$B$19,2,FALSE)</f>
        <v>#N/A</v>
      </c>
      <c r="E6802" t="str">
        <f t="shared" si="106"/>
        <v/>
      </c>
    </row>
    <row r="6803" spans="1:5" x14ac:dyDescent="0.2">
      <c r="A6803" t="s">
        <v>1394</v>
      </c>
      <c r="B6803" t="s">
        <v>1393</v>
      </c>
      <c r="C6803" t="s">
        <v>456</v>
      </c>
      <c r="D6803" t="e">
        <f>VLOOKUP(C6803,'lookup table'!$A$2:$B$19,2,FALSE)</f>
        <v>#N/A</v>
      </c>
      <c r="E6803" t="str">
        <f t="shared" si="106"/>
        <v/>
      </c>
    </row>
    <row r="6804" spans="1:5" x14ac:dyDescent="0.2">
      <c r="A6804" t="s">
        <v>1394</v>
      </c>
      <c r="B6804" t="s">
        <v>1393</v>
      </c>
      <c r="C6804" t="s">
        <v>457</v>
      </c>
      <c r="D6804" t="str">
        <f>VLOOKUP(C6804,'lookup table'!$A$2:$B$19,2,FALSE)</f>
        <v>VLT</v>
      </c>
      <c r="E6804" t="str">
        <f t="shared" si="106"/>
        <v>DR6PRU_14|VLT</v>
      </c>
    </row>
    <row r="6805" spans="1:5" x14ac:dyDescent="0.2">
      <c r="A6805" t="s">
        <v>1394</v>
      </c>
      <c r="B6805" t="s">
        <v>1393</v>
      </c>
      <c r="C6805" t="s">
        <v>458</v>
      </c>
      <c r="D6805" t="str">
        <f>VLOOKUP(C6805,'lookup table'!$A$2:$B$19,2,FALSE)</f>
        <v>VAR</v>
      </c>
      <c r="E6805" t="str">
        <f t="shared" si="106"/>
        <v>DR6PRU_14|VAR</v>
      </c>
    </row>
    <row r="6806" spans="1:5" x14ac:dyDescent="0.2">
      <c r="A6806" t="s">
        <v>1394</v>
      </c>
      <c r="B6806" t="s">
        <v>1393</v>
      </c>
      <c r="C6806" t="s">
        <v>459</v>
      </c>
      <c r="D6806" t="e">
        <f>VLOOKUP(C6806,'lookup table'!$A$2:$B$19,2,FALSE)</f>
        <v>#N/A</v>
      </c>
      <c r="E6806" t="str">
        <f t="shared" si="106"/>
        <v/>
      </c>
    </row>
    <row r="6807" spans="1:5" x14ac:dyDescent="0.2">
      <c r="A6807" t="s">
        <v>1394</v>
      </c>
      <c r="B6807" t="s">
        <v>1393</v>
      </c>
      <c r="C6807" t="s">
        <v>460</v>
      </c>
      <c r="D6807" t="e">
        <f>VLOOKUP(C6807,'lookup table'!$A$2:$B$19,2,FALSE)</f>
        <v>#N/A</v>
      </c>
      <c r="E6807" t="str">
        <f t="shared" si="106"/>
        <v/>
      </c>
    </row>
    <row r="6808" spans="1:5" x14ac:dyDescent="0.2">
      <c r="A6808" t="s">
        <v>1394</v>
      </c>
      <c r="B6808" t="s">
        <v>1393</v>
      </c>
      <c r="C6808" t="s">
        <v>461</v>
      </c>
      <c r="D6808" t="str">
        <f>VLOOKUP(C6808,'lookup table'!$A$2:$B$19,2,FALSE)</f>
        <v>Posting Level</v>
      </c>
      <c r="E6808" t="str">
        <f t="shared" si="106"/>
        <v>DR6PRU_14|Posting Level</v>
      </c>
    </row>
    <row r="6809" spans="1:5" x14ac:dyDescent="0.2">
      <c r="A6809" t="s">
        <v>1394</v>
      </c>
      <c r="B6809" t="s">
        <v>1393</v>
      </c>
      <c r="C6809" t="s">
        <v>462</v>
      </c>
      <c r="D6809" t="e">
        <f>VLOOKUP(C6809,'lookup table'!$A$2:$B$19,2,FALSE)</f>
        <v>#N/A</v>
      </c>
      <c r="E6809" t="str">
        <f t="shared" si="106"/>
        <v/>
      </c>
    </row>
    <row r="6810" spans="1:5" x14ac:dyDescent="0.2">
      <c r="A6810" t="s">
        <v>1394</v>
      </c>
      <c r="B6810" t="s">
        <v>1393</v>
      </c>
      <c r="C6810" t="s">
        <v>463</v>
      </c>
      <c r="D6810" t="e">
        <f>VLOOKUP(C6810,'lookup table'!$A$2:$B$19,2,FALSE)</f>
        <v>#N/A</v>
      </c>
      <c r="E6810" t="str">
        <f t="shared" si="106"/>
        <v/>
      </c>
    </row>
    <row r="6811" spans="1:5" x14ac:dyDescent="0.2">
      <c r="A6811" t="s">
        <v>1394</v>
      </c>
      <c r="B6811" t="s">
        <v>1393</v>
      </c>
      <c r="C6811" t="s">
        <v>464</v>
      </c>
      <c r="D6811" t="e">
        <f>VLOOKUP(C6811,'lookup table'!$A$2:$B$19,2,FALSE)</f>
        <v>#N/A</v>
      </c>
      <c r="E6811" t="str">
        <f t="shared" si="106"/>
        <v/>
      </c>
    </row>
    <row r="6812" spans="1:5" x14ac:dyDescent="0.2">
      <c r="A6812" t="s">
        <v>1394</v>
      </c>
      <c r="B6812" t="s">
        <v>1393</v>
      </c>
      <c r="C6812" t="s">
        <v>465</v>
      </c>
      <c r="D6812" t="e">
        <f>VLOOKUP(C6812,'lookup table'!$A$2:$B$19,2,FALSE)</f>
        <v>#N/A</v>
      </c>
      <c r="E6812" t="str">
        <f t="shared" si="106"/>
        <v/>
      </c>
    </row>
    <row r="6813" spans="1:5" x14ac:dyDescent="0.2">
      <c r="A6813" t="s">
        <v>1395</v>
      </c>
      <c r="B6813" t="s">
        <v>1396</v>
      </c>
      <c r="C6813" t="s">
        <v>2</v>
      </c>
      <c r="D6813" t="e">
        <f>VLOOKUP(C6813,'lookup table'!$A$2:$B$19,2,FALSE)</f>
        <v>#N/A</v>
      </c>
      <c r="E6813" t="str">
        <f t="shared" si="106"/>
        <v/>
      </c>
    </row>
    <row r="6814" spans="1:5" x14ac:dyDescent="0.2">
      <c r="A6814" t="s">
        <v>1395</v>
      </c>
      <c r="B6814" t="s">
        <v>1396</v>
      </c>
      <c r="C6814" t="s">
        <v>5</v>
      </c>
      <c r="D6814" t="e">
        <f>VLOOKUP(C6814,'lookup table'!$A$2:$B$19,2,FALSE)</f>
        <v>#N/A</v>
      </c>
      <c r="E6814" t="str">
        <f t="shared" si="106"/>
        <v/>
      </c>
    </row>
    <row r="6815" spans="1:5" x14ac:dyDescent="0.2">
      <c r="A6815" t="s">
        <v>1395</v>
      </c>
      <c r="B6815" t="s">
        <v>1396</v>
      </c>
      <c r="C6815" t="s">
        <v>6</v>
      </c>
      <c r="D6815" t="e">
        <f>VLOOKUP(C6815,'lookup table'!$A$2:$B$19,2,FALSE)</f>
        <v>#N/A</v>
      </c>
      <c r="E6815" t="str">
        <f t="shared" si="106"/>
        <v/>
      </c>
    </row>
    <row r="6816" spans="1:5" x14ac:dyDescent="0.2">
      <c r="A6816" t="s">
        <v>1395</v>
      </c>
      <c r="B6816" t="s">
        <v>1396</v>
      </c>
      <c r="C6816" t="s">
        <v>9</v>
      </c>
      <c r="D6816" t="e">
        <f>VLOOKUP(C6816,'lookup table'!$A$2:$B$19,2,FALSE)</f>
        <v>#N/A</v>
      </c>
      <c r="E6816" t="str">
        <f t="shared" si="106"/>
        <v/>
      </c>
    </row>
    <row r="6817" spans="1:5" x14ac:dyDescent="0.2">
      <c r="A6817" t="s">
        <v>1395</v>
      </c>
      <c r="B6817" t="s">
        <v>1396</v>
      </c>
      <c r="C6817" t="s">
        <v>10</v>
      </c>
      <c r="D6817" t="e">
        <f>VLOOKUP(C6817,'lookup table'!$A$2:$B$19,2,FALSE)</f>
        <v>#N/A</v>
      </c>
      <c r="E6817" t="str">
        <f t="shared" si="106"/>
        <v/>
      </c>
    </row>
    <row r="6818" spans="1:5" x14ac:dyDescent="0.2">
      <c r="A6818" t="s">
        <v>1395</v>
      </c>
      <c r="B6818" t="s">
        <v>1396</v>
      </c>
      <c r="C6818" t="s">
        <v>11</v>
      </c>
      <c r="D6818" t="e">
        <f>VLOOKUP(C6818,'lookup table'!$A$2:$B$19,2,FALSE)</f>
        <v>#N/A</v>
      </c>
      <c r="E6818" t="str">
        <f t="shared" si="106"/>
        <v/>
      </c>
    </row>
    <row r="6819" spans="1:5" x14ac:dyDescent="0.2">
      <c r="A6819" t="s">
        <v>1395</v>
      </c>
      <c r="B6819" t="s">
        <v>1396</v>
      </c>
      <c r="C6819" t="s">
        <v>12</v>
      </c>
      <c r="D6819" t="e">
        <f>VLOOKUP(C6819,'lookup table'!$A$2:$B$19,2,FALSE)</f>
        <v>#N/A</v>
      </c>
      <c r="E6819" t="str">
        <f t="shared" si="106"/>
        <v/>
      </c>
    </row>
    <row r="6820" spans="1:5" x14ac:dyDescent="0.2">
      <c r="A6820" t="s">
        <v>1395</v>
      </c>
      <c r="B6820" t="s">
        <v>1396</v>
      </c>
      <c r="C6820" t="s">
        <v>14</v>
      </c>
      <c r="D6820" t="str">
        <f>VLOOKUP(C6820,'lookup table'!$A$2:$B$19,2,FALSE)</f>
        <v>ALC</v>
      </c>
      <c r="E6820" t="str">
        <f t="shared" si="106"/>
        <v>DR6PSE_00|ALC</v>
      </c>
    </row>
    <row r="6821" spans="1:5" x14ac:dyDescent="0.2">
      <c r="A6821" t="s">
        <v>1395</v>
      </c>
      <c r="B6821" t="s">
        <v>1396</v>
      </c>
      <c r="C6821" t="s">
        <v>20</v>
      </c>
      <c r="D6821" t="str">
        <f>VLOOKUP(C6821,'lookup table'!$A$2:$B$19,2,FALSE)</f>
        <v>AY</v>
      </c>
      <c r="E6821" t="str">
        <f t="shared" si="106"/>
        <v>DR6PSE_00|AY</v>
      </c>
    </row>
    <row r="6822" spans="1:5" x14ac:dyDescent="0.2">
      <c r="A6822" t="s">
        <v>1395</v>
      </c>
      <c r="B6822" t="s">
        <v>1396</v>
      </c>
      <c r="C6822" t="s">
        <v>136</v>
      </c>
      <c r="D6822" t="str">
        <f>VLOOKUP(C6822,'lookup table'!$A$2:$B$19,2,FALSE)</f>
        <v>BBA Set</v>
      </c>
      <c r="E6822" t="str">
        <f t="shared" si="106"/>
        <v>DR6PSE_00|BBA Set</v>
      </c>
    </row>
    <row r="6823" spans="1:5" x14ac:dyDescent="0.2">
      <c r="A6823" t="s">
        <v>1395</v>
      </c>
      <c r="B6823" t="s">
        <v>1396</v>
      </c>
      <c r="C6823" t="s">
        <v>324</v>
      </c>
      <c r="D6823" t="e">
        <f>VLOOKUP(C6823,'lookup table'!$A$2:$B$19,2,FALSE)</f>
        <v>#N/A</v>
      </c>
      <c r="E6823" t="str">
        <f t="shared" si="106"/>
        <v/>
      </c>
    </row>
    <row r="6824" spans="1:5" x14ac:dyDescent="0.2">
      <c r="A6824" t="s">
        <v>1395</v>
      </c>
      <c r="B6824" t="s">
        <v>1396</v>
      </c>
      <c r="C6824" t="s">
        <v>325</v>
      </c>
      <c r="D6824" t="e">
        <f>VLOOKUP(C6824,'lookup table'!$A$2:$B$19,2,FALSE)</f>
        <v>#N/A</v>
      </c>
      <c r="E6824" t="str">
        <f t="shared" si="106"/>
        <v/>
      </c>
    </row>
    <row r="6825" spans="1:5" x14ac:dyDescent="0.2">
      <c r="A6825" t="s">
        <v>1395</v>
      </c>
      <c r="B6825" t="s">
        <v>1396</v>
      </c>
      <c r="C6825" t="s">
        <v>326</v>
      </c>
      <c r="D6825" t="e">
        <f>VLOOKUP(C6825,'lookup table'!$A$2:$B$19,2,FALSE)</f>
        <v>#N/A</v>
      </c>
      <c r="E6825" t="str">
        <f t="shared" si="106"/>
        <v/>
      </c>
    </row>
    <row r="6826" spans="1:5" x14ac:dyDescent="0.2">
      <c r="A6826" t="s">
        <v>1395</v>
      </c>
      <c r="B6826" t="s">
        <v>1396</v>
      </c>
      <c r="C6826" t="s">
        <v>327</v>
      </c>
      <c r="D6826" t="e">
        <f>VLOOKUP(C6826,'lookup table'!$A$2:$B$19,2,FALSE)</f>
        <v>#N/A</v>
      </c>
      <c r="E6826" t="str">
        <f t="shared" si="106"/>
        <v/>
      </c>
    </row>
    <row r="6827" spans="1:5" x14ac:dyDescent="0.2">
      <c r="A6827" t="s">
        <v>1395</v>
      </c>
      <c r="B6827" t="s">
        <v>1396</v>
      </c>
      <c r="C6827" t="s">
        <v>328</v>
      </c>
      <c r="D6827" t="e">
        <f>VLOOKUP(C6827,'lookup table'!$A$2:$B$19,2,FALSE)</f>
        <v>#N/A</v>
      </c>
      <c r="E6827" t="str">
        <f t="shared" si="106"/>
        <v/>
      </c>
    </row>
    <row r="6828" spans="1:5" x14ac:dyDescent="0.2">
      <c r="A6828" t="s">
        <v>1395</v>
      </c>
      <c r="B6828" t="s">
        <v>1396</v>
      </c>
      <c r="C6828" t="s">
        <v>329</v>
      </c>
      <c r="D6828" t="e">
        <f>VLOOKUP(C6828,'lookup table'!$A$2:$B$19,2,FALSE)</f>
        <v>#N/A</v>
      </c>
      <c r="E6828" t="str">
        <f t="shared" si="106"/>
        <v/>
      </c>
    </row>
    <row r="6829" spans="1:5" x14ac:dyDescent="0.2">
      <c r="A6829" t="s">
        <v>1395</v>
      </c>
      <c r="B6829" t="s">
        <v>1396</v>
      </c>
      <c r="C6829" t="s">
        <v>331</v>
      </c>
      <c r="D6829" t="str">
        <f>VLOOKUP(C6829,'lookup table'!$A$2:$B$19,2,FALSE)</f>
        <v>FS Item</v>
      </c>
      <c r="E6829" t="str">
        <f t="shared" si="106"/>
        <v>DR6PSE_00|FS Item</v>
      </c>
    </row>
    <row r="6830" spans="1:5" x14ac:dyDescent="0.2">
      <c r="A6830" t="s">
        <v>1395</v>
      </c>
      <c r="B6830" t="s">
        <v>1396</v>
      </c>
      <c r="C6830" t="s">
        <v>422</v>
      </c>
      <c r="D6830" t="e">
        <f>VLOOKUP(C6830,'lookup table'!$A$2:$B$19,2,FALSE)</f>
        <v>#N/A</v>
      </c>
      <c r="E6830" t="str">
        <f t="shared" si="106"/>
        <v/>
      </c>
    </row>
    <row r="6831" spans="1:5" x14ac:dyDescent="0.2">
      <c r="A6831" t="s">
        <v>1395</v>
      </c>
      <c r="B6831" t="s">
        <v>1396</v>
      </c>
      <c r="C6831" t="s">
        <v>423</v>
      </c>
      <c r="D6831" t="str">
        <f>VLOOKUP(C6831,'lookup table'!$A$2:$B$19,2,FALSE)</f>
        <v>ignore</v>
      </c>
      <c r="E6831" t="str">
        <f t="shared" si="106"/>
        <v>DR6PSE_00|ignore</v>
      </c>
    </row>
    <row r="6832" spans="1:5" x14ac:dyDescent="0.2">
      <c r="A6832" t="s">
        <v>1395</v>
      </c>
      <c r="B6832" t="s">
        <v>1396</v>
      </c>
      <c r="C6832" t="s">
        <v>424</v>
      </c>
      <c r="D6832" t="str">
        <f>VLOOKUP(C6832,'lookup table'!$A$2:$B$19,2,FALSE)</f>
        <v>GRC</v>
      </c>
      <c r="E6832" t="str">
        <f t="shared" si="106"/>
        <v>DR6PSE_00|GRC</v>
      </c>
    </row>
    <row r="6833" spans="1:5" x14ac:dyDescent="0.2">
      <c r="A6833" t="s">
        <v>1395</v>
      </c>
      <c r="B6833" t="s">
        <v>1396</v>
      </c>
      <c r="C6833" t="s">
        <v>425</v>
      </c>
      <c r="D6833" t="str">
        <f>VLOOKUP(C6833,'lookup table'!$A$2:$B$19,2,FALSE)</f>
        <v>Investee Segment</v>
      </c>
      <c r="E6833" t="str">
        <f t="shared" si="106"/>
        <v>DR6PSE_00|Investee Segment</v>
      </c>
    </row>
    <row r="6834" spans="1:5" x14ac:dyDescent="0.2">
      <c r="A6834" t="s">
        <v>1395</v>
      </c>
      <c r="B6834" t="s">
        <v>1396</v>
      </c>
      <c r="C6834" t="s">
        <v>426</v>
      </c>
      <c r="D6834" t="str">
        <f>VLOOKUP(C6834,'lookup table'!$A$2:$B$19,2,FALSE)</f>
        <v>Investee Unit</v>
      </c>
      <c r="E6834" t="str">
        <f t="shared" si="106"/>
        <v>DR6PSE_00|Investee Unit</v>
      </c>
    </row>
    <row r="6835" spans="1:5" x14ac:dyDescent="0.2">
      <c r="A6835" t="s">
        <v>1395</v>
      </c>
      <c r="B6835" t="s">
        <v>1396</v>
      </c>
      <c r="C6835" t="s">
        <v>428</v>
      </c>
      <c r="D6835" t="str">
        <f>VLOOKUP(C6835,'lookup table'!$A$2:$B$19,2,FALSE)</f>
        <v>LoB</v>
      </c>
      <c r="E6835" t="str">
        <f t="shared" si="106"/>
        <v>DR6PSE_00|LoB</v>
      </c>
    </row>
    <row r="6836" spans="1:5" x14ac:dyDescent="0.2">
      <c r="A6836" t="s">
        <v>1395</v>
      </c>
      <c r="B6836" t="s">
        <v>1396</v>
      </c>
      <c r="C6836" t="s">
        <v>436</v>
      </c>
      <c r="D6836" t="str">
        <f>VLOOKUP(C6836,'lookup table'!$A$2:$B$19,2,FALSE)</f>
        <v>MAT</v>
      </c>
      <c r="E6836" t="str">
        <f t="shared" si="106"/>
        <v>DR6PSE_00|MAT</v>
      </c>
    </row>
    <row r="6837" spans="1:5" x14ac:dyDescent="0.2">
      <c r="A6837" t="s">
        <v>1395</v>
      </c>
      <c r="B6837" t="s">
        <v>1396</v>
      </c>
      <c r="C6837" t="s">
        <v>441</v>
      </c>
      <c r="D6837" t="str">
        <f>VLOOKUP(C6837,'lookup table'!$A$2:$B$19,2,FALSE)</f>
        <v>Partner Segment</v>
      </c>
      <c r="E6837" t="str">
        <f t="shared" si="106"/>
        <v>DR6PSE_00|Partner Segment</v>
      </c>
    </row>
    <row r="6838" spans="1:5" x14ac:dyDescent="0.2">
      <c r="A6838" t="s">
        <v>1395</v>
      </c>
      <c r="B6838" t="s">
        <v>1396</v>
      </c>
      <c r="C6838" t="s">
        <v>442</v>
      </c>
      <c r="D6838" t="str">
        <f>VLOOKUP(C6838,'lookup table'!$A$2:$B$19,2,FALSE)</f>
        <v>Partner Unit</v>
      </c>
      <c r="E6838" t="str">
        <f t="shared" si="106"/>
        <v>DR6PSE_00|Partner Unit</v>
      </c>
    </row>
    <row r="6839" spans="1:5" x14ac:dyDescent="0.2">
      <c r="A6839" t="s">
        <v>1395</v>
      </c>
      <c r="B6839" t="s">
        <v>1396</v>
      </c>
      <c r="C6839" t="s">
        <v>447</v>
      </c>
      <c r="D6839" t="str">
        <f>VLOOKUP(C6839,'lookup table'!$A$2:$B$19,2,FALSE)</f>
        <v>REX</v>
      </c>
      <c r="E6839" t="str">
        <f t="shared" si="106"/>
        <v>DR6PSE_00|REX</v>
      </c>
    </row>
    <row r="6840" spans="1:5" x14ac:dyDescent="0.2">
      <c r="A6840" t="s">
        <v>1395</v>
      </c>
      <c r="B6840" t="s">
        <v>1396</v>
      </c>
      <c r="C6840" t="s">
        <v>448</v>
      </c>
      <c r="D6840" t="e">
        <f>VLOOKUP(C6840,'lookup table'!$A$2:$B$19,2,FALSE)</f>
        <v>#N/A</v>
      </c>
      <c r="E6840" t="str">
        <f t="shared" si="106"/>
        <v/>
      </c>
    </row>
    <row r="6841" spans="1:5" x14ac:dyDescent="0.2">
      <c r="A6841" t="s">
        <v>1395</v>
      </c>
      <c r="B6841" t="s">
        <v>1396</v>
      </c>
      <c r="C6841" t="s">
        <v>449</v>
      </c>
      <c r="D6841" t="e">
        <f>VLOOKUP(C6841,'lookup table'!$A$2:$B$19,2,FALSE)</f>
        <v>#N/A</v>
      </c>
      <c r="E6841" t="str">
        <f t="shared" si="106"/>
        <v/>
      </c>
    </row>
    <row r="6842" spans="1:5" x14ac:dyDescent="0.2">
      <c r="A6842" t="s">
        <v>1395</v>
      </c>
      <c r="B6842" t="s">
        <v>1396</v>
      </c>
      <c r="C6842" t="s">
        <v>451</v>
      </c>
      <c r="D6842" t="str">
        <f>VLOOKUP(C6842,'lookup table'!$A$2:$B$19,2,FALSE)</f>
        <v>Segment</v>
      </c>
      <c r="E6842" t="str">
        <f t="shared" si="106"/>
        <v>DR6PSE_00|Segment</v>
      </c>
    </row>
    <row r="6843" spans="1:5" x14ac:dyDescent="0.2">
      <c r="A6843" t="s">
        <v>1395</v>
      </c>
      <c r="B6843" t="s">
        <v>1396</v>
      </c>
      <c r="C6843" t="s">
        <v>455</v>
      </c>
      <c r="D6843" t="e">
        <f>VLOOKUP(C6843,'lookup table'!$A$2:$B$19,2,FALSE)</f>
        <v>#N/A</v>
      </c>
      <c r="E6843" t="str">
        <f t="shared" si="106"/>
        <v/>
      </c>
    </row>
    <row r="6844" spans="1:5" x14ac:dyDescent="0.2">
      <c r="A6844" t="s">
        <v>1395</v>
      </c>
      <c r="B6844" t="s">
        <v>1396</v>
      </c>
      <c r="C6844" t="s">
        <v>456</v>
      </c>
      <c r="D6844" t="e">
        <f>VLOOKUP(C6844,'lookup table'!$A$2:$B$19,2,FALSE)</f>
        <v>#N/A</v>
      </c>
      <c r="E6844" t="str">
        <f t="shared" si="106"/>
        <v/>
      </c>
    </row>
    <row r="6845" spans="1:5" x14ac:dyDescent="0.2">
      <c r="A6845" t="s">
        <v>1395</v>
      </c>
      <c r="B6845" t="s">
        <v>1396</v>
      </c>
      <c r="C6845" t="s">
        <v>457</v>
      </c>
      <c r="D6845" t="str">
        <f>VLOOKUP(C6845,'lookup table'!$A$2:$B$19,2,FALSE)</f>
        <v>VLT</v>
      </c>
      <c r="E6845" t="str">
        <f t="shared" si="106"/>
        <v>DR6PSE_00|VLT</v>
      </c>
    </row>
    <row r="6846" spans="1:5" x14ac:dyDescent="0.2">
      <c r="A6846" t="s">
        <v>1395</v>
      </c>
      <c r="B6846" t="s">
        <v>1396</v>
      </c>
      <c r="C6846" t="s">
        <v>458</v>
      </c>
      <c r="D6846" t="str">
        <f>VLOOKUP(C6846,'lookup table'!$A$2:$B$19,2,FALSE)</f>
        <v>VAR</v>
      </c>
      <c r="E6846" t="str">
        <f t="shared" si="106"/>
        <v>DR6PSE_00|VAR</v>
      </c>
    </row>
    <row r="6847" spans="1:5" x14ac:dyDescent="0.2">
      <c r="A6847" t="s">
        <v>1395</v>
      </c>
      <c r="B6847" t="s">
        <v>1396</v>
      </c>
      <c r="C6847" t="s">
        <v>459</v>
      </c>
      <c r="D6847" t="e">
        <f>VLOOKUP(C6847,'lookup table'!$A$2:$B$19,2,FALSE)</f>
        <v>#N/A</v>
      </c>
      <c r="E6847" t="str">
        <f t="shared" si="106"/>
        <v/>
      </c>
    </row>
    <row r="6848" spans="1:5" x14ac:dyDescent="0.2">
      <c r="A6848" t="s">
        <v>1395</v>
      </c>
      <c r="B6848" t="s">
        <v>1396</v>
      </c>
      <c r="C6848" t="s">
        <v>460</v>
      </c>
      <c r="D6848" t="e">
        <f>VLOOKUP(C6848,'lookup table'!$A$2:$B$19,2,FALSE)</f>
        <v>#N/A</v>
      </c>
      <c r="E6848" t="str">
        <f t="shared" si="106"/>
        <v/>
      </c>
    </row>
    <row r="6849" spans="1:5" x14ac:dyDescent="0.2">
      <c r="A6849" t="s">
        <v>1395</v>
      </c>
      <c r="B6849" t="s">
        <v>1396</v>
      </c>
      <c r="C6849" t="s">
        <v>461</v>
      </c>
      <c r="D6849" t="str">
        <f>VLOOKUP(C6849,'lookup table'!$A$2:$B$19,2,FALSE)</f>
        <v>Posting Level</v>
      </c>
      <c r="E6849" t="str">
        <f t="shared" si="106"/>
        <v>DR6PSE_00|Posting Level</v>
      </c>
    </row>
    <row r="6850" spans="1:5" x14ac:dyDescent="0.2">
      <c r="A6850" t="s">
        <v>1395</v>
      </c>
      <c r="B6850" t="s">
        <v>1396</v>
      </c>
      <c r="C6850" t="s">
        <v>462</v>
      </c>
      <c r="D6850" t="e">
        <f>VLOOKUP(C6850,'lookup table'!$A$2:$B$19,2,FALSE)</f>
        <v>#N/A</v>
      </c>
      <c r="E6850" t="str">
        <f t="shared" si="106"/>
        <v/>
      </c>
    </row>
    <row r="6851" spans="1:5" x14ac:dyDescent="0.2">
      <c r="A6851" t="s">
        <v>1395</v>
      </c>
      <c r="B6851" t="s">
        <v>1396</v>
      </c>
      <c r="C6851" t="s">
        <v>463</v>
      </c>
      <c r="D6851" t="e">
        <f>VLOOKUP(C6851,'lookup table'!$A$2:$B$19,2,FALSE)</f>
        <v>#N/A</v>
      </c>
      <c r="E6851" t="str">
        <f t="shared" ref="E6851:E6914" si="107">IF(ISNA(D6851),"",IF(A6851="","",A6851) &amp; "|" &amp; D6851)</f>
        <v/>
      </c>
    </row>
    <row r="6852" spans="1:5" x14ac:dyDescent="0.2">
      <c r="A6852" t="s">
        <v>1395</v>
      </c>
      <c r="B6852" t="s">
        <v>1396</v>
      </c>
      <c r="C6852" t="s">
        <v>464</v>
      </c>
      <c r="D6852" t="e">
        <f>VLOOKUP(C6852,'lookup table'!$A$2:$B$19,2,FALSE)</f>
        <v>#N/A</v>
      </c>
      <c r="E6852" t="str">
        <f t="shared" si="107"/>
        <v/>
      </c>
    </row>
    <row r="6853" spans="1:5" x14ac:dyDescent="0.2">
      <c r="A6853" t="s">
        <v>1395</v>
      </c>
      <c r="B6853" t="s">
        <v>1396</v>
      </c>
      <c r="C6853" t="s">
        <v>465</v>
      </c>
      <c r="D6853" t="e">
        <f>VLOOKUP(C6853,'lookup table'!$A$2:$B$19,2,FALSE)</f>
        <v>#N/A</v>
      </c>
      <c r="E6853" t="str">
        <f t="shared" si="107"/>
        <v/>
      </c>
    </row>
    <row r="6854" spans="1:5" x14ac:dyDescent="0.2">
      <c r="A6854" t="s">
        <v>1397</v>
      </c>
      <c r="B6854" t="s">
        <v>1396</v>
      </c>
      <c r="C6854" t="s">
        <v>2</v>
      </c>
      <c r="D6854" t="e">
        <f>VLOOKUP(C6854,'lookup table'!$A$2:$B$19,2,FALSE)</f>
        <v>#N/A</v>
      </c>
      <c r="E6854" t="str">
        <f t="shared" si="107"/>
        <v/>
      </c>
    </row>
    <row r="6855" spans="1:5" x14ac:dyDescent="0.2">
      <c r="A6855" t="s">
        <v>1397</v>
      </c>
      <c r="B6855" t="s">
        <v>1396</v>
      </c>
      <c r="C6855" t="s">
        <v>5</v>
      </c>
      <c r="D6855" t="e">
        <f>VLOOKUP(C6855,'lookup table'!$A$2:$B$19,2,FALSE)</f>
        <v>#N/A</v>
      </c>
      <c r="E6855" t="str">
        <f t="shared" si="107"/>
        <v/>
      </c>
    </row>
    <row r="6856" spans="1:5" x14ac:dyDescent="0.2">
      <c r="A6856" t="s">
        <v>1397</v>
      </c>
      <c r="B6856" t="s">
        <v>1396</v>
      </c>
      <c r="C6856" t="s">
        <v>6</v>
      </c>
      <c r="D6856" t="e">
        <f>VLOOKUP(C6856,'lookup table'!$A$2:$B$19,2,FALSE)</f>
        <v>#N/A</v>
      </c>
      <c r="E6856" t="str">
        <f t="shared" si="107"/>
        <v/>
      </c>
    </row>
    <row r="6857" spans="1:5" x14ac:dyDescent="0.2">
      <c r="A6857" t="s">
        <v>1397</v>
      </c>
      <c r="B6857" t="s">
        <v>1396</v>
      </c>
      <c r="C6857" t="s">
        <v>9</v>
      </c>
      <c r="D6857" t="e">
        <f>VLOOKUP(C6857,'lookup table'!$A$2:$B$19,2,FALSE)</f>
        <v>#N/A</v>
      </c>
      <c r="E6857" t="str">
        <f t="shared" si="107"/>
        <v/>
      </c>
    </row>
    <row r="6858" spans="1:5" x14ac:dyDescent="0.2">
      <c r="A6858" t="s">
        <v>1397</v>
      </c>
      <c r="B6858" t="s">
        <v>1396</v>
      </c>
      <c r="C6858" t="s">
        <v>10</v>
      </c>
      <c r="D6858" t="e">
        <f>VLOOKUP(C6858,'lookup table'!$A$2:$B$19,2,FALSE)</f>
        <v>#N/A</v>
      </c>
      <c r="E6858" t="str">
        <f t="shared" si="107"/>
        <v/>
      </c>
    </row>
    <row r="6859" spans="1:5" x14ac:dyDescent="0.2">
      <c r="A6859" t="s">
        <v>1397</v>
      </c>
      <c r="B6859" t="s">
        <v>1396</v>
      </c>
      <c r="C6859" t="s">
        <v>11</v>
      </c>
      <c r="D6859" t="e">
        <f>VLOOKUP(C6859,'lookup table'!$A$2:$B$19,2,FALSE)</f>
        <v>#N/A</v>
      </c>
      <c r="E6859" t="str">
        <f t="shared" si="107"/>
        <v/>
      </c>
    </row>
    <row r="6860" spans="1:5" x14ac:dyDescent="0.2">
      <c r="A6860" t="s">
        <v>1397</v>
      </c>
      <c r="B6860" t="s">
        <v>1396</v>
      </c>
      <c r="C6860" t="s">
        <v>12</v>
      </c>
      <c r="D6860" t="e">
        <f>VLOOKUP(C6860,'lookup table'!$A$2:$B$19,2,FALSE)</f>
        <v>#N/A</v>
      </c>
      <c r="E6860" t="str">
        <f t="shared" si="107"/>
        <v/>
      </c>
    </row>
    <row r="6861" spans="1:5" x14ac:dyDescent="0.2">
      <c r="A6861" t="s">
        <v>1397</v>
      </c>
      <c r="B6861" t="s">
        <v>1396</v>
      </c>
      <c r="C6861" t="s">
        <v>14</v>
      </c>
      <c r="D6861" t="str">
        <f>VLOOKUP(C6861,'lookup table'!$A$2:$B$19,2,FALSE)</f>
        <v>ALC</v>
      </c>
      <c r="E6861" t="str">
        <f t="shared" si="107"/>
        <v>DR6PSE_14|ALC</v>
      </c>
    </row>
    <row r="6862" spans="1:5" x14ac:dyDescent="0.2">
      <c r="A6862" t="s">
        <v>1397</v>
      </c>
      <c r="B6862" t="s">
        <v>1396</v>
      </c>
      <c r="C6862" t="s">
        <v>20</v>
      </c>
      <c r="D6862" t="str">
        <f>VLOOKUP(C6862,'lookup table'!$A$2:$B$19,2,FALSE)</f>
        <v>AY</v>
      </c>
      <c r="E6862" t="str">
        <f t="shared" si="107"/>
        <v>DR6PSE_14|AY</v>
      </c>
    </row>
    <row r="6863" spans="1:5" x14ac:dyDescent="0.2">
      <c r="A6863" t="s">
        <v>1397</v>
      </c>
      <c r="B6863" t="s">
        <v>1396</v>
      </c>
      <c r="C6863" t="s">
        <v>136</v>
      </c>
      <c r="D6863" t="str">
        <f>VLOOKUP(C6863,'lookup table'!$A$2:$B$19,2,FALSE)</f>
        <v>BBA Set</v>
      </c>
      <c r="E6863" t="str">
        <f t="shared" si="107"/>
        <v>DR6PSE_14|BBA Set</v>
      </c>
    </row>
    <row r="6864" spans="1:5" x14ac:dyDescent="0.2">
      <c r="A6864" t="s">
        <v>1397</v>
      </c>
      <c r="B6864" t="s">
        <v>1396</v>
      </c>
      <c r="C6864" t="s">
        <v>324</v>
      </c>
      <c r="D6864" t="e">
        <f>VLOOKUP(C6864,'lookup table'!$A$2:$B$19,2,FALSE)</f>
        <v>#N/A</v>
      </c>
      <c r="E6864" t="str">
        <f t="shared" si="107"/>
        <v/>
      </c>
    </row>
    <row r="6865" spans="1:5" x14ac:dyDescent="0.2">
      <c r="A6865" t="s">
        <v>1397</v>
      </c>
      <c r="B6865" t="s">
        <v>1396</v>
      </c>
      <c r="C6865" t="s">
        <v>325</v>
      </c>
      <c r="D6865" t="e">
        <f>VLOOKUP(C6865,'lookup table'!$A$2:$B$19,2,FALSE)</f>
        <v>#N/A</v>
      </c>
      <c r="E6865" t="str">
        <f t="shared" si="107"/>
        <v/>
      </c>
    </row>
    <row r="6866" spans="1:5" x14ac:dyDescent="0.2">
      <c r="A6866" t="s">
        <v>1397</v>
      </c>
      <c r="B6866" t="s">
        <v>1396</v>
      </c>
      <c r="C6866" t="s">
        <v>326</v>
      </c>
      <c r="D6866" t="e">
        <f>VLOOKUP(C6866,'lookup table'!$A$2:$B$19,2,FALSE)</f>
        <v>#N/A</v>
      </c>
      <c r="E6866" t="str">
        <f t="shared" si="107"/>
        <v/>
      </c>
    </row>
    <row r="6867" spans="1:5" x14ac:dyDescent="0.2">
      <c r="A6867" t="s">
        <v>1397</v>
      </c>
      <c r="B6867" t="s">
        <v>1396</v>
      </c>
      <c r="C6867" t="s">
        <v>327</v>
      </c>
      <c r="D6867" t="e">
        <f>VLOOKUP(C6867,'lookup table'!$A$2:$B$19,2,FALSE)</f>
        <v>#N/A</v>
      </c>
      <c r="E6867" t="str">
        <f t="shared" si="107"/>
        <v/>
      </c>
    </row>
    <row r="6868" spans="1:5" x14ac:dyDescent="0.2">
      <c r="A6868" t="s">
        <v>1397</v>
      </c>
      <c r="B6868" t="s">
        <v>1396</v>
      </c>
      <c r="C6868" t="s">
        <v>328</v>
      </c>
      <c r="D6868" t="e">
        <f>VLOOKUP(C6868,'lookup table'!$A$2:$B$19,2,FALSE)</f>
        <v>#N/A</v>
      </c>
      <c r="E6868" t="str">
        <f t="shared" si="107"/>
        <v/>
      </c>
    </row>
    <row r="6869" spans="1:5" x14ac:dyDescent="0.2">
      <c r="A6869" t="s">
        <v>1397</v>
      </c>
      <c r="B6869" t="s">
        <v>1396</v>
      </c>
      <c r="C6869" t="s">
        <v>329</v>
      </c>
      <c r="D6869" t="e">
        <f>VLOOKUP(C6869,'lookup table'!$A$2:$B$19,2,FALSE)</f>
        <v>#N/A</v>
      </c>
      <c r="E6869" t="str">
        <f t="shared" si="107"/>
        <v/>
      </c>
    </row>
    <row r="6870" spans="1:5" x14ac:dyDescent="0.2">
      <c r="A6870" t="s">
        <v>1397</v>
      </c>
      <c r="B6870" t="s">
        <v>1396</v>
      </c>
      <c r="C6870" t="s">
        <v>331</v>
      </c>
      <c r="D6870" t="str">
        <f>VLOOKUP(C6870,'lookup table'!$A$2:$B$19,2,FALSE)</f>
        <v>FS Item</v>
      </c>
      <c r="E6870" t="str">
        <f t="shared" si="107"/>
        <v>DR6PSE_14|FS Item</v>
      </c>
    </row>
    <row r="6871" spans="1:5" x14ac:dyDescent="0.2">
      <c r="A6871" t="s">
        <v>1397</v>
      </c>
      <c r="B6871" t="s">
        <v>1396</v>
      </c>
      <c r="C6871" t="s">
        <v>422</v>
      </c>
      <c r="D6871" t="e">
        <f>VLOOKUP(C6871,'lookup table'!$A$2:$B$19,2,FALSE)</f>
        <v>#N/A</v>
      </c>
      <c r="E6871" t="str">
        <f t="shared" si="107"/>
        <v/>
      </c>
    </row>
    <row r="6872" spans="1:5" x14ac:dyDescent="0.2">
      <c r="A6872" t="s">
        <v>1397</v>
      </c>
      <c r="B6872" t="s">
        <v>1396</v>
      </c>
      <c r="C6872" t="s">
        <v>423</v>
      </c>
      <c r="D6872" t="str">
        <f>VLOOKUP(C6872,'lookup table'!$A$2:$B$19,2,FALSE)</f>
        <v>ignore</v>
      </c>
      <c r="E6872" t="str">
        <f t="shared" si="107"/>
        <v>DR6PSE_14|ignore</v>
      </c>
    </row>
    <row r="6873" spans="1:5" x14ac:dyDescent="0.2">
      <c r="A6873" t="s">
        <v>1397</v>
      </c>
      <c r="B6873" t="s">
        <v>1396</v>
      </c>
      <c r="C6873" t="s">
        <v>424</v>
      </c>
      <c r="D6873" t="str">
        <f>VLOOKUP(C6873,'lookup table'!$A$2:$B$19,2,FALSE)</f>
        <v>GRC</v>
      </c>
      <c r="E6873" t="str">
        <f t="shared" si="107"/>
        <v>DR6PSE_14|GRC</v>
      </c>
    </row>
    <row r="6874" spans="1:5" x14ac:dyDescent="0.2">
      <c r="A6874" t="s">
        <v>1397</v>
      </c>
      <c r="B6874" t="s">
        <v>1396</v>
      </c>
      <c r="C6874" t="s">
        <v>425</v>
      </c>
      <c r="D6874" t="str">
        <f>VLOOKUP(C6874,'lookup table'!$A$2:$B$19,2,FALSE)</f>
        <v>Investee Segment</v>
      </c>
      <c r="E6874" t="str">
        <f t="shared" si="107"/>
        <v>DR6PSE_14|Investee Segment</v>
      </c>
    </row>
    <row r="6875" spans="1:5" x14ac:dyDescent="0.2">
      <c r="A6875" t="s">
        <v>1397</v>
      </c>
      <c r="B6875" t="s">
        <v>1396</v>
      </c>
      <c r="C6875" t="s">
        <v>426</v>
      </c>
      <c r="D6875" t="str">
        <f>VLOOKUP(C6875,'lookup table'!$A$2:$B$19,2,FALSE)</f>
        <v>Investee Unit</v>
      </c>
      <c r="E6875" t="str">
        <f t="shared" si="107"/>
        <v>DR6PSE_14|Investee Unit</v>
      </c>
    </row>
    <row r="6876" spans="1:5" x14ac:dyDescent="0.2">
      <c r="A6876" t="s">
        <v>1397</v>
      </c>
      <c r="B6876" t="s">
        <v>1396</v>
      </c>
      <c r="C6876" t="s">
        <v>428</v>
      </c>
      <c r="D6876" t="str">
        <f>VLOOKUP(C6876,'lookup table'!$A$2:$B$19,2,FALSE)</f>
        <v>LoB</v>
      </c>
      <c r="E6876" t="str">
        <f t="shared" si="107"/>
        <v>DR6PSE_14|LoB</v>
      </c>
    </row>
    <row r="6877" spans="1:5" x14ac:dyDescent="0.2">
      <c r="A6877" t="s">
        <v>1397</v>
      </c>
      <c r="B6877" t="s">
        <v>1396</v>
      </c>
      <c r="C6877" t="s">
        <v>436</v>
      </c>
      <c r="D6877" t="str">
        <f>VLOOKUP(C6877,'lookup table'!$A$2:$B$19,2,FALSE)</f>
        <v>MAT</v>
      </c>
      <c r="E6877" t="str">
        <f t="shared" si="107"/>
        <v>DR6PSE_14|MAT</v>
      </c>
    </row>
    <row r="6878" spans="1:5" x14ac:dyDescent="0.2">
      <c r="A6878" t="s">
        <v>1397</v>
      </c>
      <c r="B6878" t="s">
        <v>1396</v>
      </c>
      <c r="C6878" t="s">
        <v>441</v>
      </c>
      <c r="D6878" t="str">
        <f>VLOOKUP(C6878,'lookup table'!$A$2:$B$19,2,FALSE)</f>
        <v>Partner Segment</v>
      </c>
      <c r="E6878" t="str">
        <f t="shared" si="107"/>
        <v>DR6PSE_14|Partner Segment</v>
      </c>
    </row>
    <row r="6879" spans="1:5" x14ac:dyDescent="0.2">
      <c r="A6879" t="s">
        <v>1397</v>
      </c>
      <c r="B6879" t="s">
        <v>1396</v>
      </c>
      <c r="C6879" t="s">
        <v>442</v>
      </c>
      <c r="D6879" t="str">
        <f>VLOOKUP(C6879,'lookup table'!$A$2:$B$19,2,FALSE)</f>
        <v>Partner Unit</v>
      </c>
      <c r="E6879" t="str">
        <f t="shared" si="107"/>
        <v>DR6PSE_14|Partner Unit</v>
      </c>
    </row>
    <row r="6880" spans="1:5" x14ac:dyDescent="0.2">
      <c r="A6880" t="s">
        <v>1397</v>
      </c>
      <c r="B6880" t="s">
        <v>1396</v>
      </c>
      <c r="C6880" t="s">
        <v>447</v>
      </c>
      <c r="D6880" t="str">
        <f>VLOOKUP(C6880,'lookup table'!$A$2:$B$19,2,FALSE)</f>
        <v>REX</v>
      </c>
      <c r="E6880" t="str">
        <f t="shared" si="107"/>
        <v>DR6PSE_14|REX</v>
      </c>
    </row>
    <row r="6881" spans="1:5" x14ac:dyDescent="0.2">
      <c r="A6881" t="s">
        <v>1397</v>
      </c>
      <c r="B6881" t="s">
        <v>1396</v>
      </c>
      <c r="C6881" t="s">
        <v>448</v>
      </c>
      <c r="D6881" t="e">
        <f>VLOOKUP(C6881,'lookup table'!$A$2:$B$19,2,FALSE)</f>
        <v>#N/A</v>
      </c>
      <c r="E6881" t="str">
        <f t="shared" si="107"/>
        <v/>
      </c>
    </row>
    <row r="6882" spans="1:5" x14ac:dyDescent="0.2">
      <c r="A6882" t="s">
        <v>1397</v>
      </c>
      <c r="B6882" t="s">
        <v>1396</v>
      </c>
      <c r="C6882" t="s">
        <v>449</v>
      </c>
      <c r="D6882" t="e">
        <f>VLOOKUP(C6882,'lookup table'!$A$2:$B$19,2,FALSE)</f>
        <v>#N/A</v>
      </c>
      <c r="E6882" t="str">
        <f t="shared" si="107"/>
        <v/>
      </c>
    </row>
    <row r="6883" spans="1:5" x14ac:dyDescent="0.2">
      <c r="A6883" t="s">
        <v>1397</v>
      </c>
      <c r="B6883" t="s">
        <v>1396</v>
      </c>
      <c r="C6883" t="s">
        <v>451</v>
      </c>
      <c r="D6883" t="str">
        <f>VLOOKUP(C6883,'lookup table'!$A$2:$B$19,2,FALSE)</f>
        <v>Segment</v>
      </c>
      <c r="E6883" t="str">
        <f t="shared" si="107"/>
        <v>DR6PSE_14|Segment</v>
      </c>
    </row>
    <row r="6884" spans="1:5" x14ac:dyDescent="0.2">
      <c r="A6884" t="s">
        <v>1397</v>
      </c>
      <c r="B6884" t="s">
        <v>1396</v>
      </c>
      <c r="C6884" t="s">
        <v>455</v>
      </c>
      <c r="D6884" t="e">
        <f>VLOOKUP(C6884,'lookup table'!$A$2:$B$19,2,FALSE)</f>
        <v>#N/A</v>
      </c>
      <c r="E6884" t="str">
        <f t="shared" si="107"/>
        <v/>
      </c>
    </row>
    <row r="6885" spans="1:5" x14ac:dyDescent="0.2">
      <c r="A6885" t="s">
        <v>1397</v>
      </c>
      <c r="B6885" t="s">
        <v>1396</v>
      </c>
      <c r="C6885" t="s">
        <v>456</v>
      </c>
      <c r="D6885" t="e">
        <f>VLOOKUP(C6885,'lookup table'!$A$2:$B$19,2,FALSE)</f>
        <v>#N/A</v>
      </c>
      <c r="E6885" t="str">
        <f t="shared" si="107"/>
        <v/>
      </c>
    </row>
    <row r="6886" spans="1:5" x14ac:dyDescent="0.2">
      <c r="A6886" t="s">
        <v>1397</v>
      </c>
      <c r="B6886" t="s">
        <v>1396</v>
      </c>
      <c r="C6886" t="s">
        <v>457</v>
      </c>
      <c r="D6886" t="str">
        <f>VLOOKUP(C6886,'lookup table'!$A$2:$B$19,2,FALSE)</f>
        <v>VLT</v>
      </c>
      <c r="E6886" t="str">
        <f t="shared" si="107"/>
        <v>DR6PSE_14|VLT</v>
      </c>
    </row>
    <row r="6887" spans="1:5" x14ac:dyDescent="0.2">
      <c r="A6887" t="s">
        <v>1397</v>
      </c>
      <c r="B6887" t="s">
        <v>1396</v>
      </c>
      <c r="C6887" t="s">
        <v>458</v>
      </c>
      <c r="D6887" t="str">
        <f>VLOOKUP(C6887,'lookup table'!$A$2:$B$19,2,FALSE)</f>
        <v>VAR</v>
      </c>
      <c r="E6887" t="str">
        <f t="shared" si="107"/>
        <v>DR6PSE_14|VAR</v>
      </c>
    </row>
    <row r="6888" spans="1:5" x14ac:dyDescent="0.2">
      <c r="A6888" t="s">
        <v>1397</v>
      </c>
      <c r="B6888" t="s">
        <v>1396</v>
      </c>
      <c r="C6888" t="s">
        <v>459</v>
      </c>
      <c r="D6888" t="e">
        <f>VLOOKUP(C6888,'lookup table'!$A$2:$B$19,2,FALSE)</f>
        <v>#N/A</v>
      </c>
      <c r="E6888" t="str">
        <f t="shared" si="107"/>
        <v/>
      </c>
    </row>
    <row r="6889" spans="1:5" x14ac:dyDescent="0.2">
      <c r="A6889" t="s">
        <v>1397</v>
      </c>
      <c r="B6889" t="s">
        <v>1396</v>
      </c>
      <c r="C6889" t="s">
        <v>460</v>
      </c>
      <c r="D6889" t="e">
        <f>VLOOKUP(C6889,'lookup table'!$A$2:$B$19,2,FALSE)</f>
        <v>#N/A</v>
      </c>
      <c r="E6889" t="str">
        <f t="shared" si="107"/>
        <v/>
      </c>
    </row>
    <row r="6890" spans="1:5" x14ac:dyDescent="0.2">
      <c r="A6890" t="s">
        <v>1397</v>
      </c>
      <c r="B6890" t="s">
        <v>1396</v>
      </c>
      <c r="C6890" t="s">
        <v>461</v>
      </c>
      <c r="D6890" t="str">
        <f>VLOOKUP(C6890,'lookup table'!$A$2:$B$19,2,FALSE)</f>
        <v>Posting Level</v>
      </c>
      <c r="E6890" t="str">
        <f t="shared" si="107"/>
        <v>DR6PSE_14|Posting Level</v>
      </c>
    </row>
    <row r="6891" spans="1:5" x14ac:dyDescent="0.2">
      <c r="A6891" t="s">
        <v>1397</v>
      </c>
      <c r="B6891" t="s">
        <v>1396</v>
      </c>
      <c r="C6891" t="s">
        <v>462</v>
      </c>
      <c r="D6891" t="e">
        <f>VLOOKUP(C6891,'lookup table'!$A$2:$B$19,2,FALSE)</f>
        <v>#N/A</v>
      </c>
      <c r="E6891" t="str">
        <f t="shared" si="107"/>
        <v/>
      </c>
    </row>
    <row r="6892" spans="1:5" x14ac:dyDescent="0.2">
      <c r="A6892" t="s">
        <v>1397</v>
      </c>
      <c r="B6892" t="s">
        <v>1396</v>
      </c>
      <c r="C6892" t="s">
        <v>463</v>
      </c>
      <c r="D6892" t="e">
        <f>VLOOKUP(C6892,'lookup table'!$A$2:$B$19,2,FALSE)</f>
        <v>#N/A</v>
      </c>
      <c r="E6892" t="str">
        <f t="shared" si="107"/>
        <v/>
      </c>
    </row>
    <row r="6893" spans="1:5" x14ac:dyDescent="0.2">
      <c r="A6893" t="s">
        <v>1397</v>
      </c>
      <c r="B6893" t="s">
        <v>1396</v>
      </c>
      <c r="C6893" t="s">
        <v>464</v>
      </c>
      <c r="D6893" t="e">
        <f>VLOOKUP(C6893,'lookup table'!$A$2:$B$19,2,FALSE)</f>
        <v>#N/A</v>
      </c>
      <c r="E6893" t="str">
        <f t="shared" si="107"/>
        <v/>
      </c>
    </row>
    <row r="6894" spans="1:5" x14ac:dyDescent="0.2">
      <c r="A6894" t="s">
        <v>1397</v>
      </c>
      <c r="B6894" t="s">
        <v>1396</v>
      </c>
      <c r="C6894" t="s">
        <v>465</v>
      </c>
      <c r="D6894" t="e">
        <f>VLOOKUP(C6894,'lookup table'!$A$2:$B$19,2,FALSE)</f>
        <v>#N/A</v>
      </c>
      <c r="E6894" t="str">
        <f t="shared" si="107"/>
        <v/>
      </c>
    </row>
    <row r="6895" spans="1:5" x14ac:dyDescent="0.2">
      <c r="A6895" t="s">
        <v>1398</v>
      </c>
      <c r="B6895" t="s">
        <v>1399</v>
      </c>
      <c r="C6895" t="s">
        <v>2</v>
      </c>
      <c r="D6895" t="e">
        <f>VLOOKUP(C6895,'lookup table'!$A$2:$B$19,2,FALSE)</f>
        <v>#N/A</v>
      </c>
      <c r="E6895" t="str">
        <f t="shared" si="107"/>
        <v/>
      </c>
    </row>
    <row r="6896" spans="1:5" x14ac:dyDescent="0.2">
      <c r="A6896" t="s">
        <v>1398</v>
      </c>
      <c r="B6896" t="s">
        <v>1399</v>
      </c>
      <c r="C6896" t="s">
        <v>5</v>
      </c>
      <c r="D6896" t="e">
        <f>VLOOKUP(C6896,'lookup table'!$A$2:$B$19,2,FALSE)</f>
        <v>#N/A</v>
      </c>
      <c r="E6896" t="str">
        <f t="shared" si="107"/>
        <v/>
      </c>
    </row>
    <row r="6897" spans="1:5" x14ac:dyDescent="0.2">
      <c r="A6897" t="s">
        <v>1398</v>
      </c>
      <c r="B6897" t="s">
        <v>1399</v>
      </c>
      <c r="C6897" t="s">
        <v>6</v>
      </c>
      <c r="D6897" t="e">
        <f>VLOOKUP(C6897,'lookup table'!$A$2:$B$19,2,FALSE)</f>
        <v>#N/A</v>
      </c>
      <c r="E6897" t="str">
        <f t="shared" si="107"/>
        <v/>
      </c>
    </row>
    <row r="6898" spans="1:5" x14ac:dyDescent="0.2">
      <c r="A6898" t="s">
        <v>1398</v>
      </c>
      <c r="B6898" t="s">
        <v>1399</v>
      </c>
      <c r="C6898" t="s">
        <v>9</v>
      </c>
      <c r="D6898" t="e">
        <f>VLOOKUP(C6898,'lookup table'!$A$2:$B$19,2,FALSE)</f>
        <v>#N/A</v>
      </c>
      <c r="E6898" t="str">
        <f t="shared" si="107"/>
        <v/>
      </c>
    </row>
    <row r="6899" spans="1:5" x14ac:dyDescent="0.2">
      <c r="A6899" t="s">
        <v>1398</v>
      </c>
      <c r="B6899" t="s">
        <v>1399</v>
      </c>
      <c r="C6899" t="s">
        <v>10</v>
      </c>
      <c r="D6899" t="e">
        <f>VLOOKUP(C6899,'lookup table'!$A$2:$B$19,2,FALSE)</f>
        <v>#N/A</v>
      </c>
      <c r="E6899" t="str">
        <f t="shared" si="107"/>
        <v/>
      </c>
    </row>
    <row r="6900" spans="1:5" x14ac:dyDescent="0.2">
      <c r="A6900" t="s">
        <v>1398</v>
      </c>
      <c r="B6900" t="s">
        <v>1399</v>
      </c>
      <c r="C6900" t="s">
        <v>11</v>
      </c>
      <c r="D6900" t="e">
        <f>VLOOKUP(C6900,'lookup table'!$A$2:$B$19,2,FALSE)</f>
        <v>#N/A</v>
      </c>
      <c r="E6900" t="str">
        <f t="shared" si="107"/>
        <v/>
      </c>
    </row>
    <row r="6901" spans="1:5" x14ac:dyDescent="0.2">
      <c r="A6901" t="s">
        <v>1398</v>
      </c>
      <c r="B6901" t="s">
        <v>1399</v>
      </c>
      <c r="C6901" t="s">
        <v>12</v>
      </c>
      <c r="D6901" t="e">
        <f>VLOOKUP(C6901,'lookup table'!$A$2:$B$19,2,FALSE)</f>
        <v>#N/A</v>
      </c>
      <c r="E6901" t="str">
        <f t="shared" si="107"/>
        <v/>
      </c>
    </row>
    <row r="6902" spans="1:5" x14ac:dyDescent="0.2">
      <c r="A6902" t="s">
        <v>1398</v>
      </c>
      <c r="B6902" t="s">
        <v>1399</v>
      </c>
      <c r="C6902" t="s">
        <v>14</v>
      </c>
      <c r="D6902" t="str">
        <f>VLOOKUP(C6902,'lookup table'!$A$2:$B$19,2,FALSE)</f>
        <v>ALC</v>
      </c>
      <c r="E6902" t="str">
        <f t="shared" si="107"/>
        <v>DR6REX_00|ALC</v>
      </c>
    </row>
    <row r="6903" spans="1:5" x14ac:dyDescent="0.2">
      <c r="A6903" t="s">
        <v>1398</v>
      </c>
      <c r="B6903" t="s">
        <v>1399</v>
      </c>
      <c r="C6903" t="s">
        <v>20</v>
      </c>
      <c r="D6903" t="str">
        <f>VLOOKUP(C6903,'lookup table'!$A$2:$B$19,2,FALSE)</f>
        <v>AY</v>
      </c>
      <c r="E6903" t="str">
        <f t="shared" si="107"/>
        <v>DR6REX_00|AY</v>
      </c>
    </row>
    <row r="6904" spans="1:5" x14ac:dyDescent="0.2">
      <c r="A6904" t="s">
        <v>1398</v>
      </c>
      <c r="B6904" t="s">
        <v>1399</v>
      </c>
      <c r="C6904" t="s">
        <v>136</v>
      </c>
      <c r="D6904" t="str">
        <f>VLOOKUP(C6904,'lookup table'!$A$2:$B$19,2,FALSE)</f>
        <v>BBA Set</v>
      </c>
      <c r="E6904" t="str">
        <f t="shared" si="107"/>
        <v>DR6REX_00|BBA Set</v>
      </c>
    </row>
    <row r="6905" spans="1:5" x14ac:dyDescent="0.2">
      <c r="A6905" t="s">
        <v>1398</v>
      </c>
      <c r="B6905" t="s">
        <v>1399</v>
      </c>
      <c r="C6905" t="s">
        <v>324</v>
      </c>
      <c r="D6905" t="e">
        <f>VLOOKUP(C6905,'lookup table'!$A$2:$B$19,2,FALSE)</f>
        <v>#N/A</v>
      </c>
      <c r="E6905" t="str">
        <f t="shared" si="107"/>
        <v/>
      </c>
    </row>
    <row r="6906" spans="1:5" x14ac:dyDescent="0.2">
      <c r="A6906" t="s">
        <v>1398</v>
      </c>
      <c r="B6906" t="s">
        <v>1399</v>
      </c>
      <c r="C6906" t="s">
        <v>325</v>
      </c>
      <c r="D6906" t="e">
        <f>VLOOKUP(C6906,'lookup table'!$A$2:$B$19,2,FALSE)</f>
        <v>#N/A</v>
      </c>
      <c r="E6906" t="str">
        <f t="shared" si="107"/>
        <v/>
      </c>
    </row>
    <row r="6907" spans="1:5" x14ac:dyDescent="0.2">
      <c r="A6907" t="s">
        <v>1398</v>
      </c>
      <c r="B6907" t="s">
        <v>1399</v>
      </c>
      <c r="C6907" t="s">
        <v>326</v>
      </c>
      <c r="D6907" t="e">
        <f>VLOOKUP(C6907,'lookup table'!$A$2:$B$19,2,FALSE)</f>
        <v>#N/A</v>
      </c>
      <c r="E6907" t="str">
        <f t="shared" si="107"/>
        <v/>
      </c>
    </row>
    <row r="6908" spans="1:5" x14ac:dyDescent="0.2">
      <c r="A6908" t="s">
        <v>1398</v>
      </c>
      <c r="B6908" t="s">
        <v>1399</v>
      </c>
      <c r="C6908" t="s">
        <v>327</v>
      </c>
      <c r="D6908" t="e">
        <f>VLOOKUP(C6908,'lookup table'!$A$2:$B$19,2,FALSE)</f>
        <v>#N/A</v>
      </c>
      <c r="E6908" t="str">
        <f t="shared" si="107"/>
        <v/>
      </c>
    </row>
    <row r="6909" spans="1:5" x14ac:dyDescent="0.2">
      <c r="A6909" t="s">
        <v>1398</v>
      </c>
      <c r="B6909" t="s">
        <v>1399</v>
      </c>
      <c r="C6909" t="s">
        <v>328</v>
      </c>
      <c r="D6909" t="e">
        <f>VLOOKUP(C6909,'lookup table'!$A$2:$B$19,2,FALSE)</f>
        <v>#N/A</v>
      </c>
      <c r="E6909" t="str">
        <f t="shared" si="107"/>
        <v/>
      </c>
    </row>
    <row r="6910" spans="1:5" x14ac:dyDescent="0.2">
      <c r="A6910" t="s">
        <v>1398</v>
      </c>
      <c r="B6910" t="s">
        <v>1399</v>
      </c>
      <c r="C6910" t="s">
        <v>329</v>
      </c>
      <c r="D6910" t="e">
        <f>VLOOKUP(C6910,'lookup table'!$A$2:$B$19,2,FALSE)</f>
        <v>#N/A</v>
      </c>
      <c r="E6910" t="str">
        <f t="shared" si="107"/>
        <v/>
      </c>
    </row>
    <row r="6911" spans="1:5" x14ac:dyDescent="0.2">
      <c r="A6911" t="s">
        <v>1398</v>
      </c>
      <c r="B6911" t="s">
        <v>1399</v>
      </c>
      <c r="C6911" t="s">
        <v>331</v>
      </c>
      <c r="D6911" t="str">
        <f>VLOOKUP(C6911,'lookup table'!$A$2:$B$19,2,FALSE)</f>
        <v>FS Item</v>
      </c>
      <c r="E6911" t="str">
        <f t="shared" si="107"/>
        <v>DR6REX_00|FS Item</v>
      </c>
    </row>
    <row r="6912" spans="1:5" x14ac:dyDescent="0.2">
      <c r="A6912" t="s">
        <v>1398</v>
      </c>
      <c r="B6912" t="s">
        <v>1399</v>
      </c>
      <c r="C6912" t="s">
        <v>422</v>
      </c>
      <c r="D6912" t="e">
        <f>VLOOKUP(C6912,'lookup table'!$A$2:$B$19,2,FALSE)</f>
        <v>#N/A</v>
      </c>
      <c r="E6912" t="str">
        <f t="shared" si="107"/>
        <v/>
      </c>
    </row>
    <row r="6913" spans="1:5" x14ac:dyDescent="0.2">
      <c r="A6913" t="s">
        <v>1398</v>
      </c>
      <c r="B6913" t="s">
        <v>1399</v>
      </c>
      <c r="C6913" t="s">
        <v>423</v>
      </c>
      <c r="D6913" t="str">
        <f>VLOOKUP(C6913,'lookup table'!$A$2:$B$19,2,FALSE)</f>
        <v>ignore</v>
      </c>
      <c r="E6913" t="str">
        <f t="shared" si="107"/>
        <v>DR6REX_00|ignore</v>
      </c>
    </row>
    <row r="6914" spans="1:5" x14ac:dyDescent="0.2">
      <c r="A6914" t="s">
        <v>1398</v>
      </c>
      <c r="B6914" t="s">
        <v>1399</v>
      </c>
      <c r="C6914" t="s">
        <v>424</v>
      </c>
      <c r="D6914" t="str">
        <f>VLOOKUP(C6914,'lookup table'!$A$2:$B$19,2,FALSE)</f>
        <v>GRC</v>
      </c>
      <c r="E6914" t="str">
        <f t="shared" si="107"/>
        <v>DR6REX_00|GRC</v>
      </c>
    </row>
    <row r="6915" spans="1:5" x14ac:dyDescent="0.2">
      <c r="A6915" t="s">
        <v>1398</v>
      </c>
      <c r="B6915" t="s">
        <v>1399</v>
      </c>
      <c r="C6915" t="s">
        <v>425</v>
      </c>
      <c r="D6915" t="str">
        <f>VLOOKUP(C6915,'lookup table'!$A$2:$B$19,2,FALSE)</f>
        <v>Investee Segment</v>
      </c>
      <c r="E6915" t="str">
        <f t="shared" ref="E6915:E6978" si="108">IF(ISNA(D6915),"",IF(A6915="","",A6915) &amp; "|" &amp; D6915)</f>
        <v>DR6REX_00|Investee Segment</v>
      </c>
    </row>
    <row r="6916" spans="1:5" x14ac:dyDescent="0.2">
      <c r="A6916" t="s">
        <v>1398</v>
      </c>
      <c r="B6916" t="s">
        <v>1399</v>
      </c>
      <c r="C6916" t="s">
        <v>426</v>
      </c>
      <c r="D6916" t="str">
        <f>VLOOKUP(C6916,'lookup table'!$A$2:$B$19,2,FALSE)</f>
        <v>Investee Unit</v>
      </c>
      <c r="E6916" t="str">
        <f t="shared" si="108"/>
        <v>DR6REX_00|Investee Unit</v>
      </c>
    </row>
    <row r="6917" spans="1:5" x14ac:dyDescent="0.2">
      <c r="A6917" t="s">
        <v>1398</v>
      </c>
      <c r="B6917" t="s">
        <v>1399</v>
      </c>
      <c r="C6917" t="s">
        <v>428</v>
      </c>
      <c r="D6917" t="str">
        <f>VLOOKUP(C6917,'lookup table'!$A$2:$B$19,2,FALSE)</f>
        <v>LoB</v>
      </c>
      <c r="E6917" t="str">
        <f t="shared" si="108"/>
        <v>DR6REX_00|LoB</v>
      </c>
    </row>
    <row r="6918" spans="1:5" x14ac:dyDescent="0.2">
      <c r="A6918" t="s">
        <v>1398</v>
      </c>
      <c r="B6918" t="s">
        <v>1399</v>
      </c>
      <c r="C6918" t="s">
        <v>436</v>
      </c>
      <c r="D6918" t="str">
        <f>VLOOKUP(C6918,'lookup table'!$A$2:$B$19,2,FALSE)</f>
        <v>MAT</v>
      </c>
      <c r="E6918" t="str">
        <f t="shared" si="108"/>
        <v>DR6REX_00|MAT</v>
      </c>
    </row>
    <row r="6919" spans="1:5" x14ac:dyDescent="0.2">
      <c r="A6919" t="s">
        <v>1398</v>
      </c>
      <c r="B6919" t="s">
        <v>1399</v>
      </c>
      <c r="C6919" t="s">
        <v>438</v>
      </c>
      <c r="D6919" t="str">
        <f>VLOOKUP(C6919,'lookup table'!$A$2:$B$19,2,FALSE)</f>
        <v>ToM</v>
      </c>
      <c r="E6919" t="str">
        <f t="shared" si="108"/>
        <v>DR6REX_00|ToM</v>
      </c>
    </row>
    <row r="6920" spans="1:5" x14ac:dyDescent="0.2">
      <c r="A6920" t="s">
        <v>1398</v>
      </c>
      <c r="B6920" t="s">
        <v>1399</v>
      </c>
      <c r="C6920" t="s">
        <v>441</v>
      </c>
      <c r="D6920" t="str">
        <f>VLOOKUP(C6920,'lookup table'!$A$2:$B$19,2,FALSE)</f>
        <v>Partner Segment</v>
      </c>
      <c r="E6920" t="str">
        <f t="shared" si="108"/>
        <v>DR6REX_00|Partner Segment</v>
      </c>
    </row>
    <row r="6921" spans="1:5" x14ac:dyDescent="0.2">
      <c r="A6921" t="s">
        <v>1398</v>
      </c>
      <c r="B6921" t="s">
        <v>1399</v>
      </c>
      <c r="C6921" t="s">
        <v>442</v>
      </c>
      <c r="D6921" t="str">
        <f>VLOOKUP(C6921,'lookup table'!$A$2:$B$19,2,FALSE)</f>
        <v>Partner Unit</v>
      </c>
      <c r="E6921" t="str">
        <f t="shared" si="108"/>
        <v>DR6REX_00|Partner Unit</v>
      </c>
    </row>
    <row r="6922" spans="1:5" x14ac:dyDescent="0.2">
      <c r="A6922" t="s">
        <v>1398</v>
      </c>
      <c r="B6922" t="s">
        <v>1399</v>
      </c>
      <c r="C6922" t="s">
        <v>447</v>
      </c>
      <c r="D6922" t="str">
        <f>VLOOKUP(C6922,'lookup table'!$A$2:$B$19,2,FALSE)</f>
        <v>REX</v>
      </c>
      <c r="E6922" t="str">
        <f t="shared" si="108"/>
        <v>DR6REX_00|REX</v>
      </c>
    </row>
    <row r="6923" spans="1:5" x14ac:dyDescent="0.2">
      <c r="A6923" t="s">
        <v>1398</v>
      </c>
      <c r="B6923" t="s">
        <v>1399</v>
      </c>
      <c r="C6923" t="s">
        <v>448</v>
      </c>
      <c r="D6923" t="e">
        <f>VLOOKUP(C6923,'lookup table'!$A$2:$B$19,2,FALSE)</f>
        <v>#N/A</v>
      </c>
      <c r="E6923" t="str">
        <f t="shared" si="108"/>
        <v/>
      </c>
    </row>
    <row r="6924" spans="1:5" x14ac:dyDescent="0.2">
      <c r="A6924" t="s">
        <v>1398</v>
      </c>
      <c r="B6924" t="s">
        <v>1399</v>
      </c>
      <c r="C6924" t="s">
        <v>449</v>
      </c>
      <c r="D6924" t="e">
        <f>VLOOKUP(C6924,'lookup table'!$A$2:$B$19,2,FALSE)</f>
        <v>#N/A</v>
      </c>
      <c r="E6924" t="str">
        <f t="shared" si="108"/>
        <v/>
      </c>
    </row>
    <row r="6925" spans="1:5" x14ac:dyDescent="0.2">
      <c r="A6925" t="s">
        <v>1398</v>
      </c>
      <c r="B6925" t="s">
        <v>1399</v>
      </c>
      <c r="C6925" t="s">
        <v>451</v>
      </c>
      <c r="D6925" t="str">
        <f>VLOOKUP(C6925,'lookup table'!$A$2:$B$19,2,FALSE)</f>
        <v>Segment</v>
      </c>
      <c r="E6925" t="str">
        <f t="shared" si="108"/>
        <v>DR6REX_00|Segment</v>
      </c>
    </row>
    <row r="6926" spans="1:5" x14ac:dyDescent="0.2">
      <c r="A6926" t="s">
        <v>1398</v>
      </c>
      <c r="B6926" t="s">
        <v>1399</v>
      </c>
      <c r="C6926" t="s">
        <v>455</v>
      </c>
      <c r="D6926" t="e">
        <f>VLOOKUP(C6926,'lookup table'!$A$2:$B$19,2,FALSE)</f>
        <v>#N/A</v>
      </c>
      <c r="E6926" t="str">
        <f t="shared" si="108"/>
        <v/>
      </c>
    </row>
    <row r="6927" spans="1:5" x14ac:dyDescent="0.2">
      <c r="A6927" t="s">
        <v>1398</v>
      </c>
      <c r="B6927" t="s">
        <v>1399</v>
      </c>
      <c r="C6927" t="s">
        <v>456</v>
      </c>
      <c r="D6927" t="e">
        <f>VLOOKUP(C6927,'lookup table'!$A$2:$B$19,2,FALSE)</f>
        <v>#N/A</v>
      </c>
      <c r="E6927" t="str">
        <f t="shared" si="108"/>
        <v/>
      </c>
    </row>
    <row r="6928" spans="1:5" x14ac:dyDescent="0.2">
      <c r="A6928" t="s">
        <v>1398</v>
      </c>
      <c r="B6928" t="s">
        <v>1399</v>
      </c>
      <c r="C6928" t="s">
        <v>457</v>
      </c>
      <c r="D6928" t="str">
        <f>VLOOKUP(C6928,'lookup table'!$A$2:$B$19,2,FALSE)</f>
        <v>VLT</v>
      </c>
      <c r="E6928" t="str">
        <f t="shared" si="108"/>
        <v>DR6REX_00|VLT</v>
      </c>
    </row>
    <row r="6929" spans="1:5" x14ac:dyDescent="0.2">
      <c r="A6929" t="s">
        <v>1398</v>
      </c>
      <c r="B6929" t="s">
        <v>1399</v>
      </c>
      <c r="C6929" t="s">
        <v>458</v>
      </c>
      <c r="D6929" t="str">
        <f>VLOOKUP(C6929,'lookup table'!$A$2:$B$19,2,FALSE)</f>
        <v>VAR</v>
      </c>
      <c r="E6929" t="str">
        <f t="shared" si="108"/>
        <v>DR6REX_00|VAR</v>
      </c>
    </row>
    <row r="6930" spans="1:5" x14ac:dyDescent="0.2">
      <c r="A6930" t="s">
        <v>1398</v>
      </c>
      <c r="B6930" t="s">
        <v>1399</v>
      </c>
      <c r="C6930" t="s">
        <v>459</v>
      </c>
      <c r="D6930" t="e">
        <f>VLOOKUP(C6930,'lookup table'!$A$2:$B$19,2,FALSE)</f>
        <v>#N/A</v>
      </c>
      <c r="E6930" t="str">
        <f t="shared" si="108"/>
        <v/>
      </c>
    </row>
    <row r="6931" spans="1:5" x14ac:dyDescent="0.2">
      <c r="A6931" t="s">
        <v>1398</v>
      </c>
      <c r="B6931" t="s">
        <v>1399</v>
      </c>
      <c r="C6931" t="s">
        <v>460</v>
      </c>
      <c r="D6931" t="e">
        <f>VLOOKUP(C6931,'lookup table'!$A$2:$B$19,2,FALSE)</f>
        <v>#N/A</v>
      </c>
      <c r="E6931" t="str">
        <f t="shared" si="108"/>
        <v/>
      </c>
    </row>
    <row r="6932" spans="1:5" x14ac:dyDescent="0.2">
      <c r="A6932" t="s">
        <v>1398</v>
      </c>
      <c r="B6932" t="s">
        <v>1399</v>
      </c>
      <c r="C6932" t="s">
        <v>461</v>
      </c>
      <c r="D6932" t="str">
        <f>VLOOKUP(C6932,'lookup table'!$A$2:$B$19,2,FALSE)</f>
        <v>Posting Level</v>
      </c>
      <c r="E6932" t="str">
        <f t="shared" si="108"/>
        <v>DR6REX_00|Posting Level</v>
      </c>
    </row>
    <row r="6933" spans="1:5" x14ac:dyDescent="0.2">
      <c r="A6933" t="s">
        <v>1398</v>
      </c>
      <c r="B6933" t="s">
        <v>1399</v>
      </c>
      <c r="C6933" t="s">
        <v>462</v>
      </c>
      <c r="D6933" t="e">
        <f>VLOOKUP(C6933,'lookup table'!$A$2:$B$19,2,FALSE)</f>
        <v>#N/A</v>
      </c>
      <c r="E6933" t="str">
        <f t="shared" si="108"/>
        <v/>
      </c>
    </row>
    <row r="6934" spans="1:5" x14ac:dyDescent="0.2">
      <c r="A6934" t="s">
        <v>1398</v>
      </c>
      <c r="B6934" t="s">
        <v>1399</v>
      </c>
      <c r="C6934" t="s">
        <v>463</v>
      </c>
      <c r="D6934" t="e">
        <f>VLOOKUP(C6934,'lookup table'!$A$2:$B$19,2,FALSE)</f>
        <v>#N/A</v>
      </c>
      <c r="E6934" t="str">
        <f t="shared" si="108"/>
        <v/>
      </c>
    </row>
    <row r="6935" spans="1:5" x14ac:dyDescent="0.2">
      <c r="A6935" t="s">
        <v>1398</v>
      </c>
      <c r="B6935" t="s">
        <v>1399</v>
      </c>
      <c r="C6935" t="s">
        <v>464</v>
      </c>
      <c r="D6935" t="e">
        <f>VLOOKUP(C6935,'lookup table'!$A$2:$B$19,2,FALSE)</f>
        <v>#N/A</v>
      </c>
      <c r="E6935" t="str">
        <f t="shared" si="108"/>
        <v/>
      </c>
    </row>
    <row r="6936" spans="1:5" x14ac:dyDescent="0.2">
      <c r="A6936" t="s">
        <v>1398</v>
      </c>
      <c r="B6936" t="s">
        <v>1399</v>
      </c>
      <c r="C6936" t="s">
        <v>465</v>
      </c>
      <c r="D6936" t="e">
        <f>VLOOKUP(C6936,'lookup table'!$A$2:$B$19,2,FALSE)</f>
        <v>#N/A</v>
      </c>
      <c r="E6936" t="str">
        <f t="shared" si="108"/>
        <v/>
      </c>
    </row>
    <row r="6937" spans="1:5" x14ac:dyDescent="0.2">
      <c r="A6937" t="s">
        <v>1400</v>
      </c>
      <c r="B6937" t="s">
        <v>1401</v>
      </c>
      <c r="C6937" t="s">
        <v>2</v>
      </c>
      <c r="D6937" t="e">
        <f>VLOOKUP(C6937,'lookup table'!$A$2:$B$19,2,FALSE)</f>
        <v>#N/A</v>
      </c>
      <c r="E6937" t="str">
        <f t="shared" si="108"/>
        <v/>
      </c>
    </row>
    <row r="6938" spans="1:5" x14ac:dyDescent="0.2">
      <c r="A6938" t="s">
        <v>1400</v>
      </c>
      <c r="B6938" t="s">
        <v>1401</v>
      </c>
      <c r="C6938" t="s">
        <v>5</v>
      </c>
      <c r="D6938" t="e">
        <f>VLOOKUP(C6938,'lookup table'!$A$2:$B$19,2,FALSE)</f>
        <v>#N/A</v>
      </c>
      <c r="E6938" t="str">
        <f t="shared" si="108"/>
        <v/>
      </c>
    </row>
    <row r="6939" spans="1:5" x14ac:dyDescent="0.2">
      <c r="A6939" t="s">
        <v>1400</v>
      </c>
      <c r="B6939" t="s">
        <v>1401</v>
      </c>
      <c r="C6939" t="s">
        <v>6</v>
      </c>
      <c r="D6939" t="e">
        <f>VLOOKUP(C6939,'lookup table'!$A$2:$B$19,2,FALSE)</f>
        <v>#N/A</v>
      </c>
      <c r="E6939" t="str">
        <f t="shared" si="108"/>
        <v/>
      </c>
    </row>
    <row r="6940" spans="1:5" x14ac:dyDescent="0.2">
      <c r="A6940" t="s">
        <v>1400</v>
      </c>
      <c r="B6940" t="s">
        <v>1401</v>
      </c>
      <c r="C6940" t="s">
        <v>9</v>
      </c>
      <c r="D6940" t="e">
        <f>VLOOKUP(C6940,'lookup table'!$A$2:$B$19,2,FALSE)</f>
        <v>#N/A</v>
      </c>
      <c r="E6940" t="str">
        <f t="shared" si="108"/>
        <v/>
      </c>
    </row>
    <row r="6941" spans="1:5" x14ac:dyDescent="0.2">
      <c r="A6941" t="s">
        <v>1400</v>
      </c>
      <c r="B6941" t="s">
        <v>1401</v>
      </c>
      <c r="C6941" t="s">
        <v>10</v>
      </c>
      <c r="D6941" t="e">
        <f>VLOOKUP(C6941,'lookup table'!$A$2:$B$19,2,FALSE)</f>
        <v>#N/A</v>
      </c>
      <c r="E6941" t="str">
        <f t="shared" si="108"/>
        <v/>
      </c>
    </row>
    <row r="6942" spans="1:5" x14ac:dyDescent="0.2">
      <c r="A6942" t="s">
        <v>1400</v>
      </c>
      <c r="B6942" t="s">
        <v>1401</v>
      </c>
      <c r="C6942" t="s">
        <v>11</v>
      </c>
      <c r="D6942" t="e">
        <f>VLOOKUP(C6942,'lookup table'!$A$2:$B$19,2,FALSE)</f>
        <v>#N/A</v>
      </c>
      <c r="E6942" t="str">
        <f t="shared" si="108"/>
        <v/>
      </c>
    </row>
    <row r="6943" spans="1:5" x14ac:dyDescent="0.2">
      <c r="A6943" t="s">
        <v>1400</v>
      </c>
      <c r="B6943" t="s">
        <v>1401</v>
      </c>
      <c r="C6943" t="s">
        <v>12</v>
      </c>
      <c r="D6943" t="e">
        <f>VLOOKUP(C6943,'lookup table'!$A$2:$B$19,2,FALSE)</f>
        <v>#N/A</v>
      </c>
      <c r="E6943" t="str">
        <f t="shared" si="108"/>
        <v/>
      </c>
    </row>
    <row r="6944" spans="1:5" x14ac:dyDescent="0.2">
      <c r="A6944" t="s">
        <v>1400</v>
      </c>
      <c r="B6944" t="s">
        <v>1401</v>
      </c>
      <c r="C6944" t="s">
        <v>14</v>
      </c>
      <c r="D6944" t="str">
        <f>VLOOKUP(C6944,'lookup table'!$A$2:$B$19,2,FALSE)</f>
        <v>ALC</v>
      </c>
      <c r="E6944" t="str">
        <f t="shared" si="108"/>
        <v>DR6TOM_00|ALC</v>
      </c>
    </row>
    <row r="6945" spans="1:5" x14ac:dyDescent="0.2">
      <c r="A6945" t="s">
        <v>1400</v>
      </c>
      <c r="B6945" t="s">
        <v>1401</v>
      </c>
      <c r="C6945" t="s">
        <v>20</v>
      </c>
      <c r="D6945" t="str">
        <f>VLOOKUP(C6945,'lookup table'!$A$2:$B$19,2,FALSE)</f>
        <v>AY</v>
      </c>
      <c r="E6945" t="str">
        <f t="shared" si="108"/>
        <v>DR6TOM_00|AY</v>
      </c>
    </row>
    <row r="6946" spans="1:5" x14ac:dyDescent="0.2">
      <c r="A6946" t="s">
        <v>1400</v>
      </c>
      <c r="B6946" t="s">
        <v>1401</v>
      </c>
      <c r="C6946" t="s">
        <v>136</v>
      </c>
      <c r="D6946" t="str">
        <f>VLOOKUP(C6946,'lookup table'!$A$2:$B$19,2,FALSE)</f>
        <v>BBA Set</v>
      </c>
      <c r="E6946" t="str">
        <f t="shared" si="108"/>
        <v>DR6TOM_00|BBA Set</v>
      </c>
    </row>
    <row r="6947" spans="1:5" x14ac:dyDescent="0.2">
      <c r="A6947" t="s">
        <v>1400</v>
      </c>
      <c r="B6947" t="s">
        <v>1401</v>
      </c>
      <c r="C6947" t="s">
        <v>324</v>
      </c>
      <c r="D6947" t="e">
        <f>VLOOKUP(C6947,'lookup table'!$A$2:$B$19,2,FALSE)</f>
        <v>#N/A</v>
      </c>
      <c r="E6947" t="str">
        <f t="shared" si="108"/>
        <v/>
      </c>
    </row>
    <row r="6948" spans="1:5" x14ac:dyDescent="0.2">
      <c r="A6948" t="s">
        <v>1400</v>
      </c>
      <c r="B6948" t="s">
        <v>1401</v>
      </c>
      <c r="C6948" t="s">
        <v>325</v>
      </c>
      <c r="D6948" t="e">
        <f>VLOOKUP(C6948,'lookup table'!$A$2:$B$19,2,FALSE)</f>
        <v>#N/A</v>
      </c>
      <c r="E6948" t="str">
        <f t="shared" si="108"/>
        <v/>
      </c>
    </row>
    <row r="6949" spans="1:5" x14ac:dyDescent="0.2">
      <c r="A6949" t="s">
        <v>1400</v>
      </c>
      <c r="B6949" t="s">
        <v>1401</v>
      </c>
      <c r="C6949" t="s">
        <v>326</v>
      </c>
      <c r="D6949" t="e">
        <f>VLOOKUP(C6949,'lookup table'!$A$2:$B$19,2,FALSE)</f>
        <v>#N/A</v>
      </c>
      <c r="E6949" t="str">
        <f t="shared" si="108"/>
        <v/>
      </c>
    </row>
    <row r="6950" spans="1:5" x14ac:dyDescent="0.2">
      <c r="A6950" t="s">
        <v>1400</v>
      </c>
      <c r="B6950" t="s">
        <v>1401</v>
      </c>
      <c r="C6950" t="s">
        <v>327</v>
      </c>
      <c r="D6950" t="e">
        <f>VLOOKUP(C6950,'lookup table'!$A$2:$B$19,2,FALSE)</f>
        <v>#N/A</v>
      </c>
      <c r="E6950" t="str">
        <f t="shared" si="108"/>
        <v/>
      </c>
    </row>
    <row r="6951" spans="1:5" x14ac:dyDescent="0.2">
      <c r="A6951" t="s">
        <v>1400</v>
      </c>
      <c r="B6951" t="s">
        <v>1401</v>
      </c>
      <c r="C6951" t="s">
        <v>328</v>
      </c>
      <c r="D6951" t="e">
        <f>VLOOKUP(C6951,'lookup table'!$A$2:$B$19,2,FALSE)</f>
        <v>#N/A</v>
      </c>
      <c r="E6951" t="str">
        <f t="shared" si="108"/>
        <v/>
      </c>
    </row>
    <row r="6952" spans="1:5" x14ac:dyDescent="0.2">
      <c r="A6952" t="s">
        <v>1400</v>
      </c>
      <c r="B6952" t="s">
        <v>1401</v>
      </c>
      <c r="C6952" t="s">
        <v>329</v>
      </c>
      <c r="D6952" t="e">
        <f>VLOOKUP(C6952,'lookup table'!$A$2:$B$19,2,FALSE)</f>
        <v>#N/A</v>
      </c>
      <c r="E6952" t="str">
        <f t="shared" si="108"/>
        <v/>
      </c>
    </row>
    <row r="6953" spans="1:5" x14ac:dyDescent="0.2">
      <c r="A6953" t="s">
        <v>1400</v>
      </c>
      <c r="B6953" t="s">
        <v>1401</v>
      </c>
      <c r="C6953" t="s">
        <v>331</v>
      </c>
      <c r="D6953" t="str">
        <f>VLOOKUP(C6953,'lookup table'!$A$2:$B$19,2,FALSE)</f>
        <v>FS Item</v>
      </c>
      <c r="E6953" t="str">
        <f t="shared" si="108"/>
        <v>DR6TOM_00|FS Item</v>
      </c>
    </row>
    <row r="6954" spans="1:5" x14ac:dyDescent="0.2">
      <c r="A6954" t="s">
        <v>1400</v>
      </c>
      <c r="B6954" t="s">
        <v>1401</v>
      </c>
      <c r="C6954" t="s">
        <v>422</v>
      </c>
      <c r="D6954" t="e">
        <f>VLOOKUP(C6954,'lookup table'!$A$2:$B$19,2,FALSE)</f>
        <v>#N/A</v>
      </c>
      <c r="E6954" t="str">
        <f t="shared" si="108"/>
        <v/>
      </c>
    </row>
    <row r="6955" spans="1:5" x14ac:dyDescent="0.2">
      <c r="A6955" t="s">
        <v>1400</v>
      </c>
      <c r="B6955" t="s">
        <v>1401</v>
      </c>
      <c r="C6955" t="s">
        <v>423</v>
      </c>
      <c r="D6955" t="str">
        <f>VLOOKUP(C6955,'lookup table'!$A$2:$B$19,2,FALSE)</f>
        <v>ignore</v>
      </c>
      <c r="E6955" t="str">
        <f t="shared" si="108"/>
        <v>DR6TOM_00|ignore</v>
      </c>
    </row>
    <row r="6956" spans="1:5" x14ac:dyDescent="0.2">
      <c r="A6956" t="s">
        <v>1400</v>
      </c>
      <c r="B6956" t="s">
        <v>1401</v>
      </c>
      <c r="C6956" t="s">
        <v>424</v>
      </c>
      <c r="D6956" t="str">
        <f>VLOOKUP(C6956,'lookup table'!$A$2:$B$19,2,FALSE)</f>
        <v>GRC</v>
      </c>
      <c r="E6956" t="str">
        <f t="shared" si="108"/>
        <v>DR6TOM_00|GRC</v>
      </c>
    </row>
    <row r="6957" spans="1:5" x14ac:dyDescent="0.2">
      <c r="A6957" t="s">
        <v>1400</v>
      </c>
      <c r="B6957" t="s">
        <v>1401</v>
      </c>
      <c r="C6957" t="s">
        <v>425</v>
      </c>
      <c r="D6957" t="str">
        <f>VLOOKUP(C6957,'lookup table'!$A$2:$B$19,2,FALSE)</f>
        <v>Investee Segment</v>
      </c>
      <c r="E6957" t="str">
        <f t="shared" si="108"/>
        <v>DR6TOM_00|Investee Segment</v>
      </c>
    </row>
    <row r="6958" spans="1:5" x14ac:dyDescent="0.2">
      <c r="A6958" t="s">
        <v>1400</v>
      </c>
      <c r="B6958" t="s">
        <v>1401</v>
      </c>
      <c r="C6958" t="s">
        <v>426</v>
      </c>
      <c r="D6958" t="str">
        <f>VLOOKUP(C6958,'lookup table'!$A$2:$B$19,2,FALSE)</f>
        <v>Investee Unit</v>
      </c>
      <c r="E6958" t="str">
        <f t="shared" si="108"/>
        <v>DR6TOM_00|Investee Unit</v>
      </c>
    </row>
    <row r="6959" spans="1:5" x14ac:dyDescent="0.2">
      <c r="A6959" t="s">
        <v>1400</v>
      </c>
      <c r="B6959" t="s">
        <v>1401</v>
      </c>
      <c r="C6959" t="s">
        <v>428</v>
      </c>
      <c r="D6959" t="str">
        <f>VLOOKUP(C6959,'lookup table'!$A$2:$B$19,2,FALSE)</f>
        <v>LoB</v>
      </c>
      <c r="E6959" t="str">
        <f t="shared" si="108"/>
        <v>DR6TOM_00|LoB</v>
      </c>
    </row>
    <row r="6960" spans="1:5" x14ac:dyDescent="0.2">
      <c r="A6960" t="s">
        <v>1400</v>
      </c>
      <c r="B6960" t="s">
        <v>1401</v>
      </c>
      <c r="C6960" t="s">
        <v>436</v>
      </c>
      <c r="D6960" t="str">
        <f>VLOOKUP(C6960,'lookup table'!$A$2:$B$19,2,FALSE)</f>
        <v>MAT</v>
      </c>
      <c r="E6960" t="str">
        <f t="shared" si="108"/>
        <v>DR6TOM_00|MAT</v>
      </c>
    </row>
    <row r="6961" spans="1:5" x14ac:dyDescent="0.2">
      <c r="A6961" t="s">
        <v>1400</v>
      </c>
      <c r="B6961" t="s">
        <v>1401</v>
      </c>
      <c r="C6961" t="s">
        <v>438</v>
      </c>
      <c r="D6961" t="str">
        <f>VLOOKUP(C6961,'lookup table'!$A$2:$B$19,2,FALSE)</f>
        <v>ToM</v>
      </c>
      <c r="E6961" t="str">
        <f t="shared" si="108"/>
        <v>DR6TOM_00|ToM</v>
      </c>
    </row>
    <row r="6962" spans="1:5" x14ac:dyDescent="0.2">
      <c r="A6962" t="s">
        <v>1400</v>
      </c>
      <c r="B6962" t="s">
        <v>1401</v>
      </c>
      <c r="C6962" t="s">
        <v>441</v>
      </c>
      <c r="D6962" t="str">
        <f>VLOOKUP(C6962,'lookup table'!$A$2:$B$19,2,FALSE)</f>
        <v>Partner Segment</v>
      </c>
      <c r="E6962" t="str">
        <f t="shared" si="108"/>
        <v>DR6TOM_00|Partner Segment</v>
      </c>
    </row>
    <row r="6963" spans="1:5" x14ac:dyDescent="0.2">
      <c r="A6963" t="s">
        <v>1400</v>
      </c>
      <c r="B6963" t="s">
        <v>1401</v>
      </c>
      <c r="C6963" t="s">
        <v>442</v>
      </c>
      <c r="D6963" t="str">
        <f>VLOOKUP(C6963,'lookup table'!$A$2:$B$19,2,FALSE)</f>
        <v>Partner Unit</v>
      </c>
      <c r="E6963" t="str">
        <f t="shared" si="108"/>
        <v>DR6TOM_00|Partner Unit</v>
      </c>
    </row>
    <row r="6964" spans="1:5" x14ac:dyDescent="0.2">
      <c r="A6964" t="s">
        <v>1400</v>
      </c>
      <c r="B6964" t="s">
        <v>1401</v>
      </c>
      <c r="C6964" t="s">
        <v>447</v>
      </c>
      <c r="D6964" t="str">
        <f>VLOOKUP(C6964,'lookup table'!$A$2:$B$19,2,FALSE)</f>
        <v>REX</v>
      </c>
      <c r="E6964" t="str">
        <f t="shared" si="108"/>
        <v>DR6TOM_00|REX</v>
      </c>
    </row>
    <row r="6965" spans="1:5" x14ac:dyDescent="0.2">
      <c r="A6965" t="s">
        <v>1400</v>
      </c>
      <c r="B6965" t="s">
        <v>1401</v>
      </c>
      <c r="C6965" t="s">
        <v>448</v>
      </c>
      <c r="D6965" t="e">
        <f>VLOOKUP(C6965,'lookup table'!$A$2:$B$19,2,FALSE)</f>
        <v>#N/A</v>
      </c>
      <c r="E6965" t="str">
        <f t="shared" si="108"/>
        <v/>
      </c>
    </row>
    <row r="6966" spans="1:5" x14ac:dyDescent="0.2">
      <c r="A6966" t="s">
        <v>1400</v>
      </c>
      <c r="B6966" t="s">
        <v>1401</v>
      </c>
      <c r="C6966" t="s">
        <v>449</v>
      </c>
      <c r="D6966" t="e">
        <f>VLOOKUP(C6966,'lookup table'!$A$2:$B$19,2,FALSE)</f>
        <v>#N/A</v>
      </c>
      <c r="E6966" t="str">
        <f t="shared" si="108"/>
        <v/>
      </c>
    </row>
    <row r="6967" spans="1:5" x14ac:dyDescent="0.2">
      <c r="A6967" t="s">
        <v>1400</v>
      </c>
      <c r="B6967" t="s">
        <v>1401</v>
      </c>
      <c r="C6967" t="s">
        <v>451</v>
      </c>
      <c r="D6967" t="str">
        <f>VLOOKUP(C6967,'lookup table'!$A$2:$B$19,2,FALSE)</f>
        <v>Segment</v>
      </c>
      <c r="E6967" t="str">
        <f t="shared" si="108"/>
        <v>DR6TOM_00|Segment</v>
      </c>
    </row>
    <row r="6968" spans="1:5" x14ac:dyDescent="0.2">
      <c r="A6968" t="s">
        <v>1400</v>
      </c>
      <c r="B6968" t="s">
        <v>1401</v>
      </c>
      <c r="C6968" t="s">
        <v>455</v>
      </c>
      <c r="D6968" t="e">
        <f>VLOOKUP(C6968,'lookup table'!$A$2:$B$19,2,FALSE)</f>
        <v>#N/A</v>
      </c>
      <c r="E6968" t="str">
        <f t="shared" si="108"/>
        <v/>
      </c>
    </row>
    <row r="6969" spans="1:5" x14ac:dyDescent="0.2">
      <c r="A6969" t="s">
        <v>1400</v>
      </c>
      <c r="B6969" t="s">
        <v>1401</v>
      </c>
      <c r="C6969" t="s">
        <v>456</v>
      </c>
      <c r="D6969" t="e">
        <f>VLOOKUP(C6969,'lookup table'!$A$2:$B$19,2,FALSE)</f>
        <v>#N/A</v>
      </c>
      <c r="E6969" t="str">
        <f t="shared" si="108"/>
        <v/>
      </c>
    </row>
    <row r="6970" spans="1:5" x14ac:dyDescent="0.2">
      <c r="A6970" t="s">
        <v>1400</v>
      </c>
      <c r="B6970" t="s">
        <v>1401</v>
      </c>
      <c r="C6970" t="s">
        <v>457</v>
      </c>
      <c r="D6970" t="str">
        <f>VLOOKUP(C6970,'lookup table'!$A$2:$B$19,2,FALSE)</f>
        <v>VLT</v>
      </c>
      <c r="E6970" t="str">
        <f t="shared" si="108"/>
        <v>DR6TOM_00|VLT</v>
      </c>
    </row>
    <row r="6971" spans="1:5" x14ac:dyDescent="0.2">
      <c r="A6971" t="s">
        <v>1400</v>
      </c>
      <c r="B6971" t="s">
        <v>1401</v>
      </c>
      <c r="C6971" t="s">
        <v>458</v>
      </c>
      <c r="D6971" t="str">
        <f>VLOOKUP(C6971,'lookup table'!$A$2:$B$19,2,FALSE)</f>
        <v>VAR</v>
      </c>
      <c r="E6971" t="str">
        <f t="shared" si="108"/>
        <v>DR6TOM_00|VAR</v>
      </c>
    </row>
    <row r="6972" spans="1:5" x14ac:dyDescent="0.2">
      <c r="A6972" t="s">
        <v>1400</v>
      </c>
      <c r="B6972" t="s">
        <v>1401</v>
      </c>
      <c r="C6972" t="s">
        <v>459</v>
      </c>
      <c r="D6972" t="e">
        <f>VLOOKUP(C6972,'lookup table'!$A$2:$B$19,2,FALSE)</f>
        <v>#N/A</v>
      </c>
      <c r="E6972" t="str">
        <f t="shared" si="108"/>
        <v/>
      </c>
    </row>
    <row r="6973" spans="1:5" x14ac:dyDescent="0.2">
      <c r="A6973" t="s">
        <v>1400</v>
      </c>
      <c r="B6973" t="s">
        <v>1401</v>
      </c>
      <c r="C6973" t="s">
        <v>460</v>
      </c>
      <c r="D6973" t="e">
        <f>VLOOKUP(C6973,'lookup table'!$A$2:$B$19,2,FALSE)</f>
        <v>#N/A</v>
      </c>
      <c r="E6973" t="str">
        <f t="shared" si="108"/>
        <v/>
      </c>
    </row>
    <row r="6974" spans="1:5" x14ac:dyDescent="0.2">
      <c r="A6974" t="s">
        <v>1400</v>
      </c>
      <c r="B6974" t="s">
        <v>1401</v>
      </c>
      <c r="C6974" t="s">
        <v>461</v>
      </c>
      <c r="D6974" t="str">
        <f>VLOOKUP(C6974,'lookup table'!$A$2:$B$19,2,FALSE)</f>
        <v>Posting Level</v>
      </c>
      <c r="E6974" t="str">
        <f t="shared" si="108"/>
        <v>DR6TOM_00|Posting Level</v>
      </c>
    </row>
    <row r="6975" spans="1:5" x14ac:dyDescent="0.2">
      <c r="A6975" t="s">
        <v>1400</v>
      </c>
      <c r="B6975" t="s">
        <v>1401</v>
      </c>
      <c r="C6975" t="s">
        <v>462</v>
      </c>
      <c r="D6975" t="e">
        <f>VLOOKUP(C6975,'lookup table'!$A$2:$B$19,2,FALSE)</f>
        <v>#N/A</v>
      </c>
      <c r="E6975" t="str">
        <f t="shared" si="108"/>
        <v/>
      </c>
    </row>
    <row r="6976" spans="1:5" x14ac:dyDescent="0.2">
      <c r="A6976" t="s">
        <v>1400</v>
      </c>
      <c r="B6976" t="s">
        <v>1401</v>
      </c>
      <c r="C6976" t="s">
        <v>463</v>
      </c>
      <c r="D6976" t="e">
        <f>VLOOKUP(C6976,'lookup table'!$A$2:$B$19,2,FALSE)</f>
        <v>#N/A</v>
      </c>
      <c r="E6976" t="str">
        <f t="shared" si="108"/>
        <v/>
      </c>
    </row>
    <row r="6977" spans="1:5" x14ac:dyDescent="0.2">
      <c r="A6977" t="s">
        <v>1400</v>
      </c>
      <c r="B6977" t="s">
        <v>1401</v>
      </c>
      <c r="C6977" t="s">
        <v>464</v>
      </c>
      <c r="D6977" t="e">
        <f>VLOOKUP(C6977,'lookup table'!$A$2:$B$19,2,FALSE)</f>
        <v>#N/A</v>
      </c>
      <c r="E6977" t="str">
        <f t="shared" si="108"/>
        <v/>
      </c>
    </row>
    <row r="6978" spans="1:5" x14ac:dyDescent="0.2">
      <c r="A6978" t="s">
        <v>1400</v>
      </c>
      <c r="B6978" t="s">
        <v>1401</v>
      </c>
      <c r="C6978" t="s">
        <v>465</v>
      </c>
      <c r="D6978" t="e">
        <f>VLOOKUP(C6978,'lookup table'!$A$2:$B$19,2,FALSE)</f>
        <v>#N/A</v>
      </c>
      <c r="E6978" t="str">
        <f t="shared" si="108"/>
        <v/>
      </c>
    </row>
    <row r="6979" spans="1:5" x14ac:dyDescent="0.2">
      <c r="A6979" t="s">
        <v>1402</v>
      </c>
      <c r="B6979" t="s">
        <v>1401</v>
      </c>
      <c r="C6979" t="s">
        <v>2</v>
      </c>
      <c r="D6979" t="e">
        <f>VLOOKUP(C6979,'lookup table'!$A$2:$B$19,2,FALSE)</f>
        <v>#N/A</v>
      </c>
      <c r="E6979" t="str">
        <f t="shared" ref="E6979:E7042" si="109">IF(ISNA(D6979),"",IF(A6979="","",A6979) &amp; "|" &amp; D6979)</f>
        <v/>
      </c>
    </row>
    <row r="6980" spans="1:5" x14ac:dyDescent="0.2">
      <c r="A6980" t="s">
        <v>1402</v>
      </c>
      <c r="B6980" t="s">
        <v>1401</v>
      </c>
      <c r="C6980" t="s">
        <v>5</v>
      </c>
      <c r="D6980" t="e">
        <f>VLOOKUP(C6980,'lookup table'!$A$2:$B$19,2,FALSE)</f>
        <v>#N/A</v>
      </c>
      <c r="E6980" t="str">
        <f t="shared" si="109"/>
        <v/>
      </c>
    </row>
    <row r="6981" spans="1:5" x14ac:dyDescent="0.2">
      <c r="A6981" t="s">
        <v>1402</v>
      </c>
      <c r="B6981" t="s">
        <v>1401</v>
      </c>
      <c r="C6981" t="s">
        <v>6</v>
      </c>
      <c r="D6981" t="e">
        <f>VLOOKUP(C6981,'lookup table'!$A$2:$B$19,2,FALSE)</f>
        <v>#N/A</v>
      </c>
      <c r="E6981" t="str">
        <f t="shared" si="109"/>
        <v/>
      </c>
    </row>
    <row r="6982" spans="1:5" x14ac:dyDescent="0.2">
      <c r="A6982" t="s">
        <v>1402</v>
      </c>
      <c r="B6982" t="s">
        <v>1401</v>
      </c>
      <c r="C6982" t="s">
        <v>9</v>
      </c>
      <c r="D6982" t="e">
        <f>VLOOKUP(C6982,'lookup table'!$A$2:$B$19,2,FALSE)</f>
        <v>#N/A</v>
      </c>
      <c r="E6982" t="str">
        <f t="shared" si="109"/>
        <v/>
      </c>
    </row>
    <row r="6983" spans="1:5" x14ac:dyDescent="0.2">
      <c r="A6983" t="s">
        <v>1402</v>
      </c>
      <c r="B6983" t="s">
        <v>1401</v>
      </c>
      <c r="C6983" t="s">
        <v>10</v>
      </c>
      <c r="D6983" t="e">
        <f>VLOOKUP(C6983,'lookup table'!$A$2:$B$19,2,FALSE)</f>
        <v>#N/A</v>
      </c>
      <c r="E6983" t="str">
        <f t="shared" si="109"/>
        <v/>
      </c>
    </row>
    <row r="6984" spans="1:5" x14ac:dyDescent="0.2">
      <c r="A6984" t="s">
        <v>1402</v>
      </c>
      <c r="B6984" t="s">
        <v>1401</v>
      </c>
      <c r="C6984" t="s">
        <v>11</v>
      </c>
      <c r="D6984" t="e">
        <f>VLOOKUP(C6984,'lookup table'!$A$2:$B$19,2,FALSE)</f>
        <v>#N/A</v>
      </c>
      <c r="E6984" t="str">
        <f t="shared" si="109"/>
        <v/>
      </c>
    </row>
    <row r="6985" spans="1:5" x14ac:dyDescent="0.2">
      <c r="A6985" t="s">
        <v>1402</v>
      </c>
      <c r="B6985" t="s">
        <v>1401</v>
      </c>
      <c r="C6985" t="s">
        <v>12</v>
      </c>
      <c r="D6985" t="e">
        <f>VLOOKUP(C6985,'lookup table'!$A$2:$B$19,2,FALSE)</f>
        <v>#N/A</v>
      </c>
      <c r="E6985" t="str">
        <f t="shared" si="109"/>
        <v/>
      </c>
    </row>
    <row r="6986" spans="1:5" x14ac:dyDescent="0.2">
      <c r="A6986" t="s">
        <v>1402</v>
      </c>
      <c r="B6986" t="s">
        <v>1401</v>
      </c>
      <c r="C6986" t="s">
        <v>14</v>
      </c>
      <c r="D6986" t="str">
        <f>VLOOKUP(C6986,'lookup table'!$A$2:$B$19,2,FALSE)</f>
        <v>ALC</v>
      </c>
      <c r="E6986" t="str">
        <f t="shared" si="109"/>
        <v>DR6TOM_14|ALC</v>
      </c>
    </row>
    <row r="6987" spans="1:5" x14ac:dyDescent="0.2">
      <c r="A6987" t="s">
        <v>1402</v>
      </c>
      <c r="B6987" t="s">
        <v>1401</v>
      </c>
      <c r="C6987" t="s">
        <v>20</v>
      </c>
      <c r="D6987" t="str">
        <f>VLOOKUP(C6987,'lookup table'!$A$2:$B$19,2,FALSE)</f>
        <v>AY</v>
      </c>
      <c r="E6987" t="str">
        <f t="shared" si="109"/>
        <v>DR6TOM_14|AY</v>
      </c>
    </row>
    <row r="6988" spans="1:5" x14ac:dyDescent="0.2">
      <c r="A6988" t="s">
        <v>1402</v>
      </c>
      <c r="B6988" t="s">
        <v>1401</v>
      </c>
      <c r="C6988" t="s">
        <v>136</v>
      </c>
      <c r="D6988" t="str">
        <f>VLOOKUP(C6988,'lookup table'!$A$2:$B$19,2,FALSE)</f>
        <v>BBA Set</v>
      </c>
      <c r="E6988" t="str">
        <f t="shared" si="109"/>
        <v>DR6TOM_14|BBA Set</v>
      </c>
    </row>
    <row r="6989" spans="1:5" x14ac:dyDescent="0.2">
      <c r="A6989" t="s">
        <v>1402</v>
      </c>
      <c r="B6989" t="s">
        <v>1401</v>
      </c>
      <c r="C6989" t="s">
        <v>324</v>
      </c>
      <c r="D6989" t="e">
        <f>VLOOKUP(C6989,'lookup table'!$A$2:$B$19,2,FALSE)</f>
        <v>#N/A</v>
      </c>
      <c r="E6989" t="str">
        <f t="shared" si="109"/>
        <v/>
      </c>
    </row>
    <row r="6990" spans="1:5" x14ac:dyDescent="0.2">
      <c r="A6990" t="s">
        <v>1402</v>
      </c>
      <c r="B6990" t="s">
        <v>1401</v>
      </c>
      <c r="C6990" t="s">
        <v>325</v>
      </c>
      <c r="D6990" t="e">
        <f>VLOOKUP(C6990,'lookup table'!$A$2:$B$19,2,FALSE)</f>
        <v>#N/A</v>
      </c>
      <c r="E6990" t="str">
        <f t="shared" si="109"/>
        <v/>
      </c>
    </row>
    <row r="6991" spans="1:5" x14ac:dyDescent="0.2">
      <c r="A6991" t="s">
        <v>1402</v>
      </c>
      <c r="B6991" t="s">
        <v>1401</v>
      </c>
      <c r="C6991" t="s">
        <v>326</v>
      </c>
      <c r="D6991" t="e">
        <f>VLOOKUP(C6991,'lookup table'!$A$2:$B$19,2,FALSE)</f>
        <v>#N/A</v>
      </c>
      <c r="E6991" t="str">
        <f t="shared" si="109"/>
        <v/>
      </c>
    </row>
    <row r="6992" spans="1:5" x14ac:dyDescent="0.2">
      <c r="A6992" t="s">
        <v>1402</v>
      </c>
      <c r="B6992" t="s">
        <v>1401</v>
      </c>
      <c r="C6992" t="s">
        <v>327</v>
      </c>
      <c r="D6992" t="e">
        <f>VLOOKUP(C6992,'lookup table'!$A$2:$B$19,2,FALSE)</f>
        <v>#N/A</v>
      </c>
      <c r="E6992" t="str">
        <f t="shared" si="109"/>
        <v/>
      </c>
    </row>
    <row r="6993" spans="1:5" x14ac:dyDescent="0.2">
      <c r="A6993" t="s">
        <v>1402</v>
      </c>
      <c r="B6993" t="s">
        <v>1401</v>
      </c>
      <c r="C6993" t="s">
        <v>328</v>
      </c>
      <c r="D6993" t="e">
        <f>VLOOKUP(C6993,'lookup table'!$A$2:$B$19,2,FALSE)</f>
        <v>#N/A</v>
      </c>
      <c r="E6993" t="str">
        <f t="shared" si="109"/>
        <v/>
      </c>
    </row>
    <row r="6994" spans="1:5" x14ac:dyDescent="0.2">
      <c r="A6994" t="s">
        <v>1402</v>
      </c>
      <c r="B6994" t="s">
        <v>1401</v>
      </c>
      <c r="C6994" t="s">
        <v>329</v>
      </c>
      <c r="D6994" t="e">
        <f>VLOOKUP(C6994,'lookup table'!$A$2:$B$19,2,FALSE)</f>
        <v>#N/A</v>
      </c>
      <c r="E6994" t="str">
        <f t="shared" si="109"/>
        <v/>
      </c>
    </row>
    <row r="6995" spans="1:5" x14ac:dyDescent="0.2">
      <c r="A6995" t="s">
        <v>1402</v>
      </c>
      <c r="B6995" t="s">
        <v>1401</v>
      </c>
      <c r="C6995" t="s">
        <v>331</v>
      </c>
      <c r="D6995" t="str">
        <f>VLOOKUP(C6995,'lookup table'!$A$2:$B$19,2,FALSE)</f>
        <v>FS Item</v>
      </c>
      <c r="E6995" t="str">
        <f t="shared" si="109"/>
        <v>DR6TOM_14|FS Item</v>
      </c>
    </row>
    <row r="6996" spans="1:5" x14ac:dyDescent="0.2">
      <c r="A6996" t="s">
        <v>1402</v>
      </c>
      <c r="B6996" t="s">
        <v>1401</v>
      </c>
      <c r="C6996" t="s">
        <v>422</v>
      </c>
      <c r="D6996" t="e">
        <f>VLOOKUP(C6996,'lookup table'!$A$2:$B$19,2,FALSE)</f>
        <v>#N/A</v>
      </c>
      <c r="E6996" t="str">
        <f t="shared" si="109"/>
        <v/>
      </c>
    </row>
    <row r="6997" spans="1:5" x14ac:dyDescent="0.2">
      <c r="A6997" t="s">
        <v>1402</v>
      </c>
      <c r="B6997" t="s">
        <v>1401</v>
      </c>
      <c r="C6997" t="s">
        <v>423</v>
      </c>
      <c r="D6997" t="str">
        <f>VLOOKUP(C6997,'lookup table'!$A$2:$B$19,2,FALSE)</f>
        <v>ignore</v>
      </c>
      <c r="E6997" t="str">
        <f t="shared" si="109"/>
        <v>DR6TOM_14|ignore</v>
      </c>
    </row>
    <row r="6998" spans="1:5" x14ac:dyDescent="0.2">
      <c r="A6998" t="s">
        <v>1402</v>
      </c>
      <c r="B6998" t="s">
        <v>1401</v>
      </c>
      <c r="C6998" t="s">
        <v>424</v>
      </c>
      <c r="D6998" t="str">
        <f>VLOOKUP(C6998,'lookup table'!$A$2:$B$19,2,FALSE)</f>
        <v>GRC</v>
      </c>
      <c r="E6998" t="str">
        <f t="shared" si="109"/>
        <v>DR6TOM_14|GRC</v>
      </c>
    </row>
    <row r="6999" spans="1:5" x14ac:dyDescent="0.2">
      <c r="A6999" t="s">
        <v>1402</v>
      </c>
      <c r="B6999" t="s">
        <v>1401</v>
      </c>
      <c r="C6999" t="s">
        <v>425</v>
      </c>
      <c r="D6999" t="str">
        <f>VLOOKUP(C6999,'lookup table'!$A$2:$B$19,2,FALSE)</f>
        <v>Investee Segment</v>
      </c>
      <c r="E6999" t="str">
        <f t="shared" si="109"/>
        <v>DR6TOM_14|Investee Segment</v>
      </c>
    </row>
    <row r="7000" spans="1:5" x14ac:dyDescent="0.2">
      <c r="A7000" t="s">
        <v>1402</v>
      </c>
      <c r="B7000" t="s">
        <v>1401</v>
      </c>
      <c r="C7000" t="s">
        <v>426</v>
      </c>
      <c r="D7000" t="str">
        <f>VLOOKUP(C7000,'lookup table'!$A$2:$B$19,2,FALSE)</f>
        <v>Investee Unit</v>
      </c>
      <c r="E7000" t="str">
        <f t="shared" si="109"/>
        <v>DR6TOM_14|Investee Unit</v>
      </c>
    </row>
    <row r="7001" spans="1:5" x14ac:dyDescent="0.2">
      <c r="A7001" t="s">
        <v>1402</v>
      </c>
      <c r="B7001" t="s">
        <v>1401</v>
      </c>
      <c r="C7001" t="s">
        <v>428</v>
      </c>
      <c r="D7001" t="str">
        <f>VLOOKUP(C7001,'lookup table'!$A$2:$B$19,2,FALSE)</f>
        <v>LoB</v>
      </c>
      <c r="E7001" t="str">
        <f t="shared" si="109"/>
        <v>DR6TOM_14|LoB</v>
      </c>
    </row>
    <row r="7002" spans="1:5" x14ac:dyDescent="0.2">
      <c r="A7002" t="s">
        <v>1402</v>
      </c>
      <c r="B7002" t="s">
        <v>1401</v>
      </c>
      <c r="C7002" t="s">
        <v>436</v>
      </c>
      <c r="D7002" t="str">
        <f>VLOOKUP(C7002,'lookup table'!$A$2:$B$19,2,FALSE)</f>
        <v>MAT</v>
      </c>
      <c r="E7002" t="str">
        <f t="shared" si="109"/>
        <v>DR6TOM_14|MAT</v>
      </c>
    </row>
    <row r="7003" spans="1:5" x14ac:dyDescent="0.2">
      <c r="A7003" t="s">
        <v>1402</v>
      </c>
      <c r="B7003" t="s">
        <v>1401</v>
      </c>
      <c r="C7003" t="s">
        <v>438</v>
      </c>
      <c r="D7003" t="str">
        <f>VLOOKUP(C7003,'lookup table'!$A$2:$B$19,2,FALSE)</f>
        <v>ToM</v>
      </c>
      <c r="E7003" t="str">
        <f t="shared" si="109"/>
        <v>DR6TOM_14|ToM</v>
      </c>
    </row>
    <row r="7004" spans="1:5" x14ac:dyDescent="0.2">
      <c r="A7004" t="s">
        <v>1402</v>
      </c>
      <c r="B7004" t="s">
        <v>1401</v>
      </c>
      <c r="C7004" t="s">
        <v>441</v>
      </c>
      <c r="D7004" t="str">
        <f>VLOOKUP(C7004,'lookup table'!$A$2:$B$19,2,FALSE)</f>
        <v>Partner Segment</v>
      </c>
      <c r="E7004" t="str">
        <f t="shared" si="109"/>
        <v>DR6TOM_14|Partner Segment</v>
      </c>
    </row>
    <row r="7005" spans="1:5" x14ac:dyDescent="0.2">
      <c r="A7005" t="s">
        <v>1402</v>
      </c>
      <c r="B7005" t="s">
        <v>1401</v>
      </c>
      <c r="C7005" t="s">
        <v>442</v>
      </c>
      <c r="D7005" t="str">
        <f>VLOOKUP(C7005,'lookup table'!$A$2:$B$19,2,FALSE)</f>
        <v>Partner Unit</v>
      </c>
      <c r="E7005" t="str">
        <f t="shared" si="109"/>
        <v>DR6TOM_14|Partner Unit</v>
      </c>
    </row>
    <row r="7006" spans="1:5" x14ac:dyDescent="0.2">
      <c r="A7006" t="s">
        <v>1402</v>
      </c>
      <c r="B7006" t="s">
        <v>1401</v>
      </c>
      <c r="C7006" t="s">
        <v>447</v>
      </c>
      <c r="D7006" t="str">
        <f>VLOOKUP(C7006,'lookup table'!$A$2:$B$19,2,FALSE)</f>
        <v>REX</v>
      </c>
      <c r="E7006" t="str">
        <f t="shared" si="109"/>
        <v>DR6TOM_14|REX</v>
      </c>
    </row>
    <row r="7007" spans="1:5" x14ac:dyDescent="0.2">
      <c r="A7007" t="s">
        <v>1402</v>
      </c>
      <c r="B7007" t="s">
        <v>1401</v>
      </c>
      <c r="C7007" t="s">
        <v>448</v>
      </c>
      <c r="D7007" t="e">
        <f>VLOOKUP(C7007,'lookup table'!$A$2:$B$19,2,FALSE)</f>
        <v>#N/A</v>
      </c>
      <c r="E7007" t="str">
        <f t="shared" si="109"/>
        <v/>
      </c>
    </row>
    <row r="7008" spans="1:5" x14ac:dyDescent="0.2">
      <c r="A7008" t="s">
        <v>1402</v>
      </c>
      <c r="B7008" t="s">
        <v>1401</v>
      </c>
      <c r="C7008" t="s">
        <v>449</v>
      </c>
      <c r="D7008" t="e">
        <f>VLOOKUP(C7008,'lookup table'!$A$2:$B$19,2,FALSE)</f>
        <v>#N/A</v>
      </c>
      <c r="E7008" t="str">
        <f t="shared" si="109"/>
        <v/>
      </c>
    </row>
    <row r="7009" spans="1:5" x14ac:dyDescent="0.2">
      <c r="A7009" t="s">
        <v>1402</v>
      </c>
      <c r="B7009" t="s">
        <v>1401</v>
      </c>
      <c r="C7009" t="s">
        <v>451</v>
      </c>
      <c r="D7009" t="str">
        <f>VLOOKUP(C7009,'lookup table'!$A$2:$B$19,2,FALSE)</f>
        <v>Segment</v>
      </c>
      <c r="E7009" t="str">
        <f t="shared" si="109"/>
        <v>DR6TOM_14|Segment</v>
      </c>
    </row>
    <row r="7010" spans="1:5" x14ac:dyDescent="0.2">
      <c r="A7010" t="s">
        <v>1402</v>
      </c>
      <c r="B7010" t="s">
        <v>1401</v>
      </c>
      <c r="C7010" t="s">
        <v>455</v>
      </c>
      <c r="D7010" t="e">
        <f>VLOOKUP(C7010,'lookup table'!$A$2:$B$19,2,FALSE)</f>
        <v>#N/A</v>
      </c>
      <c r="E7010" t="str">
        <f t="shared" si="109"/>
        <v/>
      </c>
    </row>
    <row r="7011" spans="1:5" x14ac:dyDescent="0.2">
      <c r="A7011" t="s">
        <v>1402</v>
      </c>
      <c r="B7011" t="s">
        <v>1401</v>
      </c>
      <c r="C7011" t="s">
        <v>456</v>
      </c>
      <c r="D7011" t="e">
        <f>VLOOKUP(C7011,'lookup table'!$A$2:$B$19,2,FALSE)</f>
        <v>#N/A</v>
      </c>
      <c r="E7011" t="str">
        <f t="shared" si="109"/>
        <v/>
      </c>
    </row>
    <row r="7012" spans="1:5" x14ac:dyDescent="0.2">
      <c r="A7012" t="s">
        <v>1402</v>
      </c>
      <c r="B7012" t="s">
        <v>1401</v>
      </c>
      <c r="C7012" t="s">
        <v>457</v>
      </c>
      <c r="D7012" t="str">
        <f>VLOOKUP(C7012,'lookup table'!$A$2:$B$19,2,FALSE)</f>
        <v>VLT</v>
      </c>
      <c r="E7012" t="str">
        <f t="shared" si="109"/>
        <v>DR6TOM_14|VLT</v>
      </c>
    </row>
    <row r="7013" spans="1:5" x14ac:dyDescent="0.2">
      <c r="A7013" t="s">
        <v>1402</v>
      </c>
      <c r="B7013" t="s">
        <v>1401</v>
      </c>
      <c r="C7013" t="s">
        <v>458</v>
      </c>
      <c r="D7013" t="str">
        <f>VLOOKUP(C7013,'lookup table'!$A$2:$B$19,2,FALSE)</f>
        <v>VAR</v>
      </c>
      <c r="E7013" t="str">
        <f t="shared" si="109"/>
        <v>DR6TOM_14|VAR</v>
      </c>
    </row>
    <row r="7014" spans="1:5" x14ac:dyDescent="0.2">
      <c r="A7014" t="s">
        <v>1402</v>
      </c>
      <c r="B7014" t="s">
        <v>1401</v>
      </c>
      <c r="C7014" t="s">
        <v>459</v>
      </c>
      <c r="D7014" t="e">
        <f>VLOOKUP(C7014,'lookup table'!$A$2:$B$19,2,FALSE)</f>
        <v>#N/A</v>
      </c>
      <c r="E7014" t="str">
        <f t="shared" si="109"/>
        <v/>
      </c>
    </row>
    <row r="7015" spans="1:5" x14ac:dyDescent="0.2">
      <c r="A7015" t="s">
        <v>1402</v>
      </c>
      <c r="B7015" t="s">
        <v>1401</v>
      </c>
      <c r="C7015" t="s">
        <v>460</v>
      </c>
      <c r="D7015" t="e">
        <f>VLOOKUP(C7015,'lookup table'!$A$2:$B$19,2,FALSE)</f>
        <v>#N/A</v>
      </c>
      <c r="E7015" t="str">
        <f t="shared" si="109"/>
        <v/>
      </c>
    </row>
    <row r="7016" spans="1:5" x14ac:dyDescent="0.2">
      <c r="A7016" t="s">
        <v>1402</v>
      </c>
      <c r="B7016" t="s">
        <v>1401</v>
      </c>
      <c r="C7016" t="s">
        <v>461</v>
      </c>
      <c r="D7016" t="str">
        <f>VLOOKUP(C7016,'lookup table'!$A$2:$B$19,2,FALSE)</f>
        <v>Posting Level</v>
      </c>
      <c r="E7016" t="str">
        <f t="shared" si="109"/>
        <v>DR6TOM_14|Posting Level</v>
      </c>
    </row>
    <row r="7017" spans="1:5" x14ac:dyDescent="0.2">
      <c r="A7017" t="s">
        <v>1402</v>
      </c>
      <c r="B7017" t="s">
        <v>1401</v>
      </c>
      <c r="C7017" t="s">
        <v>462</v>
      </c>
      <c r="D7017" t="e">
        <f>VLOOKUP(C7017,'lookup table'!$A$2:$B$19,2,FALSE)</f>
        <v>#N/A</v>
      </c>
      <c r="E7017" t="str">
        <f t="shared" si="109"/>
        <v/>
      </c>
    </row>
    <row r="7018" spans="1:5" x14ac:dyDescent="0.2">
      <c r="A7018" t="s">
        <v>1402</v>
      </c>
      <c r="B7018" t="s">
        <v>1401</v>
      </c>
      <c r="C7018" t="s">
        <v>463</v>
      </c>
      <c r="D7018" t="e">
        <f>VLOOKUP(C7018,'lookup table'!$A$2:$B$19,2,FALSE)</f>
        <v>#N/A</v>
      </c>
      <c r="E7018" t="str">
        <f t="shared" si="109"/>
        <v/>
      </c>
    </row>
    <row r="7019" spans="1:5" x14ac:dyDescent="0.2">
      <c r="A7019" t="s">
        <v>1402</v>
      </c>
      <c r="B7019" t="s">
        <v>1401</v>
      </c>
      <c r="C7019" t="s">
        <v>464</v>
      </c>
      <c r="D7019" t="e">
        <f>VLOOKUP(C7019,'lookup table'!$A$2:$B$19,2,FALSE)</f>
        <v>#N/A</v>
      </c>
      <c r="E7019" t="str">
        <f t="shared" si="109"/>
        <v/>
      </c>
    </row>
    <row r="7020" spans="1:5" x14ac:dyDescent="0.2">
      <c r="A7020" t="s">
        <v>1402</v>
      </c>
      <c r="B7020" t="s">
        <v>1401</v>
      </c>
      <c r="C7020" t="s">
        <v>465</v>
      </c>
      <c r="D7020" t="e">
        <f>VLOOKUP(C7020,'lookup table'!$A$2:$B$19,2,FALSE)</f>
        <v>#N/A</v>
      </c>
      <c r="E7020" t="str">
        <f t="shared" si="109"/>
        <v/>
      </c>
    </row>
    <row r="7021" spans="1:5" x14ac:dyDescent="0.2">
      <c r="A7021" t="s">
        <v>1403</v>
      </c>
      <c r="B7021" t="s">
        <v>1404</v>
      </c>
      <c r="C7021" t="s">
        <v>2</v>
      </c>
      <c r="D7021" t="e">
        <f>VLOOKUP(C7021,'lookup table'!$A$2:$B$19,2,FALSE)</f>
        <v>#N/A</v>
      </c>
      <c r="E7021" t="str">
        <f t="shared" si="109"/>
        <v/>
      </c>
    </row>
    <row r="7022" spans="1:5" x14ac:dyDescent="0.2">
      <c r="A7022" t="s">
        <v>1403</v>
      </c>
      <c r="B7022" t="s">
        <v>1404</v>
      </c>
      <c r="C7022" t="s">
        <v>5</v>
      </c>
      <c r="D7022" t="e">
        <f>VLOOKUP(C7022,'lookup table'!$A$2:$B$19,2,FALSE)</f>
        <v>#N/A</v>
      </c>
      <c r="E7022" t="str">
        <f t="shared" si="109"/>
        <v/>
      </c>
    </row>
    <row r="7023" spans="1:5" x14ac:dyDescent="0.2">
      <c r="A7023" t="s">
        <v>1403</v>
      </c>
      <c r="B7023" t="s">
        <v>1404</v>
      </c>
      <c r="C7023" t="s">
        <v>6</v>
      </c>
      <c r="D7023" t="e">
        <f>VLOOKUP(C7023,'lookup table'!$A$2:$B$19,2,FALSE)</f>
        <v>#N/A</v>
      </c>
      <c r="E7023" t="str">
        <f t="shared" si="109"/>
        <v/>
      </c>
    </row>
    <row r="7024" spans="1:5" x14ac:dyDescent="0.2">
      <c r="A7024" t="s">
        <v>1403</v>
      </c>
      <c r="B7024" t="s">
        <v>1404</v>
      </c>
      <c r="C7024" t="s">
        <v>9</v>
      </c>
      <c r="D7024" t="e">
        <f>VLOOKUP(C7024,'lookup table'!$A$2:$B$19,2,FALSE)</f>
        <v>#N/A</v>
      </c>
      <c r="E7024" t="str">
        <f t="shared" si="109"/>
        <v/>
      </c>
    </row>
    <row r="7025" spans="1:5" x14ac:dyDescent="0.2">
      <c r="A7025" t="s">
        <v>1403</v>
      </c>
      <c r="B7025" t="s">
        <v>1404</v>
      </c>
      <c r="C7025" t="s">
        <v>10</v>
      </c>
      <c r="D7025" t="e">
        <f>VLOOKUP(C7025,'lookup table'!$A$2:$B$19,2,FALSE)</f>
        <v>#N/A</v>
      </c>
      <c r="E7025" t="str">
        <f t="shared" si="109"/>
        <v/>
      </c>
    </row>
    <row r="7026" spans="1:5" x14ac:dyDescent="0.2">
      <c r="A7026" t="s">
        <v>1403</v>
      </c>
      <c r="B7026" t="s">
        <v>1404</v>
      </c>
      <c r="C7026" t="s">
        <v>11</v>
      </c>
      <c r="D7026" t="e">
        <f>VLOOKUP(C7026,'lookup table'!$A$2:$B$19,2,FALSE)</f>
        <v>#N/A</v>
      </c>
      <c r="E7026" t="str">
        <f t="shared" si="109"/>
        <v/>
      </c>
    </row>
    <row r="7027" spans="1:5" x14ac:dyDescent="0.2">
      <c r="A7027" t="s">
        <v>1403</v>
      </c>
      <c r="B7027" t="s">
        <v>1404</v>
      </c>
      <c r="C7027" t="s">
        <v>12</v>
      </c>
      <c r="D7027" t="e">
        <f>VLOOKUP(C7027,'lookup table'!$A$2:$B$19,2,FALSE)</f>
        <v>#N/A</v>
      </c>
      <c r="E7027" t="str">
        <f t="shared" si="109"/>
        <v/>
      </c>
    </row>
    <row r="7028" spans="1:5" x14ac:dyDescent="0.2">
      <c r="A7028" t="s">
        <v>1403</v>
      </c>
      <c r="B7028" t="s">
        <v>1404</v>
      </c>
      <c r="C7028" t="s">
        <v>14</v>
      </c>
      <c r="D7028" t="str">
        <f>VLOOKUP(C7028,'lookup table'!$A$2:$B$19,2,FALSE)</f>
        <v>ALC</v>
      </c>
      <c r="E7028" t="str">
        <f t="shared" si="109"/>
        <v>DR6VAR_00|ALC</v>
      </c>
    </row>
    <row r="7029" spans="1:5" x14ac:dyDescent="0.2">
      <c r="A7029" t="s">
        <v>1403</v>
      </c>
      <c r="B7029" t="s">
        <v>1404</v>
      </c>
      <c r="C7029" t="s">
        <v>20</v>
      </c>
      <c r="D7029" t="str">
        <f>VLOOKUP(C7029,'lookup table'!$A$2:$B$19,2,FALSE)</f>
        <v>AY</v>
      </c>
      <c r="E7029" t="str">
        <f t="shared" si="109"/>
        <v>DR6VAR_00|AY</v>
      </c>
    </row>
    <row r="7030" spans="1:5" x14ac:dyDescent="0.2">
      <c r="A7030" t="s">
        <v>1403</v>
      </c>
      <c r="B7030" t="s">
        <v>1404</v>
      </c>
      <c r="C7030" t="s">
        <v>136</v>
      </c>
      <c r="D7030" t="str">
        <f>VLOOKUP(C7030,'lookup table'!$A$2:$B$19,2,FALSE)</f>
        <v>BBA Set</v>
      </c>
      <c r="E7030" t="str">
        <f t="shared" si="109"/>
        <v>DR6VAR_00|BBA Set</v>
      </c>
    </row>
    <row r="7031" spans="1:5" x14ac:dyDescent="0.2">
      <c r="A7031" t="s">
        <v>1403</v>
      </c>
      <c r="B7031" t="s">
        <v>1404</v>
      </c>
      <c r="C7031" t="s">
        <v>324</v>
      </c>
      <c r="D7031" t="e">
        <f>VLOOKUP(C7031,'lookup table'!$A$2:$B$19,2,FALSE)</f>
        <v>#N/A</v>
      </c>
      <c r="E7031" t="str">
        <f t="shared" si="109"/>
        <v/>
      </c>
    </row>
    <row r="7032" spans="1:5" x14ac:dyDescent="0.2">
      <c r="A7032" t="s">
        <v>1403</v>
      </c>
      <c r="B7032" t="s">
        <v>1404</v>
      </c>
      <c r="C7032" t="s">
        <v>325</v>
      </c>
      <c r="D7032" t="e">
        <f>VLOOKUP(C7032,'lookup table'!$A$2:$B$19,2,FALSE)</f>
        <v>#N/A</v>
      </c>
      <c r="E7032" t="str">
        <f t="shared" si="109"/>
        <v/>
      </c>
    </row>
    <row r="7033" spans="1:5" x14ac:dyDescent="0.2">
      <c r="A7033" t="s">
        <v>1403</v>
      </c>
      <c r="B7033" t="s">
        <v>1404</v>
      </c>
      <c r="C7033" t="s">
        <v>326</v>
      </c>
      <c r="D7033" t="e">
        <f>VLOOKUP(C7033,'lookup table'!$A$2:$B$19,2,FALSE)</f>
        <v>#N/A</v>
      </c>
      <c r="E7033" t="str">
        <f t="shared" si="109"/>
        <v/>
      </c>
    </row>
    <row r="7034" spans="1:5" x14ac:dyDescent="0.2">
      <c r="A7034" t="s">
        <v>1403</v>
      </c>
      <c r="B7034" t="s">
        <v>1404</v>
      </c>
      <c r="C7034" t="s">
        <v>327</v>
      </c>
      <c r="D7034" t="e">
        <f>VLOOKUP(C7034,'lookup table'!$A$2:$B$19,2,FALSE)</f>
        <v>#N/A</v>
      </c>
      <c r="E7034" t="str">
        <f t="shared" si="109"/>
        <v/>
      </c>
    </row>
    <row r="7035" spans="1:5" x14ac:dyDescent="0.2">
      <c r="A7035" t="s">
        <v>1403</v>
      </c>
      <c r="B7035" t="s">
        <v>1404</v>
      </c>
      <c r="C7035" t="s">
        <v>328</v>
      </c>
      <c r="D7035" t="e">
        <f>VLOOKUP(C7035,'lookup table'!$A$2:$B$19,2,FALSE)</f>
        <v>#N/A</v>
      </c>
      <c r="E7035" t="str">
        <f t="shared" si="109"/>
        <v/>
      </c>
    </row>
    <row r="7036" spans="1:5" x14ac:dyDescent="0.2">
      <c r="A7036" t="s">
        <v>1403</v>
      </c>
      <c r="B7036" t="s">
        <v>1404</v>
      </c>
      <c r="C7036" t="s">
        <v>329</v>
      </c>
      <c r="D7036" t="e">
        <f>VLOOKUP(C7036,'lookup table'!$A$2:$B$19,2,FALSE)</f>
        <v>#N/A</v>
      </c>
      <c r="E7036" t="str">
        <f t="shared" si="109"/>
        <v/>
      </c>
    </row>
    <row r="7037" spans="1:5" x14ac:dyDescent="0.2">
      <c r="A7037" t="s">
        <v>1403</v>
      </c>
      <c r="B7037" t="s">
        <v>1404</v>
      </c>
      <c r="C7037" t="s">
        <v>331</v>
      </c>
      <c r="D7037" t="str">
        <f>VLOOKUP(C7037,'lookup table'!$A$2:$B$19,2,FALSE)</f>
        <v>FS Item</v>
      </c>
      <c r="E7037" t="str">
        <f t="shared" si="109"/>
        <v>DR6VAR_00|FS Item</v>
      </c>
    </row>
    <row r="7038" spans="1:5" x14ac:dyDescent="0.2">
      <c r="A7038" t="s">
        <v>1403</v>
      </c>
      <c r="B7038" t="s">
        <v>1404</v>
      </c>
      <c r="C7038" t="s">
        <v>422</v>
      </c>
      <c r="D7038" t="e">
        <f>VLOOKUP(C7038,'lookup table'!$A$2:$B$19,2,FALSE)</f>
        <v>#N/A</v>
      </c>
      <c r="E7038" t="str">
        <f t="shared" si="109"/>
        <v/>
      </c>
    </row>
    <row r="7039" spans="1:5" x14ac:dyDescent="0.2">
      <c r="A7039" t="s">
        <v>1403</v>
      </c>
      <c r="B7039" t="s">
        <v>1404</v>
      </c>
      <c r="C7039" t="s">
        <v>423</v>
      </c>
      <c r="D7039" t="str">
        <f>VLOOKUP(C7039,'lookup table'!$A$2:$B$19,2,FALSE)</f>
        <v>ignore</v>
      </c>
      <c r="E7039" t="str">
        <f t="shared" si="109"/>
        <v>DR6VAR_00|ignore</v>
      </c>
    </row>
    <row r="7040" spans="1:5" x14ac:dyDescent="0.2">
      <c r="A7040" t="s">
        <v>1403</v>
      </c>
      <c r="B7040" t="s">
        <v>1404</v>
      </c>
      <c r="C7040" t="s">
        <v>424</v>
      </c>
      <c r="D7040" t="str">
        <f>VLOOKUP(C7040,'lookup table'!$A$2:$B$19,2,FALSE)</f>
        <v>GRC</v>
      </c>
      <c r="E7040" t="str">
        <f t="shared" si="109"/>
        <v>DR6VAR_00|GRC</v>
      </c>
    </row>
    <row r="7041" spans="1:5" x14ac:dyDescent="0.2">
      <c r="A7041" t="s">
        <v>1403</v>
      </c>
      <c r="B7041" t="s">
        <v>1404</v>
      </c>
      <c r="C7041" t="s">
        <v>425</v>
      </c>
      <c r="D7041" t="str">
        <f>VLOOKUP(C7041,'lookup table'!$A$2:$B$19,2,FALSE)</f>
        <v>Investee Segment</v>
      </c>
      <c r="E7041" t="str">
        <f t="shared" si="109"/>
        <v>DR6VAR_00|Investee Segment</v>
      </c>
    </row>
    <row r="7042" spans="1:5" x14ac:dyDescent="0.2">
      <c r="A7042" t="s">
        <v>1403</v>
      </c>
      <c r="B7042" t="s">
        <v>1404</v>
      </c>
      <c r="C7042" t="s">
        <v>426</v>
      </c>
      <c r="D7042" t="str">
        <f>VLOOKUP(C7042,'lookup table'!$A$2:$B$19,2,FALSE)</f>
        <v>Investee Unit</v>
      </c>
      <c r="E7042" t="str">
        <f t="shared" si="109"/>
        <v>DR6VAR_00|Investee Unit</v>
      </c>
    </row>
    <row r="7043" spans="1:5" x14ac:dyDescent="0.2">
      <c r="A7043" t="s">
        <v>1403</v>
      </c>
      <c r="B7043" t="s">
        <v>1404</v>
      </c>
      <c r="C7043" t="s">
        <v>428</v>
      </c>
      <c r="D7043" t="str">
        <f>VLOOKUP(C7043,'lookup table'!$A$2:$B$19,2,FALSE)</f>
        <v>LoB</v>
      </c>
      <c r="E7043" t="str">
        <f t="shared" ref="E7043:E7106" si="110">IF(ISNA(D7043),"",IF(A7043="","",A7043) &amp; "|" &amp; D7043)</f>
        <v>DR6VAR_00|LoB</v>
      </c>
    </row>
    <row r="7044" spans="1:5" x14ac:dyDescent="0.2">
      <c r="A7044" t="s">
        <v>1403</v>
      </c>
      <c r="B7044" t="s">
        <v>1404</v>
      </c>
      <c r="C7044" t="s">
        <v>436</v>
      </c>
      <c r="D7044" t="str">
        <f>VLOOKUP(C7044,'lookup table'!$A$2:$B$19,2,FALSE)</f>
        <v>MAT</v>
      </c>
      <c r="E7044" t="str">
        <f t="shared" si="110"/>
        <v>DR6VAR_00|MAT</v>
      </c>
    </row>
    <row r="7045" spans="1:5" x14ac:dyDescent="0.2">
      <c r="A7045" t="s">
        <v>1403</v>
      </c>
      <c r="B7045" t="s">
        <v>1404</v>
      </c>
      <c r="C7045" t="s">
        <v>438</v>
      </c>
      <c r="D7045" t="str">
        <f>VLOOKUP(C7045,'lookup table'!$A$2:$B$19,2,FALSE)</f>
        <v>ToM</v>
      </c>
      <c r="E7045" t="str">
        <f t="shared" si="110"/>
        <v>DR6VAR_00|ToM</v>
      </c>
    </row>
    <row r="7046" spans="1:5" x14ac:dyDescent="0.2">
      <c r="A7046" t="s">
        <v>1403</v>
      </c>
      <c r="B7046" t="s">
        <v>1404</v>
      </c>
      <c r="C7046" t="s">
        <v>441</v>
      </c>
      <c r="D7046" t="str">
        <f>VLOOKUP(C7046,'lookup table'!$A$2:$B$19,2,FALSE)</f>
        <v>Partner Segment</v>
      </c>
      <c r="E7046" t="str">
        <f t="shared" si="110"/>
        <v>DR6VAR_00|Partner Segment</v>
      </c>
    </row>
    <row r="7047" spans="1:5" x14ac:dyDescent="0.2">
      <c r="A7047" t="s">
        <v>1403</v>
      </c>
      <c r="B7047" t="s">
        <v>1404</v>
      </c>
      <c r="C7047" t="s">
        <v>442</v>
      </c>
      <c r="D7047" t="str">
        <f>VLOOKUP(C7047,'lookup table'!$A$2:$B$19,2,FALSE)</f>
        <v>Partner Unit</v>
      </c>
      <c r="E7047" t="str">
        <f t="shared" si="110"/>
        <v>DR6VAR_00|Partner Unit</v>
      </c>
    </row>
    <row r="7048" spans="1:5" x14ac:dyDescent="0.2">
      <c r="A7048" t="s">
        <v>1403</v>
      </c>
      <c r="B7048" t="s">
        <v>1404</v>
      </c>
      <c r="C7048" t="s">
        <v>447</v>
      </c>
      <c r="D7048" t="str">
        <f>VLOOKUP(C7048,'lookup table'!$A$2:$B$19,2,FALSE)</f>
        <v>REX</v>
      </c>
      <c r="E7048" t="str">
        <f t="shared" si="110"/>
        <v>DR6VAR_00|REX</v>
      </c>
    </row>
    <row r="7049" spans="1:5" x14ac:dyDescent="0.2">
      <c r="A7049" t="s">
        <v>1403</v>
      </c>
      <c r="B7049" t="s">
        <v>1404</v>
      </c>
      <c r="C7049" t="s">
        <v>448</v>
      </c>
      <c r="D7049" t="e">
        <f>VLOOKUP(C7049,'lookup table'!$A$2:$B$19,2,FALSE)</f>
        <v>#N/A</v>
      </c>
      <c r="E7049" t="str">
        <f t="shared" si="110"/>
        <v/>
      </c>
    </row>
    <row r="7050" spans="1:5" x14ac:dyDescent="0.2">
      <c r="A7050" t="s">
        <v>1403</v>
      </c>
      <c r="B7050" t="s">
        <v>1404</v>
      </c>
      <c r="C7050" t="s">
        <v>449</v>
      </c>
      <c r="D7050" t="e">
        <f>VLOOKUP(C7050,'lookup table'!$A$2:$B$19,2,FALSE)</f>
        <v>#N/A</v>
      </c>
      <c r="E7050" t="str">
        <f t="shared" si="110"/>
        <v/>
      </c>
    </row>
    <row r="7051" spans="1:5" x14ac:dyDescent="0.2">
      <c r="A7051" t="s">
        <v>1403</v>
      </c>
      <c r="B7051" t="s">
        <v>1404</v>
      </c>
      <c r="C7051" t="s">
        <v>451</v>
      </c>
      <c r="D7051" t="str">
        <f>VLOOKUP(C7051,'lookup table'!$A$2:$B$19,2,FALSE)</f>
        <v>Segment</v>
      </c>
      <c r="E7051" t="str">
        <f t="shared" si="110"/>
        <v>DR6VAR_00|Segment</v>
      </c>
    </row>
    <row r="7052" spans="1:5" x14ac:dyDescent="0.2">
      <c r="A7052" t="s">
        <v>1403</v>
      </c>
      <c r="B7052" t="s">
        <v>1404</v>
      </c>
      <c r="C7052" t="s">
        <v>455</v>
      </c>
      <c r="D7052" t="e">
        <f>VLOOKUP(C7052,'lookup table'!$A$2:$B$19,2,FALSE)</f>
        <v>#N/A</v>
      </c>
      <c r="E7052" t="str">
        <f t="shared" si="110"/>
        <v/>
      </c>
    </row>
    <row r="7053" spans="1:5" x14ac:dyDescent="0.2">
      <c r="A7053" t="s">
        <v>1403</v>
      </c>
      <c r="B7053" t="s">
        <v>1404</v>
      </c>
      <c r="C7053" t="s">
        <v>456</v>
      </c>
      <c r="D7053" t="e">
        <f>VLOOKUP(C7053,'lookup table'!$A$2:$B$19,2,FALSE)</f>
        <v>#N/A</v>
      </c>
      <c r="E7053" t="str">
        <f t="shared" si="110"/>
        <v/>
      </c>
    </row>
    <row r="7054" spans="1:5" x14ac:dyDescent="0.2">
      <c r="A7054" t="s">
        <v>1403</v>
      </c>
      <c r="B7054" t="s">
        <v>1404</v>
      </c>
      <c r="C7054" t="s">
        <v>457</v>
      </c>
      <c r="D7054" t="str">
        <f>VLOOKUP(C7054,'lookup table'!$A$2:$B$19,2,FALSE)</f>
        <v>VLT</v>
      </c>
      <c r="E7054" t="str">
        <f t="shared" si="110"/>
        <v>DR6VAR_00|VLT</v>
      </c>
    </row>
    <row r="7055" spans="1:5" x14ac:dyDescent="0.2">
      <c r="A7055" t="s">
        <v>1403</v>
      </c>
      <c r="B7055" t="s">
        <v>1404</v>
      </c>
      <c r="C7055" t="s">
        <v>458</v>
      </c>
      <c r="D7055" t="str">
        <f>VLOOKUP(C7055,'lookup table'!$A$2:$B$19,2,FALSE)</f>
        <v>VAR</v>
      </c>
      <c r="E7055" t="str">
        <f t="shared" si="110"/>
        <v>DR6VAR_00|VAR</v>
      </c>
    </row>
    <row r="7056" spans="1:5" x14ac:dyDescent="0.2">
      <c r="A7056" t="s">
        <v>1403</v>
      </c>
      <c r="B7056" t="s">
        <v>1404</v>
      </c>
      <c r="C7056" t="s">
        <v>459</v>
      </c>
      <c r="D7056" t="e">
        <f>VLOOKUP(C7056,'lookup table'!$A$2:$B$19,2,FALSE)</f>
        <v>#N/A</v>
      </c>
      <c r="E7056" t="str">
        <f t="shared" si="110"/>
        <v/>
      </c>
    </row>
    <row r="7057" spans="1:5" x14ac:dyDescent="0.2">
      <c r="A7057" t="s">
        <v>1403</v>
      </c>
      <c r="B7057" t="s">
        <v>1404</v>
      </c>
      <c r="C7057" t="s">
        <v>460</v>
      </c>
      <c r="D7057" t="e">
        <f>VLOOKUP(C7057,'lookup table'!$A$2:$B$19,2,FALSE)</f>
        <v>#N/A</v>
      </c>
      <c r="E7057" t="str">
        <f t="shared" si="110"/>
        <v/>
      </c>
    </row>
    <row r="7058" spans="1:5" x14ac:dyDescent="0.2">
      <c r="A7058" t="s">
        <v>1403</v>
      </c>
      <c r="B7058" t="s">
        <v>1404</v>
      </c>
      <c r="C7058" t="s">
        <v>461</v>
      </c>
      <c r="D7058" t="str">
        <f>VLOOKUP(C7058,'lookup table'!$A$2:$B$19,2,FALSE)</f>
        <v>Posting Level</v>
      </c>
      <c r="E7058" t="str">
        <f t="shared" si="110"/>
        <v>DR6VAR_00|Posting Level</v>
      </c>
    </row>
    <row r="7059" spans="1:5" x14ac:dyDescent="0.2">
      <c r="A7059" t="s">
        <v>1403</v>
      </c>
      <c r="B7059" t="s">
        <v>1404</v>
      </c>
      <c r="C7059" t="s">
        <v>462</v>
      </c>
      <c r="D7059" t="e">
        <f>VLOOKUP(C7059,'lookup table'!$A$2:$B$19,2,FALSE)</f>
        <v>#N/A</v>
      </c>
      <c r="E7059" t="str">
        <f t="shared" si="110"/>
        <v/>
      </c>
    </row>
    <row r="7060" spans="1:5" x14ac:dyDescent="0.2">
      <c r="A7060" t="s">
        <v>1403</v>
      </c>
      <c r="B7060" t="s">
        <v>1404</v>
      </c>
      <c r="C7060" t="s">
        <v>463</v>
      </c>
      <c r="D7060" t="e">
        <f>VLOOKUP(C7060,'lookup table'!$A$2:$B$19,2,FALSE)</f>
        <v>#N/A</v>
      </c>
      <c r="E7060" t="str">
        <f t="shared" si="110"/>
        <v/>
      </c>
    </row>
    <row r="7061" spans="1:5" x14ac:dyDescent="0.2">
      <c r="A7061" t="s">
        <v>1403</v>
      </c>
      <c r="B7061" t="s">
        <v>1404</v>
      </c>
      <c r="C7061" t="s">
        <v>464</v>
      </c>
      <c r="D7061" t="e">
        <f>VLOOKUP(C7061,'lookup table'!$A$2:$B$19,2,FALSE)</f>
        <v>#N/A</v>
      </c>
      <c r="E7061" t="str">
        <f t="shared" si="110"/>
        <v/>
      </c>
    </row>
    <row r="7062" spans="1:5" x14ac:dyDescent="0.2">
      <c r="A7062" t="s">
        <v>1403</v>
      </c>
      <c r="B7062" t="s">
        <v>1404</v>
      </c>
      <c r="C7062" t="s">
        <v>465</v>
      </c>
      <c r="D7062" t="e">
        <f>VLOOKUP(C7062,'lookup table'!$A$2:$B$19,2,FALSE)</f>
        <v>#N/A</v>
      </c>
      <c r="E7062" t="str">
        <f t="shared" si="110"/>
        <v/>
      </c>
    </row>
    <row r="7063" spans="1:5" x14ac:dyDescent="0.2">
      <c r="A7063" t="s">
        <v>1405</v>
      </c>
      <c r="B7063" t="s">
        <v>1406</v>
      </c>
      <c r="C7063" t="s">
        <v>2</v>
      </c>
      <c r="D7063" t="e">
        <f>VLOOKUP(C7063,'lookup table'!$A$2:$B$19,2,FALSE)</f>
        <v>#N/A</v>
      </c>
      <c r="E7063" t="str">
        <f t="shared" si="110"/>
        <v/>
      </c>
    </row>
    <row r="7064" spans="1:5" x14ac:dyDescent="0.2">
      <c r="A7064" t="s">
        <v>1405</v>
      </c>
      <c r="B7064" t="s">
        <v>1406</v>
      </c>
      <c r="C7064" t="s">
        <v>5</v>
      </c>
      <c r="D7064" t="e">
        <f>VLOOKUP(C7064,'lookup table'!$A$2:$B$19,2,FALSE)</f>
        <v>#N/A</v>
      </c>
      <c r="E7064" t="str">
        <f t="shared" si="110"/>
        <v/>
      </c>
    </row>
    <row r="7065" spans="1:5" x14ac:dyDescent="0.2">
      <c r="A7065" t="s">
        <v>1405</v>
      </c>
      <c r="B7065" t="s">
        <v>1406</v>
      </c>
      <c r="C7065" t="s">
        <v>6</v>
      </c>
      <c r="D7065" t="e">
        <f>VLOOKUP(C7065,'lookup table'!$A$2:$B$19,2,FALSE)</f>
        <v>#N/A</v>
      </c>
      <c r="E7065" t="str">
        <f t="shared" si="110"/>
        <v/>
      </c>
    </row>
    <row r="7066" spans="1:5" x14ac:dyDescent="0.2">
      <c r="A7066" t="s">
        <v>1405</v>
      </c>
      <c r="B7066" t="s">
        <v>1406</v>
      </c>
      <c r="C7066" t="s">
        <v>9</v>
      </c>
      <c r="D7066" t="e">
        <f>VLOOKUP(C7066,'lookup table'!$A$2:$B$19,2,FALSE)</f>
        <v>#N/A</v>
      </c>
      <c r="E7066" t="str">
        <f t="shared" si="110"/>
        <v/>
      </c>
    </row>
    <row r="7067" spans="1:5" x14ac:dyDescent="0.2">
      <c r="A7067" t="s">
        <v>1405</v>
      </c>
      <c r="B7067" t="s">
        <v>1406</v>
      </c>
      <c r="C7067" t="s">
        <v>10</v>
      </c>
      <c r="D7067" t="e">
        <f>VLOOKUP(C7067,'lookup table'!$A$2:$B$19,2,FALSE)</f>
        <v>#N/A</v>
      </c>
      <c r="E7067" t="str">
        <f t="shared" si="110"/>
        <v/>
      </c>
    </row>
    <row r="7068" spans="1:5" x14ac:dyDescent="0.2">
      <c r="A7068" t="s">
        <v>1405</v>
      </c>
      <c r="B7068" t="s">
        <v>1406</v>
      </c>
      <c r="C7068" t="s">
        <v>11</v>
      </c>
      <c r="D7068" t="e">
        <f>VLOOKUP(C7068,'lookup table'!$A$2:$B$19,2,FALSE)</f>
        <v>#N/A</v>
      </c>
      <c r="E7068" t="str">
        <f t="shared" si="110"/>
        <v/>
      </c>
    </row>
    <row r="7069" spans="1:5" x14ac:dyDescent="0.2">
      <c r="A7069" t="s">
        <v>1405</v>
      </c>
      <c r="B7069" t="s">
        <v>1406</v>
      </c>
      <c r="C7069" t="s">
        <v>12</v>
      </c>
      <c r="D7069" t="e">
        <f>VLOOKUP(C7069,'lookup table'!$A$2:$B$19,2,FALSE)</f>
        <v>#N/A</v>
      </c>
      <c r="E7069" t="str">
        <f t="shared" si="110"/>
        <v/>
      </c>
    </row>
    <row r="7070" spans="1:5" x14ac:dyDescent="0.2">
      <c r="A7070" t="s">
        <v>1405</v>
      </c>
      <c r="B7070" t="s">
        <v>1406</v>
      </c>
      <c r="C7070" t="s">
        <v>14</v>
      </c>
      <c r="D7070" t="str">
        <f>VLOOKUP(C7070,'lookup table'!$A$2:$B$19,2,FALSE)</f>
        <v>ALC</v>
      </c>
      <c r="E7070" t="str">
        <f t="shared" si="110"/>
        <v>DR7ACY_00|ALC</v>
      </c>
    </row>
    <row r="7071" spans="1:5" x14ac:dyDescent="0.2">
      <c r="A7071" t="s">
        <v>1405</v>
      </c>
      <c r="B7071" t="s">
        <v>1406</v>
      </c>
      <c r="C7071" t="s">
        <v>20</v>
      </c>
      <c r="D7071" t="str">
        <f>VLOOKUP(C7071,'lookup table'!$A$2:$B$19,2,FALSE)</f>
        <v>AY</v>
      </c>
      <c r="E7071" t="str">
        <f t="shared" si="110"/>
        <v>DR7ACY_00|AY</v>
      </c>
    </row>
    <row r="7072" spans="1:5" x14ac:dyDescent="0.2">
      <c r="A7072" t="s">
        <v>1405</v>
      </c>
      <c r="B7072" t="s">
        <v>1406</v>
      </c>
      <c r="C7072" t="s">
        <v>324</v>
      </c>
      <c r="D7072" t="e">
        <f>VLOOKUP(C7072,'lookup table'!$A$2:$B$19,2,FALSE)</f>
        <v>#N/A</v>
      </c>
      <c r="E7072" t="str">
        <f t="shared" si="110"/>
        <v/>
      </c>
    </row>
    <row r="7073" spans="1:5" x14ac:dyDescent="0.2">
      <c r="A7073" t="s">
        <v>1405</v>
      </c>
      <c r="B7073" t="s">
        <v>1406</v>
      </c>
      <c r="C7073" t="s">
        <v>325</v>
      </c>
      <c r="D7073" t="e">
        <f>VLOOKUP(C7073,'lookup table'!$A$2:$B$19,2,FALSE)</f>
        <v>#N/A</v>
      </c>
      <c r="E7073" t="str">
        <f t="shared" si="110"/>
        <v/>
      </c>
    </row>
    <row r="7074" spans="1:5" x14ac:dyDescent="0.2">
      <c r="A7074" t="s">
        <v>1405</v>
      </c>
      <c r="B7074" t="s">
        <v>1406</v>
      </c>
      <c r="C7074" t="s">
        <v>326</v>
      </c>
      <c r="D7074" t="e">
        <f>VLOOKUP(C7074,'lookup table'!$A$2:$B$19,2,FALSE)</f>
        <v>#N/A</v>
      </c>
      <c r="E7074" t="str">
        <f t="shared" si="110"/>
        <v/>
      </c>
    </row>
    <row r="7075" spans="1:5" x14ac:dyDescent="0.2">
      <c r="A7075" t="s">
        <v>1405</v>
      </c>
      <c r="B7075" t="s">
        <v>1406</v>
      </c>
      <c r="C7075" t="s">
        <v>327</v>
      </c>
      <c r="D7075" t="e">
        <f>VLOOKUP(C7075,'lookup table'!$A$2:$B$19,2,FALSE)</f>
        <v>#N/A</v>
      </c>
      <c r="E7075" t="str">
        <f t="shared" si="110"/>
        <v/>
      </c>
    </row>
    <row r="7076" spans="1:5" x14ac:dyDescent="0.2">
      <c r="A7076" t="s">
        <v>1405</v>
      </c>
      <c r="B7076" t="s">
        <v>1406</v>
      </c>
      <c r="C7076" t="s">
        <v>328</v>
      </c>
      <c r="D7076" t="e">
        <f>VLOOKUP(C7076,'lookup table'!$A$2:$B$19,2,FALSE)</f>
        <v>#N/A</v>
      </c>
      <c r="E7076" t="str">
        <f t="shared" si="110"/>
        <v/>
      </c>
    </row>
    <row r="7077" spans="1:5" x14ac:dyDescent="0.2">
      <c r="A7077" t="s">
        <v>1405</v>
      </c>
      <c r="B7077" t="s">
        <v>1406</v>
      </c>
      <c r="C7077" t="s">
        <v>329</v>
      </c>
      <c r="D7077" t="e">
        <f>VLOOKUP(C7077,'lookup table'!$A$2:$B$19,2,FALSE)</f>
        <v>#N/A</v>
      </c>
      <c r="E7077" t="str">
        <f t="shared" si="110"/>
        <v/>
      </c>
    </row>
    <row r="7078" spans="1:5" x14ac:dyDescent="0.2">
      <c r="A7078" t="s">
        <v>1405</v>
      </c>
      <c r="B7078" t="s">
        <v>1406</v>
      </c>
      <c r="C7078" t="s">
        <v>331</v>
      </c>
      <c r="D7078" t="str">
        <f>VLOOKUP(C7078,'lookup table'!$A$2:$B$19,2,FALSE)</f>
        <v>FS Item</v>
      </c>
      <c r="E7078" t="str">
        <f t="shared" si="110"/>
        <v>DR7ACY_00|FS Item</v>
      </c>
    </row>
    <row r="7079" spans="1:5" x14ac:dyDescent="0.2">
      <c r="A7079" t="s">
        <v>1405</v>
      </c>
      <c r="B7079" t="s">
        <v>1406</v>
      </c>
      <c r="C7079" t="s">
        <v>422</v>
      </c>
      <c r="D7079" t="e">
        <f>VLOOKUP(C7079,'lookup table'!$A$2:$B$19,2,FALSE)</f>
        <v>#N/A</v>
      </c>
      <c r="E7079" t="str">
        <f t="shared" si="110"/>
        <v/>
      </c>
    </row>
    <row r="7080" spans="1:5" x14ac:dyDescent="0.2">
      <c r="A7080" t="s">
        <v>1405</v>
      </c>
      <c r="B7080" t="s">
        <v>1406</v>
      </c>
      <c r="C7080" t="s">
        <v>423</v>
      </c>
      <c r="D7080" t="str">
        <f>VLOOKUP(C7080,'lookup table'!$A$2:$B$19,2,FALSE)</f>
        <v>ignore</v>
      </c>
      <c r="E7080" t="str">
        <f t="shared" si="110"/>
        <v>DR7ACY_00|ignore</v>
      </c>
    </row>
    <row r="7081" spans="1:5" x14ac:dyDescent="0.2">
      <c r="A7081" t="s">
        <v>1405</v>
      </c>
      <c r="B7081" t="s">
        <v>1406</v>
      </c>
      <c r="C7081" t="s">
        <v>424</v>
      </c>
      <c r="D7081" t="str">
        <f>VLOOKUP(C7081,'lookup table'!$A$2:$B$19,2,FALSE)</f>
        <v>GRC</v>
      </c>
      <c r="E7081" t="str">
        <f t="shared" si="110"/>
        <v>DR7ACY_00|GRC</v>
      </c>
    </row>
    <row r="7082" spans="1:5" x14ac:dyDescent="0.2">
      <c r="A7082" t="s">
        <v>1405</v>
      </c>
      <c r="B7082" t="s">
        <v>1406</v>
      </c>
      <c r="C7082" t="s">
        <v>425</v>
      </c>
      <c r="D7082" t="str">
        <f>VLOOKUP(C7082,'lookup table'!$A$2:$B$19,2,FALSE)</f>
        <v>Investee Segment</v>
      </c>
      <c r="E7082" t="str">
        <f t="shared" si="110"/>
        <v>DR7ACY_00|Investee Segment</v>
      </c>
    </row>
    <row r="7083" spans="1:5" x14ac:dyDescent="0.2">
      <c r="A7083" t="s">
        <v>1405</v>
      </c>
      <c r="B7083" t="s">
        <v>1406</v>
      </c>
      <c r="C7083" t="s">
        <v>426</v>
      </c>
      <c r="D7083" t="str">
        <f>VLOOKUP(C7083,'lookup table'!$A$2:$B$19,2,FALSE)</f>
        <v>Investee Unit</v>
      </c>
      <c r="E7083" t="str">
        <f t="shared" si="110"/>
        <v>DR7ACY_00|Investee Unit</v>
      </c>
    </row>
    <row r="7084" spans="1:5" x14ac:dyDescent="0.2">
      <c r="A7084" t="s">
        <v>1405</v>
      </c>
      <c r="B7084" t="s">
        <v>1406</v>
      </c>
      <c r="C7084" t="s">
        <v>428</v>
      </c>
      <c r="D7084" t="str">
        <f>VLOOKUP(C7084,'lookup table'!$A$2:$B$19,2,FALSE)</f>
        <v>LoB</v>
      </c>
      <c r="E7084" t="str">
        <f t="shared" si="110"/>
        <v>DR7ACY_00|LoB</v>
      </c>
    </row>
    <row r="7085" spans="1:5" x14ac:dyDescent="0.2">
      <c r="A7085" t="s">
        <v>1405</v>
      </c>
      <c r="B7085" t="s">
        <v>1406</v>
      </c>
      <c r="C7085" t="s">
        <v>436</v>
      </c>
      <c r="D7085" t="str">
        <f>VLOOKUP(C7085,'lookup table'!$A$2:$B$19,2,FALSE)</f>
        <v>MAT</v>
      </c>
      <c r="E7085" t="str">
        <f t="shared" si="110"/>
        <v>DR7ACY_00|MAT</v>
      </c>
    </row>
    <row r="7086" spans="1:5" x14ac:dyDescent="0.2">
      <c r="A7086" t="s">
        <v>1405</v>
      </c>
      <c r="B7086" t="s">
        <v>1406</v>
      </c>
      <c r="C7086" t="s">
        <v>441</v>
      </c>
      <c r="D7086" t="str">
        <f>VLOOKUP(C7086,'lookup table'!$A$2:$B$19,2,FALSE)</f>
        <v>Partner Segment</v>
      </c>
      <c r="E7086" t="str">
        <f t="shared" si="110"/>
        <v>DR7ACY_00|Partner Segment</v>
      </c>
    </row>
    <row r="7087" spans="1:5" x14ac:dyDescent="0.2">
      <c r="A7087" t="s">
        <v>1405</v>
      </c>
      <c r="B7087" t="s">
        <v>1406</v>
      </c>
      <c r="C7087" t="s">
        <v>442</v>
      </c>
      <c r="D7087" t="str">
        <f>VLOOKUP(C7087,'lookup table'!$A$2:$B$19,2,FALSE)</f>
        <v>Partner Unit</v>
      </c>
      <c r="E7087" t="str">
        <f t="shared" si="110"/>
        <v>DR7ACY_00|Partner Unit</v>
      </c>
    </row>
    <row r="7088" spans="1:5" x14ac:dyDescent="0.2">
      <c r="A7088" t="s">
        <v>1405</v>
      </c>
      <c r="B7088" t="s">
        <v>1406</v>
      </c>
      <c r="C7088" t="s">
        <v>447</v>
      </c>
      <c r="D7088" t="str">
        <f>VLOOKUP(C7088,'lookup table'!$A$2:$B$19,2,FALSE)</f>
        <v>REX</v>
      </c>
      <c r="E7088" t="str">
        <f t="shared" si="110"/>
        <v>DR7ACY_00|REX</v>
      </c>
    </row>
    <row r="7089" spans="1:5" x14ac:dyDescent="0.2">
      <c r="A7089" t="s">
        <v>1405</v>
      </c>
      <c r="B7089" t="s">
        <v>1406</v>
      </c>
      <c r="C7089" t="s">
        <v>448</v>
      </c>
      <c r="D7089" t="e">
        <f>VLOOKUP(C7089,'lookup table'!$A$2:$B$19,2,FALSE)</f>
        <v>#N/A</v>
      </c>
      <c r="E7089" t="str">
        <f t="shared" si="110"/>
        <v/>
      </c>
    </row>
    <row r="7090" spans="1:5" x14ac:dyDescent="0.2">
      <c r="A7090" t="s">
        <v>1405</v>
      </c>
      <c r="B7090" t="s">
        <v>1406</v>
      </c>
      <c r="C7090" t="s">
        <v>449</v>
      </c>
      <c r="D7090" t="e">
        <f>VLOOKUP(C7090,'lookup table'!$A$2:$B$19,2,FALSE)</f>
        <v>#N/A</v>
      </c>
      <c r="E7090" t="str">
        <f t="shared" si="110"/>
        <v/>
      </c>
    </row>
    <row r="7091" spans="1:5" x14ac:dyDescent="0.2">
      <c r="A7091" t="s">
        <v>1405</v>
      </c>
      <c r="B7091" t="s">
        <v>1406</v>
      </c>
      <c r="C7091" t="s">
        <v>451</v>
      </c>
      <c r="D7091" t="str">
        <f>VLOOKUP(C7091,'lookup table'!$A$2:$B$19,2,FALSE)</f>
        <v>Segment</v>
      </c>
      <c r="E7091" t="str">
        <f t="shared" si="110"/>
        <v>DR7ACY_00|Segment</v>
      </c>
    </row>
    <row r="7092" spans="1:5" x14ac:dyDescent="0.2">
      <c r="A7092" t="s">
        <v>1405</v>
      </c>
      <c r="B7092" t="s">
        <v>1406</v>
      </c>
      <c r="C7092" t="s">
        <v>455</v>
      </c>
      <c r="D7092" t="e">
        <f>VLOOKUP(C7092,'lookup table'!$A$2:$B$19,2,FALSE)</f>
        <v>#N/A</v>
      </c>
      <c r="E7092" t="str">
        <f t="shared" si="110"/>
        <v/>
      </c>
    </row>
    <row r="7093" spans="1:5" x14ac:dyDescent="0.2">
      <c r="A7093" t="s">
        <v>1405</v>
      </c>
      <c r="B7093" t="s">
        <v>1406</v>
      </c>
      <c r="C7093" t="s">
        <v>456</v>
      </c>
      <c r="D7093" t="e">
        <f>VLOOKUP(C7093,'lookup table'!$A$2:$B$19,2,FALSE)</f>
        <v>#N/A</v>
      </c>
      <c r="E7093" t="str">
        <f t="shared" si="110"/>
        <v/>
      </c>
    </row>
    <row r="7094" spans="1:5" x14ac:dyDescent="0.2">
      <c r="A7094" t="s">
        <v>1405</v>
      </c>
      <c r="B7094" t="s">
        <v>1406</v>
      </c>
      <c r="C7094" t="s">
        <v>457</v>
      </c>
      <c r="D7094" t="str">
        <f>VLOOKUP(C7094,'lookup table'!$A$2:$B$19,2,FALSE)</f>
        <v>VLT</v>
      </c>
      <c r="E7094" t="str">
        <f t="shared" si="110"/>
        <v>DR7ACY_00|VLT</v>
      </c>
    </row>
    <row r="7095" spans="1:5" x14ac:dyDescent="0.2">
      <c r="A7095" t="s">
        <v>1405</v>
      </c>
      <c r="B7095" t="s">
        <v>1406</v>
      </c>
      <c r="C7095" t="s">
        <v>458</v>
      </c>
      <c r="D7095" t="str">
        <f>VLOOKUP(C7095,'lookup table'!$A$2:$B$19,2,FALSE)</f>
        <v>VAR</v>
      </c>
      <c r="E7095" t="str">
        <f t="shared" si="110"/>
        <v>DR7ACY_00|VAR</v>
      </c>
    </row>
    <row r="7096" spans="1:5" x14ac:dyDescent="0.2">
      <c r="A7096" t="s">
        <v>1405</v>
      </c>
      <c r="B7096" t="s">
        <v>1406</v>
      </c>
      <c r="C7096" t="s">
        <v>459</v>
      </c>
      <c r="D7096" t="e">
        <f>VLOOKUP(C7096,'lookup table'!$A$2:$B$19,2,FALSE)</f>
        <v>#N/A</v>
      </c>
      <c r="E7096" t="str">
        <f t="shared" si="110"/>
        <v/>
      </c>
    </row>
    <row r="7097" spans="1:5" x14ac:dyDescent="0.2">
      <c r="A7097" t="s">
        <v>1405</v>
      </c>
      <c r="B7097" t="s">
        <v>1406</v>
      </c>
      <c r="C7097" t="s">
        <v>460</v>
      </c>
      <c r="D7097" t="e">
        <f>VLOOKUP(C7097,'lookup table'!$A$2:$B$19,2,FALSE)</f>
        <v>#N/A</v>
      </c>
      <c r="E7097" t="str">
        <f t="shared" si="110"/>
        <v/>
      </c>
    </row>
    <row r="7098" spans="1:5" x14ac:dyDescent="0.2">
      <c r="A7098" t="s">
        <v>1405</v>
      </c>
      <c r="B7098" t="s">
        <v>1406</v>
      </c>
      <c r="C7098" t="s">
        <v>461</v>
      </c>
      <c r="D7098" t="str">
        <f>VLOOKUP(C7098,'lookup table'!$A$2:$B$19,2,FALSE)</f>
        <v>Posting Level</v>
      </c>
      <c r="E7098" t="str">
        <f t="shared" si="110"/>
        <v>DR7ACY_00|Posting Level</v>
      </c>
    </row>
    <row r="7099" spans="1:5" x14ac:dyDescent="0.2">
      <c r="A7099" t="s">
        <v>1405</v>
      </c>
      <c r="B7099" t="s">
        <v>1406</v>
      </c>
      <c r="C7099" t="s">
        <v>462</v>
      </c>
      <c r="D7099" t="e">
        <f>VLOOKUP(C7099,'lookup table'!$A$2:$B$19,2,FALSE)</f>
        <v>#N/A</v>
      </c>
      <c r="E7099" t="str">
        <f t="shared" si="110"/>
        <v/>
      </c>
    </row>
    <row r="7100" spans="1:5" x14ac:dyDescent="0.2">
      <c r="A7100" t="s">
        <v>1405</v>
      </c>
      <c r="B7100" t="s">
        <v>1406</v>
      </c>
      <c r="C7100" t="s">
        <v>463</v>
      </c>
      <c r="D7100" t="e">
        <f>VLOOKUP(C7100,'lookup table'!$A$2:$B$19,2,FALSE)</f>
        <v>#N/A</v>
      </c>
      <c r="E7100" t="str">
        <f t="shared" si="110"/>
        <v/>
      </c>
    </row>
    <row r="7101" spans="1:5" x14ac:dyDescent="0.2">
      <c r="A7101" t="s">
        <v>1405</v>
      </c>
      <c r="B7101" t="s">
        <v>1406</v>
      </c>
      <c r="C7101" t="s">
        <v>464</v>
      </c>
      <c r="D7101" t="e">
        <f>VLOOKUP(C7101,'lookup table'!$A$2:$B$19,2,FALSE)</f>
        <v>#N/A</v>
      </c>
      <c r="E7101" t="str">
        <f t="shared" si="110"/>
        <v/>
      </c>
    </row>
    <row r="7102" spans="1:5" x14ac:dyDescent="0.2">
      <c r="A7102" t="s">
        <v>1405</v>
      </c>
      <c r="B7102" t="s">
        <v>1406</v>
      </c>
      <c r="C7102" t="s">
        <v>465</v>
      </c>
      <c r="D7102" t="e">
        <f>VLOOKUP(C7102,'lookup table'!$A$2:$B$19,2,FALSE)</f>
        <v>#N/A</v>
      </c>
      <c r="E7102" t="str">
        <f t="shared" si="110"/>
        <v/>
      </c>
    </row>
    <row r="7103" spans="1:5" x14ac:dyDescent="0.2">
      <c r="A7103" t="s">
        <v>1407</v>
      </c>
      <c r="B7103" t="s">
        <v>1408</v>
      </c>
      <c r="C7103" t="s">
        <v>2</v>
      </c>
      <c r="D7103" t="e">
        <f>VLOOKUP(C7103,'lookup table'!$A$2:$B$19,2,FALSE)</f>
        <v>#N/A</v>
      </c>
      <c r="E7103" t="str">
        <f t="shared" si="110"/>
        <v/>
      </c>
    </row>
    <row r="7104" spans="1:5" x14ac:dyDescent="0.2">
      <c r="A7104" t="s">
        <v>1407</v>
      </c>
      <c r="B7104" t="s">
        <v>1408</v>
      </c>
      <c r="C7104" t="s">
        <v>5</v>
      </c>
      <c r="D7104" t="e">
        <f>VLOOKUP(C7104,'lookup table'!$A$2:$B$19,2,FALSE)</f>
        <v>#N/A</v>
      </c>
      <c r="E7104" t="str">
        <f t="shared" si="110"/>
        <v/>
      </c>
    </row>
    <row r="7105" spans="1:5" x14ac:dyDescent="0.2">
      <c r="A7105" t="s">
        <v>1407</v>
      </c>
      <c r="B7105" t="s">
        <v>1408</v>
      </c>
      <c r="C7105" t="s">
        <v>6</v>
      </c>
      <c r="D7105" t="e">
        <f>VLOOKUP(C7105,'lookup table'!$A$2:$B$19,2,FALSE)</f>
        <v>#N/A</v>
      </c>
      <c r="E7105" t="str">
        <f t="shared" si="110"/>
        <v/>
      </c>
    </row>
    <row r="7106" spans="1:5" x14ac:dyDescent="0.2">
      <c r="A7106" t="s">
        <v>1407</v>
      </c>
      <c r="B7106" t="s">
        <v>1408</v>
      </c>
      <c r="C7106" t="s">
        <v>9</v>
      </c>
      <c r="D7106" t="e">
        <f>VLOOKUP(C7106,'lookup table'!$A$2:$B$19,2,FALSE)</f>
        <v>#N/A</v>
      </c>
      <c r="E7106" t="str">
        <f t="shared" si="110"/>
        <v/>
      </c>
    </row>
    <row r="7107" spans="1:5" x14ac:dyDescent="0.2">
      <c r="A7107" t="s">
        <v>1407</v>
      </c>
      <c r="B7107" t="s">
        <v>1408</v>
      </c>
      <c r="C7107" t="s">
        <v>10</v>
      </c>
      <c r="D7107" t="e">
        <f>VLOOKUP(C7107,'lookup table'!$A$2:$B$19,2,FALSE)</f>
        <v>#N/A</v>
      </c>
      <c r="E7107" t="str">
        <f t="shared" ref="E7107:E7170" si="111">IF(ISNA(D7107),"",IF(A7107="","",A7107) &amp; "|" &amp; D7107)</f>
        <v/>
      </c>
    </row>
    <row r="7108" spans="1:5" x14ac:dyDescent="0.2">
      <c r="A7108" t="s">
        <v>1407</v>
      </c>
      <c r="B7108" t="s">
        <v>1408</v>
      </c>
      <c r="C7108" t="s">
        <v>11</v>
      </c>
      <c r="D7108" t="e">
        <f>VLOOKUP(C7108,'lookup table'!$A$2:$B$19,2,FALSE)</f>
        <v>#N/A</v>
      </c>
      <c r="E7108" t="str">
        <f t="shared" si="111"/>
        <v/>
      </c>
    </row>
    <row r="7109" spans="1:5" x14ac:dyDescent="0.2">
      <c r="A7109" t="s">
        <v>1407</v>
      </c>
      <c r="B7109" t="s">
        <v>1408</v>
      </c>
      <c r="C7109" t="s">
        <v>12</v>
      </c>
      <c r="D7109" t="e">
        <f>VLOOKUP(C7109,'lookup table'!$A$2:$B$19,2,FALSE)</f>
        <v>#N/A</v>
      </c>
      <c r="E7109" t="str">
        <f t="shared" si="111"/>
        <v/>
      </c>
    </row>
    <row r="7110" spans="1:5" x14ac:dyDescent="0.2">
      <c r="A7110" t="s">
        <v>1407</v>
      </c>
      <c r="B7110" t="s">
        <v>1408</v>
      </c>
      <c r="C7110" t="s">
        <v>14</v>
      </c>
      <c r="D7110" t="str">
        <f>VLOOKUP(C7110,'lookup table'!$A$2:$B$19,2,FALSE)</f>
        <v>ALC</v>
      </c>
      <c r="E7110" t="str">
        <f t="shared" si="111"/>
        <v>DR7LOB_00|ALC</v>
      </c>
    </row>
    <row r="7111" spans="1:5" x14ac:dyDescent="0.2">
      <c r="A7111" t="s">
        <v>1407</v>
      </c>
      <c r="B7111" t="s">
        <v>1408</v>
      </c>
      <c r="C7111" t="s">
        <v>20</v>
      </c>
      <c r="D7111" t="str">
        <f>VLOOKUP(C7111,'lookup table'!$A$2:$B$19,2,FALSE)</f>
        <v>AY</v>
      </c>
      <c r="E7111" t="str">
        <f t="shared" si="111"/>
        <v>DR7LOB_00|AY</v>
      </c>
    </row>
    <row r="7112" spans="1:5" x14ac:dyDescent="0.2">
      <c r="A7112" t="s">
        <v>1407</v>
      </c>
      <c r="B7112" t="s">
        <v>1408</v>
      </c>
      <c r="C7112" t="s">
        <v>324</v>
      </c>
      <c r="D7112" t="e">
        <f>VLOOKUP(C7112,'lookup table'!$A$2:$B$19,2,FALSE)</f>
        <v>#N/A</v>
      </c>
      <c r="E7112" t="str">
        <f t="shared" si="111"/>
        <v/>
      </c>
    </row>
    <row r="7113" spans="1:5" x14ac:dyDescent="0.2">
      <c r="A7113" t="s">
        <v>1407</v>
      </c>
      <c r="B7113" t="s">
        <v>1408</v>
      </c>
      <c r="C7113" t="s">
        <v>325</v>
      </c>
      <c r="D7113" t="e">
        <f>VLOOKUP(C7113,'lookup table'!$A$2:$B$19,2,FALSE)</f>
        <v>#N/A</v>
      </c>
      <c r="E7113" t="str">
        <f t="shared" si="111"/>
        <v/>
      </c>
    </row>
    <row r="7114" spans="1:5" x14ac:dyDescent="0.2">
      <c r="A7114" t="s">
        <v>1407</v>
      </c>
      <c r="B7114" t="s">
        <v>1408</v>
      </c>
      <c r="C7114" t="s">
        <v>326</v>
      </c>
      <c r="D7114" t="e">
        <f>VLOOKUP(C7114,'lookup table'!$A$2:$B$19,2,FALSE)</f>
        <v>#N/A</v>
      </c>
      <c r="E7114" t="str">
        <f t="shared" si="111"/>
        <v/>
      </c>
    </row>
    <row r="7115" spans="1:5" x14ac:dyDescent="0.2">
      <c r="A7115" t="s">
        <v>1407</v>
      </c>
      <c r="B7115" t="s">
        <v>1408</v>
      </c>
      <c r="C7115" t="s">
        <v>327</v>
      </c>
      <c r="D7115" t="e">
        <f>VLOOKUP(C7115,'lookup table'!$A$2:$B$19,2,FALSE)</f>
        <v>#N/A</v>
      </c>
      <c r="E7115" t="str">
        <f t="shared" si="111"/>
        <v/>
      </c>
    </row>
    <row r="7116" spans="1:5" x14ac:dyDescent="0.2">
      <c r="A7116" t="s">
        <v>1407</v>
      </c>
      <c r="B7116" t="s">
        <v>1408</v>
      </c>
      <c r="C7116" t="s">
        <v>328</v>
      </c>
      <c r="D7116" t="e">
        <f>VLOOKUP(C7116,'lookup table'!$A$2:$B$19,2,FALSE)</f>
        <v>#N/A</v>
      </c>
      <c r="E7116" t="str">
        <f t="shared" si="111"/>
        <v/>
      </c>
    </row>
    <row r="7117" spans="1:5" x14ac:dyDescent="0.2">
      <c r="A7117" t="s">
        <v>1407</v>
      </c>
      <c r="B7117" t="s">
        <v>1408</v>
      </c>
      <c r="C7117" t="s">
        <v>329</v>
      </c>
      <c r="D7117" t="e">
        <f>VLOOKUP(C7117,'lookup table'!$A$2:$B$19,2,FALSE)</f>
        <v>#N/A</v>
      </c>
      <c r="E7117" t="str">
        <f t="shared" si="111"/>
        <v/>
      </c>
    </row>
    <row r="7118" spans="1:5" x14ac:dyDescent="0.2">
      <c r="A7118" t="s">
        <v>1407</v>
      </c>
      <c r="B7118" t="s">
        <v>1408</v>
      </c>
      <c r="C7118" t="s">
        <v>331</v>
      </c>
      <c r="D7118" t="str">
        <f>VLOOKUP(C7118,'lookup table'!$A$2:$B$19,2,FALSE)</f>
        <v>FS Item</v>
      </c>
      <c r="E7118" t="str">
        <f t="shared" si="111"/>
        <v>DR7LOB_00|FS Item</v>
      </c>
    </row>
    <row r="7119" spans="1:5" x14ac:dyDescent="0.2">
      <c r="A7119" t="s">
        <v>1407</v>
      </c>
      <c r="B7119" t="s">
        <v>1408</v>
      </c>
      <c r="C7119" t="s">
        <v>422</v>
      </c>
      <c r="D7119" t="e">
        <f>VLOOKUP(C7119,'lookup table'!$A$2:$B$19,2,FALSE)</f>
        <v>#N/A</v>
      </c>
      <c r="E7119" t="str">
        <f t="shared" si="111"/>
        <v/>
      </c>
    </row>
    <row r="7120" spans="1:5" x14ac:dyDescent="0.2">
      <c r="A7120" t="s">
        <v>1407</v>
      </c>
      <c r="B7120" t="s">
        <v>1408</v>
      </c>
      <c r="C7120" t="s">
        <v>423</v>
      </c>
      <c r="D7120" t="str">
        <f>VLOOKUP(C7120,'lookup table'!$A$2:$B$19,2,FALSE)</f>
        <v>ignore</v>
      </c>
      <c r="E7120" t="str">
        <f t="shared" si="111"/>
        <v>DR7LOB_00|ignore</v>
      </c>
    </row>
    <row r="7121" spans="1:5" x14ac:dyDescent="0.2">
      <c r="A7121" t="s">
        <v>1407</v>
      </c>
      <c r="B7121" t="s">
        <v>1408</v>
      </c>
      <c r="C7121" t="s">
        <v>424</v>
      </c>
      <c r="D7121" t="str">
        <f>VLOOKUP(C7121,'lookup table'!$A$2:$B$19,2,FALSE)</f>
        <v>GRC</v>
      </c>
      <c r="E7121" t="str">
        <f t="shared" si="111"/>
        <v>DR7LOB_00|GRC</v>
      </c>
    </row>
    <row r="7122" spans="1:5" x14ac:dyDescent="0.2">
      <c r="A7122" t="s">
        <v>1407</v>
      </c>
      <c r="B7122" t="s">
        <v>1408</v>
      </c>
      <c r="C7122" t="s">
        <v>425</v>
      </c>
      <c r="D7122" t="str">
        <f>VLOOKUP(C7122,'lookup table'!$A$2:$B$19,2,FALSE)</f>
        <v>Investee Segment</v>
      </c>
      <c r="E7122" t="str">
        <f t="shared" si="111"/>
        <v>DR7LOB_00|Investee Segment</v>
      </c>
    </row>
    <row r="7123" spans="1:5" x14ac:dyDescent="0.2">
      <c r="A7123" t="s">
        <v>1407</v>
      </c>
      <c r="B7123" t="s">
        <v>1408</v>
      </c>
      <c r="C7123" t="s">
        <v>426</v>
      </c>
      <c r="D7123" t="str">
        <f>VLOOKUP(C7123,'lookup table'!$A$2:$B$19,2,FALSE)</f>
        <v>Investee Unit</v>
      </c>
      <c r="E7123" t="str">
        <f t="shared" si="111"/>
        <v>DR7LOB_00|Investee Unit</v>
      </c>
    </row>
    <row r="7124" spans="1:5" x14ac:dyDescent="0.2">
      <c r="A7124" t="s">
        <v>1407</v>
      </c>
      <c r="B7124" t="s">
        <v>1408</v>
      </c>
      <c r="C7124" t="s">
        <v>428</v>
      </c>
      <c r="D7124" t="str">
        <f>VLOOKUP(C7124,'lookup table'!$A$2:$B$19,2,FALSE)</f>
        <v>LoB</v>
      </c>
      <c r="E7124" t="str">
        <f t="shared" si="111"/>
        <v>DR7LOB_00|LoB</v>
      </c>
    </row>
    <row r="7125" spans="1:5" x14ac:dyDescent="0.2">
      <c r="A7125" t="s">
        <v>1407</v>
      </c>
      <c r="B7125" t="s">
        <v>1408</v>
      </c>
      <c r="C7125" t="s">
        <v>436</v>
      </c>
      <c r="D7125" t="str">
        <f>VLOOKUP(C7125,'lookup table'!$A$2:$B$19,2,FALSE)</f>
        <v>MAT</v>
      </c>
      <c r="E7125" t="str">
        <f t="shared" si="111"/>
        <v>DR7LOB_00|MAT</v>
      </c>
    </row>
    <row r="7126" spans="1:5" x14ac:dyDescent="0.2">
      <c r="A7126" t="s">
        <v>1407</v>
      </c>
      <c r="B7126" t="s">
        <v>1408</v>
      </c>
      <c r="C7126" t="s">
        <v>441</v>
      </c>
      <c r="D7126" t="str">
        <f>VLOOKUP(C7126,'lookup table'!$A$2:$B$19,2,FALSE)</f>
        <v>Partner Segment</v>
      </c>
      <c r="E7126" t="str">
        <f t="shared" si="111"/>
        <v>DR7LOB_00|Partner Segment</v>
      </c>
    </row>
    <row r="7127" spans="1:5" x14ac:dyDescent="0.2">
      <c r="A7127" t="s">
        <v>1407</v>
      </c>
      <c r="B7127" t="s">
        <v>1408</v>
      </c>
      <c r="C7127" t="s">
        <v>442</v>
      </c>
      <c r="D7127" t="str">
        <f>VLOOKUP(C7127,'lookup table'!$A$2:$B$19,2,FALSE)</f>
        <v>Partner Unit</v>
      </c>
      <c r="E7127" t="str">
        <f t="shared" si="111"/>
        <v>DR7LOB_00|Partner Unit</v>
      </c>
    </row>
    <row r="7128" spans="1:5" x14ac:dyDescent="0.2">
      <c r="A7128" t="s">
        <v>1407</v>
      </c>
      <c r="B7128" t="s">
        <v>1408</v>
      </c>
      <c r="C7128" t="s">
        <v>447</v>
      </c>
      <c r="D7128" t="str">
        <f>VLOOKUP(C7128,'lookup table'!$A$2:$B$19,2,FALSE)</f>
        <v>REX</v>
      </c>
      <c r="E7128" t="str">
        <f t="shared" si="111"/>
        <v>DR7LOB_00|REX</v>
      </c>
    </row>
    <row r="7129" spans="1:5" x14ac:dyDescent="0.2">
      <c r="A7129" t="s">
        <v>1407</v>
      </c>
      <c r="B7129" t="s">
        <v>1408</v>
      </c>
      <c r="C7129" t="s">
        <v>448</v>
      </c>
      <c r="D7129" t="e">
        <f>VLOOKUP(C7129,'lookup table'!$A$2:$B$19,2,FALSE)</f>
        <v>#N/A</v>
      </c>
      <c r="E7129" t="str">
        <f t="shared" si="111"/>
        <v/>
      </c>
    </row>
    <row r="7130" spans="1:5" x14ac:dyDescent="0.2">
      <c r="A7130" t="s">
        <v>1407</v>
      </c>
      <c r="B7130" t="s">
        <v>1408</v>
      </c>
      <c r="C7130" t="s">
        <v>449</v>
      </c>
      <c r="D7130" t="e">
        <f>VLOOKUP(C7130,'lookup table'!$A$2:$B$19,2,FALSE)</f>
        <v>#N/A</v>
      </c>
      <c r="E7130" t="str">
        <f t="shared" si="111"/>
        <v/>
      </c>
    </row>
    <row r="7131" spans="1:5" x14ac:dyDescent="0.2">
      <c r="A7131" t="s">
        <v>1407</v>
      </c>
      <c r="B7131" t="s">
        <v>1408</v>
      </c>
      <c r="C7131" t="s">
        <v>451</v>
      </c>
      <c r="D7131" t="str">
        <f>VLOOKUP(C7131,'lookup table'!$A$2:$B$19,2,FALSE)</f>
        <v>Segment</v>
      </c>
      <c r="E7131" t="str">
        <f t="shared" si="111"/>
        <v>DR7LOB_00|Segment</v>
      </c>
    </row>
    <row r="7132" spans="1:5" x14ac:dyDescent="0.2">
      <c r="A7132" t="s">
        <v>1407</v>
      </c>
      <c r="B7132" t="s">
        <v>1408</v>
      </c>
      <c r="C7132" t="s">
        <v>455</v>
      </c>
      <c r="D7132" t="e">
        <f>VLOOKUP(C7132,'lookup table'!$A$2:$B$19,2,FALSE)</f>
        <v>#N/A</v>
      </c>
      <c r="E7132" t="str">
        <f t="shared" si="111"/>
        <v/>
      </c>
    </row>
    <row r="7133" spans="1:5" x14ac:dyDescent="0.2">
      <c r="A7133" t="s">
        <v>1407</v>
      </c>
      <c r="B7133" t="s">
        <v>1408</v>
      </c>
      <c r="C7133" t="s">
        <v>456</v>
      </c>
      <c r="D7133" t="e">
        <f>VLOOKUP(C7133,'lookup table'!$A$2:$B$19,2,FALSE)</f>
        <v>#N/A</v>
      </c>
      <c r="E7133" t="str">
        <f t="shared" si="111"/>
        <v/>
      </c>
    </row>
    <row r="7134" spans="1:5" x14ac:dyDescent="0.2">
      <c r="A7134" t="s">
        <v>1407</v>
      </c>
      <c r="B7134" t="s">
        <v>1408</v>
      </c>
      <c r="C7134" t="s">
        <v>457</v>
      </c>
      <c r="D7134" t="str">
        <f>VLOOKUP(C7134,'lookup table'!$A$2:$B$19,2,FALSE)</f>
        <v>VLT</v>
      </c>
      <c r="E7134" t="str">
        <f t="shared" si="111"/>
        <v>DR7LOB_00|VLT</v>
      </c>
    </row>
    <row r="7135" spans="1:5" x14ac:dyDescent="0.2">
      <c r="A7135" t="s">
        <v>1407</v>
      </c>
      <c r="B7135" t="s">
        <v>1408</v>
      </c>
      <c r="C7135" t="s">
        <v>458</v>
      </c>
      <c r="D7135" t="str">
        <f>VLOOKUP(C7135,'lookup table'!$A$2:$B$19,2,FALSE)</f>
        <v>VAR</v>
      </c>
      <c r="E7135" t="str">
        <f t="shared" si="111"/>
        <v>DR7LOB_00|VAR</v>
      </c>
    </row>
    <row r="7136" spans="1:5" x14ac:dyDescent="0.2">
      <c r="A7136" t="s">
        <v>1407</v>
      </c>
      <c r="B7136" t="s">
        <v>1408</v>
      </c>
      <c r="C7136" t="s">
        <v>459</v>
      </c>
      <c r="D7136" t="e">
        <f>VLOOKUP(C7136,'lookup table'!$A$2:$B$19,2,FALSE)</f>
        <v>#N/A</v>
      </c>
      <c r="E7136" t="str">
        <f t="shared" si="111"/>
        <v/>
      </c>
    </row>
    <row r="7137" spans="1:5" x14ac:dyDescent="0.2">
      <c r="A7137" t="s">
        <v>1407</v>
      </c>
      <c r="B7137" t="s">
        <v>1408</v>
      </c>
      <c r="C7137" t="s">
        <v>460</v>
      </c>
      <c r="D7137" t="e">
        <f>VLOOKUP(C7137,'lookup table'!$A$2:$B$19,2,FALSE)</f>
        <v>#N/A</v>
      </c>
      <c r="E7137" t="str">
        <f t="shared" si="111"/>
        <v/>
      </c>
    </row>
    <row r="7138" spans="1:5" x14ac:dyDescent="0.2">
      <c r="A7138" t="s">
        <v>1407</v>
      </c>
      <c r="B7138" t="s">
        <v>1408</v>
      </c>
      <c r="C7138" t="s">
        <v>461</v>
      </c>
      <c r="D7138" t="str">
        <f>VLOOKUP(C7138,'lookup table'!$A$2:$B$19,2,FALSE)</f>
        <v>Posting Level</v>
      </c>
      <c r="E7138" t="str">
        <f t="shared" si="111"/>
        <v>DR7LOB_00|Posting Level</v>
      </c>
    </row>
    <row r="7139" spans="1:5" x14ac:dyDescent="0.2">
      <c r="A7139" t="s">
        <v>1407</v>
      </c>
      <c r="B7139" t="s">
        <v>1408</v>
      </c>
      <c r="C7139" t="s">
        <v>462</v>
      </c>
      <c r="D7139" t="e">
        <f>VLOOKUP(C7139,'lookup table'!$A$2:$B$19,2,FALSE)</f>
        <v>#N/A</v>
      </c>
      <c r="E7139" t="str">
        <f t="shared" si="111"/>
        <v/>
      </c>
    </row>
    <row r="7140" spans="1:5" x14ac:dyDescent="0.2">
      <c r="A7140" t="s">
        <v>1407</v>
      </c>
      <c r="B7140" t="s">
        <v>1408</v>
      </c>
      <c r="C7140" t="s">
        <v>463</v>
      </c>
      <c r="D7140" t="e">
        <f>VLOOKUP(C7140,'lookup table'!$A$2:$B$19,2,FALSE)</f>
        <v>#N/A</v>
      </c>
      <c r="E7140" t="str">
        <f t="shared" si="111"/>
        <v/>
      </c>
    </row>
    <row r="7141" spans="1:5" x14ac:dyDescent="0.2">
      <c r="A7141" t="s">
        <v>1407</v>
      </c>
      <c r="B7141" t="s">
        <v>1408</v>
      </c>
      <c r="C7141" t="s">
        <v>464</v>
      </c>
      <c r="D7141" t="e">
        <f>VLOOKUP(C7141,'lookup table'!$A$2:$B$19,2,FALSE)</f>
        <v>#N/A</v>
      </c>
      <c r="E7141" t="str">
        <f t="shared" si="111"/>
        <v/>
      </c>
    </row>
    <row r="7142" spans="1:5" x14ac:dyDescent="0.2">
      <c r="A7142" t="s">
        <v>1407</v>
      </c>
      <c r="B7142" t="s">
        <v>1408</v>
      </c>
      <c r="C7142" t="s">
        <v>465</v>
      </c>
      <c r="D7142" t="e">
        <f>VLOOKUP(C7142,'lookup table'!$A$2:$B$19,2,FALSE)</f>
        <v>#N/A</v>
      </c>
      <c r="E7142" t="str">
        <f t="shared" si="111"/>
        <v/>
      </c>
    </row>
    <row r="7143" spans="1:5" x14ac:dyDescent="0.2">
      <c r="A7143" t="s">
        <v>1409</v>
      </c>
      <c r="B7143" t="s">
        <v>1410</v>
      </c>
      <c r="C7143" t="s">
        <v>2</v>
      </c>
      <c r="D7143" t="e">
        <f>VLOOKUP(C7143,'lookup table'!$A$2:$B$19,2,FALSE)</f>
        <v>#N/A</v>
      </c>
      <c r="E7143" t="str">
        <f t="shared" si="111"/>
        <v/>
      </c>
    </row>
    <row r="7144" spans="1:5" x14ac:dyDescent="0.2">
      <c r="A7144" t="s">
        <v>1409</v>
      </c>
      <c r="B7144" t="s">
        <v>1410</v>
      </c>
      <c r="C7144" t="s">
        <v>5</v>
      </c>
      <c r="D7144" t="e">
        <f>VLOOKUP(C7144,'lookup table'!$A$2:$B$19,2,FALSE)</f>
        <v>#N/A</v>
      </c>
      <c r="E7144" t="str">
        <f t="shared" si="111"/>
        <v/>
      </c>
    </row>
    <row r="7145" spans="1:5" x14ac:dyDescent="0.2">
      <c r="A7145" t="s">
        <v>1409</v>
      </c>
      <c r="B7145" t="s">
        <v>1410</v>
      </c>
      <c r="C7145" t="s">
        <v>6</v>
      </c>
      <c r="D7145" t="e">
        <f>VLOOKUP(C7145,'lookup table'!$A$2:$B$19,2,FALSE)</f>
        <v>#N/A</v>
      </c>
      <c r="E7145" t="str">
        <f t="shared" si="111"/>
        <v/>
      </c>
    </row>
    <row r="7146" spans="1:5" x14ac:dyDescent="0.2">
      <c r="A7146" t="s">
        <v>1409</v>
      </c>
      <c r="B7146" t="s">
        <v>1410</v>
      </c>
      <c r="C7146" t="s">
        <v>9</v>
      </c>
      <c r="D7146" t="e">
        <f>VLOOKUP(C7146,'lookup table'!$A$2:$B$19,2,FALSE)</f>
        <v>#N/A</v>
      </c>
      <c r="E7146" t="str">
        <f t="shared" si="111"/>
        <v/>
      </c>
    </row>
    <row r="7147" spans="1:5" x14ac:dyDescent="0.2">
      <c r="A7147" t="s">
        <v>1409</v>
      </c>
      <c r="B7147" t="s">
        <v>1410</v>
      </c>
      <c r="C7147" t="s">
        <v>10</v>
      </c>
      <c r="D7147" t="e">
        <f>VLOOKUP(C7147,'lookup table'!$A$2:$B$19,2,FALSE)</f>
        <v>#N/A</v>
      </c>
      <c r="E7147" t="str">
        <f t="shared" si="111"/>
        <v/>
      </c>
    </row>
    <row r="7148" spans="1:5" x14ac:dyDescent="0.2">
      <c r="A7148" t="s">
        <v>1409</v>
      </c>
      <c r="B7148" t="s">
        <v>1410</v>
      </c>
      <c r="C7148" t="s">
        <v>11</v>
      </c>
      <c r="D7148" t="e">
        <f>VLOOKUP(C7148,'lookup table'!$A$2:$B$19,2,FALSE)</f>
        <v>#N/A</v>
      </c>
      <c r="E7148" t="str">
        <f t="shared" si="111"/>
        <v/>
      </c>
    </row>
    <row r="7149" spans="1:5" x14ac:dyDescent="0.2">
      <c r="A7149" t="s">
        <v>1409</v>
      </c>
      <c r="B7149" t="s">
        <v>1410</v>
      </c>
      <c r="C7149" t="s">
        <v>12</v>
      </c>
      <c r="D7149" t="e">
        <f>VLOOKUP(C7149,'lookup table'!$A$2:$B$19,2,FALSE)</f>
        <v>#N/A</v>
      </c>
      <c r="E7149" t="str">
        <f t="shared" si="111"/>
        <v/>
      </c>
    </row>
    <row r="7150" spans="1:5" x14ac:dyDescent="0.2">
      <c r="A7150" t="s">
        <v>1409</v>
      </c>
      <c r="B7150" t="s">
        <v>1410</v>
      </c>
      <c r="C7150" t="s">
        <v>14</v>
      </c>
      <c r="D7150" t="str">
        <f>VLOOKUP(C7150,'lookup table'!$A$2:$B$19,2,FALSE)</f>
        <v>ALC</v>
      </c>
      <c r="E7150" t="str">
        <f t="shared" si="111"/>
        <v>DR7PRU_00|ALC</v>
      </c>
    </row>
    <row r="7151" spans="1:5" x14ac:dyDescent="0.2">
      <c r="A7151" t="s">
        <v>1409</v>
      </c>
      <c r="B7151" t="s">
        <v>1410</v>
      </c>
      <c r="C7151" t="s">
        <v>20</v>
      </c>
      <c r="D7151" t="str">
        <f>VLOOKUP(C7151,'lookup table'!$A$2:$B$19,2,FALSE)</f>
        <v>AY</v>
      </c>
      <c r="E7151" t="str">
        <f t="shared" si="111"/>
        <v>DR7PRU_00|AY</v>
      </c>
    </row>
    <row r="7152" spans="1:5" x14ac:dyDescent="0.2">
      <c r="A7152" t="s">
        <v>1409</v>
      </c>
      <c r="B7152" t="s">
        <v>1410</v>
      </c>
      <c r="C7152" t="s">
        <v>324</v>
      </c>
      <c r="D7152" t="e">
        <f>VLOOKUP(C7152,'lookup table'!$A$2:$B$19,2,FALSE)</f>
        <v>#N/A</v>
      </c>
      <c r="E7152" t="str">
        <f t="shared" si="111"/>
        <v/>
      </c>
    </row>
    <row r="7153" spans="1:5" x14ac:dyDescent="0.2">
      <c r="A7153" t="s">
        <v>1409</v>
      </c>
      <c r="B7153" t="s">
        <v>1410</v>
      </c>
      <c r="C7153" t="s">
        <v>325</v>
      </c>
      <c r="D7153" t="e">
        <f>VLOOKUP(C7153,'lookup table'!$A$2:$B$19,2,FALSE)</f>
        <v>#N/A</v>
      </c>
      <c r="E7153" t="str">
        <f t="shared" si="111"/>
        <v/>
      </c>
    </row>
    <row r="7154" spans="1:5" x14ac:dyDescent="0.2">
      <c r="A7154" t="s">
        <v>1409</v>
      </c>
      <c r="B7154" t="s">
        <v>1410</v>
      </c>
      <c r="C7154" t="s">
        <v>326</v>
      </c>
      <c r="D7154" t="e">
        <f>VLOOKUP(C7154,'lookup table'!$A$2:$B$19,2,FALSE)</f>
        <v>#N/A</v>
      </c>
      <c r="E7154" t="str">
        <f t="shared" si="111"/>
        <v/>
      </c>
    </row>
    <row r="7155" spans="1:5" x14ac:dyDescent="0.2">
      <c r="A7155" t="s">
        <v>1409</v>
      </c>
      <c r="B7155" t="s">
        <v>1410</v>
      </c>
      <c r="C7155" t="s">
        <v>327</v>
      </c>
      <c r="D7155" t="e">
        <f>VLOOKUP(C7155,'lookup table'!$A$2:$B$19,2,FALSE)</f>
        <v>#N/A</v>
      </c>
      <c r="E7155" t="str">
        <f t="shared" si="111"/>
        <v/>
      </c>
    </row>
    <row r="7156" spans="1:5" x14ac:dyDescent="0.2">
      <c r="A7156" t="s">
        <v>1409</v>
      </c>
      <c r="B7156" t="s">
        <v>1410</v>
      </c>
      <c r="C7156" t="s">
        <v>328</v>
      </c>
      <c r="D7156" t="e">
        <f>VLOOKUP(C7156,'lookup table'!$A$2:$B$19,2,FALSE)</f>
        <v>#N/A</v>
      </c>
      <c r="E7156" t="str">
        <f t="shared" si="111"/>
        <v/>
      </c>
    </row>
    <row r="7157" spans="1:5" x14ac:dyDescent="0.2">
      <c r="A7157" t="s">
        <v>1409</v>
      </c>
      <c r="B7157" t="s">
        <v>1410</v>
      </c>
      <c r="C7157" t="s">
        <v>329</v>
      </c>
      <c r="D7157" t="e">
        <f>VLOOKUP(C7157,'lookup table'!$A$2:$B$19,2,FALSE)</f>
        <v>#N/A</v>
      </c>
      <c r="E7157" t="str">
        <f t="shared" si="111"/>
        <v/>
      </c>
    </row>
    <row r="7158" spans="1:5" x14ac:dyDescent="0.2">
      <c r="A7158" t="s">
        <v>1409</v>
      </c>
      <c r="B7158" t="s">
        <v>1410</v>
      </c>
      <c r="C7158" t="s">
        <v>331</v>
      </c>
      <c r="D7158" t="str">
        <f>VLOOKUP(C7158,'lookup table'!$A$2:$B$19,2,FALSE)</f>
        <v>FS Item</v>
      </c>
      <c r="E7158" t="str">
        <f t="shared" si="111"/>
        <v>DR7PRU_00|FS Item</v>
      </c>
    </row>
    <row r="7159" spans="1:5" x14ac:dyDescent="0.2">
      <c r="A7159" t="s">
        <v>1409</v>
      </c>
      <c r="B7159" t="s">
        <v>1410</v>
      </c>
      <c r="C7159" t="s">
        <v>422</v>
      </c>
      <c r="D7159" t="e">
        <f>VLOOKUP(C7159,'lookup table'!$A$2:$B$19,2,FALSE)</f>
        <v>#N/A</v>
      </c>
      <c r="E7159" t="str">
        <f t="shared" si="111"/>
        <v/>
      </c>
    </row>
    <row r="7160" spans="1:5" x14ac:dyDescent="0.2">
      <c r="A7160" t="s">
        <v>1409</v>
      </c>
      <c r="B7160" t="s">
        <v>1410</v>
      </c>
      <c r="C7160" t="s">
        <v>423</v>
      </c>
      <c r="D7160" t="str">
        <f>VLOOKUP(C7160,'lookup table'!$A$2:$B$19,2,FALSE)</f>
        <v>ignore</v>
      </c>
      <c r="E7160" t="str">
        <f t="shared" si="111"/>
        <v>DR7PRU_00|ignore</v>
      </c>
    </row>
    <row r="7161" spans="1:5" x14ac:dyDescent="0.2">
      <c r="A7161" t="s">
        <v>1409</v>
      </c>
      <c r="B7161" t="s">
        <v>1410</v>
      </c>
      <c r="C7161" t="s">
        <v>424</v>
      </c>
      <c r="D7161" t="str">
        <f>VLOOKUP(C7161,'lookup table'!$A$2:$B$19,2,FALSE)</f>
        <v>GRC</v>
      </c>
      <c r="E7161" t="str">
        <f t="shared" si="111"/>
        <v>DR7PRU_00|GRC</v>
      </c>
    </row>
    <row r="7162" spans="1:5" x14ac:dyDescent="0.2">
      <c r="A7162" t="s">
        <v>1409</v>
      </c>
      <c r="B7162" t="s">
        <v>1410</v>
      </c>
      <c r="C7162" t="s">
        <v>425</v>
      </c>
      <c r="D7162" t="str">
        <f>VLOOKUP(C7162,'lookup table'!$A$2:$B$19,2,FALSE)</f>
        <v>Investee Segment</v>
      </c>
      <c r="E7162" t="str">
        <f t="shared" si="111"/>
        <v>DR7PRU_00|Investee Segment</v>
      </c>
    </row>
    <row r="7163" spans="1:5" x14ac:dyDescent="0.2">
      <c r="A7163" t="s">
        <v>1409</v>
      </c>
      <c r="B7163" t="s">
        <v>1410</v>
      </c>
      <c r="C7163" t="s">
        <v>426</v>
      </c>
      <c r="D7163" t="str">
        <f>VLOOKUP(C7163,'lookup table'!$A$2:$B$19,2,FALSE)</f>
        <v>Investee Unit</v>
      </c>
      <c r="E7163" t="str">
        <f t="shared" si="111"/>
        <v>DR7PRU_00|Investee Unit</v>
      </c>
    </row>
    <row r="7164" spans="1:5" x14ac:dyDescent="0.2">
      <c r="A7164" t="s">
        <v>1409</v>
      </c>
      <c r="B7164" t="s">
        <v>1410</v>
      </c>
      <c r="C7164" t="s">
        <v>428</v>
      </c>
      <c r="D7164" t="str">
        <f>VLOOKUP(C7164,'lookup table'!$A$2:$B$19,2,FALSE)</f>
        <v>LoB</v>
      </c>
      <c r="E7164" t="str">
        <f t="shared" si="111"/>
        <v>DR7PRU_00|LoB</v>
      </c>
    </row>
    <row r="7165" spans="1:5" x14ac:dyDescent="0.2">
      <c r="A7165" t="s">
        <v>1409</v>
      </c>
      <c r="B7165" t="s">
        <v>1410</v>
      </c>
      <c r="C7165" t="s">
        <v>436</v>
      </c>
      <c r="D7165" t="str">
        <f>VLOOKUP(C7165,'lookup table'!$A$2:$B$19,2,FALSE)</f>
        <v>MAT</v>
      </c>
      <c r="E7165" t="str">
        <f t="shared" si="111"/>
        <v>DR7PRU_00|MAT</v>
      </c>
    </row>
    <row r="7166" spans="1:5" x14ac:dyDescent="0.2">
      <c r="A7166" t="s">
        <v>1409</v>
      </c>
      <c r="B7166" t="s">
        <v>1410</v>
      </c>
      <c r="C7166" t="s">
        <v>441</v>
      </c>
      <c r="D7166" t="str">
        <f>VLOOKUP(C7166,'lookup table'!$A$2:$B$19,2,FALSE)</f>
        <v>Partner Segment</v>
      </c>
      <c r="E7166" t="str">
        <f t="shared" si="111"/>
        <v>DR7PRU_00|Partner Segment</v>
      </c>
    </row>
    <row r="7167" spans="1:5" x14ac:dyDescent="0.2">
      <c r="A7167" t="s">
        <v>1409</v>
      </c>
      <c r="B7167" t="s">
        <v>1410</v>
      </c>
      <c r="C7167" t="s">
        <v>442</v>
      </c>
      <c r="D7167" t="str">
        <f>VLOOKUP(C7167,'lookup table'!$A$2:$B$19,2,FALSE)</f>
        <v>Partner Unit</v>
      </c>
      <c r="E7167" t="str">
        <f t="shared" si="111"/>
        <v>DR7PRU_00|Partner Unit</v>
      </c>
    </row>
    <row r="7168" spans="1:5" x14ac:dyDescent="0.2">
      <c r="A7168" t="s">
        <v>1409</v>
      </c>
      <c r="B7168" t="s">
        <v>1410</v>
      </c>
      <c r="C7168" t="s">
        <v>447</v>
      </c>
      <c r="D7168" t="str">
        <f>VLOOKUP(C7168,'lookup table'!$A$2:$B$19,2,FALSE)</f>
        <v>REX</v>
      </c>
      <c r="E7168" t="str">
        <f t="shared" si="111"/>
        <v>DR7PRU_00|REX</v>
      </c>
    </row>
    <row r="7169" spans="1:5" x14ac:dyDescent="0.2">
      <c r="A7169" t="s">
        <v>1409</v>
      </c>
      <c r="B7169" t="s">
        <v>1410</v>
      </c>
      <c r="C7169" t="s">
        <v>448</v>
      </c>
      <c r="D7169" t="e">
        <f>VLOOKUP(C7169,'lookup table'!$A$2:$B$19,2,FALSE)</f>
        <v>#N/A</v>
      </c>
      <c r="E7169" t="str">
        <f t="shared" si="111"/>
        <v/>
      </c>
    </row>
    <row r="7170" spans="1:5" x14ac:dyDescent="0.2">
      <c r="A7170" t="s">
        <v>1409</v>
      </c>
      <c r="B7170" t="s">
        <v>1410</v>
      </c>
      <c r="C7170" t="s">
        <v>449</v>
      </c>
      <c r="D7170" t="e">
        <f>VLOOKUP(C7170,'lookup table'!$A$2:$B$19,2,FALSE)</f>
        <v>#N/A</v>
      </c>
      <c r="E7170" t="str">
        <f t="shared" si="111"/>
        <v/>
      </c>
    </row>
    <row r="7171" spans="1:5" x14ac:dyDescent="0.2">
      <c r="A7171" t="s">
        <v>1409</v>
      </c>
      <c r="B7171" t="s">
        <v>1410</v>
      </c>
      <c r="C7171" t="s">
        <v>451</v>
      </c>
      <c r="D7171" t="str">
        <f>VLOOKUP(C7171,'lookup table'!$A$2:$B$19,2,FALSE)</f>
        <v>Segment</v>
      </c>
      <c r="E7171" t="str">
        <f t="shared" ref="E7171:E7234" si="112">IF(ISNA(D7171),"",IF(A7171="","",A7171) &amp; "|" &amp; D7171)</f>
        <v>DR7PRU_00|Segment</v>
      </c>
    </row>
    <row r="7172" spans="1:5" x14ac:dyDescent="0.2">
      <c r="A7172" t="s">
        <v>1409</v>
      </c>
      <c r="B7172" t="s">
        <v>1410</v>
      </c>
      <c r="C7172" t="s">
        <v>455</v>
      </c>
      <c r="D7172" t="e">
        <f>VLOOKUP(C7172,'lookup table'!$A$2:$B$19,2,FALSE)</f>
        <v>#N/A</v>
      </c>
      <c r="E7172" t="str">
        <f t="shared" si="112"/>
        <v/>
      </c>
    </row>
    <row r="7173" spans="1:5" x14ac:dyDescent="0.2">
      <c r="A7173" t="s">
        <v>1409</v>
      </c>
      <c r="B7173" t="s">
        <v>1410</v>
      </c>
      <c r="C7173" t="s">
        <v>456</v>
      </c>
      <c r="D7173" t="e">
        <f>VLOOKUP(C7173,'lookup table'!$A$2:$B$19,2,FALSE)</f>
        <v>#N/A</v>
      </c>
      <c r="E7173" t="str">
        <f t="shared" si="112"/>
        <v/>
      </c>
    </row>
    <row r="7174" spans="1:5" x14ac:dyDescent="0.2">
      <c r="A7174" t="s">
        <v>1409</v>
      </c>
      <c r="B7174" t="s">
        <v>1410</v>
      </c>
      <c r="C7174" t="s">
        <v>457</v>
      </c>
      <c r="D7174" t="str">
        <f>VLOOKUP(C7174,'lookup table'!$A$2:$B$19,2,FALSE)</f>
        <v>VLT</v>
      </c>
      <c r="E7174" t="str">
        <f t="shared" si="112"/>
        <v>DR7PRU_00|VLT</v>
      </c>
    </row>
    <row r="7175" spans="1:5" x14ac:dyDescent="0.2">
      <c r="A7175" t="s">
        <v>1409</v>
      </c>
      <c r="B7175" t="s">
        <v>1410</v>
      </c>
      <c r="C7175" t="s">
        <v>458</v>
      </c>
      <c r="D7175" t="str">
        <f>VLOOKUP(C7175,'lookup table'!$A$2:$B$19,2,FALSE)</f>
        <v>VAR</v>
      </c>
      <c r="E7175" t="str">
        <f t="shared" si="112"/>
        <v>DR7PRU_00|VAR</v>
      </c>
    </row>
    <row r="7176" spans="1:5" x14ac:dyDescent="0.2">
      <c r="A7176" t="s">
        <v>1409</v>
      </c>
      <c r="B7176" t="s">
        <v>1410</v>
      </c>
      <c r="C7176" t="s">
        <v>459</v>
      </c>
      <c r="D7176" t="e">
        <f>VLOOKUP(C7176,'lookup table'!$A$2:$B$19,2,FALSE)</f>
        <v>#N/A</v>
      </c>
      <c r="E7176" t="str">
        <f t="shared" si="112"/>
        <v/>
      </c>
    </row>
    <row r="7177" spans="1:5" x14ac:dyDescent="0.2">
      <c r="A7177" t="s">
        <v>1409</v>
      </c>
      <c r="B7177" t="s">
        <v>1410</v>
      </c>
      <c r="C7177" t="s">
        <v>460</v>
      </c>
      <c r="D7177" t="e">
        <f>VLOOKUP(C7177,'lookup table'!$A$2:$B$19,2,FALSE)</f>
        <v>#N/A</v>
      </c>
      <c r="E7177" t="str">
        <f t="shared" si="112"/>
        <v/>
      </c>
    </row>
    <row r="7178" spans="1:5" x14ac:dyDescent="0.2">
      <c r="A7178" t="s">
        <v>1409</v>
      </c>
      <c r="B7178" t="s">
        <v>1410</v>
      </c>
      <c r="C7178" t="s">
        <v>461</v>
      </c>
      <c r="D7178" t="str">
        <f>VLOOKUP(C7178,'lookup table'!$A$2:$B$19,2,FALSE)</f>
        <v>Posting Level</v>
      </c>
      <c r="E7178" t="str">
        <f t="shared" si="112"/>
        <v>DR7PRU_00|Posting Level</v>
      </c>
    </row>
    <row r="7179" spans="1:5" x14ac:dyDescent="0.2">
      <c r="A7179" t="s">
        <v>1409</v>
      </c>
      <c r="B7179" t="s">
        <v>1410</v>
      </c>
      <c r="C7179" t="s">
        <v>462</v>
      </c>
      <c r="D7179" t="e">
        <f>VLOOKUP(C7179,'lookup table'!$A$2:$B$19,2,FALSE)</f>
        <v>#N/A</v>
      </c>
      <c r="E7179" t="str">
        <f t="shared" si="112"/>
        <v/>
      </c>
    </row>
    <row r="7180" spans="1:5" x14ac:dyDescent="0.2">
      <c r="A7180" t="s">
        <v>1409</v>
      </c>
      <c r="B7180" t="s">
        <v>1410</v>
      </c>
      <c r="C7180" t="s">
        <v>463</v>
      </c>
      <c r="D7180" t="e">
        <f>VLOOKUP(C7180,'lookup table'!$A$2:$B$19,2,FALSE)</f>
        <v>#N/A</v>
      </c>
      <c r="E7180" t="str">
        <f t="shared" si="112"/>
        <v/>
      </c>
    </row>
    <row r="7181" spans="1:5" x14ac:dyDescent="0.2">
      <c r="A7181" t="s">
        <v>1409</v>
      </c>
      <c r="B7181" t="s">
        <v>1410</v>
      </c>
      <c r="C7181" t="s">
        <v>464</v>
      </c>
      <c r="D7181" t="e">
        <f>VLOOKUP(C7181,'lookup table'!$A$2:$B$19,2,FALSE)</f>
        <v>#N/A</v>
      </c>
      <c r="E7181" t="str">
        <f t="shared" si="112"/>
        <v/>
      </c>
    </row>
    <row r="7182" spans="1:5" x14ac:dyDescent="0.2">
      <c r="A7182" t="s">
        <v>1409</v>
      </c>
      <c r="B7182" t="s">
        <v>1410</v>
      </c>
      <c r="C7182" t="s">
        <v>465</v>
      </c>
      <c r="D7182" t="e">
        <f>VLOOKUP(C7182,'lookup table'!$A$2:$B$19,2,FALSE)</f>
        <v>#N/A</v>
      </c>
      <c r="E7182" t="str">
        <f t="shared" si="112"/>
        <v/>
      </c>
    </row>
    <row r="7183" spans="1:5" x14ac:dyDescent="0.2">
      <c r="A7183" t="s">
        <v>1411</v>
      </c>
      <c r="B7183" t="s">
        <v>1412</v>
      </c>
      <c r="C7183" t="s">
        <v>2</v>
      </c>
      <c r="D7183" t="e">
        <f>VLOOKUP(C7183,'lookup table'!$A$2:$B$19,2,FALSE)</f>
        <v>#N/A</v>
      </c>
      <c r="E7183" t="str">
        <f t="shared" si="112"/>
        <v/>
      </c>
    </row>
    <row r="7184" spans="1:5" x14ac:dyDescent="0.2">
      <c r="A7184" t="s">
        <v>1411</v>
      </c>
      <c r="B7184" t="s">
        <v>1412</v>
      </c>
      <c r="C7184" t="s">
        <v>5</v>
      </c>
      <c r="D7184" t="e">
        <f>VLOOKUP(C7184,'lookup table'!$A$2:$B$19,2,FALSE)</f>
        <v>#N/A</v>
      </c>
      <c r="E7184" t="str">
        <f t="shared" si="112"/>
        <v/>
      </c>
    </row>
    <row r="7185" spans="1:5" x14ac:dyDescent="0.2">
      <c r="A7185" t="s">
        <v>1411</v>
      </c>
      <c r="B7185" t="s">
        <v>1412</v>
      </c>
      <c r="C7185" t="s">
        <v>6</v>
      </c>
      <c r="D7185" t="e">
        <f>VLOOKUP(C7185,'lookup table'!$A$2:$B$19,2,FALSE)</f>
        <v>#N/A</v>
      </c>
      <c r="E7185" t="str">
        <f t="shared" si="112"/>
        <v/>
      </c>
    </row>
    <row r="7186" spans="1:5" x14ac:dyDescent="0.2">
      <c r="A7186" t="s">
        <v>1411</v>
      </c>
      <c r="B7186" t="s">
        <v>1412</v>
      </c>
      <c r="C7186" t="s">
        <v>9</v>
      </c>
      <c r="D7186" t="e">
        <f>VLOOKUP(C7186,'lookup table'!$A$2:$B$19,2,FALSE)</f>
        <v>#N/A</v>
      </c>
      <c r="E7186" t="str">
        <f t="shared" si="112"/>
        <v/>
      </c>
    </row>
    <row r="7187" spans="1:5" x14ac:dyDescent="0.2">
      <c r="A7187" t="s">
        <v>1411</v>
      </c>
      <c r="B7187" t="s">
        <v>1412</v>
      </c>
      <c r="C7187" t="s">
        <v>10</v>
      </c>
      <c r="D7187" t="e">
        <f>VLOOKUP(C7187,'lookup table'!$A$2:$B$19,2,FALSE)</f>
        <v>#N/A</v>
      </c>
      <c r="E7187" t="str">
        <f t="shared" si="112"/>
        <v/>
      </c>
    </row>
    <row r="7188" spans="1:5" x14ac:dyDescent="0.2">
      <c r="A7188" t="s">
        <v>1411</v>
      </c>
      <c r="B7188" t="s">
        <v>1412</v>
      </c>
      <c r="C7188" t="s">
        <v>11</v>
      </c>
      <c r="D7188" t="e">
        <f>VLOOKUP(C7188,'lookup table'!$A$2:$B$19,2,FALSE)</f>
        <v>#N/A</v>
      </c>
      <c r="E7188" t="str">
        <f t="shared" si="112"/>
        <v/>
      </c>
    </row>
    <row r="7189" spans="1:5" x14ac:dyDescent="0.2">
      <c r="A7189" t="s">
        <v>1411</v>
      </c>
      <c r="B7189" t="s">
        <v>1412</v>
      </c>
      <c r="C7189" t="s">
        <v>12</v>
      </c>
      <c r="D7189" t="e">
        <f>VLOOKUP(C7189,'lookup table'!$A$2:$B$19,2,FALSE)</f>
        <v>#N/A</v>
      </c>
      <c r="E7189" t="str">
        <f t="shared" si="112"/>
        <v/>
      </c>
    </row>
    <row r="7190" spans="1:5" x14ac:dyDescent="0.2">
      <c r="A7190" t="s">
        <v>1411</v>
      </c>
      <c r="B7190" t="s">
        <v>1412</v>
      </c>
      <c r="C7190" t="s">
        <v>14</v>
      </c>
      <c r="D7190" t="str">
        <f>VLOOKUP(C7190,'lookup table'!$A$2:$B$19,2,FALSE)</f>
        <v>ALC</v>
      </c>
      <c r="E7190" t="str">
        <f t="shared" si="112"/>
        <v>DR7PSE_00|ALC</v>
      </c>
    </row>
    <row r="7191" spans="1:5" x14ac:dyDescent="0.2">
      <c r="A7191" t="s">
        <v>1411</v>
      </c>
      <c r="B7191" t="s">
        <v>1412</v>
      </c>
      <c r="C7191" t="s">
        <v>20</v>
      </c>
      <c r="D7191" t="str">
        <f>VLOOKUP(C7191,'lookup table'!$A$2:$B$19,2,FALSE)</f>
        <v>AY</v>
      </c>
      <c r="E7191" t="str">
        <f t="shared" si="112"/>
        <v>DR7PSE_00|AY</v>
      </c>
    </row>
    <row r="7192" spans="1:5" x14ac:dyDescent="0.2">
      <c r="A7192" t="s">
        <v>1411</v>
      </c>
      <c r="B7192" t="s">
        <v>1412</v>
      </c>
      <c r="C7192" t="s">
        <v>324</v>
      </c>
      <c r="D7192" t="e">
        <f>VLOOKUP(C7192,'lookup table'!$A$2:$B$19,2,FALSE)</f>
        <v>#N/A</v>
      </c>
      <c r="E7192" t="str">
        <f t="shared" si="112"/>
        <v/>
      </c>
    </row>
    <row r="7193" spans="1:5" x14ac:dyDescent="0.2">
      <c r="A7193" t="s">
        <v>1411</v>
      </c>
      <c r="B7193" t="s">
        <v>1412</v>
      </c>
      <c r="C7193" t="s">
        <v>325</v>
      </c>
      <c r="D7193" t="e">
        <f>VLOOKUP(C7193,'lookup table'!$A$2:$B$19,2,FALSE)</f>
        <v>#N/A</v>
      </c>
      <c r="E7193" t="str">
        <f t="shared" si="112"/>
        <v/>
      </c>
    </row>
    <row r="7194" spans="1:5" x14ac:dyDescent="0.2">
      <c r="A7194" t="s">
        <v>1411</v>
      </c>
      <c r="B7194" t="s">
        <v>1412</v>
      </c>
      <c r="C7194" t="s">
        <v>326</v>
      </c>
      <c r="D7194" t="e">
        <f>VLOOKUP(C7194,'lookup table'!$A$2:$B$19,2,FALSE)</f>
        <v>#N/A</v>
      </c>
      <c r="E7194" t="str">
        <f t="shared" si="112"/>
        <v/>
      </c>
    </row>
    <row r="7195" spans="1:5" x14ac:dyDescent="0.2">
      <c r="A7195" t="s">
        <v>1411</v>
      </c>
      <c r="B7195" t="s">
        <v>1412</v>
      </c>
      <c r="C7195" t="s">
        <v>327</v>
      </c>
      <c r="D7195" t="e">
        <f>VLOOKUP(C7195,'lookup table'!$A$2:$B$19,2,FALSE)</f>
        <v>#N/A</v>
      </c>
      <c r="E7195" t="str">
        <f t="shared" si="112"/>
        <v/>
      </c>
    </row>
    <row r="7196" spans="1:5" x14ac:dyDescent="0.2">
      <c r="A7196" t="s">
        <v>1411</v>
      </c>
      <c r="B7196" t="s">
        <v>1412</v>
      </c>
      <c r="C7196" t="s">
        <v>328</v>
      </c>
      <c r="D7196" t="e">
        <f>VLOOKUP(C7196,'lookup table'!$A$2:$B$19,2,FALSE)</f>
        <v>#N/A</v>
      </c>
      <c r="E7196" t="str">
        <f t="shared" si="112"/>
        <v/>
      </c>
    </row>
    <row r="7197" spans="1:5" x14ac:dyDescent="0.2">
      <c r="A7197" t="s">
        <v>1411</v>
      </c>
      <c r="B7197" t="s">
        <v>1412</v>
      </c>
      <c r="C7197" t="s">
        <v>329</v>
      </c>
      <c r="D7197" t="e">
        <f>VLOOKUP(C7197,'lookup table'!$A$2:$B$19,2,FALSE)</f>
        <v>#N/A</v>
      </c>
      <c r="E7197" t="str">
        <f t="shared" si="112"/>
        <v/>
      </c>
    </row>
    <row r="7198" spans="1:5" x14ac:dyDescent="0.2">
      <c r="A7198" t="s">
        <v>1411</v>
      </c>
      <c r="B7198" t="s">
        <v>1412</v>
      </c>
      <c r="C7198" t="s">
        <v>331</v>
      </c>
      <c r="D7198" t="str">
        <f>VLOOKUP(C7198,'lookup table'!$A$2:$B$19,2,FALSE)</f>
        <v>FS Item</v>
      </c>
      <c r="E7198" t="str">
        <f t="shared" si="112"/>
        <v>DR7PSE_00|FS Item</v>
      </c>
    </row>
    <row r="7199" spans="1:5" x14ac:dyDescent="0.2">
      <c r="A7199" t="s">
        <v>1411</v>
      </c>
      <c r="B7199" t="s">
        <v>1412</v>
      </c>
      <c r="C7199" t="s">
        <v>422</v>
      </c>
      <c r="D7199" t="e">
        <f>VLOOKUP(C7199,'lookup table'!$A$2:$B$19,2,FALSE)</f>
        <v>#N/A</v>
      </c>
      <c r="E7199" t="str">
        <f t="shared" si="112"/>
        <v/>
      </c>
    </row>
    <row r="7200" spans="1:5" x14ac:dyDescent="0.2">
      <c r="A7200" t="s">
        <v>1411</v>
      </c>
      <c r="B7200" t="s">
        <v>1412</v>
      </c>
      <c r="C7200" t="s">
        <v>423</v>
      </c>
      <c r="D7200" t="str">
        <f>VLOOKUP(C7200,'lookup table'!$A$2:$B$19,2,FALSE)</f>
        <v>ignore</v>
      </c>
      <c r="E7200" t="str">
        <f t="shared" si="112"/>
        <v>DR7PSE_00|ignore</v>
      </c>
    </row>
    <row r="7201" spans="1:5" x14ac:dyDescent="0.2">
      <c r="A7201" t="s">
        <v>1411</v>
      </c>
      <c r="B7201" t="s">
        <v>1412</v>
      </c>
      <c r="C7201" t="s">
        <v>424</v>
      </c>
      <c r="D7201" t="str">
        <f>VLOOKUP(C7201,'lookup table'!$A$2:$B$19,2,FALSE)</f>
        <v>GRC</v>
      </c>
      <c r="E7201" t="str">
        <f t="shared" si="112"/>
        <v>DR7PSE_00|GRC</v>
      </c>
    </row>
    <row r="7202" spans="1:5" x14ac:dyDescent="0.2">
      <c r="A7202" t="s">
        <v>1411</v>
      </c>
      <c r="B7202" t="s">
        <v>1412</v>
      </c>
      <c r="C7202" t="s">
        <v>425</v>
      </c>
      <c r="D7202" t="str">
        <f>VLOOKUP(C7202,'lookup table'!$A$2:$B$19,2,FALSE)</f>
        <v>Investee Segment</v>
      </c>
      <c r="E7202" t="str">
        <f t="shared" si="112"/>
        <v>DR7PSE_00|Investee Segment</v>
      </c>
    </row>
    <row r="7203" spans="1:5" x14ac:dyDescent="0.2">
      <c r="A7203" t="s">
        <v>1411</v>
      </c>
      <c r="B7203" t="s">
        <v>1412</v>
      </c>
      <c r="C7203" t="s">
        <v>426</v>
      </c>
      <c r="D7203" t="str">
        <f>VLOOKUP(C7203,'lookup table'!$A$2:$B$19,2,FALSE)</f>
        <v>Investee Unit</v>
      </c>
      <c r="E7203" t="str">
        <f t="shared" si="112"/>
        <v>DR7PSE_00|Investee Unit</v>
      </c>
    </row>
    <row r="7204" spans="1:5" x14ac:dyDescent="0.2">
      <c r="A7204" t="s">
        <v>1411</v>
      </c>
      <c r="B7204" t="s">
        <v>1412</v>
      </c>
      <c r="C7204" t="s">
        <v>428</v>
      </c>
      <c r="D7204" t="str">
        <f>VLOOKUP(C7204,'lookup table'!$A$2:$B$19,2,FALSE)</f>
        <v>LoB</v>
      </c>
      <c r="E7204" t="str">
        <f t="shared" si="112"/>
        <v>DR7PSE_00|LoB</v>
      </c>
    </row>
    <row r="7205" spans="1:5" x14ac:dyDescent="0.2">
      <c r="A7205" t="s">
        <v>1411</v>
      </c>
      <c r="B7205" t="s">
        <v>1412</v>
      </c>
      <c r="C7205" t="s">
        <v>436</v>
      </c>
      <c r="D7205" t="str">
        <f>VLOOKUP(C7205,'lookup table'!$A$2:$B$19,2,FALSE)</f>
        <v>MAT</v>
      </c>
      <c r="E7205" t="str">
        <f t="shared" si="112"/>
        <v>DR7PSE_00|MAT</v>
      </c>
    </row>
    <row r="7206" spans="1:5" x14ac:dyDescent="0.2">
      <c r="A7206" t="s">
        <v>1411</v>
      </c>
      <c r="B7206" t="s">
        <v>1412</v>
      </c>
      <c r="C7206" t="s">
        <v>441</v>
      </c>
      <c r="D7206" t="str">
        <f>VLOOKUP(C7206,'lookup table'!$A$2:$B$19,2,FALSE)</f>
        <v>Partner Segment</v>
      </c>
      <c r="E7206" t="str">
        <f t="shared" si="112"/>
        <v>DR7PSE_00|Partner Segment</v>
      </c>
    </row>
    <row r="7207" spans="1:5" x14ac:dyDescent="0.2">
      <c r="A7207" t="s">
        <v>1411</v>
      </c>
      <c r="B7207" t="s">
        <v>1412</v>
      </c>
      <c r="C7207" t="s">
        <v>442</v>
      </c>
      <c r="D7207" t="str">
        <f>VLOOKUP(C7207,'lookup table'!$A$2:$B$19,2,FALSE)</f>
        <v>Partner Unit</v>
      </c>
      <c r="E7207" t="str">
        <f t="shared" si="112"/>
        <v>DR7PSE_00|Partner Unit</v>
      </c>
    </row>
    <row r="7208" spans="1:5" x14ac:dyDescent="0.2">
      <c r="A7208" t="s">
        <v>1411</v>
      </c>
      <c r="B7208" t="s">
        <v>1412</v>
      </c>
      <c r="C7208" t="s">
        <v>447</v>
      </c>
      <c r="D7208" t="str">
        <f>VLOOKUP(C7208,'lookup table'!$A$2:$B$19,2,FALSE)</f>
        <v>REX</v>
      </c>
      <c r="E7208" t="str">
        <f t="shared" si="112"/>
        <v>DR7PSE_00|REX</v>
      </c>
    </row>
    <row r="7209" spans="1:5" x14ac:dyDescent="0.2">
      <c r="A7209" t="s">
        <v>1411</v>
      </c>
      <c r="B7209" t="s">
        <v>1412</v>
      </c>
      <c r="C7209" t="s">
        <v>448</v>
      </c>
      <c r="D7209" t="e">
        <f>VLOOKUP(C7209,'lookup table'!$A$2:$B$19,2,FALSE)</f>
        <v>#N/A</v>
      </c>
      <c r="E7209" t="str">
        <f t="shared" si="112"/>
        <v/>
      </c>
    </row>
    <row r="7210" spans="1:5" x14ac:dyDescent="0.2">
      <c r="A7210" t="s">
        <v>1411</v>
      </c>
      <c r="B7210" t="s">
        <v>1412</v>
      </c>
      <c r="C7210" t="s">
        <v>449</v>
      </c>
      <c r="D7210" t="e">
        <f>VLOOKUP(C7210,'lookup table'!$A$2:$B$19,2,FALSE)</f>
        <v>#N/A</v>
      </c>
      <c r="E7210" t="str">
        <f t="shared" si="112"/>
        <v/>
      </c>
    </row>
    <row r="7211" spans="1:5" x14ac:dyDescent="0.2">
      <c r="A7211" t="s">
        <v>1411</v>
      </c>
      <c r="B7211" t="s">
        <v>1412</v>
      </c>
      <c r="C7211" t="s">
        <v>451</v>
      </c>
      <c r="D7211" t="str">
        <f>VLOOKUP(C7211,'lookup table'!$A$2:$B$19,2,FALSE)</f>
        <v>Segment</v>
      </c>
      <c r="E7211" t="str">
        <f t="shared" si="112"/>
        <v>DR7PSE_00|Segment</v>
      </c>
    </row>
    <row r="7212" spans="1:5" x14ac:dyDescent="0.2">
      <c r="A7212" t="s">
        <v>1411</v>
      </c>
      <c r="B7212" t="s">
        <v>1412</v>
      </c>
      <c r="C7212" t="s">
        <v>455</v>
      </c>
      <c r="D7212" t="e">
        <f>VLOOKUP(C7212,'lookup table'!$A$2:$B$19,2,FALSE)</f>
        <v>#N/A</v>
      </c>
      <c r="E7212" t="str">
        <f t="shared" si="112"/>
        <v/>
      </c>
    </row>
    <row r="7213" spans="1:5" x14ac:dyDescent="0.2">
      <c r="A7213" t="s">
        <v>1411</v>
      </c>
      <c r="B7213" t="s">
        <v>1412</v>
      </c>
      <c r="C7213" t="s">
        <v>456</v>
      </c>
      <c r="D7213" t="e">
        <f>VLOOKUP(C7213,'lookup table'!$A$2:$B$19,2,FALSE)</f>
        <v>#N/A</v>
      </c>
      <c r="E7213" t="str">
        <f t="shared" si="112"/>
        <v/>
      </c>
    </row>
    <row r="7214" spans="1:5" x14ac:dyDescent="0.2">
      <c r="A7214" t="s">
        <v>1411</v>
      </c>
      <c r="B7214" t="s">
        <v>1412</v>
      </c>
      <c r="C7214" t="s">
        <v>457</v>
      </c>
      <c r="D7214" t="str">
        <f>VLOOKUP(C7214,'lookup table'!$A$2:$B$19,2,FALSE)</f>
        <v>VLT</v>
      </c>
      <c r="E7214" t="str">
        <f t="shared" si="112"/>
        <v>DR7PSE_00|VLT</v>
      </c>
    </row>
    <row r="7215" spans="1:5" x14ac:dyDescent="0.2">
      <c r="A7215" t="s">
        <v>1411</v>
      </c>
      <c r="B7215" t="s">
        <v>1412</v>
      </c>
      <c r="C7215" t="s">
        <v>458</v>
      </c>
      <c r="D7215" t="str">
        <f>VLOOKUP(C7215,'lookup table'!$A$2:$B$19,2,FALSE)</f>
        <v>VAR</v>
      </c>
      <c r="E7215" t="str">
        <f t="shared" si="112"/>
        <v>DR7PSE_00|VAR</v>
      </c>
    </row>
    <row r="7216" spans="1:5" x14ac:dyDescent="0.2">
      <c r="A7216" t="s">
        <v>1411</v>
      </c>
      <c r="B7216" t="s">
        <v>1412</v>
      </c>
      <c r="C7216" t="s">
        <v>459</v>
      </c>
      <c r="D7216" t="e">
        <f>VLOOKUP(C7216,'lookup table'!$A$2:$B$19,2,FALSE)</f>
        <v>#N/A</v>
      </c>
      <c r="E7216" t="str">
        <f t="shared" si="112"/>
        <v/>
      </c>
    </row>
    <row r="7217" spans="1:5" x14ac:dyDescent="0.2">
      <c r="A7217" t="s">
        <v>1411</v>
      </c>
      <c r="B7217" t="s">
        <v>1412</v>
      </c>
      <c r="C7217" t="s">
        <v>460</v>
      </c>
      <c r="D7217" t="e">
        <f>VLOOKUP(C7217,'lookup table'!$A$2:$B$19,2,FALSE)</f>
        <v>#N/A</v>
      </c>
      <c r="E7217" t="str">
        <f t="shared" si="112"/>
        <v/>
      </c>
    </row>
    <row r="7218" spans="1:5" x14ac:dyDescent="0.2">
      <c r="A7218" t="s">
        <v>1411</v>
      </c>
      <c r="B7218" t="s">
        <v>1412</v>
      </c>
      <c r="C7218" t="s">
        <v>461</v>
      </c>
      <c r="D7218" t="str">
        <f>VLOOKUP(C7218,'lookup table'!$A$2:$B$19,2,FALSE)</f>
        <v>Posting Level</v>
      </c>
      <c r="E7218" t="str">
        <f t="shared" si="112"/>
        <v>DR7PSE_00|Posting Level</v>
      </c>
    </row>
    <row r="7219" spans="1:5" x14ac:dyDescent="0.2">
      <c r="A7219" t="s">
        <v>1411</v>
      </c>
      <c r="B7219" t="s">
        <v>1412</v>
      </c>
      <c r="C7219" t="s">
        <v>462</v>
      </c>
      <c r="D7219" t="e">
        <f>VLOOKUP(C7219,'lookup table'!$A$2:$B$19,2,FALSE)</f>
        <v>#N/A</v>
      </c>
      <c r="E7219" t="str">
        <f t="shared" si="112"/>
        <v/>
      </c>
    </row>
    <row r="7220" spans="1:5" x14ac:dyDescent="0.2">
      <c r="A7220" t="s">
        <v>1411</v>
      </c>
      <c r="B7220" t="s">
        <v>1412</v>
      </c>
      <c r="C7220" t="s">
        <v>463</v>
      </c>
      <c r="D7220" t="e">
        <f>VLOOKUP(C7220,'lookup table'!$A$2:$B$19,2,FALSE)</f>
        <v>#N/A</v>
      </c>
      <c r="E7220" t="str">
        <f t="shared" si="112"/>
        <v/>
      </c>
    </row>
    <row r="7221" spans="1:5" x14ac:dyDescent="0.2">
      <c r="A7221" t="s">
        <v>1411</v>
      </c>
      <c r="B7221" t="s">
        <v>1412</v>
      </c>
      <c r="C7221" t="s">
        <v>464</v>
      </c>
      <c r="D7221" t="e">
        <f>VLOOKUP(C7221,'lookup table'!$A$2:$B$19,2,FALSE)</f>
        <v>#N/A</v>
      </c>
      <c r="E7221" t="str">
        <f t="shared" si="112"/>
        <v/>
      </c>
    </row>
    <row r="7222" spans="1:5" x14ac:dyDescent="0.2">
      <c r="A7222" t="s">
        <v>1411</v>
      </c>
      <c r="B7222" t="s">
        <v>1412</v>
      </c>
      <c r="C7222" t="s">
        <v>465</v>
      </c>
      <c r="D7222" t="e">
        <f>VLOOKUP(C7222,'lookup table'!$A$2:$B$19,2,FALSE)</f>
        <v>#N/A</v>
      </c>
      <c r="E7222" t="str">
        <f t="shared" si="112"/>
        <v/>
      </c>
    </row>
    <row r="7223" spans="1:5" x14ac:dyDescent="0.2">
      <c r="A7223" t="s">
        <v>1413</v>
      </c>
      <c r="B7223" t="s">
        <v>1414</v>
      </c>
      <c r="C7223" t="s">
        <v>2</v>
      </c>
      <c r="D7223" t="e">
        <f>VLOOKUP(C7223,'lookup table'!$A$2:$B$19,2,FALSE)</f>
        <v>#N/A</v>
      </c>
      <c r="E7223" t="str">
        <f t="shared" si="112"/>
        <v/>
      </c>
    </row>
    <row r="7224" spans="1:5" x14ac:dyDescent="0.2">
      <c r="A7224" t="s">
        <v>1413</v>
      </c>
      <c r="B7224" t="s">
        <v>1414</v>
      </c>
      <c r="C7224" t="s">
        <v>5</v>
      </c>
      <c r="D7224" t="e">
        <f>VLOOKUP(C7224,'lookup table'!$A$2:$B$19,2,FALSE)</f>
        <v>#N/A</v>
      </c>
      <c r="E7224" t="str">
        <f t="shared" si="112"/>
        <v/>
      </c>
    </row>
    <row r="7225" spans="1:5" x14ac:dyDescent="0.2">
      <c r="A7225" t="s">
        <v>1413</v>
      </c>
      <c r="B7225" t="s">
        <v>1414</v>
      </c>
      <c r="C7225" t="s">
        <v>6</v>
      </c>
      <c r="D7225" t="e">
        <f>VLOOKUP(C7225,'lookup table'!$A$2:$B$19,2,FALSE)</f>
        <v>#N/A</v>
      </c>
      <c r="E7225" t="str">
        <f t="shared" si="112"/>
        <v/>
      </c>
    </row>
    <row r="7226" spans="1:5" x14ac:dyDescent="0.2">
      <c r="A7226" t="s">
        <v>1413</v>
      </c>
      <c r="B7226" t="s">
        <v>1414</v>
      </c>
      <c r="C7226" t="s">
        <v>9</v>
      </c>
      <c r="D7226" t="e">
        <f>VLOOKUP(C7226,'lookup table'!$A$2:$B$19,2,FALSE)</f>
        <v>#N/A</v>
      </c>
      <c r="E7226" t="str">
        <f t="shared" si="112"/>
        <v/>
      </c>
    </row>
    <row r="7227" spans="1:5" x14ac:dyDescent="0.2">
      <c r="A7227" t="s">
        <v>1413</v>
      </c>
      <c r="B7227" t="s">
        <v>1414</v>
      </c>
      <c r="C7227" t="s">
        <v>10</v>
      </c>
      <c r="D7227" t="e">
        <f>VLOOKUP(C7227,'lookup table'!$A$2:$B$19,2,FALSE)</f>
        <v>#N/A</v>
      </c>
      <c r="E7227" t="str">
        <f t="shared" si="112"/>
        <v/>
      </c>
    </row>
    <row r="7228" spans="1:5" x14ac:dyDescent="0.2">
      <c r="A7228" t="s">
        <v>1413</v>
      </c>
      <c r="B7228" t="s">
        <v>1414</v>
      </c>
      <c r="C7228" t="s">
        <v>11</v>
      </c>
      <c r="D7228" t="e">
        <f>VLOOKUP(C7228,'lookup table'!$A$2:$B$19,2,FALSE)</f>
        <v>#N/A</v>
      </c>
      <c r="E7228" t="str">
        <f t="shared" si="112"/>
        <v/>
      </c>
    </row>
    <row r="7229" spans="1:5" x14ac:dyDescent="0.2">
      <c r="A7229" t="s">
        <v>1413</v>
      </c>
      <c r="B7229" t="s">
        <v>1414</v>
      </c>
      <c r="C7229" t="s">
        <v>12</v>
      </c>
      <c r="D7229" t="e">
        <f>VLOOKUP(C7229,'lookup table'!$A$2:$B$19,2,FALSE)</f>
        <v>#N/A</v>
      </c>
      <c r="E7229" t="str">
        <f t="shared" si="112"/>
        <v/>
      </c>
    </row>
    <row r="7230" spans="1:5" x14ac:dyDescent="0.2">
      <c r="A7230" t="s">
        <v>1413</v>
      </c>
      <c r="B7230" t="s">
        <v>1414</v>
      </c>
      <c r="C7230" t="s">
        <v>14</v>
      </c>
      <c r="D7230" t="str">
        <f>VLOOKUP(C7230,'lookup table'!$A$2:$B$19,2,FALSE)</f>
        <v>ALC</v>
      </c>
      <c r="E7230" t="str">
        <f t="shared" si="112"/>
        <v>DR7REX_00|ALC</v>
      </c>
    </row>
    <row r="7231" spans="1:5" x14ac:dyDescent="0.2">
      <c r="A7231" t="s">
        <v>1413</v>
      </c>
      <c r="B7231" t="s">
        <v>1414</v>
      </c>
      <c r="C7231" t="s">
        <v>20</v>
      </c>
      <c r="D7231" t="str">
        <f>VLOOKUP(C7231,'lookup table'!$A$2:$B$19,2,FALSE)</f>
        <v>AY</v>
      </c>
      <c r="E7231" t="str">
        <f t="shared" si="112"/>
        <v>DR7REX_00|AY</v>
      </c>
    </row>
    <row r="7232" spans="1:5" x14ac:dyDescent="0.2">
      <c r="A7232" t="s">
        <v>1413</v>
      </c>
      <c r="B7232" t="s">
        <v>1414</v>
      </c>
      <c r="C7232" t="s">
        <v>324</v>
      </c>
      <c r="D7232" t="e">
        <f>VLOOKUP(C7232,'lookup table'!$A$2:$B$19,2,FALSE)</f>
        <v>#N/A</v>
      </c>
      <c r="E7232" t="str">
        <f t="shared" si="112"/>
        <v/>
      </c>
    </row>
    <row r="7233" spans="1:5" x14ac:dyDescent="0.2">
      <c r="A7233" t="s">
        <v>1413</v>
      </c>
      <c r="B7233" t="s">
        <v>1414</v>
      </c>
      <c r="C7233" t="s">
        <v>325</v>
      </c>
      <c r="D7233" t="e">
        <f>VLOOKUP(C7233,'lookup table'!$A$2:$B$19,2,FALSE)</f>
        <v>#N/A</v>
      </c>
      <c r="E7233" t="str">
        <f t="shared" si="112"/>
        <v/>
      </c>
    </row>
    <row r="7234" spans="1:5" x14ac:dyDescent="0.2">
      <c r="A7234" t="s">
        <v>1413</v>
      </c>
      <c r="B7234" t="s">
        <v>1414</v>
      </c>
      <c r="C7234" t="s">
        <v>326</v>
      </c>
      <c r="D7234" t="e">
        <f>VLOOKUP(C7234,'lookup table'!$A$2:$B$19,2,FALSE)</f>
        <v>#N/A</v>
      </c>
      <c r="E7234" t="str">
        <f t="shared" si="112"/>
        <v/>
      </c>
    </row>
    <row r="7235" spans="1:5" x14ac:dyDescent="0.2">
      <c r="A7235" t="s">
        <v>1413</v>
      </c>
      <c r="B7235" t="s">
        <v>1414</v>
      </c>
      <c r="C7235" t="s">
        <v>327</v>
      </c>
      <c r="D7235" t="e">
        <f>VLOOKUP(C7235,'lookup table'!$A$2:$B$19,2,FALSE)</f>
        <v>#N/A</v>
      </c>
      <c r="E7235" t="str">
        <f t="shared" ref="E7235:E7298" si="113">IF(ISNA(D7235),"",IF(A7235="","",A7235) &amp; "|" &amp; D7235)</f>
        <v/>
      </c>
    </row>
    <row r="7236" spans="1:5" x14ac:dyDescent="0.2">
      <c r="A7236" t="s">
        <v>1413</v>
      </c>
      <c r="B7236" t="s">
        <v>1414</v>
      </c>
      <c r="C7236" t="s">
        <v>328</v>
      </c>
      <c r="D7236" t="e">
        <f>VLOOKUP(C7236,'lookup table'!$A$2:$B$19,2,FALSE)</f>
        <v>#N/A</v>
      </c>
      <c r="E7236" t="str">
        <f t="shared" si="113"/>
        <v/>
      </c>
    </row>
    <row r="7237" spans="1:5" x14ac:dyDescent="0.2">
      <c r="A7237" t="s">
        <v>1413</v>
      </c>
      <c r="B7237" t="s">
        <v>1414</v>
      </c>
      <c r="C7237" t="s">
        <v>329</v>
      </c>
      <c r="D7237" t="e">
        <f>VLOOKUP(C7237,'lookup table'!$A$2:$B$19,2,FALSE)</f>
        <v>#N/A</v>
      </c>
      <c r="E7237" t="str">
        <f t="shared" si="113"/>
        <v/>
      </c>
    </row>
    <row r="7238" spans="1:5" x14ac:dyDescent="0.2">
      <c r="A7238" t="s">
        <v>1413</v>
      </c>
      <c r="B7238" t="s">
        <v>1414</v>
      </c>
      <c r="C7238" t="s">
        <v>331</v>
      </c>
      <c r="D7238" t="str">
        <f>VLOOKUP(C7238,'lookup table'!$A$2:$B$19,2,FALSE)</f>
        <v>FS Item</v>
      </c>
      <c r="E7238" t="str">
        <f t="shared" si="113"/>
        <v>DR7REX_00|FS Item</v>
      </c>
    </row>
    <row r="7239" spans="1:5" x14ac:dyDescent="0.2">
      <c r="A7239" t="s">
        <v>1413</v>
      </c>
      <c r="B7239" t="s">
        <v>1414</v>
      </c>
      <c r="C7239" t="s">
        <v>422</v>
      </c>
      <c r="D7239" t="e">
        <f>VLOOKUP(C7239,'lookup table'!$A$2:$B$19,2,FALSE)</f>
        <v>#N/A</v>
      </c>
      <c r="E7239" t="str">
        <f t="shared" si="113"/>
        <v/>
      </c>
    </row>
    <row r="7240" spans="1:5" x14ac:dyDescent="0.2">
      <c r="A7240" t="s">
        <v>1413</v>
      </c>
      <c r="B7240" t="s">
        <v>1414</v>
      </c>
      <c r="C7240" t="s">
        <v>423</v>
      </c>
      <c r="D7240" t="str">
        <f>VLOOKUP(C7240,'lookup table'!$A$2:$B$19,2,FALSE)</f>
        <v>ignore</v>
      </c>
      <c r="E7240" t="str">
        <f t="shared" si="113"/>
        <v>DR7REX_00|ignore</v>
      </c>
    </row>
    <row r="7241" spans="1:5" x14ac:dyDescent="0.2">
      <c r="A7241" t="s">
        <v>1413</v>
      </c>
      <c r="B7241" t="s">
        <v>1414</v>
      </c>
      <c r="C7241" t="s">
        <v>424</v>
      </c>
      <c r="D7241" t="str">
        <f>VLOOKUP(C7241,'lookup table'!$A$2:$B$19,2,FALSE)</f>
        <v>GRC</v>
      </c>
      <c r="E7241" t="str">
        <f t="shared" si="113"/>
        <v>DR7REX_00|GRC</v>
      </c>
    </row>
    <row r="7242" spans="1:5" x14ac:dyDescent="0.2">
      <c r="A7242" t="s">
        <v>1413</v>
      </c>
      <c r="B7242" t="s">
        <v>1414</v>
      </c>
      <c r="C7242" t="s">
        <v>425</v>
      </c>
      <c r="D7242" t="str">
        <f>VLOOKUP(C7242,'lookup table'!$A$2:$B$19,2,FALSE)</f>
        <v>Investee Segment</v>
      </c>
      <c r="E7242" t="str">
        <f t="shared" si="113"/>
        <v>DR7REX_00|Investee Segment</v>
      </c>
    </row>
    <row r="7243" spans="1:5" x14ac:dyDescent="0.2">
      <c r="A7243" t="s">
        <v>1413</v>
      </c>
      <c r="B7243" t="s">
        <v>1414</v>
      </c>
      <c r="C7243" t="s">
        <v>426</v>
      </c>
      <c r="D7243" t="str">
        <f>VLOOKUP(C7243,'lookup table'!$A$2:$B$19,2,FALSE)</f>
        <v>Investee Unit</v>
      </c>
      <c r="E7243" t="str">
        <f t="shared" si="113"/>
        <v>DR7REX_00|Investee Unit</v>
      </c>
    </row>
    <row r="7244" spans="1:5" x14ac:dyDescent="0.2">
      <c r="A7244" t="s">
        <v>1413</v>
      </c>
      <c r="B7244" t="s">
        <v>1414</v>
      </c>
      <c r="C7244" t="s">
        <v>428</v>
      </c>
      <c r="D7244" t="str">
        <f>VLOOKUP(C7244,'lookup table'!$A$2:$B$19,2,FALSE)</f>
        <v>LoB</v>
      </c>
      <c r="E7244" t="str">
        <f t="shared" si="113"/>
        <v>DR7REX_00|LoB</v>
      </c>
    </row>
    <row r="7245" spans="1:5" x14ac:dyDescent="0.2">
      <c r="A7245" t="s">
        <v>1413</v>
      </c>
      <c r="B7245" t="s">
        <v>1414</v>
      </c>
      <c r="C7245" t="s">
        <v>436</v>
      </c>
      <c r="D7245" t="str">
        <f>VLOOKUP(C7245,'lookup table'!$A$2:$B$19,2,FALSE)</f>
        <v>MAT</v>
      </c>
      <c r="E7245" t="str">
        <f t="shared" si="113"/>
        <v>DR7REX_00|MAT</v>
      </c>
    </row>
    <row r="7246" spans="1:5" x14ac:dyDescent="0.2">
      <c r="A7246" t="s">
        <v>1413</v>
      </c>
      <c r="B7246" t="s">
        <v>1414</v>
      </c>
      <c r="C7246" t="s">
        <v>438</v>
      </c>
      <c r="D7246" t="str">
        <f>VLOOKUP(C7246,'lookup table'!$A$2:$B$19,2,FALSE)</f>
        <v>ToM</v>
      </c>
      <c r="E7246" t="str">
        <f t="shared" si="113"/>
        <v>DR7REX_00|ToM</v>
      </c>
    </row>
    <row r="7247" spans="1:5" x14ac:dyDescent="0.2">
      <c r="A7247" t="s">
        <v>1413</v>
      </c>
      <c r="B7247" t="s">
        <v>1414</v>
      </c>
      <c r="C7247" t="s">
        <v>441</v>
      </c>
      <c r="D7247" t="str">
        <f>VLOOKUP(C7247,'lookup table'!$A$2:$B$19,2,FALSE)</f>
        <v>Partner Segment</v>
      </c>
      <c r="E7247" t="str">
        <f t="shared" si="113"/>
        <v>DR7REX_00|Partner Segment</v>
      </c>
    </row>
    <row r="7248" spans="1:5" x14ac:dyDescent="0.2">
      <c r="A7248" t="s">
        <v>1413</v>
      </c>
      <c r="B7248" t="s">
        <v>1414</v>
      </c>
      <c r="C7248" t="s">
        <v>442</v>
      </c>
      <c r="D7248" t="str">
        <f>VLOOKUP(C7248,'lookup table'!$A$2:$B$19,2,FALSE)</f>
        <v>Partner Unit</v>
      </c>
      <c r="E7248" t="str">
        <f t="shared" si="113"/>
        <v>DR7REX_00|Partner Unit</v>
      </c>
    </row>
    <row r="7249" spans="1:5" x14ac:dyDescent="0.2">
      <c r="A7249" t="s">
        <v>1413</v>
      </c>
      <c r="B7249" t="s">
        <v>1414</v>
      </c>
      <c r="C7249" t="s">
        <v>447</v>
      </c>
      <c r="D7249" t="str">
        <f>VLOOKUP(C7249,'lookup table'!$A$2:$B$19,2,FALSE)</f>
        <v>REX</v>
      </c>
      <c r="E7249" t="str">
        <f t="shared" si="113"/>
        <v>DR7REX_00|REX</v>
      </c>
    </row>
    <row r="7250" spans="1:5" x14ac:dyDescent="0.2">
      <c r="A7250" t="s">
        <v>1413</v>
      </c>
      <c r="B7250" t="s">
        <v>1414</v>
      </c>
      <c r="C7250" t="s">
        <v>448</v>
      </c>
      <c r="D7250" t="e">
        <f>VLOOKUP(C7250,'lookup table'!$A$2:$B$19,2,FALSE)</f>
        <v>#N/A</v>
      </c>
      <c r="E7250" t="str">
        <f t="shared" si="113"/>
        <v/>
      </c>
    </row>
    <row r="7251" spans="1:5" x14ac:dyDescent="0.2">
      <c r="A7251" t="s">
        <v>1413</v>
      </c>
      <c r="B7251" t="s">
        <v>1414</v>
      </c>
      <c r="C7251" t="s">
        <v>449</v>
      </c>
      <c r="D7251" t="e">
        <f>VLOOKUP(C7251,'lookup table'!$A$2:$B$19,2,FALSE)</f>
        <v>#N/A</v>
      </c>
      <c r="E7251" t="str">
        <f t="shared" si="113"/>
        <v/>
      </c>
    </row>
    <row r="7252" spans="1:5" x14ac:dyDescent="0.2">
      <c r="A7252" t="s">
        <v>1413</v>
      </c>
      <c r="B7252" t="s">
        <v>1414</v>
      </c>
      <c r="C7252" t="s">
        <v>451</v>
      </c>
      <c r="D7252" t="str">
        <f>VLOOKUP(C7252,'lookup table'!$A$2:$B$19,2,FALSE)</f>
        <v>Segment</v>
      </c>
      <c r="E7252" t="str">
        <f t="shared" si="113"/>
        <v>DR7REX_00|Segment</v>
      </c>
    </row>
    <row r="7253" spans="1:5" x14ac:dyDescent="0.2">
      <c r="A7253" t="s">
        <v>1413</v>
      </c>
      <c r="B7253" t="s">
        <v>1414</v>
      </c>
      <c r="C7253" t="s">
        <v>455</v>
      </c>
      <c r="D7253" t="e">
        <f>VLOOKUP(C7253,'lookup table'!$A$2:$B$19,2,FALSE)</f>
        <v>#N/A</v>
      </c>
      <c r="E7253" t="str">
        <f t="shared" si="113"/>
        <v/>
      </c>
    </row>
    <row r="7254" spans="1:5" x14ac:dyDescent="0.2">
      <c r="A7254" t="s">
        <v>1413</v>
      </c>
      <c r="B7254" t="s">
        <v>1414</v>
      </c>
      <c r="C7254" t="s">
        <v>456</v>
      </c>
      <c r="D7254" t="e">
        <f>VLOOKUP(C7254,'lookup table'!$A$2:$B$19,2,FALSE)</f>
        <v>#N/A</v>
      </c>
      <c r="E7254" t="str">
        <f t="shared" si="113"/>
        <v/>
      </c>
    </row>
    <row r="7255" spans="1:5" x14ac:dyDescent="0.2">
      <c r="A7255" t="s">
        <v>1413</v>
      </c>
      <c r="B7255" t="s">
        <v>1414</v>
      </c>
      <c r="C7255" t="s">
        <v>457</v>
      </c>
      <c r="D7255" t="str">
        <f>VLOOKUP(C7255,'lookup table'!$A$2:$B$19,2,FALSE)</f>
        <v>VLT</v>
      </c>
      <c r="E7255" t="str">
        <f t="shared" si="113"/>
        <v>DR7REX_00|VLT</v>
      </c>
    </row>
    <row r="7256" spans="1:5" x14ac:dyDescent="0.2">
      <c r="A7256" t="s">
        <v>1413</v>
      </c>
      <c r="B7256" t="s">
        <v>1414</v>
      </c>
      <c r="C7256" t="s">
        <v>458</v>
      </c>
      <c r="D7256" t="str">
        <f>VLOOKUP(C7256,'lookup table'!$A$2:$B$19,2,FALSE)</f>
        <v>VAR</v>
      </c>
      <c r="E7256" t="str">
        <f t="shared" si="113"/>
        <v>DR7REX_00|VAR</v>
      </c>
    </row>
    <row r="7257" spans="1:5" x14ac:dyDescent="0.2">
      <c r="A7257" t="s">
        <v>1413</v>
      </c>
      <c r="B7257" t="s">
        <v>1414</v>
      </c>
      <c r="C7257" t="s">
        <v>459</v>
      </c>
      <c r="D7257" t="e">
        <f>VLOOKUP(C7257,'lookup table'!$A$2:$B$19,2,FALSE)</f>
        <v>#N/A</v>
      </c>
      <c r="E7257" t="str">
        <f t="shared" si="113"/>
        <v/>
      </c>
    </row>
    <row r="7258" spans="1:5" x14ac:dyDescent="0.2">
      <c r="A7258" t="s">
        <v>1413</v>
      </c>
      <c r="B7258" t="s">
        <v>1414</v>
      </c>
      <c r="C7258" t="s">
        <v>460</v>
      </c>
      <c r="D7258" t="e">
        <f>VLOOKUP(C7258,'lookup table'!$A$2:$B$19,2,FALSE)</f>
        <v>#N/A</v>
      </c>
      <c r="E7258" t="str">
        <f t="shared" si="113"/>
        <v/>
      </c>
    </row>
    <row r="7259" spans="1:5" x14ac:dyDescent="0.2">
      <c r="A7259" t="s">
        <v>1413</v>
      </c>
      <c r="B7259" t="s">
        <v>1414</v>
      </c>
      <c r="C7259" t="s">
        <v>461</v>
      </c>
      <c r="D7259" t="str">
        <f>VLOOKUP(C7259,'lookup table'!$A$2:$B$19,2,FALSE)</f>
        <v>Posting Level</v>
      </c>
      <c r="E7259" t="str">
        <f t="shared" si="113"/>
        <v>DR7REX_00|Posting Level</v>
      </c>
    </row>
    <row r="7260" spans="1:5" x14ac:dyDescent="0.2">
      <c r="A7260" t="s">
        <v>1413</v>
      </c>
      <c r="B7260" t="s">
        <v>1414</v>
      </c>
      <c r="C7260" t="s">
        <v>462</v>
      </c>
      <c r="D7260" t="e">
        <f>VLOOKUP(C7260,'lookup table'!$A$2:$B$19,2,FALSE)</f>
        <v>#N/A</v>
      </c>
      <c r="E7260" t="str">
        <f t="shared" si="113"/>
        <v/>
      </c>
    </row>
    <row r="7261" spans="1:5" x14ac:dyDescent="0.2">
      <c r="A7261" t="s">
        <v>1413</v>
      </c>
      <c r="B7261" t="s">
        <v>1414</v>
      </c>
      <c r="C7261" t="s">
        <v>463</v>
      </c>
      <c r="D7261" t="e">
        <f>VLOOKUP(C7261,'lookup table'!$A$2:$B$19,2,FALSE)</f>
        <v>#N/A</v>
      </c>
      <c r="E7261" t="str">
        <f t="shared" si="113"/>
        <v/>
      </c>
    </row>
    <row r="7262" spans="1:5" x14ac:dyDescent="0.2">
      <c r="A7262" t="s">
        <v>1413</v>
      </c>
      <c r="B7262" t="s">
        <v>1414</v>
      </c>
      <c r="C7262" t="s">
        <v>464</v>
      </c>
      <c r="D7262" t="e">
        <f>VLOOKUP(C7262,'lookup table'!$A$2:$B$19,2,FALSE)</f>
        <v>#N/A</v>
      </c>
      <c r="E7262" t="str">
        <f t="shared" si="113"/>
        <v/>
      </c>
    </row>
    <row r="7263" spans="1:5" x14ac:dyDescent="0.2">
      <c r="A7263" t="s">
        <v>1413</v>
      </c>
      <c r="B7263" t="s">
        <v>1414</v>
      </c>
      <c r="C7263" t="s">
        <v>465</v>
      </c>
      <c r="D7263" t="e">
        <f>VLOOKUP(C7263,'lookup table'!$A$2:$B$19,2,FALSE)</f>
        <v>#N/A</v>
      </c>
      <c r="E7263" t="str">
        <f t="shared" si="113"/>
        <v/>
      </c>
    </row>
    <row r="7264" spans="1:5" x14ac:dyDescent="0.2">
      <c r="A7264" t="s">
        <v>1415</v>
      </c>
      <c r="B7264" t="s">
        <v>1416</v>
      </c>
      <c r="C7264" t="s">
        <v>2</v>
      </c>
      <c r="D7264" t="e">
        <f>VLOOKUP(C7264,'lookup table'!$A$2:$B$19,2,FALSE)</f>
        <v>#N/A</v>
      </c>
      <c r="E7264" t="str">
        <f t="shared" si="113"/>
        <v/>
      </c>
    </row>
    <row r="7265" spans="1:5" x14ac:dyDescent="0.2">
      <c r="A7265" t="s">
        <v>1415</v>
      </c>
      <c r="B7265" t="s">
        <v>1416</v>
      </c>
      <c r="C7265" t="s">
        <v>5</v>
      </c>
      <c r="D7265" t="e">
        <f>VLOOKUP(C7265,'lookup table'!$A$2:$B$19,2,FALSE)</f>
        <v>#N/A</v>
      </c>
      <c r="E7265" t="str">
        <f t="shared" si="113"/>
        <v/>
      </c>
    </row>
    <row r="7266" spans="1:5" x14ac:dyDescent="0.2">
      <c r="A7266" t="s">
        <v>1415</v>
      </c>
      <c r="B7266" t="s">
        <v>1416</v>
      </c>
      <c r="C7266" t="s">
        <v>6</v>
      </c>
      <c r="D7266" t="e">
        <f>VLOOKUP(C7266,'lookup table'!$A$2:$B$19,2,FALSE)</f>
        <v>#N/A</v>
      </c>
      <c r="E7266" t="str">
        <f t="shared" si="113"/>
        <v/>
      </c>
    </row>
    <row r="7267" spans="1:5" x14ac:dyDescent="0.2">
      <c r="A7267" t="s">
        <v>1415</v>
      </c>
      <c r="B7267" t="s">
        <v>1416</v>
      </c>
      <c r="C7267" t="s">
        <v>9</v>
      </c>
      <c r="D7267" t="e">
        <f>VLOOKUP(C7267,'lookup table'!$A$2:$B$19,2,FALSE)</f>
        <v>#N/A</v>
      </c>
      <c r="E7267" t="str">
        <f t="shared" si="113"/>
        <v/>
      </c>
    </row>
    <row r="7268" spans="1:5" x14ac:dyDescent="0.2">
      <c r="A7268" t="s">
        <v>1415</v>
      </c>
      <c r="B7268" t="s">
        <v>1416</v>
      </c>
      <c r="C7268" t="s">
        <v>10</v>
      </c>
      <c r="D7268" t="e">
        <f>VLOOKUP(C7268,'lookup table'!$A$2:$B$19,2,FALSE)</f>
        <v>#N/A</v>
      </c>
      <c r="E7268" t="str">
        <f t="shared" si="113"/>
        <v/>
      </c>
    </row>
    <row r="7269" spans="1:5" x14ac:dyDescent="0.2">
      <c r="A7269" t="s">
        <v>1415</v>
      </c>
      <c r="B7269" t="s">
        <v>1416</v>
      </c>
      <c r="C7269" t="s">
        <v>11</v>
      </c>
      <c r="D7269" t="e">
        <f>VLOOKUP(C7269,'lookup table'!$A$2:$B$19,2,FALSE)</f>
        <v>#N/A</v>
      </c>
      <c r="E7269" t="str">
        <f t="shared" si="113"/>
        <v/>
      </c>
    </row>
    <row r="7270" spans="1:5" x14ac:dyDescent="0.2">
      <c r="A7270" t="s">
        <v>1415</v>
      </c>
      <c r="B7270" t="s">
        <v>1416</v>
      </c>
      <c r="C7270" t="s">
        <v>12</v>
      </c>
      <c r="D7270" t="e">
        <f>VLOOKUP(C7270,'lookup table'!$A$2:$B$19,2,FALSE)</f>
        <v>#N/A</v>
      </c>
      <c r="E7270" t="str">
        <f t="shared" si="113"/>
        <v/>
      </c>
    </row>
    <row r="7271" spans="1:5" x14ac:dyDescent="0.2">
      <c r="A7271" t="s">
        <v>1415</v>
      </c>
      <c r="B7271" t="s">
        <v>1416</v>
      </c>
      <c r="C7271" t="s">
        <v>14</v>
      </c>
      <c r="D7271" t="str">
        <f>VLOOKUP(C7271,'lookup table'!$A$2:$B$19,2,FALSE)</f>
        <v>ALC</v>
      </c>
      <c r="E7271" t="str">
        <f t="shared" si="113"/>
        <v>DR7TOM_00|ALC</v>
      </c>
    </row>
    <row r="7272" spans="1:5" x14ac:dyDescent="0.2">
      <c r="A7272" t="s">
        <v>1415</v>
      </c>
      <c r="B7272" t="s">
        <v>1416</v>
      </c>
      <c r="C7272" t="s">
        <v>20</v>
      </c>
      <c r="D7272" t="str">
        <f>VLOOKUP(C7272,'lookup table'!$A$2:$B$19,2,FALSE)</f>
        <v>AY</v>
      </c>
      <c r="E7272" t="str">
        <f t="shared" si="113"/>
        <v>DR7TOM_00|AY</v>
      </c>
    </row>
    <row r="7273" spans="1:5" x14ac:dyDescent="0.2">
      <c r="A7273" t="s">
        <v>1415</v>
      </c>
      <c r="B7273" t="s">
        <v>1416</v>
      </c>
      <c r="C7273" t="s">
        <v>324</v>
      </c>
      <c r="D7273" t="e">
        <f>VLOOKUP(C7273,'lookup table'!$A$2:$B$19,2,FALSE)</f>
        <v>#N/A</v>
      </c>
      <c r="E7273" t="str">
        <f t="shared" si="113"/>
        <v/>
      </c>
    </row>
    <row r="7274" spans="1:5" x14ac:dyDescent="0.2">
      <c r="A7274" t="s">
        <v>1415</v>
      </c>
      <c r="B7274" t="s">
        <v>1416</v>
      </c>
      <c r="C7274" t="s">
        <v>325</v>
      </c>
      <c r="D7274" t="e">
        <f>VLOOKUP(C7274,'lookup table'!$A$2:$B$19,2,FALSE)</f>
        <v>#N/A</v>
      </c>
      <c r="E7274" t="str">
        <f t="shared" si="113"/>
        <v/>
      </c>
    </row>
    <row r="7275" spans="1:5" x14ac:dyDescent="0.2">
      <c r="A7275" t="s">
        <v>1415</v>
      </c>
      <c r="B7275" t="s">
        <v>1416</v>
      </c>
      <c r="C7275" t="s">
        <v>326</v>
      </c>
      <c r="D7275" t="e">
        <f>VLOOKUP(C7275,'lookup table'!$A$2:$B$19,2,FALSE)</f>
        <v>#N/A</v>
      </c>
      <c r="E7275" t="str">
        <f t="shared" si="113"/>
        <v/>
      </c>
    </row>
    <row r="7276" spans="1:5" x14ac:dyDescent="0.2">
      <c r="A7276" t="s">
        <v>1415</v>
      </c>
      <c r="B7276" t="s">
        <v>1416</v>
      </c>
      <c r="C7276" t="s">
        <v>327</v>
      </c>
      <c r="D7276" t="e">
        <f>VLOOKUP(C7276,'lookup table'!$A$2:$B$19,2,FALSE)</f>
        <v>#N/A</v>
      </c>
      <c r="E7276" t="str">
        <f t="shared" si="113"/>
        <v/>
      </c>
    </row>
    <row r="7277" spans="1:5" x14ac:dyDescent="0.2">
      <c r="A7277" t="s">
        <v>1415</v>
      </c>
      <c r="B7277" t="s">
        <v>1416</v>
      </c>
      <c r="C7277" t="s">
        <v>328</v>
      </c>
      <c r="D7277" t="e">
        <f>VLOOKUP(C7277,'lookup table'!$A$2:$B$19,2,FALSE)</f>
        <v>#N/A</v>
      </c>
      <c r="E7277" t="str">
        <f t="shared" si="113"/>
        <v/>
      </c>
    </row>
    <row r="7278" spans="1:5" x14ac:dyDescent="0.2">
      <c r="A7278" t="s">
        <v>1415</v>
      </c>
      <c r="B7278" t="s">
        <v>1416</v>
      </c>
      <c r="C7278" t="s">
        <v>329</v>
      </c>
      <c r="D7278" t="e">
        <f>VLOOKUP(C7278,'lookup table'!$A$2:$B$19,2,FALSE)</f>
        <v>#N/A</v>
      </c>
      <c r="E7278" t="str">
        <f t="shared" si="113"/>
        <v/>
      </c>
    </row>
    <row r="7279" spans="1:5" x14ac:dyDescent="0.2">
      <c r="A7279" t="s">
        <v>1415</v>
      </c>
      <c r="B7279" t="s">
        <v>1416</v>
      </c>
      <c r="C7279" t="s">
        <v>331</v>
      </c>
      <c r="D7279" t="str">
        <f>VLOOKUP(C7279,'lookup table'!$A$2:$B$19,2,FALSE)</f>
        <v>FS Item</v>
      </c>
      <c r="E7279" t="str">
        <f t="shared" si="113"/>
        <v>DR7TOM_00|FS Item</v>
      </c>
    </row>
    <row r="7280" spans="1:5" x14ac:dyDescent="0.2">
      <c r="A7280" t="s">
        <v>1415</v>
      </c>
      <c r="B7280" t="s">
        <v>1416</v>
      </c>
      <c r="C7280" t="s">
        <v>422</v>
      </c>
      <c r="D7280" t="e">
        <f>VLOOKUP(C7280,'lookup table'!$A$2:$B$19,2,FALSE)</f>
        <v>#N/A</v>
      </c>
      <c r="E7280" t="str">
        <f t="shared" si="113"/>
        <v/>
      </c>
    </row>
    <row r="7281" spans="1:5" x14ac:dyDescent="0.2">
      <c r="A7281" t="s">
        <v>1415</v>
      </c>
      <c r="B7281" t="s">
        <v>1416</v>
      </c>
      <c r="C7281" t="s">
        <v>423</v>
      </c>
      <c r="D7281" t="str">
        <f>VLOOKUP(C7281,'lookup table'!$A$2:$B$19,2,FALSE)</f>
        <v>ignore</v>
      </c>
      <c r="E7281" t="str">
        <f t="shared" si="113"/>
        <v>DR7TOM_00|ignore</v>
      </c>
    </row>
    <row r="7282" spans="1:5" x14ac:dyDescent="0.2">
      <c r="A7282" t="s">
        <v>1415</v>
      </c>
      <c r="B7282" t="s">
        <v>1416</v>
      </c>
      <c r="C7282" t="s">
        <v>424</v>
      </c>
      <c r="D7282" t="str">
        <f>VLOOKUP(C7282,'lookup table'!$A$2:$B$19,2,FALSE)</f>
        <v>GRC</v>
      </c>
      <c r="E7282" t="str">
        <f t="shared" si="113"/>
        <v>DR7TOM_00|GRC</v>
      </c>
    </row>
    <row r="7283" spans="1:5" x14ac:dyDescent="0.2">
      <c r="A7283" t="s">
        <v>1415</v>
      </c>
      <c r="B7283" t="s">
        <v>1416</v>
      </c>
      <c r="C7283" t="s">
        <v>425</v>
      </c>
      <c r="D7283" t="str">
        <f>VLOOKUP(C7283,'lookup table'!$A$2:$B$19,2,FALSE)</f>
        <v>Investee Segment</v>
      </c>
      <c r="E7283" t="str">
        <f t="shared" si="113"/>
        <v>DR7TOM_00|Investee Segment</v>
      </c>
    </row>
    <row r="7284" spans="1:5" x14ac:dyDescent="0.2">
      <c r="A7284" t="s">
        <v>1415</v>
      </c>
      <c r="B7284" t="s">
        <v>1416</v>
      </c>
      <c r="C7284" t="s">
        <v>426</v>
      </c>
      <c r="D7284" t="str">
        <f>VLOOKUP(C7284,'lookup table'!$A$2:$B$19,2,FALSE)</f>
        <v>Investee Unit</v>
      </c>
      <c r="E7284" t="str">
        <f t="shared" si="113"/>
        <v>DR7TOM_00|Investee Unit</v>
      </c>
    </row>
    <row r="7285" spans="1:5" x14ac:dyDescent="0.2">
      <c r="A7285" t="s">
        <v>1415</v>
      </c>
      <c r="B7285" t="s">
        <v>1416</v>
      </c>
      <c r="C7285" t="s">
        <v>428</v>
      </c>
      <c r="D7285" t="str">
        <f>VLOOKUP(C7285,'lookup table'!$A$2:$B$19,2,FALSE)</f>
        <v>LoB</v>
      </c>
      <c r="E7285" t="str">
        <f t="shared" si="113"/>
        <v>DR7TOM_00|LoB</v>
      </c>
    </row>
    <row r="7286" spans="1:5" x14ac:dyDescent="0.2">
      <c r="A7286" t="s">
        <v>1415</v>
      </c>
      <c r="B7286" t="s">
        <v>1416</v>
      </c>
      <c r="C7286" t="s">
        <v>436</v>
      </c>
      <c r="D7286" t="str">
        <f>VLOOKUP(C7286,'lookup table'!$A$2:$B$19,2,FALSE)</f>
        <v>MAT</v>
      </c>
      <c r="E7286" t="str">
        <f t="shared" si="113"/>
        <v>DR7TOM_00|MAT</v>
      </c>
    </row>
    <row r="7287" spans="1:5" x14ac:dyDescent="0.2">
      <c r="A7287" t="s">
        <v>1415</v>
      </c>
      <c r="B7287" t="s">
        <v>1416</v>
      </c>
      <c r="C7287" t="s">
        <v>438</v>
      </c>
      <c r="D7287" t="str">
        <f>VLOOKUP(C7287,'lookup table'!$A$2:$B$19,2,FALSE)</f>
        <v>ToM</v>
      </c>
      <c r="E7287" t="str">
        <f t="shared" si="113"/>
        <v>DR7TOM_00|ToM</v>
      </c>
    </row>
    <row r="7288" spans="1:5" x14ac:dyDescent="0.2">
      <c r="A7288" t="s">
        <v>1415</v>
      </c>
      <c r="B7288" t="s">
        <v>1416</v>
      </c>
      <c r="C7288" t="s">
        <v>441</v>
      </c>
      <c r="D7288" t="str">
        <f>VLOOKUP(C7288,'lookup table'!$A$2:$B$19,2,FALSE)</f>
        <v>Partner Segment</v>
      </c>
      <c r="E7288" t="str">
        <f t="shared" si="113"/>
        <v>DR7TOM_00|Partner Segment</v>
      </c>
    </row>
    <row r="7289" spans="1:5" x14ac:dyDescent="0.2">
      <c r="A7289" t="s">
        <v>1415</v>
      </c>
      <c r="B7289" t="s">
        <v>1416</v>
      </c>
      <c r="C7289" t="s">
        <v>442</v>
      </c>
      <c r="D7289" t="str">
        <f>VLOOKUP(C7289,'lookup table'!$A$2:$B$19,2,FALSE)</f>
        <v>Partner Unit</v>
      </c>
      <c r="E7289" t="str">
        <f t="shared" si="113"/>
        <v>DR7TOM_00|Partner Unit</v>
      </c>
    </row>
    <row r="7290" spans="1:5" x14ac:dyDescent="0.2">
      <c r="A7290" t="s">
        <v>1415</v>
      </c>
      <c r="B7290" t="s">
        <v>1416</v>
      </c>
      <c r="C7290" t="s">
        <v>447</v>
      </c>
      <c r="D7290" t="str">
        <f>VLOOKUP(C7290,'lookup table'!$A$2:$B$19,2,FALSE)</f>
        <v>REX</v>
      </c>
      <c r="E7290" t="str">
        <f t="shared" si="113"/>
        <v>DR7TOM_00|REX</v>
      </c>
    </row>
    <row r="7291" spans="1:5" x14ac:dyDescent="0.2">
      <c r="A7291" t="s">
        <v>1415</v>
      </c>
      <c r="B7291" t="s">
        <v>1416</v>
      </c>
      <c r="C7291" t="s">
        <v>448</v>
      </c>
      <c r="D7291" t="e">
        <f>VLOOKUP(C7291,'lookup table'!$A$2:$B$19,2,FALSE)</f>
        <v>#N/A</v>
      </c>
      <c r="E7291" t="str">
        <f t="shared" si="113"/>
        <v/>
      </c>
    </row>
    <row r="7292" spans="1:5" x14ac:dyDescent="0.2">
      <c r="A7292" t="s">
        <v>1415</v>
      </c>
      <c r="B7292" t="s">
        <v>1416</v>
      </c>
      <c r="C7292" t="s">
        <v>449</v>
      </c>
      <c r="D7292" t="e">
        <f>VLOOKUP(C7292,'lookup table'!$A$2:$B$19,2,FALSE)</f>
        <v>#N/A</v>
      </c>
      <c r="E7292" t="str">
        <f t="shared" si="113"/>
        <v/>
      </c>
    </row>
    <row r="7293" spans="1:5" x14ac:dyDescent="0.2">
      <c r="A7293" t="s">
        <v>1415</v>
      </c>
      <c r="B7293" t="s">
        <v>1416</v>
      </c>
      <c r="C7293" t="s">
        <v>451</v>
      </c>
      <c r="D7293" t="str">
        <f>VLOOKUP(C7293,'lookup table'!$A$2:$B$19,2,FALSE)</f>
        <v>Segment</v>
      </c>
      <c r="E7293" t="str">
        <f t="shared" si="113"/>
        <v>DR7TOM_00|Segment</v>
      </c>
    </row>
    <row r="7294" spans="1:5" x14ac:dyDescent="0.2">
      <c r="A7294" t="s">
        <v>1415</v>
      </c>
      <c r="B7294" t="s">
        <v>1416</v>
      </c>
      <c r="C7294" t="s">
        <v>455</v>
      </c>
      <c r="D7294" t="e">
        <f>VLOOKUP(C7294,'lookup table'!$A$2:$B$19,2,FALSE)</f>
        <v>#N/A</v>
      </c>
      <c r="E7294" t="str">
        <f t="shared" si="113"/>
        <v/>
      </c>
    </row>
    <row r="7295" spans="1:5" x14ac:dyDescent="0.2">
      <c r="A7295" t="s">
        <v>1415</v>
      </c>
      <c r="B7295" t="s">
        <v>1416</v>
      </c>
      <c r="C7295" t="s">
        <v>456</v>
      </c>
      <c r="D7295" t="e">
        <f>VLOOKUP(C7295,'lookup table'!$A$2:$B$19,2,FALSE)</f>
        <v>#N/A</v>
      </c>
      <c r="E7295" t="str">
        <f t="shared" si="113"/>
        <v/>
      </c>
    </row>
    <row r="7296" spans="1:5" x14ac:dyDescent="0.2">
      <c r="A7296" t="s">
        <v>1415</v>
      </c>
      <c r="B7296" t="s">
        <v>1416</v>
      </c>
      <c r="C7296" t="s">
        <v>457</v>
      </c>
      <c r="D7296" t="str">
        <f>VLOOKUP(C7296,'lookup table'!$A$2:$B$19,2,FALSE)</f>
        <v>VLT</v>
      </c>
      <c r="E7296" t="str">
        <f t="shared" si="113"/>
        <v>DR7TOM_00|VLT</v>
      </c>
    </row>
    <row r="7297" spans="1:5" x14ac:dyDescent="0.2">
      <c r="A7297" t="s">
        <v>1415</v>
      </c>
      <c r="B7297" t="s">
        <v>1416</v>
      </c>
      <c r="C7297" t="s">
        <v>458</v>
      </c>
      <c r="D7297" t="str">
        <f>VLOOKUP(C7297,'lookup table'!$A$2:$B$19,2,FALSE)</f>
        <v>VAR</v>
      </c>
      <c r="E7297" t="str">
        <f t="shared" si="113"/>
        <v>DR7TOM_00|VAR</v>
      </c>
    </row>
    <row r="7298" spans="1:5" x14ac:dyDescent="0.2">
      <c r="A7298" t="s">
        <v>1415</v>
      </c>
      <c r="B7298" t="s">
        <v>1416</v>
      </c>
      <c r="C7298" t="s">
        <v>459</v>
      </c>
      <c r="D7298" t="e">
        <f>VLOOKUP(C7298,'lookup table'!$A$2:$B$19,2,FALSE)</f>
        <v>#N/A</v>
      </c>
      <c r="E7298" t="str">
        <f t="shared" si="113"/>
        <v/>
      </c>
    </row>
    <row r="7299" spans="1:5" x14ac:dyDescent="0.2">
      <c r="A7299" t="s">
        <v>1415</v>
      </c>
      <c r="B7299" t="s">
        <v>1416</v>
      </c>
      <c r="C7299" t="s">
        <v>460</v>
      </c>
      <c r="D7299" t="e">
        <f>VLOOKUP(C7299,'lookup table'!$A$2:$B$19,2,FALSE)</f>
        <v>#N/A</v>
      </c>
      <c r="E7299" t="str">
        <f t="shared" ref="E7299:E7362" si="114">IF(ISNA(D7299),"",IF(A7299="","",A7299) &amp; "|" &amp; D7299)</f>
        <v/>
      </c>
    </row>
    <row r="7300" spans="1:5" x14ac:dyDescent="0.2">
      <c r="A7300" t="s">
        <v>1415</v>
      </c>
      <c r="B7300" t="s">
        <v>1416</v>
      </c>
      <c r="C7300" t="s">
        <v>461</v>
      </c>
      <c r="D7300" t="str">
        <f>VLOOKUP(C7300,'lookup table'!$A$2:$B$19,2,FALSE)</f>
        <v>Posting Level</v>
      </c>
      <c r="E7300" t="str">
        <f t="shared" si="114"/>
        <v>DR7TOM_00|Posting Level</v>
      </c>
    </row>
    <row r="7301" spans="1:5" x14ac:dyDescent="0.2">
      <c r="A7301" t="s">
        <v>1415</v>
      </c>
      <c r="B7301" t="s">
        <v>1416</v>
      </c>
      <c r="C7301" t="s">
        <v>462</v>
      </c>
      <c r="D7301" t="e">
        <f>VLOOKUP(C7301,'lookup table'!$A$2:$B$19,2,FALSE)</f>
        <v>#N/A</v>
      </c>
      <c r="E7301" t="str">
        <f t="shared" si="114"/>
        <v/>
      </c>
    </row>
    <row r="7302" spans="1:5" x14ac:dyDescent="0.2">
      <c r="A7302" t="s">
        <v>1415</v>
      </c>
      <c r="B7302" t="s">
        <v>1416</v>
      </c>
      <c r="C7302" t="s">
        <v>463</v>
      </c>
      <c r="D7302" t="e">
        <f>VLOOKUP(C7302,'lookup table'!$A$2:$B$19,2,FALSE)</f>
        <v>#N/A</v>
      </c>
      <c r="E7302" t="str">
        <f t="shared" si="114"/>
        <v/>
      </c>
    </row>
    <row r="7303" spans="1:5" x14ac:dyDescent="0.2">
      <c r="A7303" t="s">
        <v>1415</v>
      </c>
      <c r="B7303" t="s">
        <v>1416</v>
      </c>
      <c r="C7303" t="s">
        <v>464</v>
      </c>
      <c r="D7303" t="e">
        <f>VLOOKUP(C7303,'lookup table'!$A$2:$B$19,2,FALSE)</f>
        <v>#N/A</v>
      </c>
      <c r="E7303" t="str">
        <f t="shared" si="114"/>
        <v/>
      </c>
    </row>
    <row r="7304" spans="1:5" x14ac:dyDescent="0.2">
      <c r="A7304" t="s">
        <v>1415</v>
      </c>
      <c r="B7304" t="s">
        <v>1416</v>
      </c>
      <c r="C7304" t="s">
        <v>465</v>
      </c>
      <c r="D7304" t="e">
        <f>VLOOKUP(C7304,'lookup table'!$A$2:$B$19,2,FALSE)</f>
        <v>#N/A</v>
      </c>
      <c r="E7304" t="str">
        <f t="shared" si="114"/>
        <v/>
      </c>
    </row>
    <row r="7305" spans="1:5" x14ac:dyDescent="0.2">
      <c r="A7305" t="s">
        <v>1417</v>
      </c>
      <c r="B7305" t="s">
        <v>1418</v>
      </c>
      <c r="C7305" t="s">
        <v>2</v>
      </c>
      <c r="D7305" t="e">
        <f>VLOOKUP(C7305,'lookup table'!$A$2:$B$19,2,FALSE)</f>
        <v>#N/A</v>
      </c>
      <c r="E7305" t="str">
        <f t="shared" si="114"/>
        <v/>
      </c>
    </row>
    <row r="7306" spans="1:5" x14ac:dyDescent="0.2">
      <c r="A7306" t="s">
        <v>1417</v>
      </c>
      <c r="B7306" t="s">
        <v>1418</v>
      </c>
      <c r="C7306" t="s">
        <v>5</v>
      </c>
      <c r="D7306" t="e">
        <f>VLOOKUP(C7306,'lookup table'!$A$2:$B$19,2,FALSE)</f>
        <v>#N/A</v>
      </c>
      <c r="E7306" t="str">
        <f t="shared" si="114"/>
        <v/>
      </c>
    </row>
    <row r="7307" spans="1:5" x14ac:dyDescent="0.2">
      <c r="A7307" t="s">
        <v>1417</v>
      </c>
      <c r="B7307" t="s">
        <v>1418</v>
      </c>
      <c r="C7307" t="s">
        <v>6</v>
      </c>
      <c r="D7307" t="e">
        <f>VLOOKUP(C7307,'lookup table'!$A$2:$B$19,2,FALSE)</f>
        <v>#N/A</v>
      </c>
      <c r="E7307" t="str">
        <f t="shared" si="114"/>
        <v/>
      </c>
    </row>
    <row r="7308" spans="1:5" x14ac:dyDescent="0.2">
      <c r="A7308" t="s">
        <v>1417</v>
      </c>
      <c r="B7308" t="s">
        <v>1418</v>
      </c>
      <c r="C7308" t="s">
        <v>9</v>
      </c>
      <c r="D7308" t="e">
        <f>VLOOKUP(C7308,'lookup table'!$A$2:$B$19,2,FALSE)</f>
        <v>#N/A</v>
      </c>
      <c r="E7308" t="str">
        <f t="shared" si="114"/>
        <v/>
      </c>
    </row>
    <row r="7309" spans="1:5" x14ac:dyDescent="0.2">
      <c r="A7309" t="s">
        <v>1417</v>
      </c>
      <c r="B7309" t="s">
        <v>1418</v>
      </c>
      <c r="C7309" t="s">
        <v>10</v>
      </c>
      <c r="D7309" t="e">
        <f>VLOOKUP(C7309,'lookup table'!$A$2:$B$19,2,FALSE)</f>
        <v>#N/A</v>
      </c>
      <c r="E7309" t="str">
        <f t="shared" si="114"/>
        <v/>
      </c>
    </row>
    <row r="7310" spans="1:5" x14ac:dyDescent="0.2">
      <c r="A7310" t="s">
        <v>1417</v>
      </c>
      <c r="B7310" t="s">
        <v>1418</v>
      </c>
      <c r="C7310" t="s">
        <v>11</v>
      </c>
      <c r="D7310" t="e">
        <f>VLOOKUP(C7310,'lookup table'!$A$2:$B$19,2,FALSE)</f>
        <v>#N/A</v>
      </c>
      <c r="E7310" t="str">
        <f t="shared" si="114"/>
        <v/>
      </c>
    </row>
    <row r="7311" spans="1:5" x14ac:dyDescent="0.2">
      <c r="A7311" t="s">
        <v>1417</v>
      </c>
      <c r="B7311" t="s">
        <v>1418</v>
      </c>
      <c r="C7311" t="s">
        <v>12</v>
      </c>
      <c r="D7311" t="e">
        <f>VLOOKUP(C7311,'lookup table'!$A$2:$B$19,2,FALSE)</f>
        <v>#N/A</v>
      </c>
      <c r="E7311" t="str">
        <f t="shared" si="114"/>
        <v/>
      </c>
    </row>
    <row r="7312" spans="1:5" x14ac:dyDescent="0.2">
      <c r="A7312" t="s">
        <v>1417</v>
      </c>
      <c r="B7312" t="s">
        <v>1418</v>
      </c>
      <c r="C7312" t="s">
        <v>14</v>
      </c>
      <c r="D7312" t="str">
        <f>VLOOKUP(C7312,'lookup table'!$A$2:$B$19,2,FALSE)</f>
        <v>ALC</v>
      </c>
      <c r="E7312" t="str">
        <f t="shared" si="114"/>
        <v>DR7VAR_00|ALC</v>
      </c>
    </row>
    <row r="7313" spans="1:5" x14ac:dyDescent="0.2">
      <c r="A7313" t="s">
        <v>1417</v>
      </c>
      <c r="B7313" t="s">
        <v>1418</v>
      </c>
      <c r="C7313" t="s">
        <v>20</v>
      </c>
      <c r="D7313" t="str">
        <f>VLOOKUP(C7313,'lookup table'!$A$2:$B$19,2,FALSE)</f>
        <v>AY</v>
      </c>
      <c r="E7313" t="str">
        <f t="shared" si="114"/>
        <v>DR7VAR_00|AY</v>
      </c>
    </row>
    <row r="7314" spans="1:5" x14ac:dyDescent="0.2">
      <c r="A7314" t="s">
        <v>1417</v>
      </c>
      <c r="B7314" t="s">
        <v>1418</v>
      </c>
      <c r="C7314" t="s">
        <v>324</v>
      </c>
      <c r="D7314" t="e">
        <f>VLOOKUP(C7314,'lookup table'!$A$2:$B$19,2,FALSE)</f>
        <v>#N/A</v>
      </c>
      <c r="E7314" t="str">
        <f t="shared" si="114"/>
        <v/>
      </c>
    </row>
    <row r="7315" spans="1:5" x14ac:dyDescent="0.2">
      <c r="A7315" t="s">
        <v>1417</v>
      </c>
      <c r="B7315" t="s">
        <v>1418</v>
      </c>
      <c r="C7315" t="s">
        <v>325</v>
      </c>
      <c r="D7315" t="e">
        <f>VLOOKUP(C7315,'lookup table'!$A$2:$B$19,2,FALSE)</f>
        <v>#N/A</v>
      </c>
      <c r="E7315" t="str">
        <f t="shared" si="114"/>
        <v/>
      </c>
    </row>
    <row r="7316" spans="1:5" x14ac:dyDescent="0.2">
      <c r="A7316" t="s">
        <v>1417</v>
      </c>
      <c r="B7316" t="s">
        <v>1418</v>
      </c>
      <c r="C7316" t="s">
        <v>326</v>
      </c>
      <c r="D7316" t="e">
        <f>VLOOKUP(C7316,'lookup table'!$A$2:$B$19,2,FALSE)</f>
        <v>#N/A</v>
      </c>
      <c r="E7316" t="str">
        <f t="shared" si="114"/>
        <v/>
      </c>
    </row>
    <row r="7317" spans="1:5" x14ac:dyDescent="0.2">
      <c r="A7317" t="s">
        <v>1417</v>
      </c>
      <c r="B7317" t="s">
        <v>1418</v>
      </c>
      <c r="C7317" t="s">
        <v>327</v>
      </c>
      <c r="D7317" t="e">
        <f>VLOOKUP(C7317,'lookup table'!$A$2:$B$19,2,FALSE)</f>
        <v>#N/A</v>
      </c>
      <c r="E7317" t="str">
        <f t="shared" si="114"/>
        <v/>
      </c>
    </row>
    <row r="7318" spans="1:5" x14ac:dyDescent="0.2">
      <c r="A7318" t="s">
        <v>1417</v>
      </c>
      <c r="B7318" t="s">
        <v>1418</v>
      </c>
      <c r="C7318" t="s">
        <v>328</v>
      </c>
      <c r="D7318" t="e">
        <f>VLOOKUP(C7318,'lookup table'!$A$2:$B$19,2,FALSE)</f>
        <v>#N/A</v>
      </c>
      <c r="E7318" t="str">
        <f t="shared" si="114"/>
        <v/>
      </c>
    </row>
    <row r="7319" spans="1:5" x14ac:dyDescent="0.2">
      <c r="A7319" t="s">
        <v>1417</v>
      </c>
      <c r="B7319" t="s">
        <v>1418</v>
      </c>
      <c r="C7319" t="s">
        <v>329</v>
      </c>
      <c r="D7319" t="e">
        <f>VLOOKUP(C7319,'lookup table'!$A$2:$B$19,2,FALSE)</f>
        <v>#N/A</v>
      </c>
      <c r="E7319" t="str">
        <f t="shared" si="114"/>
        <v/>
      </c>
    </row>
    <row r="7320" spans="1:5" x14ac:dyDescent="0.2">
      <c r="A7320" t="s">
        <v>1417</v>
      </c>
      <c r="B7320" t="s">
        <v>1418</v>
      </c>
      <c r="C7320" t="s">
        <v>331</v>
      </c>
      <c r="D7320" t="str">
        <f>VLOOKUP(C7320,'lookup table'!$A$2:$B$19,2,FALSE)</f>
        <v>FS Item</v>
      </c>
      <c r="E7320" t="str">
        <f t="shared" si="114"/>
        <v>DR7VAR_00|FS Item</v>
      </c>
    </row>
    <row r="7321" spans="1:5" x14ac:dyDescent="0.2">
      <c r="A7321" t="s">
        <v>1417</v>
      </c>
      <c r="B7321" t="s">
        <v>1418</v>
      </c>
      <c r="C7321" t="s">
        <v>422</v>
      </c>
      <c r="D7321" t="e">
        <f>VLOOKUP(C7321,'lookup table'!$A$2:$B$19,2,FALSE)</f>
        <v>#N/A</v>
      </c>
      <c r="E7321" t="str">
        <f t="shared" si="114"/>
        <v/>
      </c>
    </row>
    <row r="7322" spans="1:5" x14ac:dyDescent="0.2">
      <c r="A7322" t="s">
        <v>1417</v>
      </c>
      <c r="B7322" t="s">
        <v>1418</v>
      </c>
      <c r="C7322" t="s">
        <v>423</v>
      </c>
      <c r="D7322" t="str">
        <f>VLOOKUP(C7322,'lookup table'!$A$2:$B$19,2,FALSE)</f>
        <v>ignore</v>
      </c>
      <c r="E7322" t="str">
        <f t="shared" si="114"/>
        <v>DR7VAR_00|ignore</v>
      </c>
    </row>
    <row r="7323" spans="1:5" x14ac:dyDescent="0.2">
      <c r="A7323" t="s">
        <v>1417</v>
      </c>
      <c r="B7323" t="s">
        <v>1418</v>
      </c>
      <c r="C7323" t="s">
        <v>424</v>
      </c>
      <c r="D7323" t="str">
        <f>VLOOKUP(C7323,'lookup table'!$A$2:$B$19,2,FALSE)</f>
        <v>GRC</v>
      </c>
      <c r="E7323" t="str">
        <f t="shared" si="114"/>
        <v>DR7VAR_00|GRC</v>
      </c>
    </row>
    <row r="7324" spans="1:5" x14ac:dyDescent="0.2">
      <c r="A7324" t="s">
        <v>1417</v>
      </c>
      <c r="B7324" t="s">
        <v>1418</v>
      </c>
      <c r="C7324" t="s">
        <v>425</v>
      </c>
      <c r="D7324" t="str">
        <f>VLOOKUP(C7324,'lookup table'!$A$2:$B$19,2,FALSE)</f>
        <v>Investee Segment</v>
      </c>
      <c r="E7324" t="str">
        <f t="shared" si="114"/>
        <v>DR7VAR_00|Investee Segment</v>
      </c>
    </row>
    <row r="7325" spans="1:5" x14ac:dyDescent="0.2">
      <c r="A7325" t="s">
        <v>1417</v>
      </c>
      <c r="B7325" t="s">
        <v>1418</v>
      </c>
      <c r="C7325" t="s">
        <v>426</v>
      </c>
      <c r="D7325" t="str">
        <f>VLOOKUP(C7325,'lookup table'!$A$2:$B$19,2,FALSE)</f>
        <v>Investee Unit</v>
      </c>
      <c r="E7325" t="str">
        <f t="shared" si="114"/>
        <v>DR7VAR_00|Investee Unit</v>
      </c>
    </row>
    <row r="7326" spans="1:5" x14ac:dyDescent="0.2">
      <c r="A7326" t="s">
        <v>1417</v>
      </c>
      <c r="B7326" t="s">
        <v>1418</v>
      </c>
      <c r="C7326" t="s">
        <v>428</v>
      </c>
      <c r="D7326" t="str">
        <f>VLOOKUP(C7326,'lookup table'!$A$2:$B$19,2,FALSE)</f>
        <v>LoB</v>
      </c>
      <c r="E7326" t="str">
        <f t="shared" si="114"/>
        <v>DR7VAR_00|LoB</v>
      </c>
    </row>
    <row r="7327" spans="1:5" x14ac:dyDescent="0.2">
      <c r="A7327" t="s">
        <v>1417</v>
      </c>
      <c r="B7327" t="s">
        <v>1418</v>
      </c>
      <c r="C7327" t="s">
        <v>436</v>
      </c>
      <c r="D7327" t="str">
        <f>VLOOKUP(C7327,'lookup table'!$A$2:$B$19,2,FALSE)</f>
        <v>MAT</v>
      </c>
      <c r="E7327" t="str">
        <f t="shared" si="114"/>
        <v>DR7VAR_00|MAT</v>
      </c>
    </row>
    <row r="7328" spans="1:5" x14ac:dyDescent="0.2">
      <c r="A7328" t="s">
        <v>1417</v>
      </c>
      <c r="B7328" t="s">
        <v>1418</v>
      </c>
      <c r="C7328" t="s">
        <v>438</v>
      </c>
      <c r="D7328" t="str">
        <f>VLOOKUP(C7328,'lookup table'!$A$2:$B$19,2,FALSE)</f>
        <v>ToM</v>
      </c>
      <c r="E7328" t="str">
        <f t="shared" si="114"/>
        <v>DR7VAR_00|ToM</v>
      </c>
    </row>
    <row r="7329" spans="1:5" x14ac:dyDescent="0.2">
      <c r="A7329" t="s">
        <v>1417</v>
      </c>
      <c r="B7329" t="s">
        <v>1418</v>
      </c>
      <c r="C7329" t="s">
        <v>441</v>
      </c>
      <c r="D7329" t="str">
        <f>VLOOKUP(C7329,'lookup table'!$A$2:$B$19,2,FALSE)</f>
        <v>Partner Segment</v>
      </c>
      <c r="E7329" t="str">
        <f t="shared" si="114"/>
        <v>DR7VAR_00|Partner Segment</v>
      </c>
    </row>
    <row r="7330" spans="1:5" x14ac:dyDescent="0.2">
      <c r="A7330" t="s">
        <v>1417</v>
      </c>
      <c r="B7330" t="s">
        <v>1418</v>
      </c>
      <c r="C7330" t="s">
        <v>442</v>
      </c>
      <c r="D7330" t="str">
        <f>VLOOKUP(C7330,'lookup table'!$A$2:$B$19,2,FALSE)</f>
        <v>Partner Unit</v>
      </c>
      <c r="E7330" t="str">
        <f t="shared" si="114"/>
        <v>DR7VAR_00|Partner Unit</v>
      </c>
    </row>
    <row r="7331" spans="1:5" x14ac:dyDescent="0.2">
      <c r="A7331" t="s">
        <v>1417</v>
      </c>
      <c r="B7331" t="s">
        <v>1418</v>
      </c>
      <c r="C7331" t="s">
        <v>447</v>
      </c>
      <c r="D7331" t="str">
        <f>VLOOKUP(C7331,'lookup table'!$A$2:$B$19,2,FALSE)</f>
        <v>REX</v>
      </c>
      <c r="E7331" t="str">
        <f t="shared" si="114"/>
        <v>DR7VAR_00|REX</v>
      </c>
    </row>
    <row r="7332" spans="1:5" x14ac:dyDescent="0.2">
      <c r="A7332" t="s">
        <v>1417</v>
      </c>
      <c r="B7332" t="s">
        <v>1418</v>
      </c>
      <c r="C7332" t="s">
        <v>448</v>
      </c>
      <c r="D7332" t="e">
        <f>VLOOKUP(C7332,'lookup table'!$A$2:$B$19,2,FALSE)</f>
        <v>#N/A</v>
      </c>
      <c r="E7332" t="str">
        <f t="shared" si="114"/>
        <v/>
      </c>
    </row>
    <row r="7333" spans="1:5" x14ac:dyDescent="0.2">
      <c r="A7333" t="s">
        <v>1417</v>
      </c>
      <c r="B7333" t="s">
        <v>1418</v>
      </c>
      <c r="C7333" t="s">
        <v>449</v>
      </c>
      <c r="D7333" t="e">
        <f>VLOOKUP(C7333,'lookup table'!$A$2:$B$19,2,FALSE)</f>
        <v>#N/A</v>
      </c>
      <c r="E7333" t="str">
        <f t="shared" si="114"/>
        <v/>
      </c>
    </row>
    <row r="7334" spans="1:5" x14ac:dyDescent="0.2">
      <c r="A7334" t="s">
        <v>1417</v>
      </c>
      <c r="B7334" t="s">
        <v>1418</v>
      </c>
      <c r="C7334" t="s">
        <v>451</v>
      </c>
      <c r="D7334" t="str">
        <f>VLOOKUP(C7334,'lookup table'!$A$2:$B$19,2,FALSE)</f>
        <v>Segment</v>
      </c>
      <c r="E7334" t="str">
        <f t="shared" si="114"/>
        <v>DR7VAR_00|Segment</v>
      </c>
    </row>
    <row r="7335" spans="1:5" x14ac:dyDescent="0.2">
      <c r="A7335" t="s">
        <v>1417</v>
      </c>
      <c r="B7335" t="s">
        <v>1418</v>
      </c>
      <c r="C7335" t="s">
        <v>455</v>
      </c>
      <c r="D7335" t="e">
        <f>VLOOKUP(C7335,'lookup table'!$A$2:$B$19,2,FALSE)</f>
        <v>#N/A</v>
      </c>
      <c r="E7335" t="str">
        <f t="shared" si="114"/>
        <v/>
      </c>
    </row>
    <row r="7336" spans="1:5" x14ac:dyDescent="0.2">
      <c r="A7336" t="s">
        <v>1417</v>
      </c>
      <c r="B7336" t="s">
        <v>1418</v>
      </c>
      <c r="C7336" t="s">
        <v>456</v>
      </c>
      <c r="D7336" t="e">
        <f>VLOOKUP(C7336,'lookup table'!$A$2:$B$19,2,FALSE)</f>
        <v>#N/A</v>
      </c>
      <c r="E7336" t="str">
        <f t="shared" si="114"/>
        <v/>
      </c>
    </row>
    <row r="7337" spans="1:5" x14ac:dyDescent="0.2">
      <c r="A7337" t="s">
        <v>1417</v>
      </c>
      <c r="B7337" t="s">
        <v>1418</v>
      </c>
      <c r="C7337" t="s">
        <v>457</v>
      </c>
      <c r="D7337" t="str">
        <f>VLOOKUP(C7337,'lookup table'!$A$2:$B$19,2,FALSE)</f>
        <v>VLT</v>
      </c>
      <c r="E7337" t="str">
        <f t="shared" si="114"/>
        <v>DR7VAR_00|VLT</v>
      </c>
    </row>
    <row r="7338" spans="1:5" x14ac:dyDescent="0.2">
      <c r="A7338" t="s">
        <v>1417</v>
      </c>
      <c r="B7338" t="s">
        <v>1418</v>
      </c>
      <c r="C7338" t="s">
        <v>458</v>
      </c>
      <c r="D7338" t="str">
        <f>VLOOKUP(C7338,'lookup table'!$A$2:$B$19,2,FALSE)</f>
        <v>VAR</v>
      </c>
      <c r="E7338" t="str">
        <f t="shared" si="114"/>
        <v>DR7VAR_00|VAR</v>
      </c>
    </row>
    <row r="7339" spans="1:5" x14ac:dyDescent="0.2">
      <c r="A7339" t="s">
        <v>1417</v>
      </c>
      <c r="B7339" t="s">
        <v>1418</v>
      </c>
      <c r="C7339" t="s">
        <v>459</v>
      </c>
      <c r="D7339" t="e">
        <f>VLOOKUP(C7339,'lookup table'!$A$2:$B$19,2,FALSE)</f>
        <v>#N/A</v>
      </c>
      <c r="E7339" t="str">
        <f t="shared" si="114"/>
        <v/>
      </c>
    </row>
    <row r="7340" spans="1:5" x14ac:dyDescent="0.2">
      <c r="A7340" t="s">
        <v>1417</v>
      </c>
      <c r="B7340" t="s">
        <v>1418</v>
      </c>
      <c r="C7340" t="s">
        <v>460</v>
      </c>
      <c r="D7340" t="e">
        <f>VLOOKUP(C7340,'lookup table'!$A$2:$B$19,2,FALSE)</f>
        <v>#N/A</v>
      </c>
      <c r="E7340" t="str">
        <f t="shared" si="114"/>
        <v/>
      </c>
    </row>
    <row r="7341" spans="1:5" x14ac:dyDescent="0.2">
      <c r="A7341" t="s">
        <v>1417</v>
      </c>
      <c r="B7341" t="s">
        <v>1418</v>
      </c>
      <c r="C7341" t="s">
        <v>461</v>
      </c>
      <c r="D7341" t="str">
        <f>VLOOKUP(C7341,'lookup table'!$A$2:$B$19,2,FALSE)</f>
        <v>Posting Level</v>
      </c>
      <c r="E7341" t="str">
        <f t="shared" si="114"/>
        <v>DR7VAR_00|Posting Level</v>
      </c>
    </row>
    <row r="7342" spans="1:5" x14ac:dyDescent="0.2">
      <c r="A7342" t="s">
        <v>1417</v>
      </c>
      <c r="B7342" t="s">
        <v>1418</v>
      </c>
      <c r="C7342" t="s">
        <v>462</v>
      </c>
      <c r="D7342" t="e">
        <f>VLOOKUP(C7342,'lookup table'!$A$2:$B$19,2,FALSE)</f>
        <v>#N/A</v>
      </c>
      <c r="E7342" t="str">
        <f t="shared" si="114"/>
        <v/>
      </c>
    </row>
    <row r="7343" spans="1:5" x14ac:dyDescent="0.2">
      <c r="A7343" t="s">
        <v>1417</v>
      </c>
      <c r="B7343" t="s">
        <v>1418</v>
      </c>
      <c r="C7343" t="s">
        <v>463</v>
      </c>
      <c r="D7343" t="e">
        <f>VLOOKUP(C7343,'lookup table'!$A$2:$B$19,2,FALSE)</f>
        <v>#N/A</v>
      </c>
      <c r="E7343" t="str">
        <f t="shared" si="114"/>
        <v/>
      </c>
    </row>
    <row r="7344" spans="1:5" x14ac:dyDescent="0.2">
      <c r="A7344" t="s">
        <v>1417</v>
      </c>
      <c r="B7344" t="s">
        <v>1418</v>
      </c>
      <c r="C7344" t="s">
        <v>464</v>
      </c>
      <c r="D7344" t="e">
        <f>VLOOKUP(C7344,'lookup table'!$A$2:$B$19,2,FALSE)</f>
        <v>#N/A</v>
      </c>
      <c r="E7344" t="str">
        <f t="shared" si="114"/>
        <v/>
      </c>
    </row>
    <row r="7345" spans="1:5" x14ac:dyDescent="0.2">
      <c r="A7345" t="s">
        <v>1417</v>
      </c>
      <c r="B7345" t="s">
        <v>1418</v>
      </c>
      <c r="C7345" t="s">
        <v>465</v>
      </c>
      <c r="D7345" t="e">
        <f>VLOOKUP(C7345,'lookup table'!$A$2:$B$19,2,FALSE)</f>
        <v>#N/A</v>
      </c>
      <c r="E7345" t="str">
        <f t="shared" si="114"/>
        <v/>
      </c>
    </row>
    <row r="7346" spans="1:5" x14ac:dyDescent="0.2">
      <c r="A7346" t="s">
        <v>1419</v>
      </c>
      <c r="B7346" t="s">
        <v>1420</v>
      </c>
      <c r="C7346" t="s">
        <v>2</v>
      </c>
      <c r="D7346" t="e">
        <f>VLOOKUP(C7346,'lookup table'!$A$2:$B$19,2,FALSE)</f>
        <v>#N/A</v>
      </c>
      <c r="E7346" t="str">
        <f t="shared" si="114"/>
        <v/>
      </c>
    </row>
    <row r="7347" spans="1:5" x14ac:dyDescent="0.2">
      <c r="A7347" t="s">
        <v>1419</v>
      </c>
      <c r="B7347" t="s">
        <v>1420</v>
      </c>
      <c r="C7347" t="s">
        <v>5</v>
      </c>
      <c r="D7347" t="e">
        <f>VLOOKUP(C7347,'lookup table'!$A$2:$B$19,2,FALSE)</f>
        <v>#N/A</v>
      </c>
      <c r="E7347" t="str">
        <f t="shared" si="114"/>
        <v/>
      </c>
    </row>
    <row r="7348" spans="1:5" x14ac:dyDescent="0.2">
      <c r="A7348" t="s">
        <v>1419</v>
      </c>
      <c r="B7348" t="s">
        <v>1420</v>
      </c>
      <c r="C7348" t="s">
        <v>6</v>
      </c>
      <c r="D7348" t="e">
        <f>VLOOKUP(C7348,'lookup table'!$A$2:$B$19,2,FALSE)</f>
        <v>#N/A</v>
      </c>
      <c r="E7348" t="str">
        <f t="shared" si="114"/>
        <v/>
      </c>
    </row>
    <row r="7349" spans="1:5" x14ac:dyDescent="0.2">
      <c r="A7349" t="s">
        <v>1419</v>
      </c>
      <c r="B7349" t="s">
        <v>1420</v>
      </c>
      <c r="C7349" t="s">
        <v>9</v>
      </c>
      <c r="D7349" t="e">
        <f>VLOOKUP(C7349,'lookup table'!$A$2:$B$19,2,FALSE)</f>
        <v>#N/A</v>
      </c>
      <c r="E7349" t="str">
        <f t="shared" si="114"/>
        <v/>
      </c>
    </row>
    <row r="7350" spans="1:5" x14ac:dyDescent="0.2">
      <c r="A7350" t="s">
        <v>1419</v>
      </c>
      <c r="B7350" t="s">
        <v>1420</v>
      </c>
      <c r="C7350" t="s">
        <v>10</v>
      </c>
      <c r="D7350" t="e">
        <f>VLOOKUP(C7350,'lookup table'!$A$2:$B$19,2,FALSE)</f>
        <v>#N/A</v>
      </c>
      <c r="E7350" t="str">
        <f t="shared" si="114"/>
        <v/>
      </c>
    </row>
    <row r="7351" spans="1:5" x14ac:dyDescent="0.2">
      <c r="A7351" t="s">
        <v>1419</v>
      </c>
      <c r="B7351" t="s">
        <v>1420</v>
      </c>
      <c r="C7351" t="s">
        <v>11</v>
      </c>
      <c r="D7351" t="e">
        <f>VLOOKUP(C7351,'lookup table'!$A$2:$B$19,2,FALSE)</f>
        <v>#N/A</v>
      </c>
      <c r="E7351" t="str">
        <f t="shared" si="114"/>
        <v/>
      </c>
    </row>
    <row r="7352" spans="1:5" x14ac:dyDescent="0.2">
      <c r="A7352" t="s">
        <v>1419</v>
      </c>
      <c r="B7352" t="s">
        <v>1420</v>
      </c>
      <c r="C7352" t="s">
        <v>12</v>
      </c>
      <c r="D7352" t="e">
        <f>VLOOKUP(C7352,'lookup table'!$A$2:$B$19,2,FALSE)</f>
        <v>#N/A</v>
      </c>
      <c r="E7352" t="str">
        <f t="shared" si="114"/>
        <v/>
      </c>
    </row>
    <row r="7353" spans="1:5" x14ac:dyDescent="0.2">
      <c r="A7353" t="s">
        <v>1419</v>
      </c>
      <c r="B7353" t="s">
        <v>1420</v>
      </c>
      <c r="C7353" t="s">
        <v>14</v>
      </c>
      <c r="D7353" t="str">
        <f>VLOOKUP(C7353,'lookup table'!$A$2:$B$19,2,FALSE)</f>
        <v>ALC</v>
      </c>
      <c r="E7353" t="str">
        <f t="shared" si="114"/>
        <v>DZ1ACY_00|ALC</v>
      </c>
    </row>
    <row r="7354" spans="1:5" x14ac:dyDescent="0.2">
      <c r="A7354" t="s">
        <v>1419</v>
      </c>
      <c r="B7354" t="s">
        <v>1420</v>
      </c>
      <c r="C7354" t="s">
        <v>20</v>
      </c>
      <c r="D7354" t="str">
        <f>VLOOKUP(C7354,'lookup table'!$A$2:$B$19,2,FALSE)</f>
        <v>AY</v>
      </c>
      <c r="E7354" t="str">
        <f t="shared" si="114"/>
        <v>DZ1ACY_00|AY</v>
      </c>
    </row>
    <row r="7355" spans="1:5" x14ac:dyDescent="0.2">
      <c r="A7355" t="s">
        <v>1419</v>
      </c>
      <c r="B7355" t="s">
        <v>1420</v>
      </c>
      <c r="C7355" t="s">
        <v>324</v>
      </c>
      <c r="D7355" t="e">
        <f>VLOOKUP(C7355,'lookup table'!$A$2:$B$19,2,FALSE)</f>
        <v>#N/A</v>
      </c>
      <c r="E7355" t="str">
        <f t="shared" si="114"/>
        <v/>
      </c>
    </row>
    <row r="7356" spans="1:5" x14ac:dyDescent="0.2">
      <c r="A7356" t="s">
        <v>1419</v>
      </c>
      <c r="B7356" t="s">
        <v>1420</v>
      </c>
      <c r="C7356" t="s">
        <v>325</v>
      </c>
      <c r="D7356" t="e">
        <f>VLOOKUP(C7356,'lookup table'!$A$2:$B$19,2,FALSE)</f>
        <v>#N/A</v>
      </c>
      <c r="E7356" t="str">
        <f t="shared" si="114"/>
        <v/>
      </c>
    </row>
    <row r="7357" spans="1:5" x14ac:dyDescent="0.2">
      <c r="A7357" t="s">
        <v>1419</v>
      </c>
      <c r="B7357" t="s">
        <v>1420</v>
      </c>
      <c r="C7357" t="s">
        <v>326</v>
      </c>
      <c r="D7357" t="e">
        <f>VLOOKUP(C7357,'lookup table'!$A$2:$B$19,2,FALSE)</f>
        <v>#N/A</v>
      </c>
      <c r="E7357" t="str">
        <f t="shared" si="114"/>
        <v/>
      </c>
    </row>
    <row r="7358" spans="1:5" x14ac:dyDescent="0.2">
      <c r="A7358" t="s">
        <v>1419</v>
      </c>
      <c r="B7358" t="s">
        <v>1420</v>
      </c>
      <c r="C7358" t="s">
        <v>327</v>
      </c>
      <c r="D7358" t="e">
        <f>VLOOKUP(C7358,'lookup table'!$A$2:$B$19,2,FALSE)</f>
        <v>#N/A</v>
      </c>
      <c r="E7358" t="str">
        <f t="shared" si="114"/>
        <v/>
      </c>
    </row>
    <row r="7359" spans="1:5" x14ac:dyDescent="0.2">
      <c r="A7359" t="s">
        <v>1419</v>
      </c>
      <c r="B7359" t="s">
        <v>1420</v>
      </c>
      <c r="C7359" t="s">
        <v>328</v>
      </c>
      <c r="D7359" t="e">
        <f>VLOOKUP(C7359,'lookup table'!$A$2:$B$19,2,FALSE)</f>
        <v>#N/A</v>
      </c>
      <c r="E7359" t="str">
        <f t="shared" si="114"/>
        <v/>
      </c>
    </row>
    <row r="7360" spans="1:5" x14ac:dyDescent="0.2">
      <c r="A7360" t="s">
        <v>1419</v>
      </c>
      <c r="B7360" t="s">
        <v>1420</v>
      </c>
      <c r="C7360" t="s">
        <v>329</v>
      </c>
      <c r="D7360" t="e">
        <f>VLOOKUP(C7360,'lookup table'!$A$2:$B$19,2,FALSE)</f>
        <v>#N/A</v>
      </c>
      <c r="E7360" t="str">
        <f t="shared" si="114"/>
        <v/>
      </c>
    </row>
    <row r="7361" spans="1:5" x14ac:dyDescent="0.2">
      <c r="A7361" t="s">
        <v>1419</v>
      </c>
      <c r="B7361" t="s">
        <v>1420</v>
      </c>
      <c r="C7361" t="s">
        <v>331</v>
      </c>
      <c r="D7361" t="str">
        <f>VLOOKUP(C7361,'lookup table'!$A$2:$B$19,2,FALSE)</f>
        <v>FS Item</v>
      </c>
      <c r="E7361" t="str">
        <f t="shared" si="114"/>
        <v>DZ1ACY_00|FS Item</v>
      </c>
    </row>
    <row r="7362" spans="1:5" x14ac:dyDescent="0.2">
      <c r="A7362" t="s">
        <v>1419</v>
      </c>
      <c r="B7362" t="s">
        <v>1420</v>
      </c>
      <c r="C7362" t="s">
        <v>422</v>
      </c>
      <c r="D7362" t="e">
        <f>VLOOKUP(C7362,'lookup table'!$A$2:$B$19,2,FALSE)</f>
        <v>#N/A</v>
      </c>
      <c r="E7362" t="str">
        <f t="shared" si="114"/>
        <v/>
      </c>
    </row>
    <row r="7363" spans="1:5" x14ac:dyDescent="0.2">
      <c r="A7363" t="s">
        <v>1419</v>
      </c>
      <c r="B7363" t="s">
        <v>1420</v>
      </c>
      <c r="C7363" t="s">
        <v>423</v>
      </c>
      <c r="D7363" t="str">
        <f>VLOOKUP(C7363,'lookup table'!$A$2:$B$19,2,FALSE)</f>
        <v>ignore</v>
      </c>
      <c r="E7363" t="str">
        <f t="shared" ref="E7363:E7426" si="115">IF(ISNA(D7363),"",IF(A7363="","",A7363) &amp; "|" &amp; D7363)</f>
        <v>DZ1ACY_00|ignore</v>
      </c>
    </row>
    <row r="7364" spans="1:5" x14ac:dyDescent="0.2">
      <c r="A7364" t="s">
        <v>1419</v>
      </c>
      <c r="B7364" t="s">
        <v>1420</v>
      </c>
      <c r="C7364" t="s">
        <v>424</v>
      </c>
      <c r="D7364" t="str">
        <f>VLOOKUP(C7364,'lookup table'!$A$2:$B$19,2,FALSE)</f>
        <v>GRC</v>
      </c>
      <c r="E7364" t="str">
        <f t="shared" si="115"/>
        <v>DZ1ACY_00|GRC</v>
      </c>
    </row>
    <row r="7365" spans="1:5" x14ac:dyDescent="0.2">
      <c r="A7365" t="s">
        <v>1419</v>
      </c>
      <c r="B7365" t="s">
        <v>1420</v>
      </c>
      <c r="C7365" t="s">
        <v>425</v>
      </c>
      <c r="D7365" t="str">
        <f>VLOOKUP(C7365,'lookup table'!$A$2:$B$19,2,FALSE)</f>
        <v>Investee Segment</v>
      </c>
      <c r="E7365" t="str">
        <f t="shared" si="115"/>
        <v>DZ1ACY_00|Investee Segment</v>
      </c>
    </row>
    <row r="7366" spans="1:5" x14ac:dyDescent="0.2">
      <c r="A7366" t="s">
        <v>1419</v>
      </c>
      <c r="B7366" t="s">
        <v>1420</v>
      </c>
      <c r="C7366" t="s">
        <v>426</v>
      </c>
      <c r="D7366" t="str">
        <f>VLOOKUP(C7366,'lookup table'!$A$2:$B$19,2,FALSE)</f>
        <v>Investee Unit</v>
      </c>
      <c r="E7366" t="str">
        <f t="shared" si="115"/>
        <v>DZ1ACY_00|Investee Unit</v>
      </c>
    </row>
    <row r="7367" spans="1:5" x14ac:dyDescent="0.2">
      <c r="A7367" t="s">
        <v>1419</v>
      </c>
      <c r="B7367" t="s">
        <v>1420</v>
      </c>
      <c r="C7367" t="s">
        <v>428</v>
      </c>
      <c r="D7367" t="str">
        <f>VLOOKUP(C7367,'lookup table'!$A$2:$B$19,2,FALSE)</f>
        <v>LoB</v>
      </c>
      <c r="E7367" t="str">
        <f t="shared" si="115"/>
        <v>DZ1ACY_00|LoB</v>
      </c>
    </row>
    <row r="7368" spans="1:5" x14ac:dyDescent="0.2">
      <c r="A7368" t="s">
        <v>1419</v>
      </c>
      <c r="B7368" t="s">
        <v>1420</v>
      </c>
      <c r="C7368" t="s">
        <v>436</v>
      </c>
      <c r="D7368" t="str">
        <f>VLOOKUP(C7368,'lookup table'!$A$2:$B$19,2,FALSE)</f>
        <v>MAT</v>
      </c>
      <c r="E7368" t="str">
        <f t="shared" si="115"/>
        <v>DZ1ACY_00|MAT</v>
      </c>
    </row>
    <row r="7369" spans="1:5" x14ac:dyDescent="0.2">
      <c r="A7369" t="s">
        <v>1419</v>
      </c>
      <c r="B7369" t="s">
        <v>1420</v>
      </c>
      <c r="C7369" t="s">
        <v>441</v>
      </c>
      <c r="D7369" t="str">
        <f>VLOOKUP(C7369,'lookup table'!$A$2:$B$19,2,FALSE)</f>
        <v>Partner Segment</v>
      </c>
      <c r="E7369" t="str">
        <f t="shared" si="115"/>
        <v>DZ1ACY_00|Partner Segment</v>
      </c>
    </row>
    <row r="7370" spans="1:5" x14ac:dyDescent="0.2">
      <c r="A7370" t="s">
        <v>1419</v>
      </c>
      <c r="B7370" t="s">
        <v>1420</v>
      </c>
      <c r="C7370" t="s">
        <v>442</v>
      </c>
      <c r="D7370" t="str">
        <f>VLOOKUP(C7370,'lookup table'!$A$2:$B$19,2,FALSE)</f>
        <v>Partner Unit</v>
      </c>
      <c r="E7370" t="str">
        <f t="shared" si="115"/>
        <v>DZ1ACY_00|Partner Unit</v>
      </c>
    </row>
    <row r="7371" spans="1:5" x14ac:dyDescent="0.2">
      <c r="A7371" t="s">
        <v>1419</v>
      </c>
      <c r="B7371" t="s">
        <v>1420</v>
      </c>
      <c r="C7371" t="s">
        <v>447</v>
      </c>
      <c r="D7371" t="str">
        <f>VLOOKUP(C7371,'lookup table'!$A$2:$B$19,2,FALSE)</f>
        <v>REX</v>
      </c>
      <c r="E7371" t="str">
        <f t="shared" si="115"/>
        <v>DZ1ACY_00|REX</v>
      </c>
    </row>
    <row r="7372" spans="1:5" x14ac:dyDescent="0.2">
      <c r="A7372" t="s">
        <v>1419</v>
      </c>
      <c r="B7372" t="s">
        <v>1420</v>
      </c>
      <c r="C7372" t="s">
        <v>448</v>
      </c>
      <c r="D7372" t="e">
        <f>VLOOKUP(C7372,'lookup table'!$A$2:$B$19,2,FALSE)</f>
        <v>#N/A</v>
      </c>
      <c r="E7372" t="str">
        <f t="shared" si="115"/>
        <v/>
      </c>
    </row>
    <row r="7373" spans="1:5" x14ac:dyDescent="0.2">
      <c r="A7373" t="s">
        <v>1419</v>
      </c>
      <c r="B7373" t="s">
        <v>1420</v>
      </c>
      <c r="C7373" t="s">
        <v>449</v>
      </c>
      <c r="D7373" t="e">
        <f>VLOOKUP(C7373,'lookup table'!$A$2:$B$19,2,FALSE)</f>
        <v>#N/A</v>
      </c>
      <c r="E7373" t="str">
        <f t="shared" si="115"/>
        <v/>
      </c>
    </row>
    <row r="7374" spans="1:5" x14ac:dyDescent="0.2">
      <c r="A7374" t="s">
        <v>1419</v>
      </c>
      <c r="B7374" t="s">
        <v>1420</v>
      </c>
      <c r="C7374" t="s">
        <v>451</v>
      </c>
      <c r="D7374" t="str">
        <f>VLOOKUP(C7374,'lookup table'!$A$2:$B$19,2,FALSE)</f>
        <v>Segment</v>
      </c>
      <c r="E7374" t="str">
        <f t="shared" si="115"/>
        <v>DZ1ACY_00|Segment</v>
      </c>
    </row>
    <row r="7375" spans="1:5" x14ac:dyDescent="0.2">
      <c r="A7375" t="s">
        <v>1419</v>
      </c>
      <c r="B7375" t="s">
        <v>1420</v>
      </c>
      <c r="C7375" t="s">
        <v>455</v>
      </c>
      <c r="D7375" t="e">
        <f>VLOOKUP(C7375,'lookup table'!$A$2:$B$19,2,FALSE)</f>
        <v>#N/A</v>
      </c>
      <c r="E7375" t="str">
        <f t="shared" si="115"/>
        <v/>
      </c>
    </row>
    <row r="7376" spans="1:5" x14ac:dyDescent="0.2">
      <c r="A7376" t="s">
        <v>1419</v>
      </c>
      <c r="B7376" t="s">
        <v>1420</v>
      </c>
      <c r="C7376" t="s">
        <v>456</v>
      </c>
      <c r="D7376" t="e">
        <f>VLOOKUP(C7376,'lookup table'!$A$2:$B$19,2,FALSE)</f>
        <v>#N/A</v>
      </c>
      <c r="E7376" t="str">
        <f t="shared" si="115"/>
        <v/>
      </c>
    </row>
    <row r="7377" spans="1:5" x14ac:dyDescent="0.2">
      <c r="A7377" t="s">
        <v>1419</v>
      </c>
      <c r="B7377" t="s">
        <v>1420</v>
      </c>
      <c r="C7377" t="s">
        <v>457</v>
      </c>
      <c r="D7377" t="str">
        <f>VLOOKUP(C7377,'lookup table'!$A$2:$B$19,2,FALSE)</f>
        <v>VLT</v>
      </c>
      <c r="E7377" t="str">
        <f t="shared" si="115"/>
        <v>DZ1ACY_00|VLT</v>
      </c>
    </row>
    <row r="7378" spans="1:5" x14ac:dyDescent="0.2">
      <c r="A7378" t="s">
        <v>1419</v>
      </c>
      <c r="B7378" t="s">
        <v>1420</v>
      </c>
      <c r="C7378" t="s">
        <v>458</v>
      </c>
      <c r="D7378" t="str">
        <f>VLOOKUP(C7378,'lookup table'!$A$2:$B$19,2,FALSE)</f>
        <v>VAR</v>
      </c>
      <c r="E7378" t="str">
        <f t="shared" si="115"/>
        <v>DZ1ACY_00|VAR</v>
      </c>
    </row>
    <row r="7379" spans="1:5" x14ac:dyDescent="0.2">
      <c r="A7379" t="s">
        <v>1419</v>
      </c>
      <c r="B7379" t="s">
        <v>1420</v>
      </c>
      <c r="C7379" t="s">
        <v>459</v>
      </c>
      <c r="D7379" t="e">
        <f>VLOOKUP(C7379,'lookup table'!$A$2:$B$19,2,FALSE)</f>
        <v>#N/A</v>
      </c>
      <c r="E7379" t="str">
        <f t="shared" si="115"/>
        <v/>
      </c>
    </row>
    <row r="7380" spans="1:5" x14ac:dyDescent="0.2">
      <c r="A7380" t="s">
        <v>1419</v>
      </c>
      <c r="B7380" t="s">
        <v>1420</v>
      </c>
      <c r="C7380" t="s">
        <v>460</v>
      </c>
      <c r="D7380" t="e">
        <f>VLOOKUP(C7380,'lookup table'!$A$2:$B$19,2,FALSE)</f>
        <v>#N/A</v>
      </c>
      <c r="E7380" t="str">
        <f t="shared" si="115"/>
        <v/>
      </c>
    </row>
    <row r="7381" spans="1:5" x14ac:dyDescent="0.2">
      <c r="A7381" t="s">
        <v>1419</v>
      </c>
      <c r="B7381" t="s">
        <v>1420</v>
      </c>
      <c r="C7381" t="s">
        <v>461</v>
      </c>
      <c r="D7381" t="str">
        <f>VLOOKUP(C7381,'lookup table'!$A$2:$B$19,2,FALSE)</f>
        <v>Posting Level</v>
      </c>
      <c r="E7381" t="str">
        <f t="shared" si="115"/>
        <v>DZ1ACY_00|Posting Level</v>
      </c>
    </row>
    <row r="7382" spans="1:5" x14ac:dyDescent="0.2">
      <c r="A7382" t="s">
        <v>1419</v>
      </c>
      <c r="B7382" t="s">
        <v>1420</v>
      </c>
      <c r="C7382" t="s">
        <v>462</v>
      </c>
      <c r="D7382" t="e">
        <f>VLOOKUP(C7382,'lookup table'!$A$2:$B$19,2,FALSE)</f>
        <v>#N/A</v>
      </c>
      <c r="E7382" t="str">
        <f t="shared" si="115"/>
        <v/>
      </c>
    </row>
    <row r="7383" spans="1:5" x14ac:dyDescent="0.2">
      <c r="A7383" t="s">
        <v>1419</v>
      </c>
      <c r="B7383" t="s">
        <v>1420</v>
      </c>
      <c r="C7383" t="s">
        <v>463</v>
      </c>
      <c r="D7383" t="e">
        <f>VLOOKUP(C7383,'lookup table'!$A$2:$B$19,2,FALSE)</f>
        <v>#N/A</v>
      </c>
      <c r="E7383" t="str">
        <f t="shared" si="115"/>
        <v/>
      </c>
    </row>
    <row r="7384" spans="1:5" x14ac:dyDescent="0.2">
      <c r="A7384" t="s">
        <v>1419</v>
      </c>
      <c r="B7384" t="s">
        <v>1420</v>
      </c>
      <c r="C7384" t="s">
        <v>464</v>
      </c>
      <c r="D7384" t="e">
        <f>VLOOKUP(C7384,'lookup table'!$A$2:$B$19,2,FALSE)</f>
        <v>#N/A</v>
      </c>
      <c r="E7384" t="str">
        <f t="shared" si="115"/>
        <v/>
      </c>
    </row>
    <row r="7385" spans="1:5" x14ac:dyDescent="0.2">
      <c r="A7385" t="s">
        <v>1419</v>
      </c>
      <c r="B7385" t="s">
        <v>1420</v>
      </c>
      <c r="C7385" t="s">
        <v>465</v>
      </c>
      <c r="D7385" t="e">
        <f>VLOOKUP(C7385,'lookup table'!$A$2:$B$19,2,FALSE)</f>
        <v>#N/A</v>
      </c>
      <c r="E7385" t="str">
        <f t="shared" si="115"/>
        <v/>
      </c>
    </row>
    <row r="7386" spans="1:5" x14ac:dyDescent="0.2">
      <c r="A7386" t="s">
        <v>1421</v>
      </c>
      <c r="B7386" t="s">
        <v>1422</v>
      </c>
      <c r="C7386" t="s">
        <v>2</v>
      </c>
      <c r="D7386" t="e">
        <f>VLOOKUP(C7386,'lookup table'!$A$2:$B$19,2,FALSE)</f>
        <v>#N/A</v>
      </c>
      <c r="E7386" t="str">
        <f t="shared" si="115"/>
        <v/>
      </c>
    </row>
    <row r="7387" spans="1:5" x14ac:dyDescent="0.2">
      <c r="A7387" t="s">
        <v>1421</v>
      </c>
      <c r="B7387" t="s">
        <v>1422</v>
      </c>
      <c r="C7387" t="s">
        <v>5</v>
      </c>
      <c r="D7387" t="e">
        <f>VLOOKUP(C7387,'lookup table'!$A$2:$B$19,2,FALSE)</f>
        <v>#N/A</v>
      </c>
      <c r="E7387" t="str">
        <f t="shared" si="115"/>
        <v/>
      </c>
    </row>
    <row r="7388" spans="1:5" x14ac:dyDescent="0.2">
      <c r="A7388" t="s">
        <v>1421</v>
      </c>
      <c r="B7388" t="s">
        <v>1422</v>
      </c>
      <c r="C7388" t="s">
        <v>6</v>
      </c>
      <c r="D7388" t="e">
        <f>VLOOKUP(C7388,'lookup table'!$A$2:$B$19,2,FALSE)</f>
        <v>#N/A</v>
      </c>
      <c r="E7388" t="str">
        <f t="shared" si="115"/>
        <v/>
      </c>
    </row>
    <row r="7389" spans="1:5" x14ac:dyDescent="0.2">
      <c r="A7389" t="s">
        <v>1421</v>
      </c>
      <c r="B7389" t="s">
        <v>1422</v>
      </c>
      <c r="C7389" t="s">
        <v>9</v>
      </c>
      <c r="D7389" t="e">
        <f>VLOOKUP(C7389,'lookup table'!$A$2:$B$19,2,FALSE)</f>
        <v>#N/A</v>
      </c>
      <c r="E7389" t="str">
        <f t="shared" si="115"/>
        <v/>
      </c>
    </row>
    <row r="7390" spans="1:5" x14ac:dyDescent="0.2">
      <c r="A7390" t="s">
        <v>1421</v>
      </c>
      <c r="B7390" t="s">
        <v>1422</v>
      </c>
      <c r="C7390" t="s">
        <v>10</v>
      </c>
      <c r="D7390" t="e">
        <f>VLOOKUP(C7390,'lookup table'!$A$2:$B$19,2,FALSE)</f>
        <v>#N/A</v>
      </c>
      <c r="E7390" t="str">
        <f t="shared" si="115"/>
        <v/>
      </c>
    </row>
    <row r="7391" spans="1:5" x14ac:dyDescent="0.2">
      <c r="A7391" t="s">
        <v>1421</v>
      </c>
      <c r="B7391" t="s">
        <v>1422</v>
      </c>
      <c r="C7391" t="s">
        <v>11</v>
      </c>
      <c r="D7391" t="e">
        <f>VLOOKUP(C7391,'lookup table'!$A$2:$B$19,2,FALSE)</f>
        <v>#N/A</v>
      </c>
      <c r="E7391" t="str">
        <f t="shared" si="115"/>
        <v/>
      </c>
    </row>
    <row r="7392" spans="1:5" x14ac:dyDescent="0.2">
      <c r="A7392" t="s">
        <v>1421</v>
      </c>
      <c r="B7392" t="s">
        <v>1422</v>
      </c>
      <c r="C7392" t="s">
        <v>12</v>
      </c>
      <c r="D7392" t="e">
        <f>VLOOKUP(C7392,'lookup table'!$A$2:$B$19,2,FALSE)</f>
        <v>#N/A</v>
      </c>
      <c r="E7392" t="str">
        <f t="shared" si="115"/>
        <v/>
      </c>
    </row>
    <row r="7393" spans="1:5" x14ac:dyDescent="0.2">
      <c r="A7393" t="s">
        <v>1421</v>
      </c>
      <c r="B7393" t="s">
        <v>1422</v>
      </c>
      <c r="C7393" t="s">
        <v>14</v>
      </c>
      <c r="D7393" t="str">
        <f>VLOOKUP(C7393,'lookup table'!$A$2:$B$19,2,FALSE)</f>
        <v>ALC</v>
      </c>
      <c r="E7393" t="str">
        <f t="shared" si="115"/>
        <v>DZ1ALC_00|ALC</v>
      </c>
    </row>
    <row r="7394" spans="1:5" x14ac:dyDescent="0.2">
      <c r="A7394" t="s">
        <v>1421</v>
      </c>
      <c r="B7394" t="s">
        <v>1422</v>
      </c>
      <c r="C7394" t="s">
        <v>20</v>
      </c>
      <c r="D7394" t="str">
        <f>VLOOKUP(C7394,'lookup table'!$A$2:$B$19,2,FALSE)</f>
        <v>AY</v>
      </c>
      <c r="E7394" t="str">
        <f t="shared" si="115"/>
        <v>DZ1ALC_00|AY</v>
      </c>
    </row>
    <row r="7395" spans="1:5" x14ac:dyDescent="0.2">
      <c r="A7395" t="s">
        <v>1421</v>
      </c>
      <c r="B7395" t="s">
        <v>1422</v>
      </c>
      <c r="C7395" t="s">
        <v>324</v>
      </c>
      <c r="D7395" t="e">
        <f>VLOOKUP(C7395,'lookup table'!$A$2:$B$19,2,FALSE)</f>
        <v>#N/A</v>
      </c>
      <c r="E7395" t="str">
        <f t="shared" si="115"/>
        <v/>
      </c>
    </row>
    <row r="7396" spans="1:5" x14ac:dyDescent="0.2">
      <c r="A7396" t="s">
        <v>1421</v>
      </c>
      <c r="B7396" t="s">
        <v>1422</v>
      </c>
      <c r="C7396" t="s">
        <v>325</v>
      </c>
      <c r="D7396" t="e">
        <f>VLOOKUP(C7396,'lookup table'!$A$2:$B$19,2,FALSE)</f>
        <v>#N/A</v>
      </c>
      <c r="E7396" t="str">
        <f t="shared" si="115"/>
        <v/>
      </c>
    </row>
    <row r="7397" spans="1:5" x14ac:dyDescent="0.2">
      <c r="A7397" t="s">
        <v>1421</v>
      </c>
      <c r="B7397" t="s">
        <v>1422</v>
      </c>
      <c r="C7397" t="s">
        <v>326</v>
      </c>
      <c r="D7397" t="e">
        <f>VLOOKUP(C7397,'lookup table'!$A$2:$B$19,2,FALSE)</f>
        <v>#N/A</v>
      </c>
      <c r="E7397" t="str">
        <f t="shared" si="115"/>
        <v/>
      </c>
    </row>
    <row r="7398" spans="1:5" x14ac:dyDescent="0.2">
      <c r="A7398" t="s">
        <v>1421</v>
      </c>
      <c r="B7398" t="s">
        <v>1422</v>
      </c>
      <c r="C7398" t="s">
        <v>327</v>
      </c>
      <c r="D7398" t="e">
        <f>VLOOKUP(C7398,'lookup table'!$A$2:$B$19,2,FALSE)</f>
        <v>#N/A</v>
      </c>
      <c r="E7398" t="str">
        <f t="shared" si="115"/>
        <v/>
      </c>
    </row>
    <row r="7399" spans="1:5" x14ac:dyDescent="0.2">
      <c r="A7399" t="s">
        <v>1421</v>
      </c>
      <c r="B7399" t="s">
        <v>1422</v>
      </c>
      <c r="C7399" t="s">
        <v>328</v>
      </c>
      <c r="D7399" t="e">
        <f>VLOOKUP(C7399,'lookup table'!$A$2:$B$19,2,FALSE)</f>
        <v>#N/A</v>
      </c>
      <c r="E7399" t="str">
        <f t="shared" si="115"/>
        <v/>
      </c>
    </row>
    <row r="7400" spans="1:5" x14ac:dyDescent="0.2">
      <c r="A7400" t="s">
        <v>1421</v>
      </c>
      <c r="B7400" t="s">
        <v>1422</v>
      </c>
      <c r="C7400" t="s">
        <v>329</v>
      </c>
      <c r="D7400" t="e">
        <f>VLOOKUP(C7400,'lookup table'!$A$2:$B$19,2,FALSE)</f>
        <v>#N/A</v>
      </c>
      <c r="E7400" t="str">
        <f t="shared" si="115"/>
        <v/>
      </c>
    </row>
    <row r="7401" spans="1:5" x14ac:dyDescent="0.2">
      <c r="A7401" t="s">
        <v>1421</v>
      </c>
      <c r="B7401" t="s">
        <v>1422</v>
      </c>
      <c r="C7401" t="s">
        <v>331</v>
      </c>
      <c r="D7401" t="str">
        <f>VLOOKUP(C7401,'lookup table'!$A$2:$B$19,2,FALSE)</f>
        <v>FS Item</v>
      </c>
      <c r="E7401" t="str">
        <f t="shared" si="115"/>
        <v>DZ1ALC_00|FS Item</v>
      </c>
    </row>
    <row r="7402" spans="1:5" x14ac:dyDescent="0.2">
      <c r="A7402" t="s">
        <v>1421</v>
      </c>
      <c r="B7402" t="s">
        <v>1422</v>
      </c>
      <c r="C7402" t="s">
        <v>422</v>
      </c>
      <c r="D7402" t="e">
        <f>VLOOKUP(C7402,'lookup table'!$A$2:$B$19,2,FALSE)</f>
        <v>#N/A</v>
      </c>
      <c r="E7402" t="str">
        <f t="shared" si="115"/>
        <v/>
      </c>
    </row>
    <row r="7403" spans="1:5" x14ac:dyDescent="0.2">
      <c r="A7403" t="s">
        <v>1421</v>
      </c>
      <c r="B7403" t="s">
        <v>1422</v>
      </c>
      <c r="C7403" t="s">
        <v>423</v>
      </c>
      <c r="D7403" t="str">
        <f>VLOOKUP(C7403,'lookup table'!$A$2:$B$19,2,FALSE)</f>
        <v>ignore</v>
      </c>
      <c r="E7403" t="str">
        <f t="shared" si="115"/>
        <v>DZ1ALC_00|ignore</v>
      </c>
    </row>
    <row r="7404" spans="1:5" x14ac:dyDescent="0.2">
      <c r="A7404" t="s">
        <v>1421</v>
      </c>
      <c r="B7404" t="s">
        <v>1422</v>
      </c>
      <c r="C7404" t="s">
        <v>424</v>
      </c>
      <c r="D7404" t="str">
        <f>VLOOKUP(C7404,'lookup table'!$A$2:$B$19,2,FALSE)</f>
        <v>GRC</v>
      </c>
      <c r="E7404" t="str">
        <f t="shared" si="115"/>
        <v>DZ1ALC_00|GRC</v>
      </c>
    </row>
    <row r="7405" spans="1:5" x14ac:dyDescent="0.2">
      <c r="A7405" t="s">
        <v>1421</v>
      </c>
      <c r="B7405" t="s">
        <v>1422</v>
      </c>
      <c r="C7405" t="s">
        <v>425</v>
      </c>
      <c r="D7405" t="str">
        <f>VLOOKUP(C7405,'lookup table'!$A$2:$B$19,2,FALSE)</f>
        <v>Investee Segment</v>
      </c>
      <c r="E7405" t="str">
        <f t="shared" si="115"/>
        <v>DZ1ALC_00|Investee Segment</v>
      </c>
    </row>
    <row r="7406" spans="1:5" x14ac:dyDescent="0.2">
      <c r="A7406" t="s">
        <v>1421</v>
      </c>
      <c r="B7406" t="s">
        <v>1422</v>
      </c>
      <c r="C7406" t="s">
        <v>426</v>
      </c>
      <c r="D7406" t="str">
        <f>VLOOKUP(C7406,'lookup table'!$A$2:$B$19,2,FALSE)</f>
        <v>Investee Unit</v>
      </c>
      <c r="E7406" t="str">
        <f t="shared" si="115"/>
        <v>DZ1ALC_00|Investee Unit</v>
      </c>
    </row>
    <row r="7407" spans="1:5" x14ac:dyDescent="0.2">
      <c r="A7407" t="s">
        <v>1421</v>
      </c>
      <c r="B7407" t="s">
        <v>1422</v>
      </c>
      <c r="C7407" t="s">
        <v>428</v>
      </c>
      <c r="D7407" t="str">
        <f>VLOOKUP(C7407,'lookup table'!$A$2:$B$19,2,FALSE)</f>
        <v>LoB</v>
      </c>
      <c r="E7407" t="str">
        <f t="shared" si="115"/>
        <v>DZ1ALC_00|LoB</v>
      </c>
    </row>
    <row r="7408" spans="1:5" x14ac:dyDescent="0.2">
      <c r="A7408" t="s">
        <v>1421</v>
      </c>
      <c r="B7408" t="s">
        <v>1422</v>
      </c>
      <c r="C7408" t="s">
        <v>436</v>
      </c>
      <c r="D7408" t="str">
        <f>VLOOKUP(C7408,'lookup table'!$A$2:$B$19,2,FALSE)</f>
        <v>MAT</v>
      </c>
      <c r="E7408" t="str">
        <f t="shared" si="115"/>
        <v>DZ1ALC_00|MAT</v>
      </c>
    </row>
    <row r="7409" spans="1:5" x14ac:dyDescent="0.2">
      <c r="A7409" t="s">
        <v>1421</v>
      </c>
      <c r="B7409" t="s">
        <v>1422</v>
      </c>
      <c r="C7409" t="s">
        <v>438</v>
      </c>
      <c r="D7409" t="str">
        <f>VLOOKUP(C7409,'lookup table'!$A$2:$B$19,2,FALSE)</f>
        <v>ToM</v>
      </c>
      <c r="E7409" t="str">
        <f t="shared" si="115"/>
        <v>DZ1ALC_00|ToM</v>
      </c>
    </row>
    <row r="7410" spans="1:5" x14ac:dyDescent="0.2">
      <c r="A7410" t="s">
        <v>1421</v>
      </c>
      <c r="B7410" t="s">
        <v>1422</v>
      </c>
      <c r="C7410" t="s">
        <v>441</v>
      </c>
      <c r="D7410" t="str">
        <f>VLOOKUP(C7410,'lookup table'!$A$2:$B$19,2,FALSE)</f>
        <v>Partner Segment</v>
      </c>
      <c r="E7410" t="str">
        <f t="shared" si="115"/>
        <v>DZ1ALC_00|Partner Segment</v>
      </c>
    </row>
    <row r="7411" spans="1:5" x14ac:dyDescent="0.2">
      <c r="A7411" t="s">
        <v>1421</v>
      </c>
      <c r="B7411" t="s">
        <v>1422</v>
      </c>
      <c r="C7411" t="s">
        <v>442</v>
      </c>
      <c r="D7411" t="str">
        <f>VLOOKUP(C7411,'lookup table'!$A$2:$B$19,2,FALSE)</f>
        <v>Partner Unit</v>
      </c>
      <c r="E7411" t="str">
        <f t="shared" si="115"/>
        <v>DZ1ALC_00|Partner Unit</v>
      </c>
    </row>
    <row r="7412" spans="1:5" x14ac:dyDescent="0.2">
      <c r="A7412" t="s">
        <v>1421</v>
      </c>
      <c r="B7412" t="s">
        <v>1422</v>
      </c>
      <c r="C7412" t="s">
        <v>447</v>
      </c>
      <c r="D7412" t="str">
        <f>VLOOKUP(C7412,'lookup table'!$A$2:$B$19,2,FALSE)</f>
        <v>REX</v>
      </c>
      <c r="E7412" t="str">
        <f t="shared" si="115"/>
        <v>DZ1ALC_00|REX</v>
      </c>
    </row>
    <row r="7413" spans="1:5" x14ac:dyDescent="0.2">
      <c r="A7413" t="s">
        <v>1421</v>
      </c>
      <c r="B7413" t="s">
        <v>1422</v>
      </c>
      <c r="C7413" t="s">
        <v>448</v>
      </c>
      <c r="D7413" t="e">
        <f>VLOOKUP(C7413,'lookup table'!$A$2:$B$19,2,FALSE)</f>
        <v>#N/A</v>
      </c>
      <c r="E7413" t="str">
        <f t="shared" si="115"/>
        <v/>
      </c>
    </row>
    <row r="7414" spans="1:5" x14ac:dyDescent="0.2">
      <c r="A7414" t="s">
        <v>1421</v>
      </c>
      <c r="B7414" t="s">
        <v>1422</v>
      </c>
      <c r="C7414" t="s">
        <v>449</v>
      </c>
      <c r="D7414" t="e">
        <f>VLOOKUP(C7414,'lookup table'!$A$2:$B$19,2,FALSE)</f>
        <v>#N/A</v>
      </c>
      <c r="E7414" t="str">
        <f t="shared" si="115"/>
        <v/>
      </c>
    </row>
    <row r="7415" spans="1:5" x14ac:dyDescent="0.2">
      <c r="A7415" t="s">
        <v>1421</v>
      </c>
      <c r="B7415" t="s">
        <v>1422</v>
      </c>
      <c r="C7415" t="s">
        <v>451</v>
      </c>
      <c r="D7415" t="str">
        <f>VLOOKUP(C7415,'lookup table'!$A$2:$B$19,2,FALSE)</f>
        <v>Segment</v>
      </c>
      <c r="E7415" t="str">
        <f t="shared" si="115"/>
        <v>DZ1ALC_00|Segment</v>
      </c>
    </row>
    <row r="7416" spans="1:5" x14ac:dyDescent="0.2">
      <c r="A7416" t="s">
        <v>1421</v>
      </c>
      <c r="B7416" t="s">
        <v>1422</v>
      </c>
      <c r="C7416" t="s">
        <v>455</v>
      </c>
      <c r="D7416" t="e">
        <f>VLOOKUP(C7416,'lookup table'!$A$2:$B$19,2,FALSE)</f>
        <v>#N/A</v>
      </c>
      <c r="E7416" t="str">
        <f t="shared" si="115"/>
        <v/>
      </c>
    </row>
    <row r="7417" spans="1:5" x14ac:dyDescent="0.2">
      <c r="A7417" t="s">
        <v>1421</v>
      </c>
      <c r="B7417" t="s">
        <v>1422</v>
      </c>
      <c r="C7417" t="s">
        <v>456</v>
      </c>
      <c r="D7417" t="e">
        <f>VLOOKUP(C7417,'lookup table'!$A$2:$B$19,2,FALSE)</f>
        <v>#N/A</v>
      </c>
      <c r="E7417" t="str">
        <f t="shared" si="115"/>
        <v/>
      </c>
    </row>
    <row r="7418" spans="1:5" x14ac:dyDescent="0.2">
      <c r="A7418" t="s">
        <v>1421</v>
      </c>
      <c r="B7418" t="s">
        <v>1422</v>
      </c>
      <c r="C7418" t="s">
        <v>457</v>
      </c>
      <c r="D7418" t="str">
        <f>VLOOKUP(C7418,'lookup table'!$A$2:$B$19,2,FALSE)</f>
        <v>VLT</v>
      </c>
      <c r="E7418" t="str">
        <f t="shared" si="115"/>
        <v>DZ1ALC_00|VLT</v>
      </c>
    </row>
    <row r="7419" spans="1:5" x14ac:dyDescent="0.2">
      <c r="A7419" t="s">
        <v>1421</v>
      </c>
      <c r="B7419" t="s">
        <v>1422</v>
      </c>
      <c r="C7419" t="s">
        <v>458</v>
      </c>
      <c r="D7419" t="str">
        <f>VLOOKUP(C7419,'lookup table'!$A$2:$B$19,2,FALSE)</f>
        <v>VAR</v>
      </c>
      <c r="E7419" t="str">
        <f t="shared" si="115"/>
        <v>DZ1ALC_00|VAR</v>
      </c>
    </row>
    <row r="7420" spans="1:5" x14ac:dyDescent="0.2">
      <c r="A7420" t="s">
        <v>1421</v>
      </c>
      <c r="B7420" t="s">
        <v>1422</v>
      </c>
      <c r="C7420" t="s">
        <v>459</v>
      </c>
      <c r="D7420" t="e">
        <f>VLOOKUP(C7420,'lookup table'!$A$2:$B$19,2,FALSE)</f>
        <v>#N/A</v>
      </c>
      <c r="E7420" t="str">
        <f t="shared" si="115"/>
        <v/>
      </c>
    </row>
    <row r="7421" spans="1:5" x14ac:dyDescent="0.2">
      <c r="A7421" t="s">
        <v>1421</v>
      </c>
      <c r="B7421" t="s">
        <v>1422</v>
      </c>
      <c r="C7421" t="s">
        <v>460</v>
      </c>
      <c r="D7421" t="e">
        <f>VLOOKUP(C7421,'lookup table'!$A$2:$B$19,2,FALSE)</f>
        <v>#N/A</v>
      </c>
      <c r="E7421" t="str">
        <f t="shared" si="115"/>
        <v/>
      </c>
    </row>
    <row r="7422" spans="1:5" x14ac:dyDescent="0.2">
      <c r="A7422" t="s">
        <v>1421</v>
      </c>
      <c r="B7422" t="s">
        <v>1422</v>
      </c>
      <c r="C7422" t="s">
        <v>461</v>
      </c>
      <c r="D7422" t="str">
        <f>VLOOKUP(C7422,'lookup table'!$A$2:$B$19,2,FALSE)</f>
        <v>Posting Level</v>
      </c>
      <c r="E7422" t="str">
        <f t="shared" si="115"/>
        <v>DZ1ALC_00|Posting Level</v>
      </c>
    </row>
    <row r="7423" spans="1:5" x14ac:dyDescent="0.2">
      <c r="A7423" t="s">
        <v>1421</v>
      </c>
      <c r="B7423" t="s">
        <v>1422</v>
      </c>
      <c r="C7423" t="s">
        <v>462</v>
      </c>
      <c r="D7423" t="e">
        <f>VLOOKUP(C7423,'lookup table'!$A$2:$B$19,2,FALSE)</f>
        <v>#N/A</v>
      </c>
      <c r="E7423" t="str">
        <f t="shared" si="115"/>
        <v/>
      </c>
    </row>
    <row r="7424" spans="1:5" x14ac:dyDescent="0.2">
      <c r="A7424" t="s">
        <v>1421</v>
      </c>
      <c r="B7424" t="s">
        <v>1422</v>
      </c>
      <c r="C7424" t="s">
        <v>463</v>
      </c>
      <c r="D7424" t="e">
        <f>VLOOKUP(C7424,'lookup table'!$A$2:$B$19,2,FALSE)</f>
        <v>#N/A</v>
      </c>
      <c r="E7424" t="str">
        <f t="shared" si="115"/>
        <v/>
      </c>
    </row>
    <row r="7425" spans="1:5" x14ac:dyDescent="0.2">
      <c r="A7425" t="s">
        <v>1421</v>
      </c>
      <c r="B7425" t="s">
        <v>1422</v>
      </c>
      <c r="C7425" t="s">
        <v>464</v>
      </c>
      <c r="D7425" t="e">
        <f>VLOOKUP(C7425,'lookup table'!$A$2:$B$19,2,FALSE)</f>
        <v>#N/A</v>
      </c>
      <c r="E7425" t="str">
        <f t="shared" si="115"/>
        <v/>
      </c>
    </row>
    <row r="7426" spans="1:5" x14ac:dyDescent="0.2">
      <c r="A7426" t="s">
        <v>1421</v>
      </c>
      <c r="B7426" t="s">
        <v>1422</v>
      </c>
      <c r="C7426" t="s">
        <v>465</v>
      </c>
      <c r="D7426" t="e">
        <f>VLOOKUP(C7426,'lookup table'!$A$2:$B$19,2,FALSE)</f>
        <v>#N/A</v>
      </c>
      <c r="E7426" t="str">
        <f t="shared" si="115"/>
        <v/>
      </c>
    </row>
    <row r="7427" spans="1:5" x14ac:dyDescent="0.2">
      <c r="A7427" t="s">
        <v>1423</v>
      </c>
      <c r="B7427" t="s">
        <v>1424</v>
      </c>
      <c r="C7427" t="s">
        <v>2</v>
      </c>
      <c r="D7427" t="e">
        <f>VLOOKUP(C7427,'lookup table'!$A$2:$B$19,2,FALSE)</f>
        <v>#N/A</v>
      </c>
      <c r="E7427" t="str">
        <f t="shared" ref="E7427:E7490" si="116">IF(ISNA(D7427),"",IF(A7427="","",A7427) &amp; "|" &amp; D7427)</f>
        <v/>
      </c>
    </row>
    <row r="7428" spans="1:5" x14ac:dyDescent="0.2">
      <c r="A7428" t="s">
        <v>1423</v>
      </c>
      <c r="B7428" t="s">
        <v>1424</v>
      </c>
      <c r="C7428" t="s">
        <v>5</v>
      </c>
      <c r="D7428" t="e">
        <f>VLOOKUP(C7428,'lookup table'!$A$2:$B$19,2,FALSE)</f>
        <v>#N/A</v>
      </c>
      <c r="E7428" t="str">
        <f t="shared" si="116"/>
        <v/>
      </c>
    </row>
    <row r="7429" spans="1:5" x14ac:dyDescent="0.2">
      <c r="A7429" t="s">
        <v>1423</v>
      </c>
      <c r="B7429" t="s">
        <v>1424</v>
      </c>
      <c r="C7429" t="s">
        <v>6</v>
      </c>
      <c r="D7429" t="e">
        <f>VLOOKUP(C7429,'lookup table'!$A$2:$B$19,2,FALSE)</f>
        <v>#N/A</v>
      </c>
      <c r="E7429" t="str">
        <f t="shared" si="116"/>
        <v/>
      </c>
    </row>
    <row r="7430" spans="1:5" x14ac:dyDescent="0.2">
      <c r="A7430" t="s">
        <v>1423</v>
      </c>
      <c r="B7430" t="s">
        <v>1424</v>
      </c>
      <c r="C7430" t="s">
        <v>9</v>
      </c>
      <c r="D7430" t="e">
        <f>VLOOKUP(C7430,'lookup table'!$A$2:$B$19,2,FALSE)</f>
        <v>#N/A</v>
      </c>
      <c r="E7430" t="str">
        <f t="shared" si="116"/>
        <v/>
      </c>
    </row>
    <row r="7431" spans="1:5" x14ac:dyDescent="0.2">
      <c r="A7431" t="s">
        <v>1423</v>
      </c>
      <c r="B7431" t="s">
        <v>1424</v>
      </c>
      <c r="C7431" t="s">
        <v>10</v>
      </c>
      <c r="D7431" t="e">
        <f>VLOOKUP(C7431,'lookup table'!$A$2:$B$19,2,FALSE)</f>
        <v>#N/A</v>
      </c>
      <c r="E7431" t="str">
        <f t="shared" si="116"/>
        <v/>
      </c>
    </row>
    <row r="7432" spans="1:5" x14ac:dyDescent="0.2">
      <c r="A7432" t="s">
        <v>1423</v>
      </c>
      <c r="B7432" t="s">
        <v>1424</v>
      </c>
      <c r="C7432" t="s">
        <v>11</v>
      </c>
      <c r="D7432" t="e">
        <f>VLOOKUP(C7432,'lookup table'!$A$2:$B$19,2,FALSE)</f>
        <v>#N/A</v>
      </c>
      <c r="E7432" t="str">
        <f t="shared" si="116"/>
        <v/>
      </c>
    </row>
    <row r="7433" spans="1:5" x14ac:dyDescent="0.2">
      <c r="A7433" t="s">
        <v>1423</v>
      </c>
      <c r="B7433" t="s">
        <v>1424</v>
      </c>
      <c r="C7433" t="s">
        <v>12</v>
      </c>
      <c r="D7433" t="e">
        <f>VLOOKUP(C7433,'lookup table'!$A$2:$B$19,2,FALSE)</f>
        <v>#N/A</v>
      </c>
      <c r="E7433" t="str">
        <f t="shared" si="116"/>
        <v/>
      </c>
    </row>
    <row r="7434" spans="1:5" x14ac:dyDescent="0.2">
      <c r="A7434" t="s">
        <v>1423</v>
      </c>
      <c r="B7434" t="s">
        <v>1424</v>
      </c>
      <c r="C7434" t="s">
        <v>14</v>
      </c>
      <c r="D7434" t="str">
        <f>VLOOKUP(C7434,'lookup table'!$A$2:$B$19,2,FALSE)</f>
        <v>ALC</v>
      </c>
      <c r="E7434" t="str">
        <f t="shared" si="116"/>
        <v>DZ1LOB_00|ALC</v>
      </c>
    </row>
    <row r="7435" spans="1:5" x14ac:dyDescent="0.2">
      <c r="A7435" t="s">
        <v>1423</v>
      </c>
      <c r="B7435" t="s">
        <v>1424</v>
      </c>
      <c r="C7435" t="s">
        <v>20</v>
      </c>
      <c r="D7435" t="str">
        <f>VLOOKUP(C7435,'lookup table'!$A$2:$B$19,2,FALSE)</f>
        <v>AY</v>
      </c>
      <c r="E7435" t="str">
        <f t="shared" si="116"/>
        <v>DZ1LOB_00|AY</v>
      </c>
    </row>
    <row r="7436" spans="1:5" x14ac:dyDescent="0.2">
      <c r="A7436" t="s">
        <v>1423</v>
      </c>
      <c r="B7436" t="s">
        <v>1424</v>
      </c>
      <c r="C7436" t="s">
        <v>324</v>
      </c>
      <c r="D7436" t="e">
        <f>VLOOKUP(C7436,'lookup table'!$A$2:$B$19,2,FALSE)</f>
        <v>#N/A</v>
      </c>
      <c r="E7436" t="str">
        <f t="shared" si="116"/>
        <v/>
      </c>
    </row>
    <row r="7437" spans="1:5" x14ac:dyDescent="0.2">
      <c r="A7437" t="s">
        <v>1423</v>
      </c>
      <c r="B7437" t="s">
        <v>1424</v>
      </c>
      <c r="C7437" t="s">
        <v>325</v>
      </c>
      <c r="D7437" t="e">
        <f>VLOOKUP(C7437,'lookup table'!$A$2:$B$19,2,FALSE)</f>
        <v>#N/A</v>
      </c>
      <c r="E7437" t="str">
        <f t="shared" si="116"/>
        <v/>
      </c>
    </row>
    <row r="7438" spans="1:5" x14ac:dyDescent="0.2">
      <c r="A7438" t="s">
        <v>1423</v>
      </c>
      <c r="B7438" t="s">
        <v>1424</v>
      </c>
      <c r="C7438" t="s">
        <v>326</v>
      </c>
      <c r="D7438" t="e">
        <f>VLOOKUP(C7438,'lookup table'!$A$2:$B$19,2,FALSE)</f>
        <v>#N/A</v>
      </c>
      <c r="E7438" t="str">
        <f t="shared" si="116"/>
        <v/>
      </c>
    </row>
    <row r="7439" spans="1:5" x14ac:dyDescent="0.2">
      <c r="A7439" t="s">
        <v>1423</v>
      </c>
      <c r="B7439" t="s">
        <v>1424</v>
      </c>
      <c r="C7439" t="s">
        <v>327</v>
      </c>
      <c r="D7439" t="e">
        <f>VLOOKUP(C7439,'lookup table'!$A$2:$B$19,2,FALSE)</f>
        <v>#N/A</v>
      </c>
      <c r="E7439" t="str">
        <f t="shared" si="116"/>
        <v/>
      </c>
    </row>
    <row r="7440" spans="1:5" x14ac:dyDescent="0.2">
      <c r="A7440" t="s">
        <v>1423</v>
      </c>
      <c r="B7440" t="s">
        <v>1424</v>
      </c>
      <c r="C7440" t="s">
        <v>328</v>
      </c>
      <c r="D7440" t="e">
        <f>VLOOKUP(C7440,'lookup table'!$A$2:$B$19,2,FALSE)</f>
        <v>#N/A</v>
      </c>
      <c r="E7440" t="str">
        <f t="shared" si="116"/>
        <v/>
      </c>
    </row>
    <row r="7441" spans="1:5" x14ac:dyDescent="0.2">
      <c r="A7441" t="s">
        <v>1423</v>
      </c>
      <c r="B7441" t="s">
        <v>1424</v>
      </c>
      <c r="C7441" t="s">
        <v>329</v>
      </c>
      <c r="D7441" t="e">
        <f>VLOOKUP(C7441,'lookup table'!$A$2:$B$19,2,FALSE)</f>
        <v>#N/A</v>
      </c>
      <c r="E7441" t="str">
        <f t="shared" si="116"/>
        <v/>
      </c>
    </row>
    <row r="7442" spans="1:5" x14ac:dyDescent="0.2">
      <c r="A7442" t="s">
        <v>1423</v>
      </c>
      <c r="B7442" t="s">
        <v>1424</v>
      </c>
      <c r="C7442" t="s">
        <v>331</v>
      </c>
      <c r="D7442" t="str">
        <f>VLOOKUP(C7442,'lookup table'!$A$2:$B$19,2,FALSE)</f>
        <v>FS Item</v>
      </c>
      <c r="E7442" t="str">
        <f t="shared" si="116"/>
        <v>DZ1LOB_00|FS Item</v>
      </c>
    </row>
    <row r="7443" spans="1:5" x14ac:dyDescent="0.2">
      <c r="A7443" t="s">
        <v>1423</v>
      </c>
      <c r="B7443" t="s">
        <v>1424</v>
      </c>
      <c r="C7443" t="s">
        <v>422</v>
      </c>
      <c r="D7443" t="e">
        <f>VLOOKUP(C7443,'lookup table'!$A$2:$B$19,2,FALSE)</f>
        <v>#N/A</v>
      </c>
      <c r="E7443" t="str">
        <f t="shared" si="116"/>
        <v/>
      </c>
    </row>
    <row r="7444" spans="1:5" x14ac:dyDescent="0.2">
      <c r="A7444" t="s">
        <v>1423</v>
      </c>
      <c r="B7444" t="s">
        <v>1424</v>
      </c>
      <c r="C7444" t="s">
        <v>423</v>
      </c>
      <c r="D7444" t="str">
        <f>VLOOKUP(C7444,'lookup table'!$A$2:$B$19,2,FALSE)</f>
        <v>ignore</v>
      </c>
      <c r="E7444" t="str">
        <f t="shared" si="116"/>
        <v>DZ1LOB_00|ignore</v>
      </c>
    </row>
    <row r="7445" spans="1:5" x14ac:dyDescent="0.2">
      <c r="A7445" t="s">
        <v>1423</v>
      </c>
      <c r="B7445" t="s">
        <v>1424</v>
      </c>
      <c r="C7445" t="s">
        <v>424</v>
      </c>
      <c r="D7445" t="str">
        <f>VLOOKUP(C7445,'lookup table'!$A$2:$B$19,2,FALSE)</f>
        <v>GRC</v>
      </c>
      <c r="E7445" t="str">
        <f t="shared" si="116"/>
        <v>DZ1LOB_00|GRC</v>
      </c>
    </row>
    <row r="7446" spans="1:5" x14ac:dyDescent="0.2">
      <c r="A7446" t="s">
        <v>1423</v>
      </c>
      <c r="B7446" t="s">
        <v>1424</v>
      </c>
      <c r="C7446" t="s">
        <v>425</v>
      </c>
      <c r="D7446" t="str">
        <f>VLOOKUP(C7446,'lookup table'!$A$2:$B$19,2,FALSE)</f>
        <v>Investee Segment</v>
      </c>
      <c r="E7446" t="str">
        <f t="shared" si="116"/>
        <v>DZ1LOB_00|Investee Segment</v>
      </c>
    </row>
    <row r="7447" spans="1:5" x14ac:dyDescent="0.2">
      <c r="A7447" t="s">
        <v>1423</v>
      </c>
      <c r="B7447" t="s">
        <v>1424</v>
      </c>
      <c r="C7447" t="s">
        <v>426</v>
      </c>
      <c r="D7447" t="str">
        <f>VLOOKUP(C7447,'lookup table'!$A$2:$B$19,2,FALSE)</f>
        <v>Investee Unit</v>
      </c>
      <c r="E7447" t="str">
        <f t="shared" si="116"/>
        <v>DZ1LOB_00|Investee Unit</v>
      </c>
    </row>
    <row r="7448" spans="1:5" x14ac:dyDescent="0.2">
      <c r="A7448" t="s">
        <v>1423</v>
      </c>
      <c r="B7448" t="s">
        <v>1424</v>
      </c>
      <c r="C7448" t="s">
        <v>428</v>
      </c>
      <c r="D7448" t="str">
        <f>VLOOKUP(C7448,'lookup table'!$A$2:$B$19,2,FALSE)</f>
        <v>LoB</v>
      </c>
      <c r="E7448" t="str">
        <f t="shared" si="116"/>
        <v>DZ1LOB_00|LoB</v>
      </c>
    </row>
    <row r="7449" spans="1:5" x14ac:dyDescent="0.2">
      <c r="A7449" t="s">
        <v>1423</v>
      </c>
      <c r="B7449" t="s">
        <v>1424</v>
      </c>
      <c r="C7449" t="s">
        <v>436</v>
      </c>
      <c r="D7449" t="str">
        <f>VLOOKUP(C7449,'lookup table'!$A$2:$B$19,2,FALSE)</f>
        <v>MAT</v>
      </c>
      <c r="E7449" t="str">
        <f t="shared" si="116"/>
        <v>DZ1LOB_00|MAT</v>
      </c>
    </row>
    <row r="7450" spans="1:5" x14ac:dyDescent="0.2">
      <c r="A7450" t="s">
        <v>1423</v>
      </c>
      <c r="B7450" t="s">
        <v>1424</v>
      </c>
      <c r="C7450" t="s">
        <v>441</v>
      </c>
      <c r="D7450" t="str">
        <f>VLOOKUP(C7450,'lookup table'!$A$2:$B$19,2,FALSE)</f>
        <v>Partner Segment</v>
      </c>
      <c r="E7450" t="str">
        <f t="shared" si="116"/>
        <v>DZ1LOB_00|Partner Segment</v>
      </c>
    </row>
    <row r="7451" spans="1:5" x14ac:dyDescent="0.2">
      <c r="A7451" t="s">
        <v>1423</v>
      </c>
      <c r="B7451" t="s">
        <v>1424</v>
      </c>
      <c r="C7451" t="s">
        <v>442</v>
      </c>
      <c r="D7451" t="str">
        <f>VLOOKUP(C7451,'lookup table'!$A$2:$B$19,2,FALSE)</f>
        <v>Partner Unit</v>
      </c>
      <c r="E7451" t="str">
        <f t="shared" si="116"/>
        <v>DZ1LOB_00|Partner Unit</v>
      </c>
    </row>
    <row r="7452" spans="1:5" x14ac:dyDescent="0.2">
      <c r="A7452" t="s">
        <v>1423</v>
      </c>
      <c r="B7452" t="s">
        <v>1424</v>
      </c>
      <c r="C7452" t="s">
        <v>447</v>
      </c>
      <c r="D7452" t="str">
        <f>VLOOKUP(C7452,'lookup table'!$A$2:$B$19,2,FALSE)</f>
        <v>REX</v>
      </c>
      <c r="E7452" t="str">
        <f t="shared" si="116"/>
        <v>DZ1LOB_00|REX</v>
      </c>
    </row>
    <row r="7453" spans="1:5" x14ac:dyDescent="0.2">
      <c r="A7453" t="s">
        <v>1423</v>
      </c>
      <c r="B7453" t="s">
        <v>1424</v>
      </c>
      <c r="C7453" t="s">
        <v>448</v>
      </c>
      <c r="D7453" t="e">
        <f>VLOOKUP(C7453,'lookup table'!$A$2:$B$19,2,FALSE)</f>
        <v>#N/A</v>
      </c>
      <c r="E7453" t="str">
        <f t="shared" si="116"/>
        <v/>
      </c>
    </row>
    <row r="7454" spans="1:5" x14ac:dyDescent="0.2">
      <c r="A7454" t="s">
        <v>1423</v>
      </c>
      <c r="B7454" t="s">
        <v>1424</v>
      </c>
      <c r="C7454" t="s">
        <v>449</v>
      </c>
      <c r="D7454" t="e">
        <f>VLOOKUP(C7454,'lookup table'!$A$2:$B$19,2,FALSE)</f>
        <v>#N/A</v>
      </c>
      <c r="E7454" t="str">
        <f t="shared" si="116"/>
        <v/>
      </c>
    </row>
    <row r="7455" spans="1:5" x14ac:dyDescent="0.2">
      <c r="A7455" t="s">
        <v>1423</v>
      </c>
      <c r="B7455" t="s">
        <v>1424</v>
      </c>
      <c r="C7455" t="s">
        <v>451</v>
      </c>
      <c r="D7455" t="str">
        <f>VLOOKUP(C7455,'lookup table'!$A$2:$B$19,2,FALSE)</f>
        <v>Segment</v>
      </c>
      <c r="E7455" t="str">
        <f t="shared" si="116"/>
        <v>DZ1LOB_00|Segment</v>
      </c>
    </row>
    <row r="7456" spans="1:5" x14ac:dyDescent="0.2">
      <c r="A7456" t="s">
        <v>1423</v>
      </c>
      <c r="B7456" t="s">
        <v>1424</v>
      </c>
      <c r="C7456" t="s">
        <v>455</v>
      </c>
      <c r="D7456" t="e">
        <f>VLOOKUP(C7456,'lookup table'!$A$2:$B$19,2,FALSE)</f>
        <v>#N/A</v>
      </c>
      <c r="E7456" t="str">
        <f t="shared" si="116"/>
        <v/>
      </c>
    </row>
    <row r="7457" spans="1:5" x14ac:dyDescent="0.2">
      <c r="A7457" t="s">
        <v>1423</v>
      </c>
      <c r="B7457" t="s">
        <v>1424</v>
      </c>
      <c r="C7457" t="s">
        <v>456</v>
      </c>
      <c r="D7457" t="e">
        <f>VLOOKUP(C7457,'lookup table'!$A$2:$B$19,2,FALSE)</f>
        <v>#N/A</v>
      </c>
      <c r="E7457" t="str">
        <f t="shared" si="116"/>
        <v/>
      </c>
    </row>
    <row r="7458" spans="1:5" x14ac:dyDescent="0.2">
      <c r="A7458" t="s">
        <v>1423</v>
      </c>
      <c r="B7458" t="s">
        <v>1424</v>
      </c>
      <c r="C7458" t="s">
        <v>457</v>
      </c>
      <c r="D7458" t="str">
        <f>VLOOKUP(C7458,'lookup table'!$A$2:$B$19,2,FALSE)</f>
        <v>VLT</v>
      </c>
      <c r="E7458" t="str">
        <f t="shared" si="116"/>
        <v>DZ1LOB_00|VLT</v>
      </c>
    </row>
    <row r="7459" spans="1:5" x14ac:dyDescent="0.2">
      <c r="A7459" t="s">
        <v>1423</v>
      </c>
      <c r="B7459" t="s">
        <v>1424</v>
      </c>
      <c r="C7459" t="s">
        <v>458</v>
      </c>
      <c r="D7459" t="str">
        <f>VLOOKUP(C7459,'lookup table'!$A$2:$B$19,2,FALSE)</f>
        <v>VAR</v>
      </c>
      <c r="E7459" t="str">
        <f t="shared" si="116"/>
        <v>DZ1LOB_00|VAR</v>
      </c>
    </row>
    <row r="7460" spans="1:5" x14ac:dyDescent="0.2">
      <c r="A7460" t="s">
        <v>1423</v>
      </c>
      <c r="B7460" t="s">
        <v>1424</v>
      </c>
      <c r="C7460" t="s">
        <v>459</v>
      </c>
      <c r="D7460" t="e">
        <f>VLOOKUP(C7460,'lookup table'!$A$2:$B$19,2,FALSE)</f>
        <v>#N/A</v>
      </c>
      <c r="E7460" t="str">
        <f t="shared" si="116"/>
        <v/>
      </c>
    </row>
    <row r="7461" spans="1:5" x14ac:dyDescent="0.2">
      <c r="A7461" t="s">
        <v>1423</v>
      </c>
      <c r="B7461" t="s">
        <v>1424</v>
      </c>
      <c r="C7461" t="s">
        <v>460</v>
      </c>
      <c r="D7461" t="e">
        <f>VLOOKUP(C7461,'lookup table'!$A$2:$B$19,2,FALSE)</f>
        <v>#N/A</v>
      </c>
      <c r="E7461" t="str">
        <f t="shared" si="116"/>
        <v/>
      </c>
    </row>
    <row r="7462" spans="1:5" x14ac:dyDescent="0.2">
      <c r="A7462" t="s">
        <v>1423</v>
      </c>
      <c r="B7462" t="s">
        <v>1424</v>
      </c>
      <c r="C7462" t="s">
        <v>461</v>
      </c>
      <c r="D7462" t="str">
        <f>VLOOKUP(C7462,'lookup table'!$A$2:$B$19,2,FALSE)</f>
        <v>Posting Level</v>
      </c>
      <c r="E7462" t="str">
        <f t="shared" si="116"/>
        <v>DZ1LOB_00|Posting Level</v>
      </c>
    </row>
    <row r="7463" spans="1:5" x14ac:dyDescent="0.2">
      <c r="A7463" t="s">
        <v>1423</v>
      </c>
      <c r="B7463" t="s">
        <v>1424</v>
      </c>
      <c r="C7463" t="s">
        <v>462</v>
      </c>
      <c r="D7463" t="e">
        <f>VLOOKUP(C7463,'lookup table'!$A$2:$B$19,2,FALSE)</f>
        <v>#N/A</v>
      </c>
      <c r="E7463" t="str">
        <f t="shared" si="116"/>
        <v/>
      </c>
    </row>
    <row r="7464" spans="1:5" x14ac:dyDescent="0.2">
      <c r="A7464" t="s">
        <v>1423</v>
      </c>
      <c r="B7464" t="s">
        <v>1424</v>
      </c>
      <c r="C7464" t="s">
        <v>463</v>
      </c>
      <c r="D7464" t="e">
        <f>VLOOKUP(C7464,'lookup table'!$A$2:$B$19,2,FALSE)</f>
        <v>#N/A</v>
      </c>
      <c r="E7464" t="str">
        <f t="shared" si="116"/>
        <v/>
      </c>
    </row>
    <row r="7465" spans="1:5" x14ac:dyDescent="0.2">
      <c r="A7465" t="s">
        <v>1423</v>
      </c>
      <c r="B7465" t="s">
        <v>1424</v>
      </c>
      <c r="C7465" t="s">
        <v>464</v>
      </c>
      <c r="D7465" t="e">
        <f>VLOOKUP(C7465,'lookup table'!$A$2:$B$19,2,FALSE)</f>
        <v>#N/A</v>
      </c>
      <c r="E7465" t="str">
        <f t="shared" si="116"/>
        <v/>
      </c>
    </row>
    <row r="7466" spans="1:5" x14ac:dyDescent="0.2">
      <c r="A7466" t="s">
        <v>1423</v>
      </c>
      <c r="B7466" t="s">
        <v>1424</v>
      </c>
      <c r="C7466" t="s">
        <v>465</v>
      </c>
      <c r="D7466" t="e">
        <f>VLOOKUP(C7466,'lookup table'!$A$2:$B$19,2,FALSE)</f>
        <v>#N/A</v>
      </c>
      <c r="E7466" t="str">
        <f t="shared" si="116"/>
        <v/>
      </c>
    </row>
    <row r="7467" spans="1:5" x14ac:dyDescent="0.2">
      <c r="A7467" t="s">
        <v>1425</v>
      </c>
      <c r="B7467" t="s">
        <v>4</v>
      </c>
      <c r="C7467" t="s">
        <v>2</v>
      </c>
      <c r="D7467" t="e">
        <f>VLOOKUP(C7467,'lookup table'!$A$2:$B$19,2,FALSE)</f>
        <v>#N/A</v>
      </c>
      <c r="E7467" t="str">
        <f t="shared" si="116"/>
        <v/>
      </c>
    </row>
    <row r="7468" spans="1:5" x14ac:dyDescent="0.2">
      <c r="A7468" t="s">
        <v>1425</v>
      </c>
      <c r="B7468" t="s">
        <v>4</v>
      </c>
      <c r="C7468" t="s">
        <v>5</v>
      </c>
      <c r="D7468" t="e">
        <f>VLOOKUP(C7468,'lookup table'!$A$2:$B$19,2,FALSE)</f>
        <v>#N/A</v>
      </c>
      <c r="E7468" t="str">
        <f t="shared" si="116"/>
        <v/>
      </c>
    </row>
    <row r="7469" spans="1:5" x14ac:dyDescent="0.2">
      <c r="A7469" t="s">
        <v>1425</v>
      </c>
      <c r="B7469" t="s">
        <v>4</v>
      </c>
      <c r="C7469" t="s">
        <v>6</v>
      </c>
      <c r="D7469" t="e">
        <f>VLOOKUP(C7469,'lookup table'!$A$2:$B$19,2,FALSE)</f>
        <v>#N/A</v>
      </c>
      <c r="E7469" t="str">
        <f t="shared" si="116"/>
        <v/>
      </c>
    </row>
    <row r="7470" spans="1:5" x14ac:dyDescent="0.2">
      <c r="A7470" t="s">
        <v>1425</v>
      </c>
      <c r="B7470" t="s">
        <v>4</v>
      </c>
      <c r="C7470" t="s">
        <v>9</v>
      </c>
      <c r="D7470" t="e">
        <f>VLOOKUP(C7470,'lookup table'!$A$2:$B$19,2,FALSE)</f>
        <v>#N/A</v>
      </c>
      <c r="E7470" t="str">
        <f t="shared" si="116"/>
        <v/>
      </c>
    </row>
    <row r="7471" spans="1:5" x14ac:dyDescent="0.2">
      <c r="A7471" t="s">
        <v>1425</v>
      </c>
      <c r="B7471" t="s">
        <v>4</v>
      </c>
      <c r="C7471" t="s">
        <v>10</v>
      </c>
      <c r="D7471" t="e">
        <f>VLOOKUP(C7471,'lookup table'!$A$2:$B$19,2,FALSE)</f>
        <v>#N/A</v>
      </c>
      <c r="E7471" t="str">
        <f t="shared" si="116"/>
        <v/>
      </c>
    </row>
    <row r="7472" spans="1:5" x14ac:dyDescent="0.2">
      <c r="A7472" t="s">
        <v>1425</v>
      </c>
      <c r="B7472" t="s">
        <v>4</v>
      </c>
      <c r="C7472" t="s">
        <v>11</v>
      </c>
      <c r="D7472" t="e">
        <f>VLOOKUP(C7472,'lookup table'!$A$2:$B$19,2,FALSE)</f>
        <v>#N/A</v>
      </c>
      <c r="E7472" t="str">
        <f t="shared" si="116"/>
        <v/>
      </c>
    </row>
    <row r="7473" spans="1:5" x14ac:dyDescent="0.2">
      <c r="A7473" t="s">
        <v>1425</v>
      </c>
      <c r="B7473" t="s">
        <v>4</v>
      </c>
      <c r="C7473" t="s">
        <v>12</v>
      </c>
      <c r="D7473" t="e">
        <f>VLOOKUP(C7473,'lookup table'!$A$2:$B$19,2,FALSE)</f>
        <v>#N/A</v>
      </c>
      <c r="E7473" t="str">
        <f t="shared" si="116"/>
        <v/>
      </c>
    </row>
    <row r="7474" spans="1:5" x14ac:dyDescent="0.2">
      <c r="A7474" t="s">
        <v>1425</v>
      </c>
      <c r="B7474" t="s">
        <v>4</v>
      </c>
      <c r="C7474" t="s">
        <v>14</v>
      </c>
      <c r="D7474" t="str">
        <f>VLOOKUP(C7474,'lookup table'!$A$2:$B$19,2,FALSE)</f>
        <v>ALC</v>
      </c>
      <c r="E7474" t="str">
        <f t="shared" si="116"/>
        <v>DZ1MAT_00|ALC</v>
      </c>
    </row>
    <row r="7475" spans="1:5" x14ac:dyDescent="0.2">
      <c r="A7475" t="s">
        <v>1425</v>
      </c>
      <c r="B7475" t="s">
        <v>4</v>
      </c>
      <c r="C7475" t="s">
        <v>20</v>
      </c>
      <c r="D7475" t="str">
        <f>VLOOKUP(C7475,'lookup table'!$A$2:$B$19,2,FALSE)</f>
        <v>AY</v>
      </c>
      <c r="E7475" t="str">
        <f t="shared" si="116"/>
        <v>DZ1MAT_00|AY</v>
      </c>
    </row>
    <row r="7476" spans="1:5" x14ac:dyDescent="0.2">
      <c r="A7476" t="s">
        <v>1425</v>
      </c>
      <c r="B7476" t="s">
        <v>4</v>
      </c>
      <c r="C7476" t="s">
        <v>324</v>
      </c>
      <c r="D7476" t="e">
        <f>VLOOKUP(C7476,'lookup table'!$A$2:$B$19,2,FALSE)</f>
        <v>#N/A</v>
      </c>
      <c r="E7476" t="str">
        <f t="shared" si="116"/>
        <v/>
      </c>
    </row>
    <row r="7477" spans="1:5" x14ac:dyDescent="0.2">
      <c r="A7477" t="s">
        <v>1425</v>
      </c>
      <c r="B7477" t="s">
        <v>4</v>
      </c>
      <c r="C7477" t="s">
        <v>325</v>
      </c>
      <c r="D7477" t="e">
        <f>VLOOKUP(C7477,'lookup table'!$A$2:$B$19,2,FALSE)</f>
        <v>#N/A</v>
      </c>
      <c r="E7477" t="str">
        <f t="shared" si="116"/>
        <v/>
      </c>
    </row>
    <row r="7478" spans="1:5" x14ac:dyDescent="0.2">
      <c r="A7478" t="s">
        <v>1425</v>
      </c>
      <c r="B7478" t="s">
        <v>4</v>
      </c>
      <c r="C7478" t="s">
        <v>326</v>
      </c>
      <c r="D7478" t="e">
        <f>VLOOKUP(C7478,'lookup table'!$A$2:$B$19,2,FALSE)</f>
        <v>#N/A</v>
      </c>
      <c r="E7478" t="str">
        <f t="shared" si="116"/>
        <v/>
      </c>
    </row>
    <row r="7479" spans="1:5" x14ac:dyDescent="0.2">
      <c r="A7479" t="s">
        <v>1425</v>
      </c>
      <c r="B7479" t="s">
        <v>4</v>
      </c>
      <c r="C7479" t="s">
        <v>327</v>
      </c>
      <c r="D7479" t="e">
        <f>VLOOKUP(C7479,'lookup table'!$A$2:$B$19,2,FALSE)</f>
        <v>#N/A</v>
      </c>
      <c r="E7479" t="str">
        <f t="shared" si="116"/>
        <v/>
      </c>
    </row>
    <row r="7480" spans="1:5" x14ac:dyDescent="0.2">
      <c r="A7480" t="s">
        <v>1425</v>
      </c>
      <c r="B7480" t="s">
        <v>4</v>
      </c>
      <c r="C7480" t="s">
        <v>328</v>
      </c>
      <c r="D7480" t="e">
        <f>VLOOKUP(C7480,'lookup table'!$A$2:$B$19,2,FALSE)</f>
        <v>#N/A</v>
      </c>
      <c r="E7480" t="str">
        <f t="shared" si="116"/>
        <v/>
      </c>
    </row>
    <row r="7481" spans="1:5" x14ac:dyDescent="0.2">
      <c r="A7481" t="s">
        <v>1425</v>
      </c>
      <c r="B7481" t="s">
        <v>4</v>
      </c>
      <c r="C7481" t="s">
        <v>329</v>
      </c>
      <c r="D7481" t="e">
        <f>VLOOKUP(C7481,'lookup table'!$A$2:$B$19,2,FALSE)</f>
        <v>#N/A</v>
      </c>
      <c r="E7481" t="str">
        <f t="shared" si="116"/>
        <v/>
      </c>
    </row>
    <row r="7482" spans="1:5" x14ac:dyDescent="0.2">
      <c r="A7482" t="s">
        <v>1425</v>
      </c>
      <c r="B7482" t="s">
        <v>4</v>
      </c>
      <c r="C7482" t="s">
        <v>331</v>
      </c>
      <c r="D7482" t="str">
        <f>VLOOKUP(C7482,'lookup table'!$A$2:$B$19,2,FALSE)</f>
        <v>FS Item</v>
      </c>
      <c r="E7482" t="str">
        <f t="shared" si="116"/>
        <v>DZ1MAT_00|FS Item</v>
      </c>
    </row>
    <row r="7483" spans="1:5" x14ac:dyDescent="0.2">
      <c r="A7483" t="s">
        <v>1425</v>
      </c>
      <c r="B7483" t="s">
        <v>4</v>
      </c>
      <c r="C7483" t="s">
        <v>422</v>
      </c>
      <c r="D7483" t="e">
        <f>VLOOKUP(C7483,'lookup table'!$A$2:$B$19,2,FALSE)</f>
        <v>#N/A</v>
      </c>
      <c r="E7483" t="str">
        <f t="shared" si="116"/>
        <v/>
      </c>
    </row>
    <row r="7484" spans="1:5" x14ac:dyDescent="0.2">
      <c r="A7484" t="s">
        <v>1425</v>
      </c>
      <c r="B7484" t="s">
        <v>4</v>
      </c>
      <c r="C7484" t="s">
        <v>423</v>
      </c>
      <c r="D7484" t="str">
        <f>VLOOKUP(C7484,'lookup table'!$A$2:$B$19,2,FALSE)</f>
        <v>ignore</v>
      </c>
      <c r="E7484" t="str">
        <f t="shared" si="116"/>
        <v>DZ1MAT_00|ignore</v>
      </c>
    </row>
    <row r="7485" spans="1:5" x14ac:dyDescent="0.2">
      <c r="A7485" t="s">
        <v>1425</v>
      </c>
      <c r="B7485" t="s">
        <v>4</v>
      </c>
      <c r="C7485" t="s">
        <v>424</v>
      </c>
      <c r="D7485" t="str">
        <f>VLOOKUP(C7485,'lookup table'!$A$2:$B$19,2,FALSE)</f>
        <v>GRC</v>
      </c>
      <c r="E7485" t="str">
        <f t="shared" si="116"/>
        <v>DZ1MAT_00|GRC</v>
      </c>
    </row>
    <row r="7486" spans="1:5" x14ac:dyDescent="0.2">
      <c r="A7486" t="s">
        <v>1425</v>
      </c>
      <c r="B7486" t="s">
        <v>4</v>
      </c>
      <c r="C7486" t="s">
        <v>425</v>
      </c>
      <c r="D7486" t="str">
        <f>VLOOKUP(C7486,'lookup table'!$A$2:$B$19,2,FALSE)</f>
        <v>Investee Segment</v>
      </c>
      <c r="E7486" t="str">
        <f t="shared" si="116"/>
        <v>DZ1MAT_00|Investee Segment</v>
      </c>
    </row>
    <row r="7487" spans="1:5" x14ac:dyDescent="0.2">
      <c r="A7487" t="s">
        <v>1425</v>
      </c>
      <c r="B7487" t="s">
        <v>4</v>
      </c>
      <c r="C7487" t="s">
        <v>426</v>
      </c>
      <c r="D7487" t="str">
        <f>VLOOKUP(C7487,'lookup table'!$A$2:$B$19,2,FALSE)</f>
        <v>Investee Unit</v>
      </c>
      <c r="E7487" t="str">
        <f t="shared" si="116"/>
        <v>DZ1MAT_00|Investee Unit</v>
      </c>
    </row>
    <row r="7488" spans="1:5" x14ac:dyDescent="0.2">
      <c r="A7488" t="s">
        <v>1425</v>
      </c>
      <c r="B7488" t="s">
        <v>4</v>
      </c>
      <c r="C7488" t="s">
        <v>428</v>
      </c>
      <c r="D7488" t="str">
        <f>VLOOKUP(C7488,'lookup table'!$A$2:$B$19,2,FALSE)</f>
        <v>LoB</v>
      </c>
      <c r="E7488" t="str">
        <f t="shared" si="116"/>
        <v>DZ1MAT_00|LoB</v>
      </c>
    </row>
    <row r="7489" spans="1:5" x14ac:dyDescent="0.2">
      <c r="A7489" t="s">
        <v>1425</v>
      </c>
      <c r="B7489" t="s">
        <v>4</v>
      </c>
      <c r="C7489" t="s">
        <v>436</v>
      </c>
      <c r="D7489" t="str">
        <f>VLOOKUP(C7489,'lookup table'!$A$2:$B$19,2,FALSE)</f>
        <v>MAT</v>
      </c>
      <c r="E7489" t="str">
        <f t="shared" si="116"/>
        <v>DZ1MAT_00|MAT</v>
      </c>
    </row>
    <row r="7490" spans="1:5" x14ac:dyDescent="0.2">
      <c r="A7490" t="s">
        <v>1425</v>
      </c>
      <c r="B7490" t="s">
        <v>4</v>
      </c>
      <c r="C7490" t="s">
        <v>438</v>
      </c>
      <c r="D7490" t="str">
        <f>VLOOKUP(C7490,'lookup table'!$A$2:$B$19,2,FALSE)</f>
        <v>ToM</v>
      </c>
      <c r="E7490" t="str">
        <f t="shared" si="116"/>
        <v>DZ1MAT_00|ToM</v>
      </c>
    </row>
    <row r="7491" spans="1:5" x14ac:dyDescent="0.2">
      <c r="A7491" t="s">
        <v>1425</v>
      </c>
      <c r="B7491" t="s">
        <v>4</v>
      </c>
      <c r="C7491" t="s">
        <v>441</v>
      </c>
      <c r="D7491" t="str">
        <f>VLOOKUP(C7491,'lookup table'!$A$2:$B$19,2,FALSE)</f>
        <v>Partner Segment</v>
      </c>
      <c r="E7491" t="str">
        <f t="shared" ref="E7491:E7554" si="117">IF(ISNA(D7491),"",IF(A7491="","",A7491) &amp; "|" &amp; D7491)</f>
        <v>DZ1MAT_00|Partner Segment</v>
      </c>
    </row>
    <row r="7492" spans="1:5" x14ac:dyDescent="0.2">
      <c r="A7492" t="s">
        <v>1425</v>
      </c>
      <c r="B7492" t="s">
        <v>4</v>
      </c>
      <c r="C7492" t="s">
        <v>442</v>
      </c>
      <c r="D7492" t="str">
        <f>VLOOKUP(C7492,'lookup table'!$A$2:$B$19,2,FALSE)</f>
        <v>Partner Unit</v>
      </c>
      <c r="E7492" t="str">
        <f t="shared" si="117"/>
        <v>DZ1MAT_00|Partner Unit</v>
      </c>
    </row>
    <row r="7493" spans="1:5" x14ac:dyDescent="0.2">
      <c r="A7493" t="s">
        <v>1425</v>
      </c>
      <c r="B7493" t="s">
        <v>4</v>
      </c>
      <c r="C7493" t="s">
        <v>447</v>
      </c>
      <c r="D7493" t="str">
        <f>VLOOKUP(C7493,'lookup table'!$A$2:$B$19,2,FALSE)</f>
        <v>REX</v>
      </c>
      <c r="E7493" t="str">
        <f t="shared" si="117"/>
        <v>DZ1MAT_00|REX</v>
      </c>
    </row>
    <row r="7494" spans="1:5" x14ac:dyDescent="0.2">
      <c r="A7494" t="s">
        <v>1425</v>
      </c>
      <c r="B7494" t="s">
        <v>4</v>
      </c>
      <c r="C7494" t="s">
        <v>448</v>
      </c>
      <c r="D7494" t="e">
        <f>VLOOKUP(C7494,'lookup table'!$A$2:$B$19,2,FALSE)</f>
        <v>#N/A</v>
      </c>
      <c r="E7494" t="str">
        <f t="shared" si="117"/>
        <v/>
      </c>
    </row>
    <row r="7495" spans="1:5" x14ac:dyDescent="0.2">
      <c r="A7495" t="s">
        <v>1425</v>
      </c>
      <c r="B7495" t="s">
        <v>4</v>
      </c>
      <c r="C7495" t="s">
        <v>449</v>
      </c>
      <c r="D7495" t="e">
        <f>VLOOKUP(C7495,'lookup table'!$A$2:$B$19,2,FALSE)</f>
        <v>#N/A</v>
      </c>
      <c r="E7495" t="str">
        <f t="shared" si="117"/>
        <v/>
      </c>
    </row>
    <row r="7496" spans="1:5" x14ac:dyDescent="0.2">
      <c r="A7496" t="s">
        <v>1425</v>
      </c>
      <c r="B7496" t="s">
        <v>4</v>
      </c>
      <c r="C7496" t="s">
        <v>451</v>
      </c>
      <c r="D7496" t="str">
        <f>VLOOKUP(C7496,'lookup table'!$A$2:$B$19,2,FALSE)</f>
        <v>Segment</v>
      </c>
      <c r="E7496" t="str">
        <f t="shared" si="117"/>
        <v>DZ1MAT_00|Segment</v>
      </c>
    </row>
    <row r="7497" spans="1:5" x14ac:dyDescent="0.2">
      <c r="A7497" t="s">
        <v>1425</v>
      </c>
      <c r="B7497" t="s">
        <v>4</v>
      </c>
      <c r="C7497" t="s">
        <v>455</v>
      </c>
      <c r="D7497" t="e">
        <f>VLOOKUP(C7497,'lookup table'!$A$2:$B$19,2,FALSE)</f>
        <v>#N/A</v>
      </c>
      <c r="E7497" t="str">
        <f t="shared" si="117"/>
        <v/>
      </c>
    </row>
    <row r="7498" spans="1:5" x14ac:dyDescent="0.2">
      <c r="A7498" t="s">
        <v>1425</v>
      </c>
      <c r="B7498" t="s">
        <v>4</v>
      </c>
      <c r="C7498" t="s">
        <v>456</v>
      </c>
      <c r="D7498" t="e">
        <f>VLOOKUP(C7498,'lookup table'!$A$2:$B$19,2,FALSE)</f>
        <v>#N/A</v>
      </c>
      <c r="E7498" t="str">
        <f t="shared" si="117"/>
        <v/>
      </c>
    </row>
    <row r="7499" spans="1:5" x14ac:dyDescent="0.2">
      <c r="A7499" t="s">
        <v>1425</v>
      </c>
      <c r="B7499" t="s">
        <v>4</v>
      </c>
      <c r="C7499" t="s">
        <v>457</v>
      </c>
      <c r="D7499" t="str">
        <f>VLOOKUP(C7499,'lookup table'!$A$2:$B$19,2,FALSE)</f>
        <v>VLT</v>
      </c>
      <c r="E7499" t="str">
        <f t="shared" si="117"/>
        <v>DZ1MAT_00|VLT</v>
      </c>
    </row>
    <row r="7500" spans="1:5" x14ac:dyDescent="0.2">
      <c r="A7500" t="s">
        <v>1425</v>
      </c>
      <c r="B7500" t="s">
        <v>4</v>
      </c>
      <c r="C7500" t="s">
        <v>458</v>
      </c>
      <c r="D7500" t="str">
        <f>VLOOKUP(C7500,'lookup table'!$A$2:$B$19,2,FALSE)</f>
        <v>VAR</v>
      </c>
      <c r="E7500" t="str">
        <f t="shared" si="117"/>
        <v>DZ1MAT_00|VAR</v>
      </c>
    </row>
    <row r="7501" spans="1:5" x14ac:dyDescent="0.2">
      <c r="A7501" t="s">
        <v>1425</v>
      </c>
      <c r="B7501" t="s">
        <v>4</v>
      </c>
      <c r="C7501" t="s">
        <v>459</v>
      </c>
      <c r="D7501" t="e">
        <f>VLOOKUP(C7501,'lookup table'!$A$2:$B$19,2,FALSE)</f>
        <v>#N/A</v>
      </c>
      <c r="E7501" t="str">
        <f t="shared" si="117"/>
        <v/>
      </c>
    </row>
    <row r="7502" spans="1:5" x14ac:dyDescent="0.2">
      <c r="A7502" t="s">
        <v>1425</v>
      </c>
      <c r="B7502" t="s">
        <v>4</v>
      </c>
      <c r="C7502" t="s">
        <v>460</v>
      </c>
      <c r="D7502" t="e">
        <f>VLOOKUP(C7502,'lookup table'!$A$2:$B$19,2,FALSE)</f>
        <v>#N/A</v>
      </c>
      <c r="E7502" t="str">
        <f t="shared" si="117"/>
        <v/>
      </c>
    </row>
    <row r="7503" spans="1:5" x14ac:dyDescent="0.2">
      <c r="A7503" t="s">
        <v>1425</v>
      </c>
      <c r="B7503" t="s">
        <v>4</v>
      </c>
      <c r="C7503" t="s">
        <v>461</v>
      </c>
      <c r="D7503" t="str">
        <f>VLOOKUP(C7503,'lookup table'!$A$2:$B$19,2,FALSE)</f>
        <v>Posting Level</v>
      </c>
      <c r="E7503" t="str">
        <f t="shared" si="117"/>
        <v>DZ1MAT_00|Posting Level</v>
      </c>
    </row>
    <row r="7504" spans="1:5" x14ac:dyDescent="0.2">
      <c r="A7504" t="s">
        <v>1425</v>
      </c>
      <c r="B7504" t="s">
        <v>4</v>
      </c>
      <c r="C7504" t="s">
        <v>462</v>
      </c>
      <c r="D7504" t="e">
        <f>VLOOKUP(C7504,'lookup table'!$A$2:$B$19,2,FALSE)</f>
        <v>#N/A</v>
      </c>
      <c r="E7504" t="str">
        <f t="shared" si="117"/>
        <v/>
      </c>
    </row>
    <row r="7505" spans="1:5" x14ac:dyDescent="0.2">
      <c r="A7505" t="s">
        <v>1425</v>
      </c>
      <c r="B7505" t="s">
        <v>4</v>
      </c>
      <c r="C7505" t="s">
        <v>463</v>
      </c>
      <c r="D7505" t="e">
        <f>VLOOKUP(C7505,'lookup table'!$A$2:$B$19,2,FALSE)</f>
        <v>#N/A</v>
      </c>
      <c r="E7505" t="str">
        <f t="shared" si="117"/>
        <v/>
      </c>
    </row>
    <row r="7506" spans="1:5" x14ac:dyDescent="0.2">
      <c r="A7506" t="s">
        <v>1425</v>
      </c>
      <c r="B7506" t="s">
        <v>4</v>
      </c>
      <c r="C7506" t="s">
        <v>464</v>
      </c>
      <c r="D7506" t="e">
        <f>VLOOKUP(C7506,'lookup table'!$A$2:$B$19,2,FALSE)</f>
        <v>#N/A</v>
      </c>
      <c r="E7506" t="str">
        <f t="shared" si="117"/>
        <v/>
      </c>
    </row>
    <row r="7507" spans="1:5" x14ac:dyDescent="0.2">
      <c r="A7507" t="s">
        <v>1425</v>
      </c>
      <c r="B7507" t="s">
        <v>4</v>
      </c>
      <c r="C7507" t="s">
        <v>465</v>
      </c>
      <c r="D7507" t="e">
        <f>VLOOKUP(C7507,'lookup table'!$A$2:$B$19,2,FALSE)</f>
        <v>#N/A</v>
      </c>
      <c r="E7507" t="str">
        <f t="shared" si="117"/>
        <v/>
      </c>
    </row>
    <row r="7508" spans="1:5" x14ac:dyDescent="0.2">
      <c r="A7508" t="s">
        <v>1426</v>
      </c>
      <c r="B7508" t="s">
        <v>1427</v>
      </c>
      <c r="C7508" t="s">
        <v>2</v>
      </c>
      <c r="D7508" t="e">
        <f>VLOOKUP(C7508,'lookup table'!$A$2:$B$19,2,FALSE)</f>
        <v>#N/A</v>
      </c>
      <c r="E7508" t="str">
        <f t="shared" si="117"/>
        <v/>
      </c>
    </row>
    <row r="7509" spans="1:5" x14ac:dyDescent="0.2">
      <c r="A7509" t="s">
        <v>1426</v>
      </c>
      <c r="B7509" t="s">
        <v>1427</v>
      </c>
      <c r="C7509" t="s">
        <v>5</v>
      </c>
      <c r="D7509" t="e">
        <f>VLOOKUP(C7509,'lookup table'!$A$2:$B$19,2,FALSE)</f>
        <v>#N/A</v>
      </c>
      <c r="E7509" t="str">
        <f t="shared" si="117"/>
        <v/>
      </c>
    </row>
    <row r="7510" spans="1:5" x14ac:dyDescent="0.2">
      <c r="A7510" t="s">
        <v>1426</v>
      </c>
      <c r="B7510" t="s">
        <v>1427</v>
      </c>
      <c r="C7510" t="s">
        <v>6</v>
      </c>
      <c r="D7510" t="e">
        <f>VLOOKUP(C7510,'lookup table'!$A$2:$B$19,2,FALSE)</f>
        <v>#N/A</v>
      </c>
      <c r="E7510" t="str">
        <f t="shared" si="117"/>
        <v/>
      </c>
    </row>
    <row r="7511" spans="1:5" x14ac:dyDescent="0.2">
      <c r="A7511" t="s">
        <v>1426</v>
      </c>
      <c r="B7511" t="s">
        <v>1427</v>
      </c>
      <c r="C7511" t="s">
        <v>9</v>
      </c>
      <c r="D7511" t="e">
        <f>VLOOKUP(C7511,'lookup table'!$A$2:$B$19,2,FALSE)</f>
        <v>#N/A</v>
      </c>
      <c r="E7511" t="str">
        <f t="shared" si="117"/>
        <v/>
      </c>
    </row>
    <row r="7512" spans="1:5" x14ac:dyDescent="0.2">
      <c r="A7512" t="s">
        <v>1426</v>
      </c>
      <c r="B7512" t="s">
        <v>1427</v>
      </c>
      <c r="C7512" t="s">
        <v>10</v>
      </c>
      <c r="D7512" t="e">
        <f>VLOOKUP(C7512,'lookup table'!$A$2:$B$19,2,FALSE)</f>
        <v>#N/A</v>
      </c>
      <c r="E7512" t="str">
        <f t="shared" si="117"/>
        <v/>
      </c>
    </row>
    <row r="7513" spans="1:5" x14ac:dyDescent="0.2">
      <c r="A7513" t="s">
        <v>1426</v>
      </c>
      <c r="B7513" t="s">
        <v>1427</v>
      </c>
      <c r="C7513" t="s">
        <v>11</v>
      </c>
      <c r="D7513" t="e">
        <f>VLOOKUP(C7513,'lookup table'!$A$2:$B$19,2,FALSE)</f>
        <v>#N/A</v>
      </c>
      <c r="E7513" t="str">
        <f t="shared" si="117"/>
        <v/>
      </c>
    </row>
    <row r="7514" spans="1:5" x14ac:dyDescent="0.2">
      <c r="A7514" t="s">
        <v>1426</v>
      </c>
      <c r="B7514" t="s">
        <v>1427</v>
      </c>
      <c r="C7514" t="s">
        <v>12</v>
      </c>
      <c r="D7514" t="e">
        <f>VLOOKUP(C7514,'lookup table'!$A$2:$B$19,2,FALSE)</f>
        <v>#N/A</v>
      </c>
      <c r="E7514" t="str">
        <f t="shared" si="117"/>
        <v/>
      </c>
    </row>
    <row r="7515" spans="1:5" x14ac:dyDescent="0.2">
      <c r="A7515" t="s">
        <v>1426</v>
      </c>
      <c r="B7515" t="s">
        <v>1427</v>
      </c>
      <c r="C7515" t="s">
        <v>14</v>
      </c>
      <c r="D7515" t="str">
        <f>VLOOKUP(C7515,'lookup table'!$A$2:$B$19,2,FALSE)</f>
        <v>ALC</v>
      </c>
      <c r="E7515" t="str">
        <f t="shared" si="117"/>
        <v>DZ1REX_00|ALC</v>
      </c>
    </row>
    <row r="7516" spans="1:5" x14ac:dyDescent="0.2">
      <c r="A7516" t="s">
        <v>1426</v>
      </c>
      <c r="B7516" t="s">
        <v>1427</v>
      </c>
      <c r="C7516" t="s">
        <v>20</v>
      </c>
      <c r="D7516" t="str">
        <f>VLOOKUP(C7516,'lookup table'!$A$2:$B$19,2,FALSE)</f>
        <v>AY</v>
      </c>
      <c r="E7516" t="str">
        <f t="shared" si="117"/>
        <v>DZ1REX_00|AY</v>
      </c>
    </row>
    <row r="7517" spans="1:5" x14ac:dyDescent="0.2">
      <c r="A7517" t="s">
        <v>1426</v>
      </c>
      <c r="B7517" t="s">
        <v>1427</v>
      </c>
      <c r="C7517" t="s">
        <v>324</v>
      </c>
      <c r="D7517" t="e">
        <f>VLOOKUP(C7517,'lookup table'!$A$2:$B$19,2,FALSE)</f>
        <v>#N/A</v>
      </c>
      <c r="E7517" t="str">
        <f t="shared" si="117"/>
        <v/>
      </c>
    </row>
    <row r="7518" spans="1:5" x14ac:dyDescent="0.2">
      <c r="A7518" t="s">
        <v>1426</v>
      </c>
      <c r="B7518" t="s">
        <v>1427</v>
      </c>
      <c r="C7518" t="s">
        <v>325</v>
      </c>
      <c r="D7518" t="e">
        <f>VLOOKUP(C7518,'lookup table'!$A$2:$B$19,2,FALSE)</f>
        <v>#N/A</v>
      </c>
      <c r="E7518" t="str">
        <f t="shared" si="117"/>
        <v/>
      </c>
    </row>
    <row r="7519" spans="1:5" x14ac:dyDescent="0.2">
      <c r="A7519" t="s">
        <v>1426</v>
      </c>
      <c r="B7519" t="s">
        <v>1427</v>
      </c>
      <c r="C7519" t="s">
        <v>326</v>
      </c>
      <c r="D7519" t="e">
        <f>VLOOKUP(C7519,'lookup table'!$A$2:$B$19,2,FALSE)</f>
        <v>#N/A</v>
      </c>
      <c r="E7519" t="str">
        <f t="shared" si="117"/>
        <v/>
      </c>
    </row>
    <row r="7520" spans="1:5" x14ac:dyDescent="0.2">
      <c r="A7520" t="s">
        <v>1426</v>
      </c>
      <c r="B7520" t="s">
        <v>1427</v>
      </c>
      <c r="C7520" t="s">
        <v>327</v>
      </c>
      <c r="D7520" t="e">
        <f>VLOOKUP(C7520,'lookup table'!$A$2:$B$19,2,FALSE)</f>
        <v>#N/A</v>
      </c>
      <c r="E7520" t="str">
        <f t="shared" si="117"/>
        <v/>
      </c>
    </row>
    <row r="7521" spans="1:5" x14ac:dyDescent="0.2">
      <c r="A7521" t="s">
        <v>1426</v>
      </c>
      <c r="B7521" t="s">
        <v>1427</v>
      </c>
      <c r="C7521" t="s">
        <v>328</v>
      </c>
      <c r="D7521" t="e">
        <f>VLOOKUP(C7521,'lookup table'!$A$2:$B$19,2,FALSE)</f>
        <v>#N/A</v>
      </c>
      <c r="E7521" t="str">
        <f t="shared" si="117"/>
        <v/>
      </c>
    </row>
    <row r="7522" spans="1:5" x14ac:dyDescent="0.2">
      <c r="A7522" t="s">
        <v>1426</v>
      </c>
      <c r="B7522" t="s">
        <v>1427</v>
      </c>
      <c r="C7522" t="s">
        <v>329</v>
      </c>
      <c r="D7522" t="e">
        <f>VLOOKUP(C7522,'lookup table'!$A$2:$B$19,2,FALSE)</f>
        <v>#N/A</v>
      </c>
      <c r="E7522" t="str">
        <f t="shared" si="117"/>
        <v/>
      </c>
    </row>
    <row r="7523" spans="1:5" x14ac:dyDescent="0.2">
      <c r="A7523" t="s">
        <v>1426</v>
      </c>
      <c r="B7523" t="s">
        <v>1427</v>
      </c>
      <c r="C7523" t="s">
        <v>331</v>
      </c>
      <c r="D7523" t="str">
        <f>VLOOKUP(C7523,'lookup table'!$A$2:$B$19,2,FALSE)</f>
        <v>FS Item</v>
      </c>
      <c r="E7523" t="str">
        <f t="shared" si="117"/>
        <v>DZ1REX_00|FS Item</v>
      </c>
    </row>
    <row r="7524" spans="1:5" x14ac:dyDescent="0.2">
      <c r="A7524" t="s">
        <v>1426</v>
      </c>
      <c r="B7524" t="s">
        <v>1427</v>
      </c>
      <c r="C7524" t="s">
        <v>422</v>
      </c>
      <c r="D7524" t="e">
        <f>VLOOKUP(C7524,'lookup table'!$A$2:$B$19,2,FALSE)</f>
        <v>#N/A</v>
      </c>
      <c r="E7524" t="str">
        <f t="shared" si="117"/>
        <v/>
      </c>
    </row>
    <row r="7525" spans="1:5" x14ac:dyDescent="0.2">
      <c r="A7525" t="s">
        <v>1426</v>
      </c>
      <c r="B7525" t="s">
        <v>1427</v>
      </c>
      <c r="C7525" t="s">
        <v>423</v>
      </c>
      <c r="D7525" t="str">
        <f>VLOOKUP(C7525,'lookup table'!$A$2:$B$19,2,FALSE)</f>
        <v>ignore</v>
      </c>
      <c r="E7525" t="str">
        <f t="shared" si="117"/>
        <v>DZ1REX_00|ignore</v>
      </c>
    </row>
    <row r="7526" spans="1:5" x14ac:dyDescent="0.2">
      <c r="A7526" t="s">
        <v>1426</v>
      </c>
      <c r="B7526" t="s">
        <v>1427</v>
      </c>
      <c r="C7526" t="s">
        <v>424</v>
      </c>
      <c r="D7526" t="str">
        <f>VLOOKUP(C7526,'lookup table'!$A$2:$B$19,2,FALSE)</f>
        <v>GRC</v>
      </c>
      <c r="E7526" t="str">
        <f t="shared" si="117"/>
        <v>DZ1REX_00|GRC</v>
      </c>
    </row>
    <row r="7527" spans="1:5" x14ac:dyDescent="0.2">
      <c r="A7527" t="s">
        <v>1426</v>
      </c>
      <c r="B7527" t="s">
        <v>1427</v>
      </c>
      <c r="C7527" t="s">
        <v>425</v>
      </c>
      <c r="D7527" t="str">
        <f>VLOOKUP(C7527,'lookup table'!$A$2:$B$19,2,FALSE)</f>
        <v>Investee Segment</v>
      </c>
      <c r="E7527" t="str">
        <f t="shared" si="117"/>
        <v>DZ1REX_00|Investee Segment</v>
      </c>
    </row>
    <row r="7528" spans="1:5" x14ac:dyDescent="0.2">
      <c r="A7528" t="s">
        <v>1426</v>
      </c>
      <c r="B7528" t="s">
        <v>1427</v>
      </c>
      <c r="C7528" t="s">
        <v>426</v>
      </c>
      <c r="D7528" t="str">
        <f>VLOOKUP(C7528,'lookup table'!$A$2:$B$19,2,FALSE)</f>
        <v>Investee Unit</v>
      </c>
      <c r="E7528" t="str">
        <f t="shared" si="117"/>
        <v>DZ1REX_00|Investee Unit</v>
      </c>
    </row>
    <row r="7529" spans="1:5" x14ac:dyDescent="0.2">
      <c r="A7529" t="s">
        <v>1426</v>
      </c>
      <c r="B7529" t="s">
        <v>1427</v>
      </c>
      <c r="C7529" t="s">
        <v>428</v>
      </c>
      <c r="D7529" t="str">
        <f>VLOOKUP(C7529,'lookup table'!$A$2:$B$19,2,FALSE)</f>
        <v>LoB</v>
      </c>
      <c r="E7529" t="str">
        <f t="shared" si="117"/>
        <v>DZ1REX_00|LoB</v>
      </c>
    </row>
    <row r="7530" spans="1:5" x14ac:dyDescent="0.2">
      <c r="A7530" t="s">
        <v>1426</v>
      </c>
      <c r="B7530" t="s">
        <v>1427</v>
      </c>
      <c r="C7530" t="s">
        <v>436</v>
      </c>
      <c r="D7530" t="str">
        <f>VLOOKUP(C7530,'lookup table'!$A$2:$B$19,2,FALSE)</f>
        <v>MAT</v>
      </c>
      <c r="E7530" t="str">
        <f t="shared" si="117"/>
        <v>DZ1REX_00|MAT</v>
      </c>
    </row>
    <row r="7531" spans="1:5" x14ac:dyDescent="0.2">
      <c r="A7531" t="s">
        <v>1426</v>
      </c>
      <c r="B7531" t="s">
        <v>1427</v>
      </c>
      <c r="C7531" t="s">
        <v>438</v>
      </c>
      <c r="D7531" t="str">
        <f>VLOOKUP(C7531,'lookup table'!$A$2:$B$19,2,FALSE)</f>
        <v>ToM</v>
      </c>
      <c r="E7531" t="str">
        <f t="shared" si="117"/>
        <v>DZ1REX_00|ToM</v>
      </c>
    </row>
    <row r="7532" spans="1:5" x14ac:dyDescent="0.2">
      <c r="A7532" t="s">
        <v>1426</v>
      </c>
      <c r="B7532" t="s">
        <v>1427</v>
      </c>
      <c r="C7532" t="s">
        <v>441</v>
      </c>
      <c r="D7532" t="str">
        <f>VLOOKUP(C7532,'lookup table'!$A$2:$B$19,2,FALSE)</f>
        <v>Partner Segment</v>
      </c>
      <c r="E7532" t="str">
        <f t="shared" si="117"/>
        <v>DZ1REX_00|Partner Segment</v>
      </c>
    </row>
    <row r="7533" spans="1:5" x14ac:dyDescent="0.2">
      <c r="A7533" t="s">
        <v>1426</v>
      </c>
      <c r="B7533" t="s">
        <v>1427</v>
      </c>
      <c r="C7533" t="s">
        <v>442</v>
      </c>
      <c r="D7533" t="str">
        <f>VLOOKUP(C7533,'lookup table'!$A$2:$B$19,2,FALSE)</f>
        <v>Partner Unit</v>
      </c>
      <c r="E7533" t="str">
        <f t="shared" si="117"/>
        <v>DZ1REX_00|Partner Unit</v>
      </c>
    </row>
    <row r="7534" spans="1:5" x14ac:dyDescent="0.2">
      <c r="A7534" t="s">
        <v>1426</v>
      </c>
      <c r="B7534" t="s">
        <v>1427</v>
      </c>
      <c r="C7534" t="s">
        <v>447</v>
      </c>
      <c r="D7534" t="str">
        <f>VLOOKUP(C7534,'lookup table'!$A$2:$B$19,2,FALSE)</f>
        <v>REX</v>
      </c>
      <c r="E7534" t="str">
        <f t="shared" si="117"/>
        <v>DZ1REX_00|REX</v>
      </c>
    </row>
    <row r="7535" spans="1:5" x14ac:dyDescent="0.2">
      <c r="A7535" t="s">
        <v>1426</v>
      </c>
      <c r="B7535" t="s">
        <v>1427</v>
      </c>
      <c r="C7535" t="s">
        <v>448</v>
      </c>
      <c r="D7535" t="e">
        <f>VLOOKUP(C7535,'lookup table'!$A$2:$B$19,2,FALSE)</f>
        <v>#N/A</v>
      </c>
      <c r="E7535" t="str">
        <f t="shared" si="117"/>
        <v/>
      </c>
    </row>
    <row r="7536" spans="1:5" x14ac:dyDescent="0.2">
      <c r="A7536" t="s">
        <v>1426</v>
      </c>
      <c r="B7536" t="s">
        <v>1427</v>
      </c>
      <c r="C7536" t="s">
        <v>449</v>
      </c>
      <c r="D7536" t="e">
        <f>VLOOKUP(C7536,'lookup table'!$A$2:$B$19,2,FALSE)</f>
        <v>#N/A</v>
      </c>
      <c r="E7536" t="str">
        <f t="shared" si="117"/>
        <v/>
      </c>
    </row>
    <row r="7537" spans="1:5" x14ac:dyDescent="0.2">
      <c r="A7537" t="s">
        <v>1426</v>
      </c>
      <c r="B7537" t="s">
        <v>1427</v>
      </c>
      <c r="C7537" t="s">
        <v>451</v>
      </c>
      <c r="D7537" t="str">
        <f>VLOOKUP(C7537,'lookup table'!$A$2:$B$19,2,FALSE)</f>
        <v>Segment</v>
      </c>
      <c r="E7537" t="str">
        <f t="shared" si="117"/>
        <v>DZ1REX_00|Segment</v>
      </c>
    </row>
    <row r="7538" spans="1:5" x14ac:dyDescent="0.2">
      <c r="A7538" t="s">
        <v>1426</v>
      </c>
      <c r="B7538" t="s">
        <v>1427</v>
      </c>
      <c r="C7538" t="s">
        <v>455</v>
      </c>
      <c r="D7538" t="e">
        <f>VLOOKUP(C7538,'lookup table'!$A$2:$B$19,2,FALSE)</f>
        <v>#N/A</v>
      </c>
      <c r="E7538" t="str">
        <f t="shared" si="117"/>
        <v/>
      </c>
    </row>
    <row r="7539" spans="1:5" x14ac:dyDescent="0.2">
      <c r="A7539" t="s">
        <v>1426</v>
      </c>
      <c r="B7539" t="s">
        <v>1427</v>
      </c>
      <c r="C7539" t="s">
        <v>456</v>
      </c>
      <c r="D7539" t="e">
        <f>VLOOKUP(C7539,'lookup table'!$A$2:$B$19,2,FALSE)</f>
        <v>#N/A</v>
      </c>
      <c r="E7539" t="str">
        <f t="shared" si="117"/>
        <v/>
      </c>
    </row>
    <row r="7540" spans="1:5" x14ac:dyDescent="0.2">
      <c r="A7540" t="s">
        <v>1426</v>
      </c>
      <c r="B7540" t="s">
        <v>1427</v>
      </c>
      <c r="C7540" t="s">
        <v>457</v>
      </c>
      <c r="D7540" t="str">
        <f>VLOOKUP(C7540,'lookup table'!$A$2:$B$19,2,FALSE)</f>
        <v>VLT</v>
      </c>
      <c r="E7540" t="str">
        <f t="shared" si="117"/>
        <v>DZ1REX_00|VLT</v>
      </c>
    </row>
    <row r="7541" spans="1:5" x14ac:dyDescent="0.2">
      <c r="A7541" t="s">
        <v>1426</v>
      </c>
      <c r="B7541" t="s">
        <v>1427</v>
      </c>
      <c r="C7541" t="s">
        <v>458</v>
      </c>
      <c r="D7541" t="str">
        <f>VLOOKUP(C7541,'lookup table'!$A$2:$B$19,2,FALSE)</f>
        <v>VAR</v>
      </c>
      <c r="E7541" t="str">
        <f t="shared" si="117"/>
        <v>DZ1REX_00|VAR</v>
      </c>
    </row>
    <row r="7542" spans="1:5" x14ac:dyDescent="0.2">
      <c r="A7542" t="s">
        <v>1426</v>
      </c>
      <c r="B7542" t="s">
        <v>1427</v>
      </c>
      <c r="C7542" t="s">
        <v>459</v>
      </c>
      <c r="D7542" t="e">
        <f>VLOOKUP(C7542,'lookup table'!$A$2:$B$19,2,FALSE)</f>
        <v>#N/A</v>
      </c>
      <c r="E7542" t="str">
        <f t="shared" si="117"/>
        <v/>
      </c>
    </row>
    <row r="7543" spans="1:5" x14ac:dyDescent="0.2">
      <c r="A7543" t="s">
        <v>1426</v>
      </c>
      <c r="B7543" t="s">
        <v>1427</v>
      </c>
      <c r="C7543" t="s">
        <v>460</v>
      </c>
      <c r="D7543" t="e">
        <f>VLOOKUP(C7543,'lookup table'!$A$2:$B$19,2,FALSE)</f>
        <v>#N/A</v>
      </c>
      <c r="E7543" t="str">
        <f t="shared" si="117"/>
        <v/>
      </c>
    </row>
    <row r="7544" spans="1:5" x14ac:dyDescent="0.2">
      <c r="A7544" t="s">
        <v>1426</v>
      </c>
      <c r="B7544" t="s">
        <v>1427</v>
      </c>
      <c r="C7544" t="s">
        <v>461</v>
      </c>
      <c r="D7544" t="str">
        <f>VLOOKUP(C7544,'lookup table'!$A$2:$B$19,2,FALSE)</f>
        <v>Posting Level</v>
      </c>
      <c r="E7544" t="str">
        <f t="shared" si="117"/>
        <v>DZ1REX_00|Posting Level</v>
      </c>
    </row>
    <row r="7545" spans="1:5" x14ac:dyDescent="0.2">
      <c r="A7545" t="s">
        <v>1426</v>
      </c>
      <c r="B7545" t="s">
        <v>1427</v>
      </c>
      <c r="C7545" t="s">
        <v>462</v>
      </c>
      <c r="D7545" t="e">
        <f>VLOOKUP(C7545,'lookup table'!$A$2:$B$19,2,FALSE)</f>
        <v>#N/A</v>
      </c>
      <c r="E7545" t="str">
        <f t="shared" si="117"/>
        <v/>
      </c>
    </row>
    <row r="7546" spans="1:5" x14ac:dyDescent="0.2">
      <c r="A7546" t="s">
        <v>1426</v>
      </c>
      <c r="B7546" t="s">
        <v>1427</v>
      </c>
      <c r="C7546" t="s">
        <v>463</v>
      </c>
      <c r="D7546" t="e">
        <f>VLOOKUP(C7546,'lookup table'!$A$2:$B$19,2,FALSE)</f>
        <v>#N/A</v>
      </c>
      <c r="E7546" t="str">
        <f t="shared" si="117"/>
        <v/>
      </c>
    </row>
    <row r="7547" spans="1:5" x14ac:dyDescent="0.2">
      <c r="A7547" t="s">
        <v>1426</v>
      </c>
      <c r="B7547" t="s">
        <v>1427</v>
      </c>
      <c r="C7547" t="s">
        <v>464</v>
      </c>
      <c r="D7547" t="e">
        <f>VLOOKUP(C7547,'lookup table'!$A$2:$B$19,2,FALSE)</f>
        <v>#N/A</v>
      </c>
      <c r="E7547" t="str">
        <f t="shared" si="117"/>
        <v/>
      </c>
    </row>
    <row r="7548" spans="1:5" x14ac:dyDescent="0.2">
      <c r="A7548" t="s">
        <v>1426</v>
      </c>
      <c r="B7548" t="s">
        <v>1427</v>
      </c>
      <c r="C7548" t="s">
        <v>465</v>
      </c>
      <c r="D7548" t="e">
        <f>VLOOKUP(C7548,'lookup table'!$A$2:$B$19,2,FALSE)</f>
        <v>#N/A</v>
      </c>
      <c r="E7548" t="str">
        <f t="shared" si="117"/>
        <v/>
      </c>
    </row>
    <row r="7549" spans="1:5" x14ac:dyDescent="0.2">
      <c r="A7549" t="s">
        <v>1428</v>
      </c>
      <c r="B7549" t="s">
        <v>1429</v>
      </c>
      <c r="C7549" t="s">
        <v>2</v>
      </c>
      <c r="D7549" t="e">
        <f>VLOOKUP(C7549,'lookup table'!$A$2:$B$19,2,FALSE)</f>
        <v>#N/A</v>
      </c>
      <c r="E7549" t="str">
        <f t="shared" si="117"/>
        <v/>
      </c>
    </row>
    <row r="7550" spans="1:5" x14ac:dyDescent="0.2">
      <c r="A7550" t="s">
        <v>1428</v>
      </c>
      <c r="B7550" t="s">
        <v>1429</v>
      </c>
      <c r="C7550" t="s">
        <v>5</v>
      </c>
      <c r="D7550" t="e">
        <f>VLOOKUP(C7550,'lookup table'!$A$2:$B$19,2,FALSE)</f>
        <v>#N/A</v>
      </c>
      <c r="E7550" t="str">
        <f t="shared" si="117"/>
        <v/>
      </c>
    </row>
    <row r="7551" spans="1:5" x14ac:dyDescent="0.2">
      <c r="A7551" t="s">
        <v>1428</v>
      </c>
      <c r="B7551" t="s">
        <v>1429</v>
      </c>
      <c r="C7551" t="s">
        <v>6</v>
      </c>
      <c r="D7551" t="e">
        <f>VLOOKUP(C7551,'lookup table'!$A$2:$B$19,2,FALSE)</f>
        <v>#N/A</v>
      </c>
      <c r="E7551" t="str">
        <f t="shared" si="117"/>
        <v/>
      </c>
    </row>
    <row r="7552" spans="1:5" x14ac:dyDescent="0.2">
      <c r="A7552" t="s">
        <v>1428</v>
      </c>
      <c r="B7552" t="s">
        <v>1429</v>
      </c>
      <c r="C7552" t="s">
        <v>9</v>
      </c>
      <c r="D7552" t="e">
        <f>VLOOKUP(C7552,'lookup table'!$A$2:$B$19,2,FALSE)</f>
        <v>#N/A</v>
      </c>
      <c r="E7552" t="str">
        <f t="shared" si="117"/>
        <v/>
      </c>
    </row>
    <row r="7553" spans="1:5" x14ac:dyDescent="0.2">
      <c r="A7553" t="s">
        <v>1428</v>
      </c>
      <c r="B7553" t="s">
        <v>1429</v>
      </c>
      <c r="C7553" t="s">
        <v>10</v>
      </c>
      <c r="D7553" t="e">
        <f>VLOOKUP(C7553,'lookup table'!$A$2:$B$19,2,FALSE)</f>
        <v>#N/A</v>
      </c>
      <c r="E7553" t="str">
        <f t="shared" si="117"/>
        <v/>
      </c>
    </row>
    <row r="7554" spans="1:5" x14ac:dyDescent="0.2">
      <c r="A7554" t="s">
        <v>1428</v>
      </c>
      <c r="B7554" t="s">
        <v>1429</v>
      </c>
      <c r="C7554" t="s">
        <v>11</v>
      </c>
      <c r="D7554" t="e">
        <f>VLOOKUP(C7554,'lookup table'!$A$2:$B$19,2,FALSE)</f>
        <v>#N/A</v>
      </c>
      <c r="E7554" t="str">
        <f t="shared" si="117"/>
        <v/>
      </c>
    </row>
    <row r="7555" spans="1:5" x14ac:dyDescent="0.2">
      <c r="A7555" t="s">
        <v>1428</v>
      </c>
      <c r="B7555" t="s">
        <v>1429</v>
      </c>
      <c r="C7555" t="s">
        <v>12</v>
      </c>
      <c r="D7555" t="e">
        <f>VLOOKUP(C7555,'lookup table'!$A$2:$B$19,2,FALSE)</f>
        <v>#N/A</v>
      </c>
      <c r="E7555" t="str">
        <f t="shared" ref="E7555:E7618" si="118">IF(ISNA(D7555),"",IF(A7555="","",A7555) &amp; "|" &amp; D7555)</f>
        <v/>
      </c>
    </row>
    <row r="7556" spans="1:5" x14ac:dyDescent="0.2">
      <c r="A7556" t="s">
        <v>1428</v>
      </c>
      <c r="B7556" t="s">
        <v>1429</v>
      </c>
      <c r="C7556" t="s">
        <v>14</v>
      </c>
      <c r="D7556" t="str">
        <f>VLOOKUP(C7556,'lookup table'!$A$2:$B$19,2,FALSE)</f>
        <v>ALC</v>
      </c>
      <c r="E7556" t="str">
        <f t="shared" si="118"/>
        <v>DZ1TOM_00|ALC</v>
      </c>
    </row>
    <row r="7557" spans="1:5" x14ac:dyDescent="0.2">
      <c r="A7557" t="s">
        <v>1428</v>
      </c>
      <c r="B7557" t="s">
        <v>1429</v>
      </c>
      <c r="C7557" t="s">
        <v>20</v>
      </c>
      <c r="D7557" t="str">
        <f>VLOOKUP(C7557,'lookup table'!$A$2:$B$19,2,FALSE)</f>
        <v>AY</v>
      </c>
      <c r="E7557" t="str">
        <f t="shared" si="118"/>
        <v>DZ1TOM_00|AY</v>
      </c>
    </row>
    <row r="7558" spans="1:5" x14ac:dyDescent="0.2">
      <c r="A7558" t="s">
        <v>1428</v>
      </c>
      <c r="B7558" t="s">
        <v>1429</v>
      </c>
      <c r="C7558" t="s">
        <v>324</v>
      </c>
      <c r="D7558" t="e">
        <f>VLOOKUP(C7558,'lookup table'!$A$2:$B$19,2,FALSE)</f>
        <v>#N/A</v>
      </c>
      <c r="E7558" t="str">
        <f t="shared" si="118"/>
        <v/>
      </c>
    </row>
    <row r="7559" spans="1:5" x14ac:dyDescent="0.2">
      <c r="A7559" t="s">
        <v>1428</v>
      </c>
      <c r="B7559" t="s">
        <v>1429</v>
      </c>
      <c r="C7559" t="s">
        <v>325</v>
      </c>
      <c r="D7559" t="e">
        <f>VLOOKUP(C7559,'lookup table'!$A$2:$B$19,2,FALSE)</f>
        <v>#N/A</v>
      </c>
      <c r="E7559" t="str">
        <f t="shared" si="118"/>
        <v/>
      </c>
    </row>
    <row r="7560" spans="1:5" x14ac:dyDescent="0.2">
      <c r="A7560" t="s">
        <v>1428</v>
      </c>
      <c r="B7560" t="s">
        <v>1429</v>
      </c>
      <c r="C7560" t="s">
        <v>326</v>
      </c>
      <c r="D7560" t="e">
        <f>VLOOKUP(C7560,'lookup table'!$A$2:$B$19,2,FALSE)</f>
        <v>#N/A</v>
      </c>
      <c r="E7560" t="str">
        <f t="shared" si="118"/>
        <v/>
      </c>
    </row>
    <row r="7561" spans="1:5" x14ac:dyDescent="0.2">
      <c r="A7561" t="s">
        <v>1428</v>
      </c>
      <c r="B7561" t="s">
        <v>1429</v>
      </c>
      <c r="C7561" t="s">
        <v>327</v>
      </c>
      <c r="D7561" t="e">
        <f>VLOOKUP(C7561,'lookup table'!$A$2:$B$19,2,FALSE)</f>
        <v>#N/A</v>
      </c>
      <c r="E7561" t="str">
        <f t="shared" si="118"/>
        <v/>
      </c>
    </row>
    <row r="7562" spans="1:5" x14ac:dyDescent="0.2">
      <c r="A7562" t="s">
        <v>1428</v>
      </c>
      <c r="B7562" t="s">
        <v>1429</v>
      </c>
      <c r="C7562" t="s">
        <v>328</v>
      </c>
      <c r="D7562" t="e">
        <f>VLOOKUP(C7562,'lookup table'!$A$2:$B$19,2,FALSE)</f>
        <v>#N/A</v>
      </c>
      <c r="E7562" t="str">
        <f t="shared" si="118"/>
        <v/>
      </c>
    </row>
    <row r="7563" spans="1:5" x14ac:dyDescent="0.2">
      <c r="A7563" t="s">
        <v>1428</v>
      </c>
      <c r="B7563" t="s">
        <v>1429</v>
      </c>
      <c r="C7563" t="s">
        <v>329</v>
      </c>
      <c r="D7563" t="e">
        <f>VLOOKUP(C7563,'lookup table'!$A$2:$B$19,2,FALSE)</f>
        <v>#N/A</v>
      </c>
      <c r="E7563" t="str">
        <f t="shared" si="118"/>
        <v/>
      </c>
    </row>
    <row r="7564" spans="1:5" x14ac:dyDescent="0.2">
      <c r="A7564" t="s">
        <v>1428</v>
      </c>
      <c r="B7564" t="s">
        <v>1429</v>
      </c>
      <c r="C7564" t="s">
        <v>331</v>
      </c>
      <c r="D7564" t="str">
        <f>VLOOKUP(C7564,'lookup table'!$A$2:$B$19,2,FALSE)</f>
        <v>FS Item</v>
      </c>
      <c r="E7564" t="str">
        <f t="shared" si="118"/>
        <v>DZ1TOM_00|FS Item</v>
      </c>
    </row>
    <row r="7565" spans="1:5" x14ac:dyDescent="0.2">
      <c r="A7565" t="s">
        <v>1428</v>
      </c>
      <c r="B7565" t="s">
        <v>1429</v>
      </c>
      <c r="C7565" t="s">
        <v>422</v>
      </c>
      <c r="D7565" t="e">
        <f>VLOOKUP(C7565,'lookup table'!$A$2:$B$19,2,FALSE)</f>
        <v>#N/A</v>
      </c>
      <c r="E7565" t="str">
        <f t="shared" si="118"/>
        <v/>
      </c>
    </row>
    <row r="7566" spans="1:5" x14ac:dyDescent="0.2">
      <c r="A7566" t="s">
        <v>1428</v>
      </c>
      <c r="B7566" t="s">
        <v>1429</v>
      </c>
      <c r="C7566" t="s">
        <v>423</v>
      </c>
      <c r="D7566" t="str">
        <f>VLOOKUP(C7566,'lookup table'!$A$2:$B$19,2,FALSE)</f>
        <v>ignore</v>
      </c>
      <c r="E7566" t="str">
        <f t="shared" si="118"/>
        <v>DZ1TOM_00|ignore</v>
      </c>
    </row>
    <row r="7567" spans="1:5" x14ac:dyDescent="0.2">
      <c r="A7567" t="s">
        <v>1428</v>
      </c>
      <c r="B7567" t="s">
        <v>1429</v>
      </c>
      <c r="C7567" t="s">
        <v>424</v>
      </c>
      <c r="D7567" t="str">
        <f>VLOOKUP(C7567,'lookup table'!$A$2:$B$19,2,FALSE)</f>
        <v>GRC</v>
      </c>
      <c r="E7567" t="str">
        <f t="shared" si="118"/>
        <v>DZ1TOM_00|GRC</v>
      </c>
    </row>
    <row r="7568" spans="1:5" x14ac:dyDescent="0.2">
      <c r="A7568" t="s">
        <v>1428</v>
      </c>
      <c r="B7568" t="s">
        <v>1429</v>
      </c>
      <c r="C7568" t="s">
        <v>425</v>
      </c>
      <c r="D7568" t="str">
        <f>VLOOKUP(C7568,'lookup table'!$A$2:$B$19,2,FALSE)</f>
        <v>Investee Segment</v>
      </c>
      <c r="E7568" t="str">
        <f t="shared" si="118"/>
        <v>DZ1TOM_00|Investee Segment</v>
      </c>
    </row>
    <row r="7569" spans="1:5" x14ac:dyDescent="0.2">
      <c r="A7569" t="s">
        <v>1428</v>
      </c>
      <c r="B7569" t="s">
        <v>1429</v>
      </c>
      <c r="C7569" t="s">
        <v>426</v>
      </c>
      <c r="D7569" t="str">
        <f>VLOOKUP(C7569,'lookup table'!$A$2:$B$19,2,FALSE)</f>
        <v>Investee Unit</v>
      </c>
      <c r="E7569" t="str">
        <f t="shared" si="118"/>
        <v>DZ1TOM_00|Investee Unit</v>
      </c>
    </row>
    <row r="7570" spans="1:5" x14ac:dyDescent="0.2">
      <c r="A7570" t="s">
        <v>1428</v>
      </c>
      <c r="B7570" t="s">
        <v>1429</v>
      </c>
      <c r="C7570" t="s">
        <v>428</v>
      </c>
      <c r="D7570" t="str">
        <f>VLOOKUP(C7570,'lookup table'!$A$2:$B$19,2,FALSE)</f>
        <v>LoB</v>
      </c>
      <c r="E7570" t="str">
        <f t="shared" si="118"/>
        <v>DZ1TOM_00|LoB</v>
      </c>
    </row>
    <row r="7571" spans="1:5" x14ac:dyDescent="0.2">
      <c r="A7571" t="s">
        <v>1428</v>
      </c>
      <c r="B7571" t="s">
        <v>1429</v>
      </c>
      <c r="C7571" t="s">
        <v>436</v>
      </c>
      <c r="D7571" t="str">
        <f>VLOOKUP(C7571,'lookup table'!$A$2:$B$19,2,FALSE)</f>
        <v>MAT</v>
      </c>
      <c r="E7571" t="str">
        <f t="shared" si="118"/>
        <v>DZ1TOM_00|MAT</v>
      </c>
    </row>
    <row r="7572" spans="1:5" x14ac:dyDescent="0.2">
      <c r="A7572" t="s">
        <v>1428</v>
      </c>
      <c r="B7572" t="s">
        <v>1429</v>
      </c>
      <c r="C7572" t="s">
        <v>438</v>
      </c>
      <c r="D7572" t="str">
        <f>VLOOKUP(C7572,'lookup table'!$A$2:$B$19,2,FALSE)</f>
        <v>ToM</v>
      </c>
      <c r="E7572" t="str">
        <f t="shared" si="118"/>
        <v>DZ1TOM_00|ToM</v>
      </c>
    </row>
    <row r="7573" spans="1:5" x14ac:dyDescent="0.2">
      <c r="A7573" t="s">
        <v>1428</v>
      </c>
      <c r="B7573" t="s">
        <v>1429</v>
      </c>
      <c r="C7573" t="s">
        <v>441</v>
      </c>
      <c r="D7573" t="str">
        <f>VLOOKUP(C7573,'lookup table'!$A$2:$B$19,2,FALSE)</f>
        <v>Partner Segment</v>
      </c>
      <c r="E7573" t="str">
        <f t="shared" si="118"/>
        <v>DZ1TOM_00|Partner Segment</v>
      </c>
    </row>
    <row r="7574" spans="1:5" x14ac:dyDescent="0.2">
      <c r="A7574" t="s">
        <v>1428</v>
      </c>
      <c r="B7574" t="s">
        <v>1429</v>
      </c>
      <c r="C7574" t="s">
        <v>442</v>
      </c>
      <c r="D7574" t="str">
        <f>VLOOKUP(C7574,'lookup table'!$A$2:$B$19,2,FALSE)</f>
        <v>Partner Unit</v>
      </c>
      <c r="E7574" t="str">
        <f t="shared" si="118"/>
        <v>DZ1TOM_00|Partner Unit</v>
      </c>
    </row>
    <row r="7575" spans="1:5" x14ac:dyDescent="0.2">
      <c r="A7575" t="s">
        <v>1428</v>
      </c>
      <c r="B7575" t="s">
        <v>1429</v>
      </c>
      <c r="C7575" t="s">
        <v>447</v>
      </c>
      <c r="D7575" t="str">
        <f>VLOOKUP(C7575,'lookup table'!$A$2:$B$19,2,FALSE)</f>
        <v>REX</v>
      </c>
      <c r="E7575" t="str">
        <f t="shared" si="118"/>
        <v>DZ1TOM_00|REX</v>
      </c>
    </row>
    <row r="7576" spans="1:5" x14ac:dyDescent="0.2">
      <c r="A7576" t="s">
        <v>1428</v>
      </c>
      <c r="B7576" t="s">
        <v>1429</v>
      </c>
      <c r="C7576" t="s">
        <v>448</v>
      </c>
      <c r="D7576" t="e">
        <f>VLOOKUP(C7576,'lookup table'!$A$2:$B$19,2,FALSE)</f>
        <v>#N/A</v>
      </c>
      <c r="E7576" t="str">
        <f t="shared" si="118"/>
        <v/>
      </c>
    </row>
    <row r="7577" spans="1:5" x14ac:dyDescent="0.2">
      <c r="A7577" t="s">
        <v>1428</v>
      </c>
      <c r="B7577" t="s">
        <v>1429</v>
      </c>
      <c r="C7577" t="s">
        <v>449</v>
      </c>
      <c r="D7577" t="e">
        <f>VLOOKUP(C7577,'lookup table'!$A$2:$B$19,2,FALSE)</f>
        <v>#N/A</v>
      </c>
      <c r="E7577" t="str">
        <f t="shared" si="118"/>
        <v/>
      </c>
    </row>
    <row r="7578" spans="1:5" x14ac:dyDescent="0.2">
      <c r="A7578" t="s">
        <v>1428</v>
      </c>
      <c r="B7578" t="s">
        <v>1429</v>
      </c>
      <c r="C7578" t="s">
        <v>451</v>
      </c>
      <c r="D7578" t="str">
        <f>VLOOKUP(C7578,'lookup table'!$A$2:$B$19,2,FALSE)</f>
        <v>Segment</v>
      </c>
      <c r="E7578" t="str">
        <f t="shared" si="118"/>
        <v>DZ1TOM_00|Segment</v>
      </c>
    </row>
    <row r="7579" spans="1:5" x14ac:dyDescent="0.2">
      <c r="A7579" t="s">
        <v>1428</v>
      </c>
      <c r="B7579" t="s">
        <v>1429</v>
      </c>
      <c r="C7579" t="s">
        <v>455</v>
      </c>
      <c r="D7579" t="e">
        <f>VLOOKUP(C7579,'lookup table'!$A$2:$B$19,2,FALSE)</f>
        <v>#N/A</v>
      </c>
      <c r="E7579" t="str">
        <f t="shared" si="118"/>
        <v/>
      </c>
    </row>
    <row r="7580" spans="1:5" x14ac:dyDescent="0.2">
      <c r="A7580" t="s">
        <v>1428</v>
      </c>
      <c r="B7580" t="s">
        <v>1429</v>
      </c>
      <c r="C7580" t="s">
        <v>456</v>
      </c>
      <c r="D7580" t="e">
        <f>VLOOKUP(C7580,'lookup table'!$A$2:$B$19,2,FALSE)</f>
        <v>#N/A</v>
      </c>
      <c r="E7580" t="str">
        <f t="shared" si="118"/>
        <v/>
      </c>
    </row>
    <row r="7581" spans="1:5" x14ac:dyDescent="0.2">
      <c r="A7581" t="s">
        <v>1428</v>
      </c>
      <c r="B7581" t="s">
        <v>1429</v>
      </c>
      <c r="C7581" t="s">
        <v>457</v>
      </c>
      <c r="D7581" t="str">
        <f>VLOOKUP(C7581,'lookup table'!$A$2:$B$19,2,FALSE)</f>
        <v>VLT</v>
      </c>
      <c r="E7581" t="str">
        <f t="shared" si="118"/>
        <v>DZ1TOM_00|VLT</v>
      </c>
    </row>
    <row r="7582" spans="1:5" x14ac:dyDescent="0.2">
      <c r="A7582" t="s">
        <v>1428</v>
      </c>
      <c r="B7582" t="s">
        <v>1429</v>
      </c>
      <c r="C7582" t="s">
        <v>458</v>
      </c>
      <c r="D7582" t="str">
        <f>VLOOKUP(C7582,'lookup table'!$A$2:$B$19,2,FALSE)</f>
        <v>VAR</v>
      </c>
      <c r="E7582" t="str">
        <f t="shared" si="118"/>
        <v>DZ1TOM_00|VAR</v>
      </c>
    </row>
    <row r="7583" spans="1:5" x14ac:dyDescent="0.2">
      <c r="A7583" t="s">
        <v>1428</v>
      </c>
      <c r="B7583" t="s">
        <v>1429</v>
      </c>
      <c r="C7583" t="s">
        <v>459</v>
      </c>
      <c r="D7583" t="e">
        <f>VLOOKUP(C7583,'lookup table'!$A$2:$B$19,2,FALSE)</f>
        <v>#N/A</v>
      </c>
      <c r="E7583" t="str">
        <f t="shared" si="118"/>
        <v/>
      </c>
    </row>
    <row r="7584" spans="1:5" x14ac:dyDescent="0.2">
      <c r="A7584" t="s">
        <v>1428</v>
      </c>
      <c r="B7584" t="s">
        <v>1429</v>
      </c>
      <c r="C7584" t="s">
        <v>460</v>
      </c>
      <c r="D7584" t="e">
        <f>VLOOKUP(C7584,'lookup table'!$A$2:$B$19,2,FALSE)</f>
        <v>#N/A</v>
      </c>
      <c r="E7584" t="str">
        <f t="shared" si="118"/>
        <v/>
      </c>
    </row>
    <row r="7585" spans="1:5" x14ac:dyDescent="0.2">
      <c r="A7585" t="s">
        <v>1428</v>
      </c>
      <c r="B7585" t="s">
        <v>1429</v>
      </c>
      <c r="C7585" t="s">
        <v>461</v>
      </c>
      <c r="D7585" t="str">
        <f>VLOOKUP(C7585,'lookup table'!$A$2:$B$19,2,FALSE)</f>
        <v>Posting Level</v>
      </c>
      <c r="E7585" t="str">
        <f t="shared" si="118"/>
        <v>DZ1TOM_00|Posting Level</v>
      </c>
    </row>
    <row r="7586" spans="1:5" x14ac:dyDescent="0.2">
      <c r="A7586" t="s">
        <v>1428</v>
      </c>
      <c r="B7586" t="s">
        <v>1429</v>
      </c>
      <c r="C7586" t="s">
        <v>462</v>
      </c>
      <c r="D7586" t="e">
        <f>VLOOKUP(C7586,'lookup table'!$A$2:$B$19,2,FALSE)</f>
        <v>#N/A</v>
      </c>
      <c r="E7586" t="str">
        <f t="shared" si="118"/>
        <v/>
      </c>
    </row>
    <row r="7587" spans="1:5" x14ac:dyDescent="0.2">
      <c r="A7587" t="s">
        <v>1428</v>
      </c>
      <c r="B7587" t="s">
        <v>1429</v>
      </c>
      <c r="C7587" t="s">
        <v>463</v>
      </c>
      <c r="D7587" t="e">
        <f>VLOOKUP(C7587,'lookup table'!$A$2:$B$19,2,FALSE)</f>
        <v>#N/A</v>
      </c>
      <c r="E7587" t="str">
        <f t="shared" si="118"/>
        <v/>
      </c>
    </row>
    <row r="7588" spans="1:5" x14ac:dyDescent="0.2">
      <c r="A7588" t="s">
        <v>1428</v>
      </c>
      <c r="B7588" t="s">
        <v>1429</v>
      </c>
      <c r="C7588" t="s">
        <v>464</v>
      </c>
      <c r="D7588" t="e">
        <f>VLOOKUP(C7588,'lookup table'!$A$2:$B$19,2,FALSE)</f>
        <v>#N/A</v>
      </c>
      <c r="E7588" t="str">
        <f t="shared" si="118"/>
        <v/>
      </c>
    </row>
    <row r="7589" spans="1:5" x14ac:dyDescent="0.2">
      <c r="A7589" t="s">
        <v>1428</v>
      </c>
      <c r="B7589" t="s">
        <v>1429</v>
      </c>
      <c r="C7589" t="s">
        <v>465</v>
      </c>
      <c r="D7589" t="e">
        <f>VLOOKUP(C7589,'lookup table'!$A$2:$B$19,2,FALSE)</f>
        <v>#N/A</v>
      </c>
      <c r="E7589" t="str">
        <f t="shared" si="118"/>
        <v/>
      </c>
    </row>
    <row r="7590" spans="1:5" x14ac:dyDescent="0.2">
      <c r="A7590" t="s">
        <v>1430</v>
      </c>
      <c r="B7590" t="s">
        <v>1431</v>
      </c>
      <c r="C7590" t="s">
        <v>2</v>
      </c>
      <c r="D7590" t="e">
        <f>VLOOKUP(C7590,'lookup table'!$A$2:$B$19,2,FALSE)</f>
        <v>#N/A</v>
      </c>
      <c r="E7590" t="str">
        <f t="shared" si="118"/>
        <v/>
      </c>
    </row>
    <row r="7591" spans="1:5" x14ac:dyDescent="0.2">
      <c r="A7591" t="s">
        <v>1430</v>
      </c>
      <c r="B7591" t="s">
        <v>1431</v>
      </c>
      <c r="C7591" t="s">
        <v>5</v>
      </c>
      <c r="D7591" t="e">
        <f>VLOOKUP(C7591,'lookup table'!$A$2:$B$19,2,FALSE)</f>
        <v>#N/A</v>
      </c>
      <c r="E7591" t="str">
        <f t="shared" si="118"/>
        <v/>
      </c>
    </row>
    <row r="7592" spans="1:5" x14ac:dyDescent="0.2">
      <c r="A7592" t="s">
        <v>1430</v>
      </c>
      <c r="B7592" t="s">
        <v>1431</v>
      </c>
      <c r="C7592" t="s">
        <v>6</v>
      </c>
      <c r="D7592" t="e">
        <f>VLOOKUP(C7592,'lookup table'!$A$2:$B$19,2,FALSE)</f>
        <v>#N/A</v>
      </c>
      <c r="E7592" t="str">
        <f t="shared" si="118"/>
        <v/>
      </c>
    </row>
    <row r="7593" spans="1:5" x14ac:dyDescent="0.2">
      <c r="A7593" t="s">
        <v>1430</v>
      </c>
      <c r="B7593" t="s">
        <v>1431</v>
      </c>
      <c r="C7593" t="s">
        <v>9</v>
      </c>
      <c r="D7593" t="e">
        <f>VLOOKUP(C7593,'lookup table'!$A$2:$B$19,2,FALSE)</f>
        <v>#N/A</v>
      </c>
      <c r="E7593" t="str">
        <f t="shared" si="118"/>
        <v/>
      </c>
    </row>
    <row r="7594" spans="1:5" x14ac:dyDescent="0.2">
      <c r="A7594" t="s">
        <v>1430</v>
      </c>
      <c r="B7594" t="s">
        <v>1431</v>
      </c>
      <c r="C7594" t="s">
        <v>10</v>
      </c>
      <c r="D7594" t="e">
        <f>VLOOKUP(C7594,'lookup table'!$A$2:$B$19,2,FALSE)</f>
        <v>#N/A</v>
      </c>
      <c r="E7594" t="str">
        <f t="shared" si="118"/>
        <v/>
      </c>
    </row>
    <row r="7595" spans="1:5" x14ac:dyDescent="0.2">
      <c r="A7595" t="s">
        <v>1430</v>
      </c>
      <c r="B7595" t="s">
        <v>1431</v>
      </c>
      <c r="C7595" t="s">
        <v>11</v>
      </c>
      <c r="D7595" t="e">
        <f>VLOOKUP(C7595,'lookup table'!$A$2:$B$19,2,FALSE)</f>
        <v>#N/A</v>
      </c>
      <c r="E7595" t="str">
        <f t="shared" si="118"/>
        <v/>
      </c>
    </row>
    <row r="7596" spans="1:5" x14ac:dyDescent="0.2">
      <c r="A7596" t="s">
        <v>1430</v>
      </c>
      <c r="B7596" t="s">
        <v>1431</v>
      </c>
      <c r="C7596" t="s">
        <v>12</v>
      </c>
      <c r="D7596" t="e">
        <f>VLOOKUP(C7596,'lookup table'!$A$2:$B$19,2,FALSE)</f>
        <v>#N/A</v>
      </c>
      <c r="E7596" t="str">
        <f t="shared" si="118"/>
        <v/>
      </c>
    </row>
    <row r="7597" spans="1:5" x14ac:dyDescent="0.2">
      <c r="A7597" t="s">
        <v>1430</v>
      </c>
      <c r="B7597" t="s">
        <v>1431</v>
      </c>
      <c r="C7597" t="s">
        <v>14</v>
      </c>
      <c r="D7597" t="str">
        <f>VLOOKUP(C7597,'lookup table'!$A$2:$B$19,2,FALSE)</f>
        <v>ALC</v>
      </c>
      <c r="E7597" t="str">
        <f t="shared" si="118"/>
        <v>DZ1VAR_00|ALC</v>
      </c>
    </row>
    <row r="7598" spans="1:5" x14ac:dyDescent="0.2">
      <c r="A7598" t="s">
        <v>1430</v>
      </c>
      <c r="B7598" t="s">
        <v>1431</v>
      </c>
      <c r="C7598" t="s">
        <v>20</v>
      </c>
      <c r="D7598" t="str">
        <f>VLOOKUP(C7598,'lookup table'!$A$2:$B$19,2,FALSE)</f>
        <v>AY</v>
      </c>
      <c r="E7598" t="str">
        <f t="shared" si="118"/>
        <v>DZ1VAR_00|AY</v>
      </c>
    </row>
    <row r="7599" spans="1:5" x14ac:dyDescent="0.2">
      <c r="A7599" t="s">
        <v>1430</v>
      </c>
      <c r="B7599" t="s">
        <v>1431</v>
      </c>
      <c r="C7599" t="s">
        <v>324</v>
      </c>
      <c r="D7599" t="e">
        <f>VLOOKUP(C7599,'lookup table'!$A$2:$B$19,2,FALSE)</f>
        <v>#N/A</v>
      </c>
      <c r="E7599" t="str">
        <f t="shared" si="118"/>
        <v/>
      </c>
    </row>
    <row r="7600" spans="1:5" x14ac:dyDescent="0.2">
      <c r="A7600" t="s">
        <v>1430</v>
      </c>
      <c r="B7600" t="s">
        <v>1431</v>
      </c>
      <c r="C7600" t="s">
        <v>325</v>
      </c>
      <c r="D7600" t="e">
        <f>VLOOKUP(C7600,'lookup table'!$A$2:$B$19,2,FALSE)</f>
        <v>#N/A</v>
      </c>
      <c r="E7600" t="str">
        <f t="shared" si="118"/>
        <v/>
      </c>
    </row>
    <row r="7601" spans="1:5" x14ac:dyDescent="0.2">
      <c r="A7601" t="s">
        <v>1430</v>
      </c>
      <c r="B7601" t="s">
        <v>1431</v>
      </c>
      <c r="C7601" t="s">
        <v>326</v>
      </c>
      <c r="D7601" t="e">
        <f>VLOOKUP(C7601,'lookup table'!$A$2:$B$19,2,FALSE)</f>
        <v>#N/A</v>
      </c>
      <c r="E7601" t="str">
        <f t="shared" si="118"/>
        <v/>
      </c>
    </row>
    <row r="7602" spans="1:5" x14ac:dyDescent="0.2">
      <c r="A7602" t="s">
        <v>1430</v>
      </c>
      <c r="B7602" t="s">
        <v>1431</v>
      </c>
      <c r="C7602" t="s">
        <v>327</v>
      </c>
      <c r="D7602" t="e">
        <f>VLOOKUP(C7602,'lookup table'!$A$2:$B$19,2,FALSE)</f>
        <v>#N/A</v>
      </c>
      <c r="E7602" t="str">
        <f t="shared" si="118"/>
        <v/>
      </c>
    </row>
    <row r="7603" spans="1:5" x14ac:dyDescent="0.2">
      <c r="A7603" t="s">
        <v>1430</v>
      </c>
      <c r="B7603" t="s">
        <v>1431</v>
      </c>
      <c r="C7603" t="s">
        <v>328</v>
      </c>
      <c r="D7603" t="e">
        <f>VLOOKUP(C7603,'lookup table'!$A$2:$B$19,2,FALSE)</f>
        <v>#N/A</v>
      </c>
      <c r="E7603" t="str">
        <f t="shared" si="118"/>
        <v/>
      </c>
    </row>
    <row r="7604" spans="1:5" x14ac:dyDescent="0.2">
      <c r="A7604" t="s">
        <v>1430</v>
      </c>
      <c r="B7604" t="s">
        <v>1431</v>
      </c>
      <c r="C7604" t="s">
        <v>329</v>
      </c>
      <c r="D7604" t="e">
        <f>VLOOKUP(C7604,'lookup table'!$A$2:$B$19,2,FALSE)</f>
        <v>#N/A</v>
      </c>
      <c r="E7604" t="str">
        <f t="shared" si="118"/>
        <v/>
      </c>
    </row>
    <row r="7605" spans="1:5" x14ac:dyDescent="0.2">
      <c r="A7605" t="s">
        <v>1430</v>
      </c>
      <c r="B7605" t="s">
        <v>1431</v>
      </c>
      <c r="C7605" t="s">
        <v>331</v>
      </c>
      <c r="D7605" t="str">
        <f>VLOOKUP(C7605,'lookup table'!$A$2:$B$19,2,FALSE)</f>
        <v>FS Item</v>
      </c>
      <c r="E7605" t="str">
        <f t="shared" si="118"/>
        <v>DZ1VAR_00|FS Item</v>
      </c>
    </row>
    <row r="7606" spans="1:5" x14ac:dyDescent="0.2">
      <c r="A7606" t="s">
        <v>1430</v>
      </c>
      <c r="B7606" t="s">
        <v>1431</v>
      </c>
      <c r="C7606" t="s">
        <v>422</v>
      </c>
      <c r="D7606" t="e">
        <f>VLOOKUP(C7606,'lookup table'!$A$2:$B$19,2,FALSE)</f>
        <v>#N/A</v>
      </c>
      <c r="E7606" t="str">
        <f t="shared" si="118"/>
        <v/>
      </c>
    </row>
    <row r="7607" spans="1:5" x14ac:dyDescent="0.2">
      <c r="A7607" t="s">
        <v>1430</v>
      </c>
      <c r="B7607" t="s">
        <v>1431</v>
      </c>
      <c r="C7607" t="s">
        <v>423</v>
      </c>
      <c r="D7607" t="str">
        <f>VLOOKUP(C7607,'lookup table'!$A$2:$B$19,2,FALSE)</f>
        <v>ignore</v>
      </c>
      <c r="E7607" t="str">
        <f t="shared" si="118"/>
        <v>DZ1VAR_00|ignore</v>
      </c>
    </row>
    <row r="7608" spans="1:5" x14ac:dyDescent="0.2">
      <c r="A7608" t="s">
        <v>1430</v>
      </c>
      <c r="B7608" t="s">
        <v>1431</v>
      </c>
      <c r="C7608" t="s">
        <v>424</v>
      </c>
      <c r="D7608" t="str">
        <f>VLOOKUP(C7608,'lookup table'!$A$2:$B$19,2,FALSE)</f>
        <v>GRC</v>
      </c>
      <c r="E7608" t="str">
        <f t="shared" si="118"/>
        <v>DZ1VAR_00|GRC</v>
      </c>
    </row>
    <row r="7609" spans="1:5" x14ac:dyDescent="0.2">
      <c r="A7609" t="s">
        <v>1430</v>
      </c>
      <c r="B7609" t="s">
        <v>1431</v>
      </c>
      <c r="C7609" t="s">
        <v>425</v>
      </c>
      <c r="D7609" t="str">
        <f>VLOOKUP(C7609,'lookup table'!$A$2:$B$19,2,FALSE)</f>
        <v>Investee Segment</v>
      </c>
      <c r="E7609" t="str">
        <f t="shared" si="118"/>
        <v>DZ1VAR_00|Investee Segment</v>
      </c>
    </row>
    <row r="7610" spans="1:5" x14ac:dyDescent="0.2">
      <c r="A7610" t="s">
        <v>1430</v>
      </c>
      <c r="B7610" t="s">
        <v>1431</v>
      </c>
      <c r="C7610" t="s">
        <v>426</v>
      </c>
      <c r="D7610" t="str">
        <f>VLOOKUP(C7610,'lookup table'!$A$2:$B$19,2,FALSE)</f>
        <v>Investee Unit</v>
      </c>
      <c r="E7610" t="str">
        <f t="shared" si="118"/>
        <v>DZ1VAR_00|Investee Unit</v>
      </c>
    </row>
    <row r="7611" spans="1:5" x14ac:dyDescent="0.2">
      <c r="A7611" t="s">
        <v>1430</v>
      </c>
      <c r="B7611" t="s">
        <v>1431</v>
      </c>
      <c r="C7611" t="s">
        <v>428</v>
      </c>
      <c r="D7611" t="str">
        <f>VLOOKUP(C7611,'lookup table'!$A$2:$B$19,2,FALSE)</f>
        <v>LoB</v>
      </c>
      <c r="E7611" t="str">
        <f t="shared" si="118"/>
        <v>DZ1VAR_00|LoB</v>
      </c>
    </row>
    <row r="7612" spans="1:5" x14ac:dyDescent="0.2">
      <c r="A7612" t="s">
        <v>1430</v>
      </c>
      <c r="B7612" t="s">
        <v>1431</v>
      </c>
      <c r="C7612" t="s">
        <v>436</v>
      </c>
      <c r="D7612" t="str">
        <f>VLOOKUP(C7612,'lookup table'!$A$2:$B$19,2,FALSE)</f>
        <v>MAT</v>
      </c>
      <c r="E7612" t="str">
        <f t="shared" si="118"/>
        <v>DZ1VAR_00|MAT</v>
      </c>
    </row>
    <row r="7613" spans="1:5" x14ac:dyDescent="0.2">
      <c r="A7613" t="s">
        <v>1430</v>
      </c>
      <c r="B7613" t="s">
        <v>1431</v>
      </c>
      <c r="C7613" t="s">
        <v>438</v>
      </c>
      <c r="D7613" t="str">
        <f>VLOOKUP(C7613,'lookup table'!$A$2:$B$19,2,FALSE)</f>
        <v>ToM</v>
      </c>
      <c r="E7613" t="str">
        <f t="shared" si="118"/>
        <v>DZ1VAR_00|ToM</v>
      </c>
    </row>
    <row r="7614" spans="1:5" x14ac:dyDescent="0.2">
      <c r="A7614" t="s">
        <v>1430</v>
      </c>
      <c r="B7614" t="s">
        <v>1431</v>
      </c>
      <c r="C7614" t="s">
        <v>441</v>
      </c>
      <c r="D7614" t="str">
        <f>VLOOKUP(C7614,'lookup table'!$A$2:$B$19,2,FALSE)</f>
        <v>Partner Segment</v>
      </c>
      <c r="E7614" t="str">
        <f t="shared" si="118"/>
        <v>DZ1VAR_00|Partner Segment</v>
      </c>
    </row>
    <row r="7615" spans="1:5" x14ac:dyDescent="0.2">
      <c r="A7615" t="s">
        <v>1430</v>
      </c>
      <c r="B7615" t="s">
        <v>1431</v>
      </c>
      <c r="C7615" t="s">
        <v>442</v>
      </c>
      <c r="D7615" t="str">
        <f>VLOOKUP(C7615,'lookup table'!$A$2:$B$19,2,FALSE)</f>
        <v>Partner Unit</v>
      </c>
      <c r="E7615" t="str">
        <f t="shared" si="118"/>
        <v>DZ1VAR_00|Partner Unit</v>
      </c>
    </row>
    <row r="7616" spans="1:5" x14ac:dyDescent="0.2">
      <c r="A7616" t="s">
        <v>1430</v>
      </c>
      <c r="B7616" t="s">
        <v>1431</v>
      </c>
      <c r="C7616" t="s">
        <v>447</v>
      </c>
      <c r="D7616" t="str">
        <f>VLOOKUP(C7616,'lookup table'!$A$2:$B$19,2,FALSE)</f>
        <v>REX</v>
      </c>
      <c r="E7616" t="str">
        <f t="shared" si="118"/>
        <v>DZ1VAR_00|REX</v>
      </c>
    </row>
    <row r="7617" spans="1:5" x14ac:dyDescent="0.2">
      <c r="A7617" t="s">
        <v>1430</v>
      </c>
      <c r="B7617" t="s">
        <v>1431</v>
      </c>
      <c r="C7617" t="s">
        <v>448</v>
      </c>
      <c r="D7617" t="e">
        <f>VLOOKUP(C7617,'lookup table'!$A$2:$B$19,2,FALSE)</f>
        <v>#N/A</v>
      </c>
      <c r="E7617" t="str">
        <f t="shared" si="118"/>
        <v/>
      </c>
    </row>
    <row r="7618" spans="1:5" x14ac:dyDescent="0.2">
      <c r="A7618" t="s">
        <v>1430</v>
      </c>
      <c r="B7618" t="s">
        <v>1431</v>
      </c>
      <c r="C7618" t="s">
        <v>449</v>
      </c>
      <c r="D7618" t="e">
        <f>VLOOKUP(C7618,'lookup table'!$A$2:$B$19,2,FALSE)</f>
        <v>#N/A</v>
      </c>
      <c r="E7618" t="str">
        <f t="shared" si="118"/>
        <v/>
      </c>
    </row>
    <row r="7619" spans="1:5" x14ac:dyDescent="0.2">
      <c r="A7619" t="s">
        <v>1430</v>
      </c>
      <c r="B7619" t="s">
        <v>1431</v>
      </c>
      <c r="C7619" t="s">
        <v>451</v>
      </c>
      <c r="D7619" t="str">
        <f>VLOOKUP(C7619,'lookup table'!$A$2:$B$19,2,FALSE)</f>
        <v>Segment</v>
      </c>
      <c r="E7619" t="str">
        <f t="shared" ref="E7619:E7682" si="119">IF(ISNA(D7619),"",IF(A7619="","",A7619) &amp; "|" &amp; D7619)</f>
        <v>DZ1VAR_00|Segment</v>
      </c>
    </row>
    <row r="7620" spans="1:5" x14ac:dyDescent="0.2">
      <c r="A7620" t="s">
        <v>1430</v>
      </c>
      <c r="B7620" t="s">
        <v>1431</v>
      </c>
      <c r="C7620" t="s">
        <v>455</v>
      </c>
      <c r="D7620" t="e">
        <f>VLOOKUP(C7620,'lookup table'!$A$2:$B$19,2,FALSE)</f>
        <v>#N/A</v>
      </c>
      <c r="E7620" t="str">
        <f t="shared" si="119"/>
        <v/>
      </c>
    </row>
    <row r="7621" spans="1:5" x14ac:dyDescent="0.2">
      <c r="A7621" t="s">
        <v>1430</v>
      </c>
      <c r="B7621" t="s">
        <v>1431</v>
      </c>
      <c r="C7621" t="s">
        <v>456</v>
      </c>
      <c r="D7621" t="e">
        <f>VLOOKUP(C7621,'lookup table'!$A$2:$B$19,2,FALSE)</f>
        <v>#N/A</v>
      </c>
      <c r="E7621" t="str">
        <f t="shared" si="119"/>
        <v/>
      </c>
    </row>
    <row r="7622" spans="1:5" x14ac:dyDescent="0.2">
      <c r="A7622" t="s">
        <v>1430</v>
      </c>
      <c r="B7622" t="s">
        <v>1431</v>
      </c>
      <c r="C7622" t="s">
        <v>457</v>
      </c>
      <c r="D7622" t="str">
        <f>VLOOKUP(C7622,'lookup table'!$A$2:$B$19,2,FALSE)</f>
        <v>VLT</v>
      </c>
      <c r="E7622" t="str">
        <f t="shared" si="119"/>
        <v>DZ1VAR_00|VLT</v>
      </c>
    </row>
    <row r="7623" spans="1:5" x14ac:dyDescent="0.2">
      <c r="A7623" t="s">
        <v>1430</v>
      </c>
      <c r="B7623" t="s">
        <v>1431</v>
      </c>
      <c r="C7623" t="s">
        <v>458</v>
      </c>
      <c r="D7623" t="str">
        <f>VLOOKUP(C7623,'lookup table'!$A$2:$B$19,2,FALSE)</f>
        <v>VAR</v>
      </c>
      <c r="E7623" t="str">
        <f t="shared" si="119"/>
        <v>DZ1VAR_00|VAR</v>
      </c>
    </row>
    <row r="7624" spans="1:5" x14ac:dyDescent="0.2">
      <c r="A7624" t="s">
        <v>1430</v>
      </c>
      <c r="B7624" t="s">
        <v>1431</v>
      </c>
      <c r="C7624" t="s">
        <v>459</v>
      </c>
      <c r="D7624" t="e">
        <f>VLOOKUP(C7624,'lookup table'!$A$2:$B$19,2,FALSE)</f>
        <v>#N/A</v>
      </c>
      <c r="E7624" t="str">
        <f t="shared" si="119"/>
        <v/>
      </c>
    </row>
    <row r="7625" spans="1:5" x14ac:dyDescent="0.2">
      <c r="A7625" t="s">
        <v>1430</v>
      </c>
      <c r="B7625" t="s">
        <v>1431</v>
      </c>
      <c r="C7625" t="s">
        <v>460</v>
      </c>
      <c r="D7625" t="e">
        <f>VLOOKUP(C7625,'lookup table'!$A$2:$B$19,2,FALSE)</f>
        <v>#N/A</v>
      </c>
      <c r="E7625" t="str">
        <f t="shared" si="119"/>
        <v/>
      </c>
    </row>
    <row r="7626" spans="1:5" x14ac:dyDescent="0.2">
      <c r="A7626" t="s">
        <v>1430</v>
      </c>
      <c r="B7626" t="s">
        <v>1431</v>
      </c>
      <c r="C7626" t="s">
        <v>461</v>
      </c>
      <c r="D7626" t="str">
        <f>VLOOKUP(C7626,'lookup table'!$A$2:$B$19,2,FALSE)</f>
        <v>Posting Level</v>
      </c>
      <c r="E7626" t="str">
        <f t="shared" si="119"/>
        <v>DZ1VAR_00|Posting Level</v>
      </c>
    </row>
    <row r="7627" spans="1:5" x14ac:dyDescent="0.2">
      <c r="A7627" t="s">
        <v>1430</v>
      </c>
      <c r="B7627" t="s">
        <v>1431</v>
      </c>
      <c r="C7627" t="s">
        <v>462</v>
      </c>
      <c r="D7627" t="e">
        <f>VLOOKUP(C7627,'lookup table'!$A$2:$B$19,2,FALSE)</f>
        <v>#N/A</v>
      </c>
      <c r="E7627" t="str">
        <f t="shared" si="119"/>
        <v/>
      </c>
    </row>
    <row r="7628" spans="1:5" x14ac:dyDescent="0.2">
      <c r="A7628" t="s">
        <v>1430</v>
      </c>
      <c r="B7628" t="s">
        <v>1431</v>
      </c>
      <c r="C7628" t="s">
        <v>463</v>
      </c>
      <c r="D7628" t="e">
        <f>VLOOKUP(C7628,'lookup table'!$A$2:$B$19,2,FALSE)</f>
        <v>#N/A</v>
      </c>
      <c r="E7628" t="str">
        <f t="shared" si="119"/>
        <v/>
      </c>
    </row>
    <row r="7629" spans="1:5" x14ac:dyDescent="0.2">
      <c r="A7629" t="s">
        <v>1430</v>
      </c>
      <c r="B7629" t="s">
        <v>1431</v>
      </c>
      <c r="C7629" t="s">
        <v>464</v>
      </c>
      <c r="D7629" t="e">
        <f>VLOOKUP(C7629,'lookup table'!$A$2:$B$19,2,FALSE)</f>
        <v>#N/A</v>
      </c>
      <c r="E7629" t="str">
        <f t="shared" si="119"/>
        <v/>
      </c>
    </row>
    <row r="7630" spans="1:5" x14ac:dyDescent="0.2">
      <c r="A7630" t="s">
        <v>1430</v>
      </c>
      <c r="B7630" t="s">
        <v>1431</v>
      </c>
      <c r="C7630" t="s">
        <v>465</v>
      </c>
      <c r="D7630" t="e">
        <f>VLOOKUP(C7630,'lookup table'!$A$2:$B$19,2,FALSE)</f>
        <v>#N/A</v>
      </c>
      <c r="E7630" t="str">
        <f t="shared" si="119"/>
        <v/>
      </c>
    </row>
    <row r="7631" spans="1:5" x14ac:dyDescent="0.2">
      <c r="A7631" t="s">
        <v>1432</v>
      </c>
      <c r="B7631" t="s">
        <v>1433</v>
      </c>
      <c r="C7631" t="s">
        <v>2</v>
      </c>
      <c r="D7631" t="e">
        <f>VLOOKUP(C7631,'lookup table'!$A$2:$B$19,2,FALSE)</f>
        <v>#N/A</v>
      </c>
      <c r="E7631" t="str">
        <f t="shared" si="119"/>
        <v/>
      </c>
    </row>
    <row r="7632" spans="1:5" x14ac:dyDescent="0.2">
      <c r="A7632" t="s">
        <v>1432</v>
      </c>
      <c r="B7632" t="s">
        <v>1433</v>
      </c>
      <c r="C7632" t="s">
        <v>5</v>
      </c>
      <c r="D7632" t="e">
        <f>VLOOKUP(C7632,'lookup table'!$A$2:$B$19,2,FALSE)</f>
        <v>#N/A</v>
      </c>
      <c r="E7632" t="str">
        <f t="shared" si="119"/>
        <v/>
      </c>
    </row>
    <row r="7633" spans="1:5" x14ac:dyDescent="0.2">
      <c r="A7633" t="s">
        <v>1432</v>
      </c>
      <c r="B7633" t="s">
        <v>1433</v>
      </c>
      <c r="C7633" t="s">
        <v>6</v>
      </c>
      <c r="D7633" t="e">
        <f>VLOOKUP(C7633,'lookup table'!$A$2:$B$19,2,FALSE)</f>
        <v>#N/A</v>
      </c>
      <c r="E7633" t="str">
        <f t="shared" si="119"/>
        <v/>
      </c>
    </row>
    <row r="7634" spans="1:5" x14ac:dyDescent="0.2">
      <c r="A7634" t="s">
        <v>1432</v>
      </c>
      <c r="B7634" t="s">
        <v>1433</v>
      </c>
      <c r="C7634" t="s">
        <v>9</v>
      </c>
      <c r="D7634" t="e">
        <f>VLOOKUP(C7634,'lookup table'!$A$2:$B$19,2,FALSE)</f>
        <v>#N/A</v>
      </c>
      <c r="E7634" t="str">
        <f t="shared" si="119"/>
        <v/>
      </c>
    </row>
    <row r="7635" spans="1:5" x14ac:dyDescent="0.2">
      <c r="A7635" t="s">
        <v>1432</v>
      </c>
      <c r="B7635" t="s">
        <v>1433</v>
      </c>
      <c r="C7635" t="s">
        <v>10</v>
      </c>
      <c r="D7635" t="e">
        <f>VLOOKUP(C7635,'lookup table'!$A$2:$B$19,2,FALSE)</f>
        <v>#N/A</v>
      </c>
      <c r="E7635" t="str">
        <f t="shared" si="119"/>
        <v/>
      </c>
    </row>
    <row r="7636" spans="1:5" x14ac:dyDescent="0.2">
      <c r="A7636" t="s">
        <v>1432</v>
      </c>
      <c r="B7636" t="s">
        <v>1433</v>
      </c>
      <c r="C7636" t="s">
        <v>11</v>
      </c>
      <c r="D7636" t="e">
        <f>VLOOKUP(C7636,'lookup table'!$A$2:$B$19,2,FALSE)</f>
        <v>#N/A</v>
      </c>
      <c r="E7636" t="str">
        <f t="shared" si="119"/>
        <v/>
      </c>
    </row>
    <row r="7637" spans="1:5" x14ac:dyDescent="0.2">
      <c r="A7637" t="s">
        <v>1432</v>
      </c>
      <c r="B7637" t="s">
        <v>1433</v>
      </c>
      <c r="C7637" t="s">
        <v>12</v>
      </c>
      <c r="D7637" t="e">
        <f>VLOOKUP(C7637,'lookup table'!$A$2:$B$19,2,FALSE)</f>
        <v>#N/A</v>
      </c>
      <c r="E7637" t="str">
        <f t="shared" si="119"/>
        <v/>
      </c>
    </row>
    <row r="7638" spans="1:5" x14ac:dyDescent="0.2">
      <c r="A7638" t="s">
        <v>1432</v>
      </c>
      <c r="B7638" t="s">
        <v>1433</v>
      </c>
      <c r="C7638" t="s">
        <v>14</v>
      </c>
      <c r="D7638" t="str">
        <f>VLOOKUP(C7638,'lookup table'!$A$2:$B$19,2,FALSE)</f>
        <v>ALC</v>
      </c>
      <c r="E7638" t="str">
        <f t="shared" si="119"/>
        <v>DZ2ACY_00|ALC</v>
      </c>
    </row>
    <row r="7639" spans="1:5" x14ac:dyDescent="0.2">
      <c r="A7639" t="s">
        <v>1432</v>
      </c>
      <c r="B7639" t="s">
        <v>1433</v>
      </c>
      <c r="C7639" t="s">
        <v>20</v>
      </c>
      <c r="D7639" t="str">
        <f>VLOOKUP(C7639,'lookup table'!$A$2:$B$19,2,FALSE)</f>
        <v>AY</v>
      </c>
      <c r="E7639" t="str">
        <f t="shared" si="119"/>
        <v>DZ2ACY_00|AY</v>
      </c>
    </row>
    <row r="7640" spans="1:5" x14ac:dyDescent="0.2">
      <c r="A7640" t="s">
        <v>1432</v>
      </c>
      <c r="B7640" t="s">
        <v>1433</v>
      </c>
      <c r="C7640" t="s">
        <v>324</v>
      </c>
      <c r="D7640" t="e">
        <f>VLOOKUP(C7640,'lookup table'!$A$2:$B$19,2,FALSE)</f>
        <v>#N/A</v>
      </c>
      <c r="E7640" t="str">
        <f t="shared" si="119"/>
        <v/>
      </c>
    </row>
    <row r="7641" spans="1:5" x14ac:dyDescent="0.2">
      <c r="A7641" t="s">
        <v>1432</v>
      </c>
      <c r="B7641" t="s">
        <v>1433</v>
      </c>
      <c r="C7641" t="s">
        <v>325</v>
      </c>
      <c r="D7641" t="e">
        <f>VLOOKUP(C7641,'lookup table'!$A$2:$B$19,2,FALSE)</f>
        <v>#N/A</v>
      </c>
      <c r="E7641" t="str">
        <f t="shared" si="119"/>
        <v/>
      </c>
    </row>
    <row r="7642" spans="1:5" x14ac:dyDescent="0.2">
      <c r="A7642" t="s">
        <v>1432</v>
      </c>
      <c r="B7642" t="s">
        <v>1433</v>
      </c>
      <c r="C7642" t="s">
        <v>326</v>
      </c>
      <c r="D7642" t="e">
        <f>VLOOKUP(C7642,'lookup table'!$A$2:$B$19,2,FALSE)</f>
        <v>#N/A</v>
      </c>
      <c r="E7642" t="str">
        <f t="shared" si="119"/>
        <v/>
      </c>
    </row>
    <row r="7643" spans="1:5" x14ac:dyDescent="0.2">
      <c r="A7643" t="s">
        <v>1432</v>
      </c>
      <c r="B7643" t="s">
        <v>1433</v>
      </c>
      <c r="C7643" t="s">
        <v>327</v>
      </c>
      <c r="D7643" t="e">
        <f>VLOOKUP(C7643,'lookup table'!$A$2:$B$19,2,FALSE)</f>
        <v>#N/A</v>
      </c>
      <c r="E7643" t="str">
        <f t="shared" si="119"/>
        <v/>
      </c>
    </row>
    <row r="7644" spans="1:5" x14ac:dyDescent="0.2">
      <c r="A7644" t="s">
        <v>1432</v>
      </c>
      <c r="B7644" t="s">
        <v>1433</v>
      </c>
      <c r="C7644" t="s">
        <v>328</v>
      </c>
      <c r="D7644" t="e">
        <f>VLOOKUP(C7644,'lookup table'!$A$2:$B$19,2,FALSE)</f>
        <v>#N/A</v>
      </c>
      <c r="E7644" t="str">
        <f t="shared" si="119"/>
        <v/>
      </c>
    </row>
    <row r="7645" spans="1:5" x14ac:dyDescent="0.2">
      <c r="A7645" t="s">
        <v>1432</v>
      </c>
      <c r="B7645" t="s">
        <v>1433</v>
      </c>
      <c r="C7645" t="s">
        <v>329</v>
      </c>
      <c r="D7645" t="e">
        <f>VLOOKUP(C7645,'lookup table'!$A$2:$B$19,2,FALSE)</f>
        <v>#N/A</v>
      </c>
      <c r="E7645" t="str">
        <f t="shared" si="119"/>
        <v/>
      </c>
    </row>
    <row r="7646" spans="1:5" x14ac:dyDescent="0.2">
      <c r="A7646" t="s">
        <v>1432</v>
      </c>
      <c r="B7646" t="s">
        <v>1433</v>
      </c>
      <c r="C7646" t="s">
        <v>331</v>
      </c>
      <c r="D7646" t="str">
        <f>VLOOKUP(C7646,'lookup table'!$A$2:$B$19,2,FALSE)</f>
        <v>FS Item</v>
      </c>
      <c r="E7646" t="str">
        <f t="shared" si="119"/>
        <v>DZ2ACY_00|FS Item</v>
      </c>
    </row>
    <row r="7647" spans="1:5" x14ac:dyDescent="0.2">
      <c r="A7647" t="s">
        <v>1432</v>
      </c>
      <c r="B7647" t="s">
        <v>1433</v>
      </c>
      <c r="C7647" t="s">
        <v>422</v>
      </c>
      <c r="D7647" t="e">
        <f>VLOOKUP(C7647,'lookup table'!$A$2:$B$19,2,FALSE)</f>
        <v>#N/A</v>
      </c>
      <c r="E7647" t="str">
        <f t="shared" si="119"/>
        <v/>
      </c>
    </row>
    <row r="7648" spans="1:5" x14ac:dyDescent="0.2">
      <c r="A7648" t="s">
        <v>1432</v>
      </c>
      <c r="B7648" t="s">
        <v>1433</v>
      </c>
      <c r="C7648" t="s">
        <v>423</v>
      </c>
      <c r="D7648" t="str">
        <f>VLOOKUP(C7648,'lookup table'!$A$2:$B$19,2,FALSE)</f>
        <v>ignore</v>
      </c>
      <c r="E7648" t="str">
        <f t="shared" si="119"/>
        <v>DZ2ACY_00|ignore</v>
      </c>
    </row>
    <row r="7649" spans="1:5" x14ac:dyDescent="0.2">
      <c r="A7649" t="s">
        <v>1432</v>
      </c>
      <c r="B7649" t="s">
        <v>1433</v>
      </c>
      <c r="C7649" t="s">
        <v>424</v>
      </c>
      <c r="D7649" t="str">
        <f>VLOOKUP(C7649,'lookup table'!$A$2:$B$19,2,FALSE)</f>
        <v>GRC</v>
      </c>
      <c r="E7649" t="str">
        <f t="shared" si="119"/>
        <v>DZ2ACY_00|GRC</v>
      </c>
    </row>
    <row r="7650" spans="1:5" x14ac:dyDescent="0.2">
      <c r="A7650" t="s">
        <v>1432</v>
      </c>
      <c r="B7650" t="s">
        <v>1433</v>
      </c>
      <c r="C7650" t="s">
        <v>425</v>
      </c>
      <c r="D7650" t="str">
        <f>VLOOKUP(C7650,'lookup table'!$A$2:$B$19,2,FALSE)</f>
        <v>Investee Segment</v>
      </c>
      <c r="E7650" t="str">
        <f t="shared" si="119"/>
        <v>DZ2ACY_00|Investee Segment</v>
      </c>
    </row>
    <row r="7651" spans="1:5" x14ac:dyDescent="0.2">
      <c r="A7651" t="s">
        <v>1432</v>
      </c>
      <c r="B7651" t="s">
        <v>1433</v>
      </c>
      <c r="C7651" t="s">
        <v>426</v>
      </c>
      <c r="D7651" t="str">
        <f>VLOOKUP(C7651,'lookup table'!$A$2:$B$19,2,FALSE)</f>
        <v>Investee Unit</v>
      </c>
      <c r="E7651" t="str">
        <f t="shared" si="119"/>
        <v>DZ2ACY_00|Investee Unit</v>
      </c>
    </row>
    <row r="7652" spans="1:5" x14ac:dyDescent="0.2">
      <c r="A7652" t="s">
        <v>1432</v>
      </c>
      <c r="B7652" t="s">
        <v>1433</v>
      </c>
      <c r="C7652" t="s">
        <v>428</v>
      </c>
      <c r="D7652" t="str">
        <f>VLOOKUP(C7652,'lookup table'!$A$2:$B$19,2,FALSE)</f>
        <v>LoB</v>
      </c>
      <c r="E7652" t="str">
        <f t="shared" si="119"/>
        <v>DZ2ACY_00|LoB</v>
      </c>
    </row>
    <row r="7653" spans="1:5" x14ac:dyDescent="0.2">
      <c r="A7653" t="s">
        <v>1432</v>
      </c>
      <c r="B7653" t="s">
        <v>1433</v>
      </c>
      <c r="C7653" t="s">
        <v>436</v>
      </c>
      <c r="D7653" t="str">
        <f>VLOOKUP(C7653,'lookup table'!$A$2:$B$19,2,FALSE)</f>
        <v>MAT</v>
      </c>
      <c r="E7653" t="str">
        <f t="shared" si="119"/>
        <v>DZ2ACY_00|MAT</v>
      </c>
    </row>
    <row r="7654" spans="1:5" x14ac:dyDescent="0.2">
      <c r="A7654" t="s">
        <v>1432</v>
      </c>
      <c r="B7654" t="s">
        <v>1433</v>
      </c>
      <c r="C7654" t="s">
        <v>441</v>
      </c>
      <c r="D7654" t="str">
        <f>VLOOKUP(C7654,'lookup table'!$A$2:$B$19,2,FALSE)</f>
        <v>Partner Segment</v>
      </c>
      <c r="E7654" t="str">
        <f t="shared" si="119"/>
        <v>DZ2ACY_00|Partner Segment</v>
      </c>
    </row>
    <row r="7655" spans="1:5" x14ac:dyDescent="0.2">
      <c r="A7655" t="s">
        <v>1432</v>
      </c>
      <c r="B7655" t="s">
        <v>1433</v>
      </c>
      <c r="C7655" t="s">
        <v>442</v>
      </c>
      <c r="D7655" t="str">
        <f>VLOOKUP(C7655,'lookup table'!$A$2:$B$19,2,FALSE)</f>
        <v>Partner Unit</v>
      </c>
      <c r="E7655" t="str">
        <f t="shared" si="119"/>
        <v>DZ2ACY_00|Partner Unit</v>
      </c>
    </row>
    <row r="7656" spans="1:5" x14ac:dyDescent="0.2">
      <c r="A7656" t="s">
        <v>1432</v>
      </c>
      <c r="B7656" t="s">
        <v>1433</v>
      </c>
      <c r="C7656" t="s">
        <v>447</v>
      </c>
      <c r="D7656" t="str">
        <f>VLOOKUP(C7656,'lookup table'!$A$2:$B$19,2,FALSE)</f>
        <v>REX</v>
      </c>
      <c r="E7656" t="str">
        <f t="shared" si="119"/>
        <v>DZ2ACY_00|REX</v>
      </c>
    </row>
    <row r="7657" spans="1:5" x14ac:dyDescent="0.2">
      <c r="A7657" t="s">
        <v>1432</v>
      </c>
      <c r="B7657" t="s">
        <v>1433</v>
      </c>
      <c r="C7657" t="s">
        <v>448</v>
      </c>
      <c r="D7657" t="e">
        <f>VLOOKUP(C7657,'lookup table'!$A$2:$B$19,2,FALSE)</f>
        <v>#N/A</v>
      </c>
      <c r="E7657" t="str">
        <f t="shared" si="119"/>
        <v/>
      </c>
    </row>
    <row r="7658" spans="1:5" x14ac:dyDescent="0.2">
      <c r="A7658" t="s">
        <v>1432</v>
      </c>
      <c r="B7658" t="s">
        <v>1433</v>
      </c>
      <c r="C7658" t="s">
        <v>449</v>
      </c>
      <c r="D7658" t="e">
        <f>VLOOKUP(C7658,'lookup table'!$A$2:$B$19,2,FALSE)</f>
        <v>#N/A</v>
      </c>
      <c r="E7658" t="str">
        <f t="shared" si="119"/>
        <v/>
      </c>
    </row>
    <row r="7659" spans="1:5" x14ac:dyDescent="0.2">
      <c r="A7659" t="s">
        <v>1432</v>
      </c>
      <c r="B7659" t="s">
        <v>1433</v>
      </c>
      <c r="C7659" t="s">
        <v>451</v>
      </c>
      <c r="D7659" t="str">
        <f>VLOOKUP(C7659,'lookup table'!$A$2:$B$19,2,FALSE)</f>
        <v>Segment</v>
      </c>
      <c r="E7659" t="str">
        <f t="shared" si="119"/>
        <v>DZ2ACY_00|Segment</v>
      </c>
    </row>
    <row r="7660" spans="1:5" x14ac:dyDescent="0.2">
      <c r="A7660" t="s">
        <v>1432</v>
      </c>
      <c r="B7660" t="s">
        <v>1433</v>
      </c>
      <c r="C7660" t="s">
        <v>455</v>
      </c>
      <c r="D7660" t="e">
        <f>VLOOKUP(C7660,'lookup table'!$A$2:$B$19,2,FALSE)</f>
        <v>#N/A</v>
      </c>
      <c r="E7660" t="str">
        <f t="shared" si="119"/>
        <v/>
      </c>
    </row>
    <row r="7661" spans="1:5" x14ac:dyDescent="0.2">
      <c r="A7661" t="s">
        <v>1432</v>
      </c>
      <c r="B7661" t="s">
        <v>1433</v>
      </c>
      <c r="C7661" t="s">
        <v>456</v>
      </c>
      <c r="D7661" t="e">
        <f>VLOOKUP(C7661,'lookup table'!$A$2:$B$19,2,FALSE)</f>
        <v>#N/A</v>
      </c>
      <c r="E7661" t="str">
        <f t="shared" si="119"/>
        <v/>
      </c>
    </row>
    <row r="7662" spans="1:5" x14ac:dyDescent="0.2">
      <c r="A7662" t="s">
        <v>1432</v>
      </c>
      <c r="B7662" t="s">
        <v>1433</v>
      </c>
      <c r="C7662" t="s">
        <v>457</v>
      </c>
      <c r="D7662" t="str">
        <f>VLOOKUP(C7662,'lookup table'!$A$2:$B$19,2,FALSE)</f>
        <v>VLT</v>
      </c>
      <c r="E7662" t="str">
        <f t="shared" si="119"/>
        <v>DZ2ACY_00|VLT</v>
      </c>
    </row>
    <row r="7663" spans="1:5" x14ac:dyDescent="0.2">
      <c r="A7663" t="s">
        <v>1432</v>
      </c>
      <c r="B7663" t="s">
        <v>1433</v>
      </c>
      <c r="C7663" t="s">
        <v>458</v>
      </c>
      <c r="D7663" t="str">
        <f>VLOOKUP(C7663,'lookup table'!$A$2:$B$19,2,FALSE)</f>
        <v>VAR</v>
      </c>
      <c r="E7663" t="str">
        <f t="shared" si="119"/>
        <v>DZ2ACY_00|VAR</v>
      </c>
    </row>
    <row r="7664" spans="1:5" x14ac:dyDescent="0.2">
      <c r="A7664" t="s">
        <v>1432</v>
      </c>
      <c r="B7664" t="s">
        <v>1433</v>
      </c>
      <c r="C7664" t="s">
        <v>459</v>
      </c>
      <c r="D7664" t="e">
        <f>VLOOKUP(C7664,'lookup table'!$A$2:$B$19,2,FALSE)</f>
        <v>#N/A</v>
      </c>
      <c r="E7664" t="str">
        <f t="shared" si="119"/>
        <v/>
      </c>
    </row>
    <row r="7665" spans="1:5" x14ac:dyDescent="0.2">
      <c r="A7665" t="s">
        <v>1432</v>
      </c>
      <c r="B7665" t="s">
        <v>1433</v>
      </c>
      <c r="C7665" t="s">
        <v>460</v>
      </c>
      <c r="D7665" t="e">
        <f>VLOOKUP(C7665,'lookup table'!$A$2:$B$19,2,FALSE)</f>
        <v>#N/A</v>
      </c>
      <c r="E7665" t="str">
        <f t="shared" si="119"/>
        <v/>
      </c>
    </row>
    <row r="7666" spans="1:5" x14ac:dyDescent="0.2">
      <c r="A7666" t="s">
        <v>1432</v>
      </c>
      <c r="B7666" t="s">
        <v>1433</v>
      </c>
      <c r="C7666" t="s">
        <v>461</v>
      </c>
      <c r="D7666" t="str">
        <f>VLOOKUP(C7666,'lookup table'!$A$2:$B$19,2,FALSE)</f>
        <v>Posting Level</v>
      </c>
      <c r="E7666" t="str">
        <f t="shared" si="119"/>
        <v>DZ2ACY_00|Posting Level</v>
      </c>
    </row>
    <row r="7667" spans="1:5" x14ac:dyDescent="0.2">
      <c r="A7667" t="s">
        <v>1432</v>
      </c>
      <c r="B7667" t="s">
        <v>1433</v>
      </c>
      <c r="C7667" t="s">
        <v>462</v>
      </c>
      <c r="D7667" t="e">
        <f>VLOOKUP(C7667,'lookup table'!$A$2:$B$19,2,FALSE)</f>
        <v>#N/A</v>
      </c>
      <c r="E7667" t="str">
        <f t="shared" si="119"/>
        <v/>
      </c>
    </row>
    <row r="7668" spans="1:5" x14ac:dyDescent="0.2">
      <c r="A7668" t="s">
        <v>1432</v>
      </c>
      <c r="B7668" t="s">
        <v>1433</v>
      </c>
      <c r="C7668" t="s">
        <v>463</v>
      </c>
      <c r="D7668" t="e">
        <f>VLOOKUP(C7668,'lookup table'!$A$2:$B$19,2,FALSE)</f>
        <v>#N/A</v>
      </c>
      <c r="E7668" t="str">
        <f t="shared" si="119"/>
        <v/>
      </c>
    </row>
    <row r="7669" spans="1:5" x14ac:dyDescent="0.2">
      <c r="A7669" t="s">
        <v>1432</v>
      </c>
      <c r="B7669" t="s">
        <v>1433</v>
      </c>
      <c r="C7669" t="s">
        <v>464</v>
      </c>
      <c r="D7669" t="e">
        <f>VLOOKUP(C7669,'lookup table'!$A$2:$B$19,2,FALSE)</f>
        <v>#N/A</v>
      </c>
      <c r="E7669" t="str">
        <f t="shared" si="119"/>
        <v/>
      </c>
    </row>
    <row r="7670" spans="1:5" x14ac:dyDescent="0.2">
      <c r="A7670" t="s">
        <v>1432</v>
      </c>
      <c r="B7670" t="s">
        <v>1433</v>
      </c>
      <c r="C7670" t="s">
        <v>465</v>
      </c>
      <c r="D7670" t="e">
        <f>VLOOKUP(C7670,'lookup table'!$A$2:$B$19,2,FALSE)</f>
        <v>#N/A</v>
      </c>
      <c r="E7670" t="str">
        <f t="shared" si="119"/>
        <v/>
      </c>
    </row>
    <row r="7671" spans="1:5" x14ac:dyDescent="0.2">
      <c r="A7671" t="s">
        <v>1434</v>
      </c>
      <c r="B7671" t="s">
        <v>1435</v>
      </c>
      <c r="C7671" t="s">
        <v>2</v>
      </c>
      <c r="D7671" t="e">
        <f>VLOOKUP(C7671,'lookup table'!$A$2:$B$19,2,FALSE)</f>
        <v>#N/A</v>
      </c>
      <c r="E7671" t="str">
        <f t="shared" si="119"/>
        <v/>
      </c>
    </row>
    <row r="7672" spans="1:5" x14ac:dyDescent="0.2">
      <c r="A7672" t="s">
        <v>1434</v>
      </c>
      <c r="B7672" t="s">
        <v>1435</v>
      </c>
      <c r="C7672" t="s">
        <v>5</v>
      </c>
      <c r="D7672" t="e">
        <f>VLOOKUP(C7672,'lookup table'!$A$2:$B$19,2,FALSE)</f>
        <v>#N/A</v>
      </c>
      <c r="E7672" t="str">
        <f t="shared" si="119"/>
        <v/>
      </c>
    </row>
    <row r="7673" spans="1:5" x14ac:dyDescent="0.2">
      <c r="A7673" t="s">
        <v>1434</v>
      </c>
      <c r="B7673" t="s">
        <v>1435</v>
      </c>
      <c r="C7673" t="s">
        <v>6</v>
      </c>
      <c r="D7673" t="e">
        <f>VLOOKUP(C7673,'lookup table'!$A$2:$B$19,2,FALSE)</f>
        <v>#N/A</v>
      </c>
      <c r="E7673" t="str">
        <f t="shared" si="119"/>
        <v/>
      </c>
    </row>
    <row r="7674" spans="1:5" x14ac:dyDescent="0.2">
      <c r="A7674" t="s">
        <v>1434</v>
      </c>
      <c r="B7674" t="s">
        <v>1435</v>
      </c>
      <c r="C7674" t="s">
        <v>9</v>
      </c>
      <c r="D7674" t="e">
        <f>VLOOKUP(C7674,'lookup table'!$A$2:$B$19,2,FALSE)</f>
        <v>#N/A</v>
      </c>
      <c r="E7674" t="str">
        <f t="shared" si="119"/>
        <v/>
      </c>
    </row>
    <row r="7675" spans="1:5" x14ac:dyDescent="0.2">
      <c r="A7675" t="s">
        <v>1434</v>
      </c>
      <c r="B7675" t="s">
        <v>1435</v>
      </c>
      <c r="C7675" t="s">
        <v>10</v>
      </c>
      <c r="D7675" t="e">
        <f>VLOOKUP(C7675,'lookup table'!$A$2:$B$19,2,FALSE)</f>
        <v>#N/A</v>
      </c>
      <c r="E7675" t="str">
        <f t="shared" si="119"/>
        <v/>
      </c>
    </row>
    <row r="7676" spans="1:5" x14ac:dyDescent="0.2">
      <c r="A7676" t="s">
        <v>1434</v>
      </c>
      <c r="B7676" t="s">
        <v>1435</v>
      </c>
      <c r="C7676" t="s">
        <v>11</v>
      </c>
      <c r="D7676" t="e">
        <f>VLOOKUP(C7676,'lookup table'!$A$2:$B$19,2,FALSE)</f>
        <v>#N/A</v>
      </c>
      <c r="E7676" t="str">
        <f t="shared" si="119"/>
        <v/>
      </c>
    </row>
    <row r="7677" spans="1:5" x14ac:dyDescent="0.2">
      <c r="A7677" t="s">
        <v>1434</v>
      </c>
      <c r="B7677" t="s">
        <v>1435</v>
      </c>
      <c r="C7677" t="s">
        <v>12</v>
      </c>
      <c r="D7677" t="e">
        <f>VLOOKUP(C7677,'lookup table'!$A$2:$B$19,2,FALSE)</f>
        <v>#N/A</v>
      </c>
      <c r="E7677" t="str">
        <f t="shared" si="119"/>
        <v/>
      </c>
    </row>
    <row r="7678" spans="1:5" x14ac:dyDescent="0.2">
      <c r="A7678" t="s">
        <v>1434</v>
      </c>
      <c r="B7678" t="s">
        <v>1435</v>
      </c>
      <c r="C7678" t="s">
        <v>14</v>
      </c>
      <c r="D7678" t="str">
        <f>VLOOKUP(C7678,'lookup table'!$A$2:$B$19,2,FALSE)</f>
        <v>ALC</v>
      </c>
      <c r="E7678" t="str">
        <f t="shared" si="119"/>
        <v>DZ2LOB_00|ALC</v>
      </c>
    </row>
    <row r="7679" spans="1:5" x14ac:dyDescent="0.2">
      <c r="A7679" t="s">
        <v>1434</v>
      </c>
      <c r="B7679" t="s">
        <v>1435</v>
      </c>
      <c r="C7679" t="s">
        <v>20</v>
      </c>
      <c r="D7679" t="str">
        <f>VLOOKUP(C7679,'lookup table'!$A$2:$B$19,2,FALSE)</f>
        <v>AY</v>
      </c>
      <c r="E7679" t="str">
        <f t="shared" si="119"/>
        <v>DZ2LOB_00|AY</v>
      </c>
    </row>
    <row r="7680" spans="1:5" x14ac:dyDescent="0.2">
      <c r="A7680" t="s">
        <v>1434</v>
      </c>
      <c r="B7680" t="s">
        <v>1435</v>
      </c>
      <c r="C7680" t="s">
        <v>324</v>
      </c>
      <c r="D7680" t="e">
        <f>VLOOKUP(C7680,'lookup table'!$A$2:$B$19,2,FALSE)</f>
        <v>#N/A</v>
      </c>
      <c r="E7680" t="str">
        <f t="shared" si="119"/>
        <v/>
      </c>
    </row>
    <row r="7681" spans="1:5" x14ac:dyDescent="0.2">
      <c r="A7681" t="s">
        <v>1434</v>
      </c>
      <c r="B7681" t="s">
        <v>1435</v>
      </c>
      <c r="C7681" t="s">
        <v>325</v>
      </c>
      <c r="D7681" t="e">
        <f>VLOOKUP(C7681,'lookup table'!$A$2:$B$19,2,FALSE)</f>
        <v>#N/A</v>
      </c>
      <c r="E7681" t="str">
        <f t="shared" si="119"/>
        <v/>
      </c>
    </row>
    <row r="7682" spans="1:5" x14ac:dyDescent="0.2">
      <c r="A7682" t="s">
        <v>1434</v>
      </c>
      <c r="B7682" t="s">
        <v>1435</v>
      </c>
      <c r="C7682" t="s">
        <v>326</v>
      </c>
      <c r="D7682" t="e">
        <f>VLOOKUP(C7682,'lookup table'!$A$2:$B$19,2,FALSE)</f>
        <v>#N/A</v>
      </c>
      <c r="E7682" t="str">
        <f t="shared" si="119"/>
        <v/>
      </c>
    </row>
    <row r="7683" spans="1:5" x14ac:dyDescent="0.2">
      <c r="A7683" t="s">
        <v>1434</v>
      </c>
      <c r="B7683" t="s">
        <v>1435</v>
      </c>
      <c r="C7683" t="s">
        <v>327</v>
      </c>
      <c r="D7683" t="e">
        <f>VLOOKUP(C7683,'lookup table'!$A$2:$B$19,2,FALSE)</f>
        <v>#N/A</v>
      </c>
      <c r="E7683" t="str">
        <f t="shared" ref="E7683:E7746" si="120">IF(ISNA(D7683),"",IF(A7683="","",A7683) &amp; "|" &amp; D7683)</f>
        <v/>
      </c>
    </row>
    <row r="7684" spans="1:5" x14ac:dyDescent="0.2">
      <c r="A7684" t="s">
        <v>1434</v>
      </c>
      <c r="B7684" t="s">
        <v>1435</v>
      </c>
      <c r="C7684" t="s">
        <v>328</v>
      </c>
      <c r="D7684" t="e">
        <f>VLOOKUP(C7684,'lookup table'!$A$2:$B$19,2,FALSE)</f>
        <v>#N/A</v>
      </c>
      <c r="E7684" t="str">
        <f t="shared" si="120"/>
        <v/>
      </c>
    </row>
    <row r="7685" spans="1:5" x14ac:dyDescent="0.2">
      <c r="A7685" t="s">
        <v>1434</v>
      </c>
      <c r="B7685" t="s">
        <v>1435</v>
      </c>
      <c r="C7685" t="s">
        <v>329</v>
      </c>
      <c r="D7685" t="e">
        <f>VLOOKUP(C7685,'lookup table'!$A$2:$B$19,2,FALSE)</f>
        <v>#N/A</v>
      </c>
      <c r="E7685" t="str">
        <f t="shared" si="120"/>
        <v/>
      </c>
    </row>
    <row r="7686" spans="1:5" x14ac:dyDescent="0.2">
      <c r="A7686" t="s">
        <v>1434</v>
      </c>
      <c r="B7686" t="s">
        <v>1435</v>
      </c>
      <c r="C7686" t="s">
        <v>331</v>
      </c>
      <c r="D7686" t="str">
        <f>VLOOKUP(C7686,'lookup table'!$A$2:$B$19,2,FALSE)</f>
        <v>FS Item</v>
      </c>
      <c r="E7686" t="str">
        <f t="shared" si="120"/>
        <v>DZ2LOB_00|FS Item</v>
      </c>
    </row>
    <row r="7687" spans="1:5" x14ac:dyDescent="0.2">
      <c r="A7687" t="s">
        <v>1434</v>
      </c>
      <c r="B7687" t="s">
        <v>1435</v>
      </c>
      <c r="C7687" t="s">
        <v>422</v>
      </c>
      <c r="D7687" t="e">
        <f>VLOOKUP(C7687,'lookup table'!$A$2:$B$19,2,FALSE)</f>
        <v>#N/A</v>
      </c>
      <c r="E7687" t="str">
        <f t="shared" si="120"/>
        <v/>
      </c>
    </row>
    <row r="7688" spans="1:5" x14ac:dyDescent="0.2">
      <c r="A7688" t="s">
        <v>1434</v>
      </c>
      <c r="B7688" t="s">
        <v>1435</v>
      </c>
      <c r="C7688" t="s">
        <v>423</v>
      </c>
      <c r="D7688" t="str">
        <f>VLOOKUP(C7688,'lookup table'!$A$2:$B$19,2,FALSE)</f>
        <v>ignore</v>
      </c>
      <c r="E7688" t="str">
        <f t="shared" si="120"/>
        <v>DZ2LOB_00|ignore</v>
      </c>
    </row>
    <row r="7689" spans="1:5" x14ac:dyDescent="0.2">
      <c r="A7689" t="s">
        <v>1434</v>
      </c>
      <c r="B7689" t="s">
        <v>1435</v>
      </c>
      <c r="C7689" t="s">
        <v>424</v>
      </c>
      <c r="D7689" t="str">
        <f>VLOOKUP(C7689,'lookup table'!$A$2:$B$19,2,FALSE)</f>
        <v>GRC</v>
      </c>
      <c r="E7689" t="str">
        <f t="shared" si="120"/>
        <v>DZ2LOB_00|GRC</v>
      </c>
    </row>
    <row r="7690" spans="1:5" x14ac:dyDescent="0.2">
      <c r="A7690" t="s">
        <v>1434</v>
      </c>
      <c r="B7690" t="s">
        <v>1435</v>
      </c>
      <c r="C7690" t="s">
        <v>425</v>
      </c>
      <c r="D7690" t="str">
        <f>VLOOKUP(C7690,'lookup table'!$A$2:$B$19,2,FALSE)</f>
        <v>Investee Segment</v>
      </c>
      <c r="E7690" t="str">
        <f t="shared" si="120"/>
        <v>DZ2LOB_00|Investee Segment</v>
      </c>
    </row>
    <row r="7691" spans="1:5" x14ac:dyDescent="0.2">
      <c r="A7691" t="s">
        <v>1434</v>
      </c>
      <c r="B7691" t="s">
        <v>1435</v>
      </c>
      <c r="C7691" t="s">
        <v>426</v>
      </c>
      <c r="D7691" t="str">
        <f>VLOOKUP(C7691,'lookup table'!$A$2:$B$19,2,FALSE)</f>
        <v>Investee Unit</v>
      </c>
      <c r="E7691" t="str">
        <f t="shared" si="120"/>
        <v>DZ2LOB_00|Investee Unit</v>
      </c>
    </row>
    <row r="7692" spans="1:5" x14ac:dyDescent="0.2">
      <c r="A7692" t="s">
        <v>1434</v>
      </c>
      <c r="B7692" t="s">
        <v>1435</v>
      </c>
      <c r="C7692" t="s">
        <v>428</v>
      </c>
      <c r="D7692" t="str">
        <f>VLOOKUP(C7692,'lookup table'!$A$2:$B$19,2,FALSE)</f>
        <v>LoB</v>
      </c>
      <c r="E7692" t="str">
        <f t="shared" si="120"/>
        <v>DZ2LOB_00|LoB</v>
      </c>
    </row>
    <row r="7693" spans="1:5" x14ac:dyDescent="0.2">
      <c r="A7693" t="s">
        <v>1434</v>
      </c>
      <c r="B7693" t="s">
        <v>1435</v>
      </c>
      <c r="C7693" t="s">
        <v>436</v>
      </c>
      <c r="D7693" t="str">
        <f>VLOOKUP(C7693,'lookup table'!$A$2:$B$19,2,FALSE)</f>
        <v>MAT</v>
      </c>
      <c r="E7693" t="str">
        <f t="shared" si="120"/>
        <v>DZ2LOB_00|MAT</v>
      </c>
    </row>
    <row r="7694" spans="1:5" x14ac:dyDescent="0.2">
      <c r="A7694" t="s">
        <v>1434</v>
      </c>
      <c r="B7694" t="s">
        <v>1435</v>
      </c>
      <c r="C7694" t="s">
        <v>441</v>
      </c>
      <c r="D7694" t="str">
        <f>VLOOKUP(C7694,'lookup table'!$A$2:$B$19,2,FALSE)</f>
        <v>Partner Segment</v>
      </c>
      <c r="E7694" t="str">
        <f t="shared" si="120"/>
        <v>DZ2LOB_00|Partner Segment</v>
      </c>
    </row>
    <row r="7695" spans="1:5" x14ac:dyDescent="0.2">
      <c r="A7695" t="s">
        <v>1434</v>
      </c>
      <c r="B7695" t="s">
        <v>1435</v>
      </c>
      <c r="C7695" t="s">
        <v>442</v>
      </c>
      <c r="D7695" t="str">
        <f>VLOOKUP(C7695,'lookup table'!$A$2:$B$19,2,FALSE)</f>
        <v>Partner Unit</v>
      </c>
      <c r="E7695" t="str">
        <f t="shared" si="120"/>
        <v>DZ2LOB_00|Partner Unit</v>
      </c>
    </row>
    <row r="7696" spans="1:5" x14ac:dyDescent="0.2">
      <c r="A7696" t="s">
        <v>1434</v>
      </c>
      <c r="B7696" t="s">
        <v>1435</v>
      </c>
      <c r="C7696" t="s">
        <v>447</v>
      </c>
      <c r="D7696" t="str">
        <f>VLOOKUP(C7696,'lookup table'!$A$2:$B$19,2,FALSE)</f>
        <v>REX</v>
      </c>
      <c r="E7696" t="str">
        <f t="shared" si="120"/>
        <v>DZ2LOB_00|REX</v>
      </c>
    </row>
    <row r="7697" spans="1:5" x14ac:dyDescent="0.2">
      <c r="A7697" t="s">
        <v>1434</v>
      </c>
      <c r="B7697" t="s">
        <v>1435</v>
      </c>
      <c r="C7697" t="s">
        <v>448</v>
      </c>
      <c r="D7697" t="e">
        <f>VLOOKUP(C7697,'lookup table'!$A$2:$B$19,2,FALSE)</f>
        <v>#N/A</v>
      </c>
      <c r="E7697" t="str">
        <f t="shared" si="120"/>
        <v/>
      </c>
    </row>
    <row r="7698" spans="1:5" x14ac:dyDescent="0.2">
      <c r="A7698" t="s">
        <v>1434</v>
      </c>
      <c r="B7698" t="s">
        <v>1435</v>
      </c>
      <c r="C7698" t="s">
        <v>449</v>
      </c>
      <c r="D7698" t="e">
        <f>VLOOKUP(C7698,'lookup table'!$A$2:$B$19,2,FALSE)</f>
        <v>#N/A</v>
      </c>
      <c r="E7698" t="str">
        <f t="shared" si="120"/>
        <v/>
      </c>
    </row>
    <row r="7699" spans="1:5" x14ac:dyDescent="0.2">
      <c r="A7699" t="s">
        <v>1434</v>
      </c>
      <c r="B7699" t="s">
        <v>1435</v>
      </c>
      <c r="C7699" t="s">
        <v>451</v>
      </c>
      <c r="D7699" t="str">
        <f>VLOOKUP(C7699,'lookup table'!$A$2:$B$19,2,FALSE)</f>
        <v>Segment</v>
      </c>
      <c r="E7699" t="str">
        <f t="shared" si="120"/>
        <v>DZ2LOB_00|Segment</v>
      </c>
    </row>
    <row r="7700" spans="1:5" x14ac:dyDescent="0.2">
      <c r="A7700" t="s">
        <v>1434</v>
      </c>
      <c r="B7700" t="s">
        <v>1435</v>
      </c>
      <c r="C7700" t="s">
        <v>455</v>
      </c>
      <c r="D7700" t="e">
        <f>VLOOKUP(C7700,'lookup table'!$A$2:$B$19,2,FALSE)</f>
        <v>#N/A</v>
      </c>
      <c r="E7700" t="str">
        <f t="shared" si="120"/>
        <v/>
      </c>
    </row>
    <row r="7701" spans="1:5" x14ac:dyDescent="0.2">
      <c r="A7701" t="s">
        <v>1434</v>
      </c>
      <c r="B7701" t="s">
        <v>1435</v>
      </c>
      <c r="C7701" t="s">
        <v>456</v>
      </c>
      <c r="D7701" t="e">
        <f>VLOOKUP(C7701,'lookup table'!$A$2:$B$19,2,FALSE)</f>
        <v>#N/A</v>
      </c>
      <c r="E7701" t="str">
        <f t="shared" si="120"/>
        <v/>
      </c>
    </row>
    <row r="7702" spans="1:5" x14ac:dyDescent="0.2">
      <c r="A7702" t="s">
        <v>1434</v>
      </c>
      <c r="B7702" t="s">
        <v>1435</v>
      </c>
      <c r="C7702" t="s">
        <v>457</v>
      </c>
      <c r="D7702" t="str">
        <f>VLOOKUP(C7702,'lookup table'!$A$2:$B$19,2,FALSE)</f>
        <v>VLT</v>
      </c>
      <c r="E7702" t="str">
        <f t="shared" si="120"/>
        <v>DZ2LOB_00|VLT</v>
      </c>
    </row>
    <row r="7703" spans="1:5" x14ac:dyDescent="0.2">
      <c r="A7703" t="s">
        <v>1434</v>
      </c>
      <c r="B7703" t="s">
        <v>1435</v>
      </c>
      <c r="C7703" t="s">
        <v>458</v>
      </c>
      <c r="D7703" t="str">
        <f>VLOOKUP(C7703,'lookup table'!$A$2:$B$19,2,FALSE)</f>
        <v>VAR</v>
      </c>
      <c r="E7703" t="str">
        <f t="shared" si="120"/>
        <v>DZ2LOB_00|VAR</v>
      </c>
    </row>
    <row r="7704" spans="1:5" x14ac:dyDescent="0.2">
      <c r="A7704" t="s">
        <v>1434</v>
      </c>
      <c r="B7704" t="s">
        <v>1435</v>
      </c>
      <c r="C7704" t="s">
        <v>459</v>
      </c>
      <c r="D7704" t="e">
        <f>VLOOKUP(C7704,'lookup table'!$A$2:$B$19,2,FALSE)</f>
        <v>#N/A</v>
      </c>
      <c r="E7704" t="str">
        <f t="shared" si="120"/>
        <v/>
      </c>
    </row>
    <row r="7705" spans="1:5" x14ac:dyDescent="0.2">
      <c r="A7705" t="s">
        <v>1434</v>
      </c>
      <c r="B7705" t="s">
        <v>1435</v>
      </c>
      <c r="C7705" t="s">
        <v>460</v>
      </c>
      <c r="D7705" t="e">
        <f>VLOOKUP(C7705,'lookup table'!$A$2:$B$19,2,FALSE)</f>
        <v>#N/A</v>
      </c>
      <c r="E7705" t="str">
        <f t="shared" si="120"/>
        <v/>
      </c>
    </row>
    <row r="7706" spans="1:5" x14ac:dyDescent="0.2">
      <c r="A7706" t="s">
        <v>1434</v>
      </c>
      <c r="B7706" t="s">
        <v>1435</v>
      </c>
      <c r="C7706" t="s">
        <v>461</v>
      </c>
      <c r="D7706" t="str">
        <f>VLOOKUP(C7706,'lookup table'!$A$2:$B$19,2,FALSE)</f>
        <v>Posting Level</v>
      </c>
      <c r="E7706" t="str">
        <f t="shared" si="120"/>
        <v>DZ2LOB_00|Posting Level</v>
      </c>
    </row>
    <row r="7707" spans="1:5" x14ac:dyDescent="0.2">
      <c r="A7707" t="s">
        <v>1434</v>
      </c>
      <c r="B7707" t="s">
        <v>1435</v>
      </c>
      <c r="C7707" t="s">
        <v>462</v>
      </c>
      <c r="D7707" t="e">
        <f>VLOOKUP(C7707,'lookup table'!$A$2:$B$19,2,FALSE)</f>
        <v>#N/A</v>
      </c>
      <c r="E7707" t="str">
        <f t="shared" si="120"/>
        <v/>
      </c>
    </row>
    <row r="7708" spans="1:5" x14ac:dyDescent="0.2">
      <c r="A7708" t="s">
        <v>1434</v>
      </c>
      <c r="B7708" t="s">
        <v>1435</v>
      </c>
      <c r="C7708" t="s">
        <v>463</v>
      </c>
      <c r="D7708" t="e">
        <f>VLOOKUP(C7708,'lookup table'!$A$2:$B$19,2,FALSE)</f>
        <v>#N/A</v>
      </c>
      <c r="E7708" t="str">
        <f t="shared" si="120"/>
        <v/>
      </c>
    </row>
    <row r="7709" spans="1:5" x14ac:dyDescent="0.2">
      <c r="A7709" t="s">
        <v>1434</v>
      </c>
      <c r="B7709" t="s">
        <v>1435</v>
      </c>
      <c r="C7709" t="s">
        <v>464</v>
      </c>
      <c r="D7709" t="e">
        <f>VLOOKUP(C7709,'lookup table'!$A$2:$B$19,2,FALSE)</f>
        <v>#N/A</v>
      </c>
      <c r="E7709" t="str">
        <f t="shared" si="120"/>
        <v/>
      </c>
    </row>
    <row r="7710" spans="1:5" x14ac:dyDescent="0.2">
      <c r="A7710" t="s">
        <v>1434</v>
      </c>
      <c r="B7710" t="s">
        <v>1435</v>
      </c>
      <c r="C7710" t="s">
        <v>465</v>
      </c>
      <c r="D7710" t="e">
        <f>VLOOKUP(C7710,'lookup table'!$A$2:$B$19,2,FALSE)</f>
        <v>#N/A</v>
      </c>
      <c r="E7710" t="str">
        <f t="shared" si="120"/>
        <v/>
      </c>
    </row>
    <row r="7711" spans="1:5" x14ac:dyDescent="0.2">
      <c r="A7711" t="s">
        <v>1436</v>
      </c>
      <c r="B7711" t="s">
        <v>1437</v>
      </c>
      <c r="C7711" t="s">
        <v>2</v>
      </c>
      <c r="D7711" t="e">
        <f>VLOOKUP(C7711,'lookup table'!$A$2:$B$19,2,FALSE)</f>
        <v>#N/A</v>
      </c>
      <c r="E7711" t="str">
        <f t="shared" si="120"/>
        <v/>
      </c>
    </row>
    <row r="7712" spans="1:5" x14ac:dyDescent="0.2">
      <c r="A7712" t="s">
        <v>1436</v>
      </c>
      <c r="B7712" t="s">
        <v>1437</v>
      </c>
      <c r="C7712" t="s">
        <v>5</v>
      </c>
      <c r="D7712" t="e">
        <f>VLOOKUP(C7712,'lookup table'!$A$2:$B$19,2,FALSE)</f>
        <v>#N/A</v>
      </c>
      <c r="E7712" t="str">
        <f t="shared" si="120"/>
        <v/>
      </c>
    </row>
    <row r="7713" spans="1:5" x14ac:dyDescent="0.2">
      <c r="A7713" t="s">
        <v>1436</v>
      </c>
      <c r="B7713" t="s">
        <v>1437</v>
      </c>
      <c r="C7713" t="s">
        <v>6</v>
      </c>
      <c r="D7713" t="e">
        <f>VLOOKUP(C7713,'lookup table'!$A$2:$B$19,2,FALSE)</f>
        <v>#N/A</v>
      </c>
      <c r="E7713" t="str">
        <f t="shared" si="120"/>
        <v/>
      </c>
    </row>
    <row r="7714" spans="1:5" x14ac:dyDescent="0.2">
      <c r="A7714" t="s">
        <v>1436</v>
      </c>
      <c r="B7714" t="s">
        <v>1437</v>
      </c>
      <c r="C7714" t="s">
        <v>9</v>
      </c>
      <c r="D7714" t="e">
        <f>VLOOKUP(C7714,'lookup table'!$A$2:$B$19,2,FALSE)</f>
        <v>#N/A</v>
      </c>
      <c r="E7714" t="str">
        <f t="shared" si="120"/>
        <v/>
      </c>
    </row>
    <row r="7715" spans="1:5" x14ac:dyDescent="0.2">
      <c r="A7715" t="s">
        <v>1436</v>
      </c>
      <c r="B7715" t="s">
        <v>1437</v>
      </c>
      <c r="C7715" t="s">
        <v>10</v>
      </c>
      <c r="D7715" t="e">
        <f>VLOOKUP(C7715,'lookup table'!$A$2:$B$19,2,FALSE)</f>
        <v>#N/A</v>
      </c>
      <c r="E7715" t="str">
        <f t="shared" si="120"/>
        <v/>
      </c>
    </row>
    <row r="7716" spans="1:5" x14ac:dyDescent="0.2">
      <c r="A7716" t="s">
        <v>1436</v>
      </c>
      <c r="B7716" t="s">
        <v>1437</v>
      </c>
      <c r="C7716" t="s">
        <v>11</v>
      </c>
      <c r="D7716" t="e">
        <f>VLOOKUP(C7716,'lookup table'!$A$2:$B$19,2,FALSE)</f>
        <v>#N/A</v>
      </c>
      <c r="E7716" t="str">
        <f t="shared" si="120"/>
        <v/>
      </c>
    </row>
    <row r="7717" spans="1:5" x14ac:dyDescent="0.2">
      <c r="A7717" t="s">
        <v>1436</v>
      </c>
      <c r="B7717" t="s">
        <v>1437</v>
      </c>
      <c r="C7717" t="s">
        <v>12</v>
      </c>
      <c r="D7717" t="e">
        <f>VLOOKUP(C7717,'lookup table'!$A$2:$B$19,2,FALSE)</f>
        <v>#N/A</v>
      </c>
      <c r="E7717" t="str">
        <f t="shared" si="120"/>
        <v/>
      </c>
    </row>
    <row r="7718" spans="1:5" x14ac:dyDescent="0.2">
      <c r="A7718" t="s">
        <v>1436</v>
      </c>
      <c r="B7718" t="s">
        <v>1437</v>
      </c>
      <c r="C7718" t="s">
        <v>14</v>
      </c>
      <c r="D7718" t="str">
        <f>VLOOKUP(C7718,'lookup table'!$A$2:$B$19,2,FALSE)</f>
        <v>ALC</v>
      </c>
      <c r="E7718" t="str">
        <f t="shared" si="120"/>
        <v>DZ2REX_00|ALC</v>
      </c>
    </row>
    <row r="7719" spans="1:5" x14ac:dyDescent="0.2">
      <c r="A7719" t="s">
        <v>1436</v>
      </c>
      <c r="B7719" t="s">
        <v>1437</v>
      </c>
      <c r="C7719" t="s">
        <v>20</v>
      </c>
      <c r="D7719" t="str">
        <f>VLOOKUP(C7719,'lookup table'!$A$2:$B$19,2,FALSE)</f>
        <v>AY</v>
      </c>
      <c r="E7719" t="str">
        <f t="shared" si="120"/>
        <v>DZ2REX_00|AY</v>
      </c>
    </row>
    <row r="7720" spans="1:5" x14ac:dyDescent="0.2">
      <c r="A7720" t="s">
        <v>1436</v>
      </c>
      <c r="B7720" t="s">
        <v>1437</v>
      </c>
      <c r="C7720" t="s">
        <v>324</v>
      </c>
      <c r="D7720" t="e">
        <f>VLOOKUP(C7720,'lookup table'!$A$2:$B$19,2,FALSE)</f>
        <v>#N/A</v>
      </c>
      <c r="E7720" t="str">
        <f t="shared" si="120"/>
        <v/>
      </c>
    </row>
    <row r="7721" spans="1:5" x14ac:dyDescent="0.2">
      <c r="A7721" t="s">
        <v>1436</v>
      </c>
      <c r="B7721" t="s">
        <v>1437</v>
      </c>
      <c r="C7721" t="s">
        <v>325</v>
      </c>
      <c r="D7721" t="e">
        <f>VLOOKUP(C7721,'lookup table'!$A$2:$B$19,2,FALSE)</f>
        <v>#N/A</v>
      </c>
      <c r="E7721" t="str">
        <f t="shared" si="120"/>
        <v/>
      </c>
    </row>
    <row r="7722" spans="1:5" x14ac:dyDescent="0.2">
      <c r="A7722" t="s">
        <v>1436</v>
      </c>
      <c r="B7722" t="s">
        <v>1437</v>
      </c>
      <c r="C7722" t="s">
        <v>326</v>
      </c>
      <c r="D7722" t="e">
        <f>VLOOKUP(C7722,'lookup table'!$A$2:$B$19,2,FALSE)</f>
        <v>#N/A</v>
      </c>
      <c r="E7722" t="str">
        <f t="shared" si="120"/>
        <v/>
      </c>
    </row>
    <row r="7723" spans="1:5" x14ac:dyDescent="0.2">
      <c r="A7723" t="s">
        <v>1436</v>
      </c>
      <c r="B7723" t="s">
        <v>1437</v>
      </c>
      <c r="C7723" t="s">
        <v>327</v>
      </c>
      <c r="D7723" t="e">
        <f>VLOOKUP(C7723,'lookup table'!$A$2:$B$19,2,FALSE)</f>
        <v>#N/A</v>
      </c>
      <c r="E7723" t="str">
        <f t="shared" si="120"/>
        <v/>
      </c>
    </row>
    <row r="7724" spans="1:5" x14ac:dyDescent="0.2">
      <c r="A7724" t="s">
        <v>1436</v>
      </c>
      <c r="B7724" t="s">
        <v>1437</v>
      </c>
      <c r="C7724" t="s">
        <v>328</v>
      </c>
      <c r="D7724" t="e">
        <f>VLOOKUP(C7724,'lookup table'!$A$2:$B$19,2,FALSE)</f>
        <v>#N/A</v>
      </c>
      <c r="E7724" t="str">
        <f t="shared" si="120"/>
        <v/>
      </c>
    </row>
    <row r="7725" spans="1:5" x14ac:dyDescent="0.2">
      <c r="A7725" t="s">
        <v>1436</v>
      </c>
      <c r="B7725" t="s">
        <v>1437</v>
      </c>
      <c r="C7725" t="s">
        <v>329</v>
      </c>
      <c r="D7725" t="e">
        <f>VLOOKUP(C7725,'lookup table'!$A$2:$B$19,2,FALSE)</f>
        <v>#N/A</v>
      </c>
      <c r="E7725" t="str">
        <f t="shared" si="120"/>
        <v/>
      </c>
    </row>
    <row r="7726" spans="1:5" x14ac:dyDescent="0.2">
      <c r="A7726" t="s">
        <v>1436</v>
      </c>
      <c r="B7726" t="s">
        <v>1437</v>
      </c>
      <c r="C7726" t="s">
        <v>331</v>
      </c>
      <c r="D7726" t="str">
        <f>VLOOKUP(C7726,'lookup table'!$A$2:$B$19,2,FALSE)</f>
        <v>FS Item</v>
      </c>
      <c r="E7726" t="str">
        <f t="shared" si="120"/>
        <v>DZ2REX_00|FS Item</v>
      </c>
    </row>
    <row r="7727" spans="1:5" x14ac:dyDescent="0.2">
      <c r="A7727" t="s">
        <v>1436</v>
      </c>
      <c r="B7727" t="s">
        <v>1437</v>
      </c>
      <c r="C7727" t="s">
        <v>422</v>
      </c>
      <c r="D7727" t="e">
        <f>VLOOKUP(C7727,'lookup table'!$A$2:$B$19,2,FALSE)</f>
        <v>#N/A</v>
      </c>
      <c r="E7727" t="str">
        <f t="shared" si="120"/>
        <v/>
      </c>
    </row>
    <row r="7728" spans="1:5" x14ac:dyDescent="0.2">
      <c r="A7728" t="s">
        <v>1436</v>
      </c>
      <c r="B7728" t="s">
        <v>1437</v>
      </c>
      <c r="C7728" t="s">
        <v>423</v>
      </c>
      <c r="D7728" t="str">
        <f>VLOOKUP(C7728,'lookup table'!$A$2:$B$19,2,FALSE)</f>
        <v>ignore</v>
      </c>
      <c r="E7728" t="str">
        <f t="shared" si="120"/>
        <v>DZ2REX_00|ignore</v>
      </c>
    </row>
    <row r="7729" spans="1:5" x14ac:dyDescent="0.2">
      <c r="A7729" t="s">
        <v>1436</v>
      </c>
      <c r="B7729" t="s">
        <v>1437</v>
      </c>
      <c r="C7729" t="s">
        <v>424</v>
      </c>
      <c r="D7729" t="str">
        <f>VLOOKUP(C7729,'lookup table'!$A$2:$B$19,2,FALSE)</f>
        <v>GRC</v>
      </c>
      <c r="E7729" t="str">
        <f t="shared" si="120"/>
        <v>DZ2REX_00|GRC</v>
      </c>
    </row>
    <row r="7730" spans="1:5" x14ac:dyDescent="0.2">
      <c r="A7730" t="s">
        <v>1436</v>
      </c>
      <c r="B7730" t="s">
        <v>1437</v>
      </c>
      <c r="C7730" t="s">
        <v>425</v>
      </c>
      <c r="D7730" t="str">
        <f>VLOOKUP(C7730,'lookup table'!$A$2:$B$19,2,FALSE)</f>
        <v>Investee Segment</v>
      </c>
      <c r="E7730" t="str">
        <f t="shared" si="120"/>
        <v>DZ2REX_00|Investee Segment</v>
      </c>
    </row>
    <row r="7731" spans="1:5" x14ac:dyDescent="0.2">
      <c r="A7731" t="s">
        <v>1436</v>
      </c>
      <c r="B7731" t="s">
        <v>1437</v>
      </c>
      <c r="C7731" t="s">
        <v>426</v>
      </c>
      <c r="D7731" t="str">
        <f>VLOOKUP(C7731,'lookup table'!$A$2:$B$19,2,FALSE)</f>
        <v>Investee Unit</v>
      </c>
      <c r="E7731" t="str">
        <f t="shared" si="120"/>
        <v>DZ2REX_00|Investee Unit</v>
      </c>
    </row>
    <row r="7732" spans="1:5" x14ac:dyDescent="0.2">
      <c r="A7732" t="s">
        <v>1436</v>
      </c>
      <c r="B7732" t="s">
        <v>1437</v>
      </c>
      <c r="C7732" t="s">
        <v>428</v>
      </c>
      <c r="D7732" t="str">
        <f>VLOOKUP(C7732,'lookup table'!$A$2:$B$19,2,FALSE)</f>
        <v>LoB</v>
      </c>
      <c r="E7732" t="str">
        <f t="shared" si="120"/>
        <v>DZ2REX_00|LoB</v>
      </c>
    </row>
    <row r="7733" spans="1:5" x14ac:dyDescent="0.2">
      <c r="A7733" t="s">
        <v>1436</v>
      </c>
      <c r="B7733" t="s">
        <v>1437</v>
      </c>
      <c r="C7733" t="s">
        <v>436</v>
      </c>
      <c r="D7733" t="str">
        <f>VLOOKUP(C7733,'lookup table'!$A$2:$B$19,2,FALSE)</f>
        <v>MAT</v>
      </c>
      <c r="E7733" t="str">
        <f t="shared" si="120"/>
        <v>DZ2REX_00|MAT</v>
      </c>
    </row>
    <row r="7734" spans="1:5" x14ac:dyDescent="0.2">
      <c r="A7734" t="s">
        <v>1436</v>
      </c>
      <c r="B7734" t="s">
        <v>1437</v>
      </c>
      <c r="C7734" t="s">
        <v>438</v>
      </c>
      <c r="D7734" t="str">
        <f>VLOOKUP(C7734,'lookup table'!$A$2:$B$19,2,FALSE)</f>
        <v>ToM</v>
      </c>
      <c r="E7734" t="str">
        <f t="shared" si="120"/>
        <v>DZ2REX_00|ToM</v>
      </c>
    </row>
    <row r="7735" spans="1:5" x14ac:dyDescent="0.2">
      <c r="A7735" t="s">
        <v>1436</v>
      </c>
      <c r="B7735" t="s">
        <v>1437</v>
      </c>
      <c r="C7735" t="s">
        <v>441</v>
      </c>
      <c r="D7735" t="str">
        <f>VLOOKUP(C7735,'lookup table'!$A$2:$B$19,2,FALSE)</f>
        <v>Partner Segment</v>
      </c>
      <c r="E7735" t="str">
        <f t="shared" si="120"/>
        <v>DZ2REX_00|Partner Segment</v>
      </c>
    </row>
    <row r="7736" spans="1:5" x14ac:dyDescent="0.2">
      <c r="A7736" t="s">
        <v>1436</v>
      </c>
      <c r="B7736" t="s">
        <v>1437</v>
      </c>
      <c r="C7736" t="s">
        <v>442</v>
      </c>
      <c r="D7736" t="str">
        <f>VLOOKUP(C7736,'lookup table'!$A$2:$B$19,2,FALSE)</f>
        <v>Partner Unit</v>
      </c>
      <c r="E7736" t="str">
        <f t="shared" si="120"/>
        <v>DZ2REX_00|Partner Unit</v>
      </c>
    </row>
    <row r="7737" spans="1:5" x14ac:dyDescent="0.2">
      <c r="A7737" t="s">
        <v>1436</v>
      </c>
      <c r="B7737" t="s">
        <v>1437</v>
      </c>
      <c r="C7737" t="s">
        <v>447</v>
      </c>
      <c r="D7737" t="str">
        <f>VLOOKUP(C7737,'lookup table'!$A$2:$B$19,2,FALSE)</f>
        <v>REX</v>
      </c>
      <c r="E7737" t="str">
        <f t="shared" si="120"/>
        <v>DZ2REX_00|REX</v>
      </c>
    </row>
    <row r="7738" spans="1:5" x14ac:dyDescent="0.2">
      <c r="A7738" t="s">
        <v>1436</v>
      </c>
      <c r="B7738" t="s">
        <v>1437</v>
      </c>
      <c r="C7738" t="s">
        <v>448</v>
      </c>
      <c r="D7738" t="e">
        <f>VLOOKUP(C7738,'lookup table'!$A$2:$B$19,2,FALSE)</f>
        <v>#N/A</v>
      </c>
      <c r="E7738" t="str">
        <f t="shared" si="120"/>
        <v/>
      </c>
    </row>
    <row r="7739" spans="1:5" x14ac:dyDescent="0.2">
      <c r="A7739" t="s">
        <v>1436</v>
      </c>
      <c r="B7739" t="s">
        <v>1437</v>
      </c>
      <c r="C7739" t="s">
        <v>449</v>
      </c>
      <c r="D7739" t="e">
        <f>VLOOKUP(C7739,'lookup table'!$A$2:$B$19,2,FALSE)</f>
        <v>#N/A</v>
      </c>
      <c r="E7739" t="str">
        <f t="shared" si="120"/>
        <v/>
      </c>
    </row>
    <row r="7740" spans="1:5" x14ac:dyDescent="0.2">
      <c r="A7740" t="s">
        <v>1436</v>
      </c>
      <c r="B7740" t="s">
        <v>1437</v>
      </c>
      <c r="C7740" t="s">
        <v>451</v>
      </c>
      <c r="D7740" t="str">
        <f>VLOOKUP(C7740,'lookup table'!$A$2:$B$19,2,FALSE)</f>
        <v>Segment</v>
      </c>
      <c r="E7740" t="str">
        <f t="shared" si="120"/>
        <v>DZ2REX_00|Segment</v>
      </c>
    </row>
    <row r="7741" spans="1:5" x14ac:dyDescent="0.2">
      <c r="A7741" t="s">
        <v>1436</v>
      </c>
      <c r="B7741" t="s">
        <v>1437</v>
      </c>
      <c r="C7741" t="s">
        <v>455</v>
      </c>
      <c r="D7741" t="e">
        <f>VLOOKUP(C7741,'lookup table'!$A$2:$B$19,2,FALSE)</f>
        <v>#N/A</v>
      </c>
      <c r="E7741" t="str">
        <f t="shared" si="120"/>
        <v/>
      </c>
    </row>
    <row r="7742" spans="1:5" x14ac:dyDescent="0.2">
      <c r="A7742" t="s">
        <v>1436</v>
      </c>
      <c r="B7742" t="s">
        <v>1437</v>
      </c>
      <c r="C7742" t="s">
        <v>456</v>
      </c>
      <c r="D7742" t="e">
        <f>VLOOKUP(C7742,'lookup table'!$A$2:$B$19,2,FALSE)</f>
        <v>#N/A</v>
      </c>
      <c r="E7742" t="str">
        <f t="shared" si="120"/>
        <v/>
      </c>
    </row>
    <row r="7743" spans="1:5" x14ac:dyDescent="0.2">
      <c r="A7743" t="s">
        <v>1436</v>
      </c>
      <c r="B7743" t="s">
        <v>1437</v>
      </c>
      <c r="C7743" t="s">
        <v>457</v>
      </c>
      <c r="D7743" t="str">
        <f>VLOOKUP(C7743,'lookup table'!$A$2:$B$19,2,FALSE)</f>
        <v>VLT</v>
      </c>
      <c r="E7743" t="str">
        <f t="shared" si="120"/>
        <v>DZ2REX_00|VLT</v>
      </c>
    </row>
    <row r="7744" spans="1:5" x14ac:dyDescent="0.2">
      <c r="A7744" t="s">
        <v>1436</v>
      </c>
      <c r="B7744" t="s">
        <v>1437</v>
      </c>
      <c r="C7744" t="s">
        <v>458</v>
      </c>
      <c r="D7744" t="str">
        <f>VLOOKUP(C7744,'lookup table'!$A$2:$B$19,2,FALSE)</f>
        <v>VAR</v>
      </c>
      <c r="E7744" t="str">
        <f t="shared" si="120"/>
        <v>DZ2REX_00|VAR</v>
      </c>
    </row>
    <row r="7745" spans="1:5" x14ac:dyDescent="0.2">
      <c r="A7745" t="s">
        <v>1436</v>
      </c>
      <c r="B7745" t="s">
        <v>1437</v>
      </c>
      <c r="C7745" t="s">
        <v>459</v>
      </c>
      <c r="D7745" t="e">
        <f>VLOOKUP(C7745,'lookup table'!$A$2:$B$19,2,FALSE)</f>
        <v>#N/A</v>
      </c>
      <c r="E7745" t="str">
        <f t="shared" si="120"/>
        <v/>
      </c>
    </row>
    <row r="7746" spans="1:5" x14ac:dyDescent="0.2">
      <c r="A7746" t="s">
        <v>1436</v>
      </c>
      <c r="B7746" t="s">
        <v>1437</v>
      </c>
      <c r="C7746" t="s">
        <v>460</v>
      </c>
      <c r="D7746" t="e">
        <f>VLOOKUP(C7746,'lookup table'!$A$2:$B$19,2,FALSE)</f>
        <v>#N/A</v>
      </c>
      <c r="E7746" t="str">
        <f t="shared" si="120"/>
        <v/>
      </c>
    </row>
    <row r="7747" spans="1:5" x14ac:dyDescent="0.2">
      <c r="A7747" t="s">
        <v>1436</v>
      </c>
      <c r="B7747" t="s">
        <v>1437</v>
      </c>
      <c r="C7747" t="s">
        <v>461</v>
      </c>
      <c r="D7747" t="str">
        <f>VLOOKUP(C7747,'lookup table'!$A$2:$B$19,2,FALSE)</f>
        <v>Posting Level</v>
      </c>
      <c r="E7747" t="str">
        <f t="shared" ref="E7747:E7810" si="121">IF(ISNA(D7747),"",IF(A7747="","",A7747) &amp; "|" &amp; D7747)</f>
        <v>DZ2REX_00|Posting Level</v>
      </c>
    </row>
    <row r="7748" spans="1:5" x14ac:dyDescent="0.2">
      <c r="A7748" t="s">
        <v>1436</v>
      </c>
      <c r="B7748" t="s">
        <v>1437</v>
      </c>
      <c r="C7748" t="s">
        <v>462</v>
      </c>
      <c r="D7748" t="e">
        <f>VLOOKUP(C7748,'lookup table'!$A$2:$B$19,2,FALSE)</f>
        <v>#N/A</v>
      </c>
      <c r="E7748" t="str">
        <f t="shared" si="121"/>
        <v/>
      </c>
    </row>
    <row r="7749" spans="1:5" x14ac:dyDescent="0.2">
      <c r="A7749" t="s">
        <v>1436</v>
      </c>
      <c r="B7749" t="s">
        <v>1437</v>
      </c>
      <c r="C7749" t="s">
        <v>463</v>
      </c>
      <c r="D7749" t="e">
        <f>VLOOKUP(C7749,'lookup table'!$A$2:$B$19,2,FALSE)</f>
        <v>#N/A</v>
      </c>
      <c r="E7749" t="str">
        <f t="shared" si="121"/>
        <v/>
      </c>
    </row>
    <row r="7750" spans="1:5" x14ac:dyDescent="0.2">
      <c r="A7750" t="s">
        <v>1436</v>
      </c>
      <c r="B7750" t="s">
        <v>1437</v>
      </c>
      <c r="C7750" t="s">
        <v>464</v>
      </c>
      <c r="D7750" t="e">
        <f>VLOOKUP(C7750,'lookup table'!$A$2:$B$19,2,FALSE)</f>
        <v>#N/A</v>
      </c>
      <c r="E7750" t="str">
        <f t="shared" si="121"/>
        <v/>
      </c>
    </row>
    <row r="7751" spans="1:5" x14ac:dyDescent="0.2">
      <c r="A7751" t="s">
        <v>1436</v>
      </c>
      <c r="B7751" t="s">
        <v>1437</v>
      </c>
      <c r="C7751" t="s">
        <v>465</v>
      </c>
      <c r="D7751" t="e">
        <f>VLOOKUP(C7751,'lookup table'!$A$2:$B$19,2,FALSE)</f>
        <v>#N/A</v>
      </c>
      <c r="E7751" t="str">
        <f t="shared" si="121"/>
        <v/>
      </c>
    </row>
    <row r="7752" spans="1:5" x14ac:dyDescent="0.2">
      <c r="A7752" t="s">
        <v>1438</v>
      </c>
      <c r="B7752" t="s">
        <v>1439</v>
      </c>
      <c r="C7752" t="s">
        <v>2</v>
      </c>
      <c r="D7752" t="e">
        <f>VLOOKUP(C7752,'lookup table'!$A$2:$B$19,2,FALSE)</f>
        <v>#N/A</v>
      </c>
      <c r="E7752" t="str">
        <f t="shared" si="121"/>
        <v/>
      </c>
    </row>
    <row r="7753" spans="1:5" x14ac:dyDescent="0.2">
      <c r="A7753" t="s">
        <v>1438</v>
      </c>
      <c r="B7753" t="s">
        <v>1439</v>
      </c>
      <c r="C7753" t="s">
        <v>5</v>
      </c>
      <c r="D7753" t="e">
        <f>VLOOKUP(C7753,'lookup table'!$A$2:$B$19,2,FALSE)</f>
        <v>#N/A</v>
      </c>
      <c r="E7753" t="str">
        <f t="shared" si="121"/>
        <v/>
      </c>
    </row>
    <row r="7754" spans="1:5" x14ac:dyDescent="0.2">
      <c r="A7754" t="s">
        <v>1438</v>
      </c>
      <c r="B7754" t="s">
        <v>1439</v>
      </c>
      <c r="C7754" t="s">
        <v>6</v>
      </c>
      <c r="D7754" t="e">
        <f>VLOOKUP(C7754,'lookup table'!$A$2:$B$19,2,FALSE)</f>
        <v>#N/A</v>
      </c>
      <c r="E7754" t="str">
        <f t="shared" si="121"/>
        <v/>
      </c>
    </row>
    <row r="7755" spans="1:5" x14ac:dyDescent="0.2">
      <c r="A7755" t="s">
        <v>1438</v>
      </c>
      <c r="B7755" t="s">
        <v>1439</v>
      </c>
      <c r="C7755" t="s">
        <v>9</v>
      </c>
      <c r="D7755" t="e">
        <f>VLOOKUP(C7755,'lookup table'!$A$2:$B$19,2,FALSE)</f>
        <v>#N/A</v>
      </c>
      <c r="E7755" t="str">
        <f t="shared" si="121"/>
        <v/>
      </c>
    </row>
    <row r="7756" spans="1:5" x14ac:dyDescent="0.2">
      <c r="A7756" t="s">
        <v>1438</v>
      </c>
      <c r="B7756" t="s">
        <v>1439</v>
      </c>
      <c r="C7756" t="s">
        <v>10</v>
      </c>
      <c r="D7756" t="e">
        <f>VLOOKUP(C7756,'lookup table'!$A$2:$B$19,2,FALSE)</f>
        <v>#N/A</v>
      </c>
      <c r="E7756" t="str">
        <f t="shared" si="121"/>
        <v/>
      </c>
    </row>
    <row r="7757" spans="1:5" x14ac:dyDescent="0.2">
      <c r="A7757" t="s">
        <v>1438</v>
      </c>
      <c r="B7757" t="s">
        <v>1439</v>
      </c>
      <c r="C7757" t="s">
        <v>11</v>
      </c>
      <c r="D7757" t="e">
        <f>VLOOKUP(C7757,'lookup table'!$A$2:$B$19,2,FALSE)</f>
        <v>#N/A</v>
      </c>
      <c r="E7757" t="str">
        <f t="shared" si="121"/>
        <v/>
      </c>
    </row>
    <row r="7758" spans="1:5" x14ac:dyDescent="0.2">
      <c r="A7758" t="s">
        <v>1438</v>
      </c>
      <c r="B7758" t="s">
        <v>1439</v>
      </c>
      <c r="C7758" t="s">
        <v>12</v>
      </c>
      <c r="D7758" t="e">
        <f>VLOOKUP(C7758,'lookup table'!$A$2:$B$19,2,FALSE)</f>
        <v>#N/A</v>
      </c>
      <c r="E7758" t="str">
        <f t="shared" si="121"/>
        <v/>
      </c>
    </row>
    <row r="7759" spans="1:5" x14ac:dyDescent="0.2">
      <c r="A7759" t="s">
        <v>1438</v>
      </c>
      <c r="B7759" t="s">
        <v>1439</v>
      </c>
      <c r="C7759" t="s">
        <v>14</v>
      </c>
      <c r="D7759" t="str">
        <f>VLOOKUP(C7759,'lookup table'!$A$2:$B$19,2,FALSE)</f>
        <v>ALC</v>
      </c>
      <c r="E7759" t="str">
        <f t="shared" si="121"/>
        <v>DZ2TOM_00|ALC</v>
      </c>
    </row>
    <row r="7760" spans="1:5" x14ac:dyDescent="0.2">
      <c r="A7760" t="s">
        <v>1438</v>
      </c>
      <c r="B7760" t="s">
        <v>1439</v>
      </c>
      <c r="C7760" t="s">
        <v>20</v>
      </c>
      <c r="D7760" t="str">
        <f>VLOOKUP(C7760,'lookup table'!$A$2:$B$19,2,FALSE)</f>
        <v>AY</v>
      </c>
      <c r="E7760" t="str">
        <f t="shared" si="121"/>
        <v>DZ2TOM_00|AY</v>
      </c>
    </row>
    <row r="7761" spans="1:5" x14ac:dyDescent="0.2">
      <c r="A7761" t="s">
        <v>1438</v>
      </c>
      <c r="B7761" t="s">
        <v>1439</v>
      </c>
      <c r="C7761" t="s">
        <v>324</v>
      </c>
      <c r="D7761" t="e">
        <f>VLOOKUP(C7761,'lookup table'!$A$2:$B$19,2,FALSE)</f>
        <v>#N/A</v>
      </c>
      <c r="E7761" t="str">
        <f t="shared" si="121"/>
        <v/>
      </c>
    </row>
    <row r="7762" spans="1:5" x14ac:dyDescent="0.2">
      <c r="A7762" t="s">
        <v>1438</v>
      </c>
      <c r="B7762" t="s">
        <v>1439</v>
      </c>
      <c r="C7762" t="s">
        <v>325</v>
      </c>
      <c r="D7762" t="e">
        <f>VLOOKUP(C7762,'lookup table'!$A$2:$B$19,2,FALSE)</f>
        <v>#N/A</v>
      </c>
      <c r="E7762" t="str">
        <f t="shared" si="121"/>
        <v/>
      </c>
    </row>
    <row r="7763" spans="1:5" x14ac:dyDescent="0.2">
      <c r="A7763" t="s">
        <v>1438</v>
      </c>
      <c r="B7763" t="s">
        <v>1439</v>
      </c>
      <c r="C7763" t="s">
        <v>326</v>
      </c>
      <c r="D7763" t="e">
        <f>VLOOKUP(C7763,'lookup table'!$A$2:$B$19,2,FALSE)</f>
        <v>#N/A</v>
      </c>
      <c r="E7763" t="str">
        <f t="shared" si="121"/>
        <v/>
      </c>
    </row>
    <row r="7764" spans="1:5" x14ac:dyDescent="0.2">
      <c r="A7764" t="s">
        <v>1438</v>
      </c>
      <c r="B7764" t="s">
        <v>1439</v>
      </c>
      <c r="C7764" t="s">
        <v>327</v>
      </c>
      <c r="D7764" t="e">
        <f>VLOOKUP(C7764,'lookup table'!$A$2:$B$19,2,FALSE)</f>
        <v>#N/A</v>
      </c>
      <c r="E7764" t="str">
        <f t="shared" si="121"/>
        <v/>
      </c>
    </row>
    <row r="7765" spans="1:5" x14ac:dyDescent="0.2">
      <c r="A7765" t="s">
        <v>1438</v>
      </c>
      <c r="B7765" t="s">
        <v>1439</v>
      </c>
      <c r="C7765" t="s">
        <v>328</v>
      </c>
      <c r="D7765" t="e">
        <f>VLOOKUP(C7765,'lookup table'!$A$2:$B$19,2,FALSE)</f>
        <v>#N/A</v>
      </c>
      <c r="E7765" t="str">
        <f t="shared" si="121"/>
        <v/>
      </c>
    </row>
    <row r="7766" spans="1:5" x14ac:dyDescent="0.2">
      <c r="A7766" t="s">
        <v>1438</v>
      </c>
      <c r="B7766" t="s">
        <v>1439</v>
      </c>
      <c r="C7766" t="s">
        <v>329</v>
      </c>
      <c r="D7766" t="e">
        <f>VLOOKUP(C7766,'lookup table'!$A$2:$B$19,2,FALSE)</f>
        <v>#N/A</v>
      </c>
      <c r="E7766" t="str">
        <f t="shared" si="121"/>
        <v/>
      </c>
    </row>
    <row r="7767" spans="1:5" x14ac:dyDescent="0.2">
      <c r="A7767" t="s">
        <v>1438</v>
      </c>
      <c r="B7767" t="s">
        <v>1439</v>
      </c>
      <c r="C7767" t="s">
        <v>331</v>
      </c>
      <c r="D7767" t="str">
        <f>VLOOKUP(C7767,'lookup table'!$A$2:$B$19,2,FALSE)</f>
        <v>FS Item</v>
      </c>
      <c r="E7767" t="str">
        <f t="shared" si="121"/>
        <v>DZ2TOM_00|FS Item</v>
      </c>
    </row>
    <row r="7768" spans="1:5" x14ac:dyDescent="0.2">
      <c r="A7768" t="s">
        <v>1438</v>
      </c>
      <c r="B7768" t="s">
        <v>1439</v>
      </c>
      <c r="C7768" t="s">
        <v>422</v>
      </c>
      <c r="D7768" t="e">
        <f>VLOOKUP(C7768,'lookup table'!$A$2:$B$19,2,FALSE)</f>
        <v>#N/A</v>
      </c>
      <c r="E7768" t="str">
        <f t="shared" si="121"/>
        <v/>
      </c>
    </row>
    <row r="7769" spans="1:5" x14ac:dyDescent="0.2">
      <c r="A7769" t="s">
        <v>1438</v>
      </c>
      <c r="B7769" t="s">
        <v>1439</v>
      </c>
      <c r="C7769" t="s">
        <v>423</v>
      </c>
      <c r="D7769" t="str">
        <f>VLOOKUP(C7769,'lookup table'!$A$2:$B$19,2,FALSE)</f>
        <v>ignore</v>
      </c>
      <c r="E7769" t="str">
        <f t="shared" si="121"/>
        <v>DZ2TOM_00|ignore</v>
      </c>
    </row>
    <row r="7770" spans="1:5" x14ac:dyDescent="0.2">
      <c r="A7770" t="s">
        <v>1438</v>
      </c>
      <c r="B7770" t="s">
        <v>1439</v>
      </c>
      <c r="C7770" t="s">
        <v>424</v>
      </c>
      <c r="D7770" t="str">
        <f>VLOOKUP(C7770,'lookup table'!$A$2:$B$19,2,FALSE)</f>
        <v>GRC</v>
      </c>
      <c r="E7770" t="str">
        <f t="shared" si="121"/>
        <v>DZ2TOM_00|GRC</v>
      </c>
    </row>
    <row r="7771" spans="1:5" x14ac:dyDescent="0.2">
      <c r="A7771" t="s">
        <v>1438</v>
      </c>
      <c r="B7771" t="s">
        <v>1439</v>
      </c>
      <c r="C7771" t="s">
        <v>425</v>
      </c>
      <c r="D7771" t="str">
        <f>VLOOKUP(C7771,'lookup table'!$A$2:$B$19,2,FALSE)</f>
        <v>Investee Segment</v>
      </c>
      <c r="E7771" t="str">
        <f t="shared" si="121"/>
        <v>DZ2TOM_00|Investee Segment</v>
      </c>
    </row>
    <row r="7772" spans="1:5" x14ac:dyDescent="0.2">
      <c r="A7772" t="s">
        <v>1438</v>
      </c>
      <c r="B7772" t="s">
        <v>1439</v>
      </c>
      <c r="C7772" t="s">
        <v>426</v>
      </c>
      <c r="D7772" t="str">
        <f>VLOOKUP(C7772,'lookup table'!$A$2:$B$19,2,FALSE)</f>
        <v>Investee Unit</v>
      </c>
      <c r="E7772" t="str">
        <f t="shared" si="121"/>
        <v>DZ2TOM_00|Investee Unit</v>
      </c>
    </row>
    <row r="7773" spans="1:5" x14ac:dyDescent="0.2">
      <c r="A7773" t="s">
        <v>1438</v>
      </c>
      <c r="B7773" t="s">
        <v>1439</v>
      </c>
      <c r="C7773" t="s">
        <v>428</v>
      </c>
      <c r="D7773" t="str">
        <f>VLOOKUP(C7773,'lookup table'!$A$2:$B$19,2,FALSE)</f>
        <v>LoB</v>
      </c>
      <c r="E7773" t="str">
        <f t="shared" si="121"/>
        <v>DZ2TOM_00|LoB</v>
      </c>
    </row>
    <row r="7774" spans="1:5" x14ac:dyDescent="0.2">
      <c r="A7774" t="s">
        <v>1438</v>
      </c>
      <c r="B7774" t="s">
        <v>1439</v>
      </c>
      <c r="C7774" t="s">
        <v>436</v>
      </c>
      <c r="D7774" t="str">
        <f>VLOOKUP(C7774,'lookup table'!$A$2:$B$19,2,FALSE)</f>
        <v>MAT</v>
      </c>
      <c r="E7774" t="str">
        <f t="shared" si="121"/>
        <v>DZ2TOM_00|MAT</v>
      </c>
    </row>
    <row r="7775" spans="1:5" x14ac:dyDescent="0.2">
      <c r="A7775" t="s">
        <v>1438</v>
      </c>
      <c r="B7775" t="s">
        <v>1439</v>
      </c>
      <c r="C7775" t="s">
        <v>438</v>
      </c>
      <c r="D7775" t="str">
        <f>VLOOKUP(C7775,'lookup table'!$A$2:$B$19,2,FALSE)</f>
        <v>ToM</v>
      </c>
      <c r="E7775" t="str">
        <f t="shared" si="121"/>
        <v>DZ2TOM_00|ToM</v>
      </c>
    </row>
    <row r="7776" spans="1:5" x14ac:dyDescent="0.2">
      <c r="A7776" t="s">
        <v>1438</v>
      </c>
      <c r="B7776" t="s">
        <v>1439</v>
      </c>
      <c r="C7776" t="s">
        <v>441</v>
      </c>
      <c r="D7776" t="str">
        <f>VLOOKUP(C7776,'lookup table'!$A$2:$B$19,2,FALSE)</f>
        <v>Partner Segment</v>
      </c>
      <c r="E7776" t="str">
        <f t="shared" si="121"/>
        <v>DZ2TOM_00|Partner Segment</v>
      </c>
    </row>
    <row r="7777" spans="1:5" x14ac:dyDescent="0.2">
      <c r="A7777" t="s">
        <v>1438</v>
      </c>
      <c r="B7777" t="s">
        <v>1439</v>
      </c>
      <c r="C7777" t="s">
        <v>442</v>
      </c>
      <c r="D7777" t="str">
        <f>VLOOKUP(C7777,'lookup table'!$A$2:$B$19,2,FALSE)</f>
        <v>Partner Unit</v>
      </c>
      <c r="E7777" t="str">
        <f t="shared" si="121"/>
        <v>DZ2TOM_00|Partner Unit</v>
      </c>
    </row>
    <row r="7778" spans="1:5" x14ac:dyDescent="0.2">
      <c r="A7778" t="s">
        <v>1438</v>
      </c>
      <c r="B7778" t="s">
        <v>1439</v>
      </c>
      <c r="C7778" t="s">
        <v>447</v>
      </c>
      <c r="D7778" t="str">
        <f>VLOOKUP(C7778,'lookup table'!$A$2:$B$19,2,FALSE)</f>
        <v>REX</v>
      </c>
      <c r="E7778" t="str">
        <f t="shared" si="121"/>
        <v>DZ2TOM_00|REX</v>
      </c>
    </row>
    <row r="7779" spans="1:5" x14ac:dyDescent="0.2">
      <c r="A7779" t="s">
        <v>1438</v>
      </c>
      <c r="B7779" t="s">
        <v>1439</v>
      </c>
      <c r="C7779" t="s">
        <v>448</v>
      </c>
      <c r="D7779" t="e">
        <f>VLOOKUP(C7779,'lookup table'!$A$2:$B$19,2,FALSE)</f>
        <v>#N/A</v>
      </c>
      <c r="E7779" t="str">
        <f t="shared" si="121"/>
        <v/>
      </c>
    </row>
    <row r="7780" spans="1:5" x14ac:dyDescent="0.2">
      <c r="A7780" t="s">
        <v>1438</v>
      </c>
      <c r="B7780" t="s">
        <v>1439</v>
      </c>
      <c r="C7780" t="s">
        <v>449</v>
      </c>
      <c r="D7780" t="e">
        <f>VLOOKUP(C7780,'lookup table'!$A$2:$B$19,2,FALSE)</f>
        <v>#N/A</v>
      </c>
      <c r="E7780" t="str">
        <f t="shared" si="121"/>
        <v/>
      </c>
    </row>
    <row r="7781" spans="1:5" x14ac:dyDescent="0.2">
      <c r="A7781" t="s">
        <v>1438</v>
      </c>
      <c r="B7781" t="s">
        <v>1439</v>
      </c>
      <c r="C7781" t="s">
        <v>451</v>
      </c>
      <c r="D7781" t="str">
        <f>VLOOKUP(C7781,'lookup table'!$A$2:$B$19,2,FALSE)</f>
        <v>Segment</v>
      </c>
      <c r="E7781" t="str">
        <f t="shared" si="121"/>
        <v>DZ2TOM_00|Segment</v>
      </c>
    </row>
    <row r="7782" spans="1:5" x14ac:dyDescent="0.2">
      <c r="A7782" t="s">
        <v>1438</v>
      </c>
      <c r="B7782" t="s">
        <v>1439</v>
      </c>
      <c r="C7782" t="s">
        <v>455</v>
      </c>
      <c r="D7782" t="e">
        <f>VLOOKUP(C7782,'lookup table'!$A$2:$B$19,2,FALSE)</f>
        <v>#N/A</v>
      </c>
      <c r="E7782" t="str">
        <f t="shared" si="121"/>
        <v/>
      </c>
    </row>
    <row r="7783" spans="1:5" x14ac:dyDescent="0.2">
      <c r="A7783" t="s">
        <v>1438</v>
      </c>
      <c r="B7783" t="s">
        <v>1439</v>
      </c>
      <c r="C7783" t="s">
        <v>456</v>
      </c>
      <c r="D7783" t="e">
        <f>VLOOKUP(C7783,'lookup table'!$A$2:$B$19,2,FALSE)</f>
        <v>#N/A</v>
      </c>
      <c r="E7783" t="str">
        <f t="shared" si="121"/>
        <v/>
      </c>
    </row>
    <row r="7784" spans="1:5" x14ac:dyDescent="0.2">
      <c r="A7784" t="s">
        <v>1438</v>
      </c>
      <c r="B7784" t="s">
        <v>1439</v>
      </c>
      <c r="C7784" t="s">
        <v>457</v>
      </c>
      <c r="D7784" t="str">
        <f>VLOOKUP(C7784,'lookup table'!$A$2:$B$19,2,FALSE)</f>
        <v>VLT</v>
      </c>
      <c r="E7784" t="str">
        <f t="shared" si="121"/>
        <v>DZ2TOM_00|VLT</v>
      </c>
    </row>
    <row r="7785" spans="1:5" x14ac:dyDescent="0.2">
      <c r="A7785" t="s">
        <v>1438</v>
      </c>
      <c r="B7785" t="s">
        <v>1439</v>
      </c>
      <c r="C7785" t="s">
        <v>458</v>
      </c>
      <c r="D7785" t="str">
        <f>VLOOKUP(C7785,'lookup table'!$A$2:$B$19,2,FALSE)</f>
        <v>VAR</v>
      </c>
      <c r="E7785" t="str">
        <f t="shared" si="121"/>
        <v>DZ2TOM_00|VAR</v>
      </c>
    </row>
    <row r="7786" spans="1:5" x14ac:dyDescent="0.2">
      <c r="A7786" t="s">
        <v>1438</v>
      </c>
      <c r="B7786" t="s">
        <v>1439</v>
      </c>
      <c r="C7786" t="s">
        <v>459</v>
      </c>
      <c r="D7786" t="e">
        <f>VLOOKUP(C7786,'lookup table'!$A$2:$B$19,2,FALSE)</f>
        <v>#N/A</v>
      </c>
      <c r="E7786" t="str">
        <f t="shared" si="121"/>
        <v/>
      </c>
    </row>
    <row r="7787" spans="1:5" x14ac:dyDescent="0.2">
      <c r="A7787" t="s">
        <v>1438</v>
      </c>
      <c r="B7787" t="s">
        <v>1439</v>
      </c>
      <c r="C7787" t="s">
        <v>460</v>
      </c>
      <c r="D7787" t="e">
        <f>VLOOKUP(C7787,'lookup table'!$A$2:$B$19,2,FALSE)</f>
        <v>#N/A</v>
      </c>
      <c r="E7787" t="str">
        <f t="shared" si="121"/>
        <v/>
      </c>
    </row>
    <row r="7788" spans="1:5" x14ac:dyDescent="0.2">
      <c r="A7788" t="s">
        <v>1438</v>
      </c>
      <c r="B7788" t="s">
        <v>1439</v>
      </c>
      <c r="C7788" t="s">
        <v>461</v>
      </c>
      <c r="D7788" t="str">
        <f>VLOOKUP(C7788,'lookup table'!$A$2:$B$19,2,FALSE)</f>
        <v>Posting Level</v>
      </c>
      <c r="E7788" t="str">
        <f t="shared" si="121"/>
        <v>DZ2TOM_00|Posting Level</v>
      </c>
    </row>
    <row r="7789" spans="1:5" x14ac:dyDescent="0.2">
      <c r="A7789" t="s">
        <v>1438</v>
      </c>
      <c r="B7789" t="s">
        <v>1439</v>
      </c>
      <c r="C7789" t="s">
        <v>462</v>
      </c>
      <c r="D7789" t="e">
        <f>VLOOKUP(C7789,'lookup table'!$A$2:$B$19,2,FALSE)</f>
        <v>#N/A</v>
      </c>
      <c r="E7789" t="str">
        <f t="shared" si="121"/>
        <v/>
      </c>
    </row>
    <row r="7790" spans="1:5" x14ac:dyDescent="0.2">
      <c r="A7790" t="s">
        <v>1438</v>
      </c>
      <c r="B7790" t="s">
        <v>1439</v>
      </c>
      <c r="C7790" t="s">
        <v>463</v>
      </c>
      <c r="D7790" t="e">
        <f>VLOOKUP(C7790,'lookup table'!$A$2:$B$19,2,FALSE)</f>
        <v>#N/A</v>
      </c>
      <c r="E7790" t="str">
        <f t="shared" si="121"/>
        <v/>
      </c>
    </row>
    <row r="7791" spans="1:5" x14ac:dyDescent="0.2">
      <c r="A7791" t="s">
        <v>1438</v>
      </c>
      <c r="B7791" t="s">
        <v>1439</v>
      </c>
      <c r="C7791" t="s">
        <v>464</v>
      </c>
      <c r="D7791" t="e">
        <f>VLOOKUP(C7791,'lookup table'!$A$2:$B$19,2,FALSE)</f>
        <v>#N/A</v>
      </c>
      <c r="E7791" t="str">
        <f t="shared" si="121"/>
        <v/>
      </c>
    </row>
    <row r="7792" spans="1:5" x14ac:dyDescent="0.2">
      <c r="A7792" t="s">
        <v>1438</v>
      </c>
      <c r="B7792" t="s">
        <v>1439</v>
      </c>
      <c r="C7792" t="s">
        <v>465</v>
      </c>
      <c r="D7792" t="e">
        <f>VLOOKUP(C7792,'lookup table'!$A$2:$B$19,2,FALSE)</f>
        <v>#N/A</v>
      </c>
      <c r="E7792" t="str">
        <f t="shared" si="121"/>
        <v/>
      </c>
    </row>
    <row r="7793" spans="1:5" x14ac:dyDescent="0.2">
      <c r="A7793" t="s">
        <v>1440</v>
      </c>
      <c r="B7793" t="s">
        <v>1441</v>
      </c>
      <c r="C7793" t="s">
        <v>2</v>
      </c>
      <c r="D7793" t="e">
        <f>VLOOKUP(C7793,'lookup table'!$A$2:$B$19,2,FALSE)</f>
        <v>#N/A</v>
      </c>
      <c r="E7793" t="str">
        <f t="shared" si="121"/>
        <v/>
      </c>
    </row>
    <row r="7794" spans="1:5" x14ac:dyDescent="0.2">
      <c r="A7794" t="s">
        <v>1440</v>
      </c>
      <c r="B7794" t="s">
        <v>1441</v>
      </c>
      <c r="C7794" t="s">
        <v>5</v>
      </c>
      <c r="D7794" t="e">
        <f>VLOOKUP(C7794,'lookup table'!$A$2:$B$19,2,FALSE)</f>
        <v>#N/A</v>
      </c>
      <c r="E7794" t="str">
        <f t="shared" si="121"/>
        <v/>
      </c>
    </row>
    <row r="7795" spans="1:5" x14ac:dyDescent="0.2">
      <c r="A7795" t="s">
        <v>1440</v>
      </c>
      <c r="B7795" t="s">
        <v>1441</v>
      </c>
      <c r="C7795" t="s">
        <v>6</v>
      </c>
      <c r="D7795" t="e">
        <f>VLOOKUP(C7795,'lookup table'!$A$2:$B$19,2,FALSE)</f>
        <v>#N/A</v>
      </c>
      <c r="E7795" t="str">
        <f t="shared" si="121"/>
        <v/>
      </c>
    </row>
    <row r="7796" spans="1:5" x14ac:dyDescent="0.2">
      <c r="A7796" t="s">
        <v>1440</v>
      </c>
      <c r="B7796" t="s">
        <v>1441</v>
      </c>
      <c r="C7796" t="s">
        <v>9</v>
      </c>
      <c r="D7796" t="e">
        <f>VLOOKUP(C7796,'lookup table'!$A$2:$B$19,2,FALSE)</f>
        <v>#N/A</v>
      </c>
      <c r="E7796" t="str">
        <f t="shared" si="121"/>
        <v/>
      </c>
    </row>
    <row r="7797" spans="1:5" x14ac:dyDescent="0.2">
      <c r="A7797" t="s">
        <v>1440</v>
      </c>
      <c r="B7797" t="s">
        <v>1441</v>
      </c>
      <c r="C7797" t="s">
        <v>10</v>
      </c>
      <c r="D7797" t="e">
        <f>VLOOKUP(C7797,'lookup table'!$A$2:$B$19,2,FALSE)</f>
        <v>#N/A</v>
      </c>
      <c r="E7797" t="str">
        <f t="shared" si="121"/>
        <v/>
      </c>
    </row>
    <row r="7798" spans="1:5" x14ac:dyDescent="0.2">
      <c r="A7798" t="s">
        <v>1440</v>
      </c>
      <c r="B7798" t="s">
        <v>1441</v>
      </c>
      <c r="C7798" t="s">
        <v>11</v>
      </c>
      <c r="D7798" t="e">
        <f>VLOOKUP(C7798,'lookup table'!$A$2:$B$19,2,FALSE)</f>
        <v>#N/A</v>
      </c>
      <c r="E7798" t="str">
        <f t="shared" si="121"/>
        <v/>
      </c>
    </row>
    <row r="7799" spans="1:5" x14ac:dyDescent="0.2">
      <c r="A7799" t="s">
        <v>1440</v>
      </c>
      <c r="B7799" t="s">
        <v>1441</v>
      </c>
      <c r="C7799" t="s">
        <v>12</v>
      </c>
      <c r="D7799" t="e">
        <f>VLOOKUP(C7799,'lookup table'!$A$2:$B$19,2,FALSE)</f>
        <v>#N/A</v>
      </c>
      <c r="E7799" t="str">
        <f t="shared" si="121"/>
        <v/>
      </c>
    </row>
    <row r="7800" spans="1:5" x14ac:dyDescent="0.2">
      <c r="A7800" t="s">
        <v>1440</v>
      </c>
      <c r="B7800" t="s">
        <v>1441</v>
      </c>
      <c r="C7800" t="s">
        <v>14</v>
      </c>
      <c r="D7800" t="str">
        <f>VLOOKUP(C7800,'lookup table'!$A$2:$B$19,2,FALSE)</f>
        <v>ALC</v>
      </c>
      <c r="E7800" t="str">
        <f t="shared" si="121"/>
        <v>DZ2VAR_00|ALC</v>
      </c>
    </row>
    <row r="7801" spans="1:5" x14ac:dyDescent="0.2">
      <c r="A7801" t="s">
        <v>1440</v>
      </c>
      <c r="B7801" t="s">
        <v>1441</v>
      </c>
      <c r="C7801" t="s">
        <v>20</v>
      </c>
      <c r="D7801" t="str">
        <f>VLOOKUP(C7801,'lookup table'!$A$2:$B$19,2,FALSE)</f>
        <v>AY</v>
      </c>
      <c r="E7801" t="str">
        <f t="shared" si="121"/>
        <v>DZ2VAR_00|AY</v>
      </c>
    </row>
    <row r="7802" spans="1:5" x14ac:dyDescent="0.2">
      <c r="A7802" t="s">
        <v>1440</v>
      </c>
      <c r="B7802" t="s">
        <v>1441</v>
      </c>
      <c r="C7802" t="s">
        <v>324</v>
      </c>
      <c r="D7802" t="e">
        <f>VLOOKUP(C7802,'lookup table'!$A$2:$B$19,2,FALSE)</f>
        <v>#N/A</v>
      </c>
      <c r="E7802" t="str">
        <f t="shared" si="121"/>
        <v/>
      </c>
    </row>
    <row r="7803" spans="1:5" x14ac:dyDescent="0.2">
      <c r="A7803" t="s">
        <v>1440</v>
      </c>
      <c r="B7803" t="s">
        <v>1441</v>
      </c>
      <c r="C7803" t="s">
        <v>325</v>
      </c>
      <c r="D7803" t="e">
        <f>VLOOKUP(C7803,'lookup table'!$A$2:$B$19,2,FALSE)</f>
        <v>#N/A</v>
      </c>
      <c r="E7803" t="str">
        <f t="shared" si="121"/>
        <v/>
      </c>
    </row>
    <row r="7804" spans="1:5" x14ac:dyDescent="0.2">
      <c r="A7804" t="s">
        <v>1440</v>
      </c>
      <c r="B7804" t="s">
        <v>1441</v>
      </c>
      <c r="C7804" t="s">
        <v>326</v>
      </c>
      <c r="D7804" t="e">
        <f>VLOOKUP(C7804,'lookup table'!$A$2:$B$19,2,FALSE)</f>
        <v>#N/A</v>
      </c>
      <c r="E7804" t="str">
        <f t="shared" si="121"/>
        <v/>
      </c>
    </row>
    <row r="7805" spans="1:5" x14ac:dyDescent="0.2">
      <c r="A7805" t="s">
        <v>1440</v>
      </c>
      <c r="B7805" t="s">
        <v>1441</v>
      </c>
      <c r="C7805" t="s">
        <v>327</v>
      </c>
      <c r="D7805" t="e">
        <f>VLOOKUP(C7805,'lookup table'!$A$2:$B$19,2,FALSE)</f>
        <v>#N/A</v>
      </c>
      <c r="E7805" t="str">
        <f t="shared" si="121"/>
        <v/>
      </c>
    </row>
    <row r="7806" spans="1:5" x14ac:dyDescent="0.2">
      <c r="A7806" t="s">
        <v>1440</v>
      </c>
      <c r="B7806" t="s">
        <v>1441</v>
      </c>
      <c r="C7806" t="s">
        <v>328</v>
      </c>
      <c r="D7806" t="e">
        <f>VLOOKUP(C7806,'lookup table'!$A$2:$B$19,2,FALSE)</f>
        <v>#N/A</v>
      </c>
      <c r="E7806" t="str">
        <f t="shared" si="121"/>
        <v/>
      </c>
    </row>
    <row r="7807" spans="1:5" x14ac:dyDescent="0.2">
      <c r="A7807" t="s">
        <v>1440</v>
      </c>
      <c r="B7807" t="s">
        <v>1441</v>
      </c>
      <c r="C7807" t="s">
        <v>329</v>
      </c>
      <c r="D7807" t="e">
        <f>VLOOKUP(C7807,'lookup table'!$A$2:$B$19,2,FALSE)</f>
        <v>#N/A</v>
      </c>
      <c r="E7807" t="str">
        <f t="shared" si="121"/>
        <v/>
      </c>
    </row>
    <row r="7808" spans="1:5" x14ac:dyDescent="0.2">
      <c r="A7808" t="s">
        <v>1440</v>
      </c>
      <c r="B7808" t="s">
        <v>1441</v>
      </c>
      <c r="C7808" t="s">
        <v>331</v>
      </c>
      <c r="D7808" t="str">
        <f>VLOOKUP(C7808,'lookup table'!$A$2:$B$19,2,FALSE)</f>
        <v>FS Item</v>
      </c>
      <c r="E7808" t="str">
        <f t="shared" si="121"/>
        <v>DZ2VAR_00|FS Item</v>
      </c>
    </row>
    <row r="7809" spans="1:5" x14ac:dyDescent="0.2">
      <c r="A7809" t="s">
        <v>1440</v>
      </c>
      <c r="B7809" t="s">
        <v>1441</v>
      </c>
      <c r="C7809" t="s">
        <v>422</v>
      </c>
      <c r="D7809" t="e">
        <f>VLOOKUP(C7809,'lookup table'!$A$2:$B$19,2,FALSE)</f>
        <v>#N/A</v>
      </c>
      <c r="E7809" t="str">
        <f t="shared" si="121"/>
        <v/>
      </c>
    </row>
    <row r="7810" spans="1:5" x14ac:dyDescent="0.2">
      <c r="A7810" t="s">
        <v>1440</v>
      </c>
      <c r="B7810" t="s">
        <v>1441</v>
      </c>
      <c r="C7810" t="s">
        <v>423</v>
      </c>
      <c r="D7810" t="str">
        <f>VLOOKUP(C7810,'lookup table'!$A$2:$B$19,2,FALSE)</f>
        <v>ignore</v>
      </c>
      <c r="E7810" t="str">
        <f t="shared" si="121"/>
        <v>DZ2VAR_00|ignore</v>
      </c>
    </row>
    <row r="7811" spans="1:5" x14ac:dyDescent="0.2">
      <c r="A7811" t="s">
        <v>1440</v>
      </c>
      <c r="B7811" t="s">
        <v>1441</v>
      </c>
      <c r="C7811" t="s">
        <v>424</v>
      </c>
      <c r="D7811" t="str">
        <f>VLOOKUP(C7811,'lookup table'!$A$2:$B$19,2,FALSE)</f>
        <v>GRC</v>
      </c>
      <c r="E7811" t="str">
        <f t="shared" ref="E7811:E7874" si="122">IF(ISNA(D7811),"",IF(A7811="","",A7811) &amp; "|" &amp; D7811)</f>
        <v>DZ2VAR_00|GRC</v>
      </c>
    </row>
    <row r="7812" spans="1:5" x14ac:dyDescent="0.2">
      <c r="A7812" t="s">
        <v>1440</v>
      </c>
      <c r="B7812" t="s">
        <v>1441</v>
      </c>
      <c r="C7812" t="s">
        <v>425</v>
      </c>
      <c r="D7812" t="str">
        <f>VLOOKUP(C7812,'lookup table'!$A$2:$B$19,2,FALSE)</f>
        <v>Investee Segment</v>
      </c>
      <c r="E7812" t="str">
        <f t="shared" si="122"/>
        <v>DZ2VAR_00|Investee Segment</v>
      </c>
    </row>
    <row r="7813" spans="1:5" x14ac:dyDescent="0.2">
      <c r="A7813" t="s">
        <v>1440</v>
      </c>
      <c r="B7813" t="s">
        <v>1441</v>
      </c>
      <c r="C7813" t="s">
        <v>426</v>
      </c>
      <c r="D7813" t="str">
        <f>VLOOKUP(C7813,'lookup table'!$A$2:$B$19,2,FALSE)</f>
        <v>Investee Unit</v>
      </c>
      <c r="E7813" t="str">
        <f t="shared" si="122"/>
        <v>DZ2VAR_00|Investee Unit</v>
      </c>
    </row>
    <row r="7814" spans="1:5" x14ac:dyDescent="0.2">
      <c r="A7814" t="s">
        <v>1440</v>
      </c>
      <c r="B7814" t="s">
        <v>1441</v>
      </c>
      <c r="C7814" t="s">
        <v>428</v>
      </c>
      <c r="D7814" t="str">
        <f>VLOOKUP(C7814,'lookup table'!$A$2:$B$19,2,FALSE)</f>
        <v>LoB</v>
      </c>
      <c r="E7814" t="str">
        <f t="shared" si="122"/>
        <v>DZ2VAR_00|LoB</v>
      </c>
    </row>
    <row r="7815" spans="1:5" x14ac:dyDescent="0.2">
      <c r="A7815" t="s">
        <v>1440</v>
      </c>
      <c r="B7815" t="s">
        <v>1441</v>
      </c>
      <c r="C7815" t="s">
        <v>436</v>
      </c>
      <c r="D7815" t="str">
        <f>VLOOKUP(C7815,'lookup table'!$A$2:$B$19,2,FALSE)</f>
        <v>MAT</v>
      </c>
      <c r="E7815" t="str">
        <f t="shared" si="122"/>
        <v>DZ2VAR_00|MAT</v>
      </c>
    </row>
    <row r="7816" spans="1:5" x14ac:dyDescent="0.2">
      <c r="A7816" t="s">
        <v>1440</v>
      </c>
      <c r="B7816" t="s">
        <v>1441</v>
      </c>
      <c r="C7816" t="s">
        <v>438</v>
      </c>
      <c r="D7816" t="str">
        <f>VLOOKUP(C7816,'lookup table'!$A$2:$B$19,2,FALSE)</f>
        <v>ToM</v>
      </c>
      <c r="E7816" t="str">
        <f t="shared" si="122"/>
        <v>DZ2VAR_00|ToM</v>
      </c>
    </row>
    <row r="7817" spans="1:5" x14ac:dyDescent="0.2">
      <c r="A7817" t="s">
        <v>1440</v>
      </c>
      <c r="B7817" t="s">
        <v>1441</v>
      </c>
      <c r="C7817" t="s">
        <v>441</v>
      </c>
      <c r="D7817" t="str">
        <f>VLOOKUP(C7817,'lookup table'!$A$2:$B$19,2,FALSE)</f>
        <v>Partner Segment</v>
      </c>
      <c r="E7817" t="str">
        <f t="shared" si="122"/>
        <v>DZ2VAR_00|Partner Segment</v>
      </c>
    </row>
    <row r="7818" spans="1:5" x14ac:dyDescent="0.2">
      <c r="A7818" t="s">
        <v>1440</v>
      </c>
      <c r="B7818" t="s">
        <v>1441</v>
      </c>
      <c r="C7818" t="s">
        <v>442</v>
      </c>
      <c r="D7818" t="str">
        <f>VLOOKUP(C7818,'lookup table'!$A$2:$B$19,2,FALSE)</f>
        <v>Partner Unit</v>
      </c>
      <c r="E7818" t="str">
        <f t="shared" si="122"/>
        <v>DZ2VAR_00|Partner Unit</v>
      </c>
    </row>
    <row r="7819" spans="1:5" x14ac:dyDescent="0.2">
      <c r="A7819" t="s">
        <v>1440</v>
      </c>
      <c r="B7819" t="s">
        <v>1441</v>
      </c>
      <c r="C7819" t="s">
        <v>447</v>
      </c>
      <c r="D7819" t="str">
        <f>VLOOKUP(C7819,'lookup table'!$A$2:$B$19,2,FALSE)</f>
        <v>REX</v>
      </c>
      <c r="E7819" t="str">
        <f t="shared" si="122"/>
        <v>DZ2VAR_00|REX</v>
      </c>
    </row>
    <row r="7820" spans="1:5" x14ac:dyDescent="0.2">
      <c r="A7820" t="s">
        <v>1440</v>
      </c>
      <c r="B7820" t="s">
        <v>1441</v>
      </c>
      <c r="C7820" t="s">
        <v>448</v>
      </c>
      <c r="D7820" t="e">
        <f>VLOOKUP(C7820,'lookup table'!$A$2:$B$19,2,FALSE)</f>
        <v>#N/A</v>
      </c>
      <c r="E7820" t="str">
        <f t="shared" si="122"/>
        <v/>
      </c>
    </row>
    <row r="7821" spans="1:5" x14ac:dyDescent="0.2">
      <c r="A7821" t="s">
        <v>1440</v>
      </c>
      <c r="B7821" t="s">
        <v>1441</v>
      </c>
      <c r="C7821" t="s">
        <v>449</v>
      </c>
      <c r="D7821" t="e">
        <f>VLOOKUP(C7821,'lookup table'!$A$2:$B$19,2,FALSE)</f>
        <v>#N/A</v>
      </c>
      <c r="E7821" t="str">
        <f t="shared" si="122"/>
        <v/>
      </c>
    </row>
    <row r="7822" spans="1:5" x14ac:dyDescent="0.2">
      <c r="A7822" t="s">
        <v>1440</v>
      </c>
      <c r="B7822" t="s">
        <v>1441</v>
      </c>
      <c r="C7822" t="s">
        <v>451</v>
      </c>
      <c r="D7822" t="str">
        <f>VLOOKUP(C7822,'lookup table'!$A$2:$B$19,2,FALSE)</f>
        <v>Segment</v>
      </c>
      <c r="E7822" t="str">
        <f t="shared" si="122"/>
        <v>DZ2VAR_00|Segment</v>
      </c>
    </row>
    <row r="7823" spans="1:5" x14ac:dyDescent="0.2">
      <c r="A7823" t="s">
        <v>1440</v>
      </c>
      <c r="B7823" t="s">
        <v>1441</v>
      </c>
      <c r="C7823" t="s">
        <v>455</v>
      </c>
      <c r="D7823" t="e">
        <f>VLOOKUP(C7823,'lookup table'!$A$2:$B$19,2,FALSE)</f>
        <v>#N/A</v>
      </c>
      <c r="E7823" t="str">
        <f t="shared" si="122"/>
        <v/>
      </c>
    </row>
    <row r="7824" spans="1:5" x14ac:dyDescent="0.2">
      <c r="A7824" t="s">
        <v>1440</v>
      </c>
      <c r="B7824" t="s">
        <v>1441</v>
      </c>
      <c r="C7824" t="s">
        <v>456</v>
      </c>
      <c r="D7824" t="e">
        <f>VLOOKUP(C7824,'lookup table'!$A$2:$B$19,2,FALSE)</f>
        <v>#N/A</v>
      </c>
      <c r="E7824" t="str">
        <f t="shared" si="122"/>
        <v/>
      </c>
    </row>
    <row r="7825" spans="1:5" x14ac:dyDescent="0.2">
      <c r="A7825" t="s">
        <v>1440</v>
      </c>
      <c r="B7825" t="s">
        <v>1441</v>
      </c>
      <c r="C7825" t="s">
        <v>457</v>
      </c>
      <c r="D7825" t="str">
        <f>VLOOKUP(C7825,'lookup table'!$A$2:$B$19,2,FALSE)</f>
        <v>VLT</v>
      </c>
      <c r="E7825" t="str">
        <f t="shared" si="122"/>
        <v>DZ2VAR_00|VLT</v>
      </c>
    </row>
    <row r="7826" spans="1:5" x14ac:dyDescent="0.2">
      <c r="A7826" t="s">
        <v>1440</v>
      </c>
      <c r="B7826" t="s">
        <v>1441</v>
      </c>
      <c r="C7826" t="s">
        <v>458</v>
      </c>
      <c r="D7826" t="str">
        <f>VLOOKUP(C7826,'lookup table'!$A$2:$B$19,2,FALSE)</f>
        <v>VAR</v>
      </c>
      <c r="E7826" t="str">
        <f t="shared" si="122"/>
        <v>DZ2VAR_00|VAR</v>
      </c>
    </row>
    <row r="7827" spans="1:5" x14ac:dyDescent="0.2">
      <c r="A7827" t="s">
        <v>1440</v>
      </c>
      <c r="B7827" t="s">
        <v>1441</v>
      </c>
      <c r="C7827" t="s">
        <v>459</v>
      </c>
      <c r="D7827" t="e">
        <f>VLOOKUP(C7827,'lookup table'!$A$2:$B$19,2,FALSE)</f>
        <v>#N/A</v>
      </c>
      <c r="E7827" t="str">
        <f t="shared" si="122"/>
        <v/>
      </c>
    </row>
    <row r="7828" spans="1:5" x14ac:dyDescent="0.2">
      <c r="A7828" t="s">
        <v>1440</v>
      </c>
      <c r="B7828" t="s">
        <v>1441</v>
      </c>
      <c r="C7828" t="s">
        <v>460</v>
      </c>
      <c r="D7828" t="e">
        <f>VLOOKUP(C7828,'lookup table'!$A$2:$B$19,2,FALSE)</f>
        <v>#N/A</v>
      </c>
      <c r="E7828" t="str">
        <f t="shared" si="122"/>
        <v/>
      </c>
    </row>
    <row r="7829" spans="1:5" x14ac:dyDescent="0.2">
      <c r="A7829" t="s">
        <v>1440</v>
      </c>
      <c r="B7829" t="s">
        <v>1441</v>
      </c>
      <c r="C7829" t="s">
        <v>461</v>
      </c>
      <c r="D7829" t="str">
        <f>VLOOKUP(C7829,'lookup table'!$A$2:$B$19,2,FALSE)</f>
        <v>Posting Level</v>
      </c>
      <c r="E7829" t="str">
        <f t="shared" si="122"/>
        <v>DZ2VAR_00|Posting Level</v>
      </c>
    </row>
    <row r="7830" spans="1:5" x14ac:dyDescent="0.2">
      <c r="A7830" t="s">
        <v>1440</v>
      </c>
      <c r="B7830" t="s">
        <v>1441</v>
      </c>
      <c r="C7830" t="s">
        <v>462</v>
      </c>
      <c r="D7830" t="e">
        <f>VLOOKUP(C7830,'lookup table'!$A$2:$B$19,2,FALSE)</f>
        <v>#N/A</v>
      </c>
      <c r="E7830" t="str">
        <f t="shared" si="122"/>
        <v/>
      </c>
    </row>
    <row r="7831" spans="1:5" x14ac:dyDescent="0.2">
      <c r="A7831" t="s">
        <v>1440</v>
      </c>
      <c r="B7831" t="s">
        <v>1441</v>
      </c>
      <c r="C7831" t="s">
        <v>463</v>
      </c>
      <c r="D7831" t="e">
        <f>VLOOKUP(C7831,'lookup table'!$A$2:$B$19,2,FALSE)</f>
        <v>#N/A</v>
      </c>
      <c r="E7831" t="str">
        <f t="shared" si="122"/>
        <v/>
      </c>
    </row>
    <row r="7832" spans="1:5" x14ac:dyDescent="0.2">
      <c r="A7832" t="s">
        <v>1440</v>
      </c>
      <c r="B7832" t="s">
        <v>1441</v>
      </c>
      <c r="C7832" t="s">
        <v>464</v>
      </c>
      <c r="D7832" t="e">
        <f>VLOOKUP(C7832,'lookup table'!$A$2:$B$19,2,FALSE)</f>
        <v>#N/A</v>
      </c>
      <c r="E7832" t="str">
        <f t="shared" si="122"/>
        <v/>
      </c>
    </row>
    <row r="7833" spans="1:5" x14ac:dyDescent="0.2">
      <c r="A7833" t="s">
        <v>1440</v>
      </c>
      <c r="B7833" t="s">
        <v>1441</v>
      </c>
      <c r="C7833" t="s">
        <v>465</v>
      </c>
      <c r="D7833" t="e">
        <f>VLOOKUP(C7833,'lookup table'!$A$2:$B$19,2,FALSE)</f>
        <v>#N/A</v>
      </c>
      <c r="E7833" t="str">
        <f t="shared" si="122"/>
        <v/>
      </c>
    </row>
    <row r="7834" spans="1:5" x14ac:dyDescent="0.2">
      <c r="A7834" t="s">
        <v>1442</v>
      </c>
      <c r="B7834" t="s">
        <v>1443</v>
      </c>
      <c r="C7834" t="s">
        <v>2</v>
      </c>
      <c r="D7834" t="e">
        <f>VLOOKUP(C7834,'lookup table'!$A$2:$B$19,2,FALSE)</f>
        <v>#N/A</v>
      </c>
      <c r="E7834" t="str">
        <f t="shared" si="122"/>
        <v/>
      </c>
    </row>
    <row r="7835" spans="1:5" x14ac:dyDescent="0.2">
      <c r="A7835" t="s">
        <v>1442</v>
      </c>
      <c r="B7835" t="s">
        <v>1443</v>
      </c>
      <c r="C7835" t="s">
        <v>5</v>
      </c>
      <c r="D7835" t="e">
        <f>VLOOKUP(C7835,'lookup table'!$A$2:$B$19,2,FALSE)</f>
        <v>#N/A</v>
      </c>
      <c r="E7835" t="str">
        <f t="shared" si="122"/>
        <v/>
      </c>
    </row>
    <row r="7836" spans="1:5" x14ac:dyDescent="0.2">
      <c r="A7836" t="s">
        <v>1442</v>
      </c>
      <c r="B7836" t="s">
        <v>1443</v>
      </c>
      <c r="C7836" t="s">
        <v>6</v>
      </c>
      <c r="D7836" t="e">
        <f>VLOOKUP(C7836,'lookup table'!$A$2:$B$19,2,FALSE)</f>
        <v>#N/A</v>
      </c>
      <c r="E7836" t="str">
        <f t="shared" si="122"/>
        <v/>
      </c>
    </row>
    <row r="7837" spans="1:5" x14ac:dyDescent="0.2">
      <c r="A7837" t="s">
        <v>1442</v>
      </c>
      <c r="B7837" t="s">
        <v>1443</v>
      </c>
      <c r="C7837" t="s">
        <v>9</v>
      </c>
      <c r="D7837" t="e">
        <f>VLOOKUP(C7837,'lookup table'!$A$2:$B$19,2,FALSE)</f>
        <v>#N/A</v>
      </c>
      <c r="E7837" t="str">
        <f t="shared" si="122"/>
        <v/>
      </c>
    </row>
    <row r="7838" spans="1:5" x14ac:dyDescent="0.2">
      <c r="A7838" t="s">
        <v>1442</v>
      </c>
      <c r="B7838" t="s">
        <v>1443</v>
      </c>
      <c r="C7838" t="s">
        <v>10</v>
      </c>
      <c r="D7838" t="e">
        <f>VLOOKUP(C7838,'lookup table'!$A$2:$B$19,2,FALSE)</f>
        <v>#N/A</v>
      </c>
      <c r="E7838" t="str">
        <f t="shared" si="122"/>
        <v/>
      </c>
    </row>
    <row r="7839" spans="1:5" x14ac:dyDescent="0.2">
      <c r="A7839" t="s">
        <v>1442</v>
      </c>
      <c r="B7839" t="s">
        <v>1443</v>
      </c>
      <c r="C7839" t="s">
        <v>11</v>
      </c>
      <c r="D7839" t="e">
        <f>VLOOKUP(C7839,'lookup table'!$A$2:$B$19,2,FALSE)</f>
        <v>#N/A</v>
      </c>
      <c r="E7839" t="str">
        <f t="shared" si="122"/>
        <v/>
      </c>
    </row>
    <row r="7840" spans="1:5" x14ac:dyDescent="0.2">
      <c r="A7840" t="s">
        <v>1442</v>
      </c>
      <c r="B7840" t="s">
        <v>1443</v>
      </c>
      <c r="C7840" t="s">
        <v>12</v>
      </c>
      <c r="D7840" t="e">
        <f>VLOOKUP(C7840,'lookup table'!$A$2:$B$19,2,FALSE)</f>
        <v>#N/A</v>
      </c>
      <c r="E7840" t="str">
        <f t="shared" si="122"/>
        <v/>
      </c>
    </row>
    <row r="7841" spans="1:5" x14ac:dyDescent="0.2">
      <c r="A7841" t="s">
        <v>1442</v>
      </c>
      <c r="B7841" t="s">
        <v>1443</v>
      </c>
      <c r="C7841" t="s">
        <v>14</v>
      </c>
      <c r="D7841" t="str">
        <f>VLOOKUP(C7841,'lookup table'!$A$2:$B$19,2,FALSE)</f>
        <v>ALC</v>
      </c>
      <c r="E7841" t="str">
        <f t="shared" si="122"/>
        <v>DZ3ACA_00|ALC</v>
      </c>
    </row>
    <row r="7842" spans="1:5" x14ac:dyDescent="0.2">
      <c r="A7842" t="s">
        <v>1442</v>
      </c>
      <c r="B7842" t="s">
        <v>1443</v>
      </c>
      <c r="C7842" t="s">
        <v>20</v>
      </c>
      <c r="D7842" t="str">
        <f>VLOOKUP(C7842,'lookup table'!$A$2:$B$19,2,FALSE)</f>
        <v>AY</v>
      </c>
      <c r="E7842" t="str">
        <f t="shared" si="122"/>
        <v>DZ3ACA_00|AY</v>
      </c>
    </row>
    <row r="7843" spans="1:5" x14ac:dyDescent="0.2">
      <c r="A7843" t="s">
        <v>1442</v>
      </c>
      <c r="B7843" t="s">
        <v>1443</v>
      </c>
      <c r="C7843" t="s">
        <v>136</v>
      </c>
      <c r="D7843" t="str">
        <f>VLOOKUP(C7843,'lookup table'!$A$2:$B$19,2,FALSE)</f>
        <v>BBA Set</v>
      </c>
      <c r="E7843" t="str">
        <f t="shared" si="122"/>
        <v>DZ3ACA_00|BBA Set</v>
      </c>
    </row>
    <row r="7844" spans="1:5" x14ac:dyDescent="0.2">
      <c r="A7844" t="s">
        <v>1442</v>
      </c>
      <c r="B7844" t="s">
        <v>1443</v>
      </c>
      <c r="C7844" t="s">
        <v>324</v>
      </c>
      <c r="D7844" t="e">
        <f>VLOOKUP(C7844,'lookup table'!$A$2:$B$19,2,FALSE)</f>
        <v>#N/A</v>
      </c>
      <c r="E7844" t="str">
        <f t="shared" si="122"/>
        <v/>
      </c>
    </row>
    <row r="7845" spans="1:5" x14ac:dyDescent="0.2">
      <c r="A7845" t="s">
        <v>1442</v>
      </c>
      <c r="B7845" t="s">
        <v>1443</v>
      </c>
      <c r="C7845" t="s">
        <v>325</v>
      </c>
      <c r="D7845" t="e">
        <f>VLOOKUP(C7845,'lookup table'!$A$2:$B$19,2,FALSE)</f>
        <v>#N/A</v>
      </c>
      <c r="E7845" t="str">
        <f t="shared" si="122"/>
        <v/>
      </c>
    </row>
    <row r="7846" spans="1:5" x14ac:dyDescent="0.2">
      <c r="A7846" t="s">
        <v>1442</v>
      </c>
      <c r="B7846" t="s">
        <v>1443</v>
      </c>
      <c r="C7846" t="s">
        <v>326</v>
      </c>
      <c r="D7846" t="e">
        <f>VLOOKUP(C7846,'lookup table'!$A$2:$B$19,2,FALSE)</f>
        <v>#N/A</v>
      </c>
      <c r="E7846" t="str">
        <f t="shared" si="122"/>
        <v/>
      </c>
    </row>
    <row r="7847" spans="1:5" x14ac:dyDescent="0.2">
      <c r="A7847" t="s">
        <v>1442</v>
      </c>
      <c r="B7847" t="s">
        <v>1443</v>
      </c>
      <c r="C7847" t="s">
        <v>327</v>
      </c>
      <c r="D7847" t="e">
        <f>VLOOKUP(C7847,'lookup table'!$A$2:$B$19,2,FALSE)</f>
        <v>#N/A</v>
      </c>
      <c r="E7847" t="str">
        <f t="shared" si="122"/>
        <v/>
      </c>
    </row>
    <row r="7848" spans="1:5" x14ac:dyDescent="0.2">
      <c r="A7848" t="s">
        <v>1442</v>
      </c>
      <c r="B7848" t="s">
        <v>1443</v>
      </c>
      <c r="C7848" t="s">
        <v>328</v>
      </c>
      <c r="D7848" t="e">
        <f>VLOOKUP(C7848,'lookup table'!$A$2:$B$19,2,FALSE)</f>
        <v>#N/A</v>
      </c>
      <c r="E7848" t="str">
        <f t="shared" si="122"/>
        <v/>
      </c>
    </row>
    <row r="7849" spans="1:5" x14ac:dyDescent="0.2">
      <c r="A7849" t="s">
        <v>1442</v>
      </c>
      <c r="B7849" t="s">
        <v>1443</v>
      </c>
      <c r="C7849" t="s">
        <v>329</v>
      </c>
      <c r="D7849" t="e">
        <f>VLOOKUP(C7849,'lookup table'!$A$2:$B$19,2,FALSE)</f>
        <v>#N/A</v>
      </c>
      <c r="E7849" t="str">
        <f t="shared" si="122"/>
        <v/>
      </c>
    </row>
    <row r="7850" spans="1:5" x14ac:dyDescent="0.2">
      <c r="A7850" t="s">
        <v>1442</v>
      </c>
      <c r="B7850" t="s">
        <v>1443</v>
      </c>
      <c r="C7850" t="s">
        <v>331</v>
      </c>
      <c r="D7850" t="str">
        <f>VLOOKUP(C7850,'lookup table'!$A$2:$B$19,2,FALSE)</f>
        <v>FS Item</v>
      </c>
      <c r="E7850" t="str">
        <f t="shared" si="122"/>
        <v>DZ3ACA_00|FS Item</v>
      </c>
    </row>
    <row r="7851" spans="1:5" x14ac:dyDescent="0.2">
      <c r="A7851" t="s">
        <v>1442</v>
      </c>
      <c r="B7851" t="s">
        <v>1443</v>
      </c>
      <c r="C7851" t="s">
        <v>422</v>
      </c>
      <c r="D7851" t="e">
        <f>VLOOKUP(C7851,'lookup table'!$A$2:$B$19,2,FALSE)</f>
        <v>#N/A</v>
      </c>
      <c r="E7851" t="str">
        <f t="shared" si="122"/>
        <v/>
      </c>
    </row>
    <row r="7852" spans="1:5" x14ac:dyDescent="0.2">
      <c r="A7852" t="s">
        <v>1442</v>
      </c>
      <c r="B7852" t="s">
        <v>1443</v>
      </c>
      <c r="C7852" t="s">
        <v>423</v>
      </c>
      <c r="D7852" t="str">
        <f>VLOOKUP(C7852,'lookup table'!$A$2:$B$19,2,FALSE)</f>
        <v>ignore</v>
      </c>
      <c r="E7852" t="str">
        <f t="shared" si="122"/>
        <v>DZ3ACA_00|ignore</v>
      </c>
    </row>
    <row r="7853" spans="1:5" x14ac:dyDescent="0.2">
      <c r="A7853" t="s">
        <v>1442</v>
      </c>
      <c r="B7853" t="s">
        <v>1443</v>
      </c>
      <c r="C7853" t="s">
        <v>424</v>
      </c>
      <c r="D7853" t="str">
        <f>VLOOKUP(C7853,'lookup table'!$A$2:$B$19,2,FALSE)</f>
        <v>GRC</v>
      </c>
      <c r="E7853" t="str">
        <f t="shared" si="122"/>
        <v>DZ3ACA_00|GRC</v>
      </c>
    </row>
    <row r="7854" spans="1:5" x14ac:dyDescent="0.2">
      <c r="A7854" t="s">
        <v>1442</v>
      </c>
      <c r="B7854" t="s">
        <v>1443</v>
      </c>
      <c r="C7854" t="s">
        <v>425</v>
      </c>
      <c r="D7854" t="str">
        <f>VLOOKUP(C7854,'lookup table'!$A$2:$B$19,2,FALSE)</f>
        <v>Investee Segment</v>
      </c>
      <c r="E7854" t="str">
        <f t="shared" si="122"/>
        <v>DZ3ACA_00|Investee Segment</v>
      </c>
    </row>
    <row r="7855" spans="1:5" x14ac:dyDescent="0.2">
      <c r="A7855" t="s">
        <v>1442</v>
      </c>
      <c r="B7855" t="s">
        <v>1443</v>
      </c>
      <c r="C7855" t="s">
        <v>426</v>
      </c>
      <c r="D7855" t="str">
        <f>VLOOKUP(C7855,'lookup table'!$A$2:$B$19,2,FALSE)</f>
        <v>Investee Unit</v>
      </c>
      <c r="E7855" t="str">
        <f t="shared" si="122"/>
        <v>DZ3ACA_00|Investee Unit</v>
      </c>
    </row>
    <row r="7856" spans="1:5" x14ac:dyDescent="0.2">
      <c r="A7856" t="s">
        <v>1442</v>
      </c>
      <c r="B7856" t="s">
        <v>1443</v>
      </c>
      <c r="C7856" t="s">
        <v>428</v>
      </c>
      <c r="D7856" t="str">
        <f>VLOOKUP(C7856,'lookup table'!$A$2:$B$19,2,FALSE)</f>
        <v>LoB</v>
      </c>
      <c r="E7856" t="str">
        <f t="shared" si="122"/>
        <v>DZ3ACA_00|LoB</v>
      </c>
    </row>
    <row r="7857" spans="1:5" x14ac:dyDescent="0.2">
      <c r="A7857" t="s">
        <v>1442</v>
      </c>
      <c r="B7857" t="s">
        <v>1443</v>
      </c>
      <c r="C7857" t="s">
        <v>436</v>
      </c>
      <c r="D7857" t="str">
        <f>VLOOKUP(C7857,'lookup table'!$A$2:$B$19,2,FALSE)</f>
        <v>MAT</v>
      </c>
      <c r="E7857" t="str">
        <f t="shared" si="122"/>
        <v>DZ3ACA_00|MAT</v>
      </c>
    </row>
    <row r="7858" spans="1:5" x14ac:dyDescent="0.2">
      <c r="A7858" t="s">
        <v>1442</v>
      </c>
      <c r="B7858" t="s">
        <v>1443</v>
      </c>
      <c r="C7858" t="s">
        <v>441</v>
      </c>
      <c r="D7858" t="str">
        <f>VLOOKUP(C7858,'lookup table'!$A$2:$B$19,2,FALSE)</f>
        <v>Partner Segment</v>
      </c>
      <c r="E7858" t="str">
        <f t="shared" si="122"/>
        <v>DZ3ACA_00|Partner Segment</v>
      </c>
    </row>
    <row r="7859" spans="1:5" x14ac:dyDescent="0.2">
      <c r="A7859" t="s">
        <v>1442</v>
      </c>
      <c r="B7859" t="s">
        <v>1443</v>
      </c>
      <c r="C7859" t="s">
        <v>442</v>
      </c>
      <c r="D7859" t="str">
        <f>VLOOKUP(C7859,'lookup table'!$A$2:$B$19,2,FALSE)</f>
        <v>Partner Unit</v>
      </c>
      <c r="E7859" t="str">
        <f t="shared" si="122"/>
        <v>DZ3ACA_00|Partner Unit</v>
      </c>
    </row>
    <row r="7860" spans="1:5" x14ac:dyDescent="0.2">
      <c r="A7860" t="s">
        <v>1442</v>
      </c>
      <c r="B7860" t="s">
        <v>1443</v>
      </c>
      <c r="C7860" t="s">
        <v>447</v>
      </c>
      <c r="D7860" t="str">
        <f>VLOOKUP(C7860,'lookup table'!$A$2:$B$19,2,FALSE)</f>
        <v>REX</v>
      </c>
      <c r="E7860" t="str">
        <f t="shared" si="122"/>
        <v>DZ3ACA_00|REX</v>
      </c>
    </row>
    <row r="7861" spans="1:5" x14ac:dyDescent="0.2">
      <c r="A7861" t="s">
        <v>1442</v>
      </c>
      <c r="B7861" t="s">
        <v>1443</v>
      </c>
      <c r="C7861" t="s">
        <v>448</v>
      </c>
      <c r="D7861" t="e">
        <f>VLOOKUP(C7861,'lookup table'!$A$2:$B$19,2,FALSE)</f>
        <v>#N/A</v>
      </c>
      <c r="E7861" t="str">
        <f t="shared" si="122"/>
        <v/>
      </c>
    </row>
    <row r="7862" spans="1:5" x14ac:dyDescent="0.2">
      <c r="A7862" t="s">
        <v>1442</v>
      </c>
      <c r="B7862" t="s">
        <v>1443</v>
      </c>
      <c r="C7862" t="s">
        <v>449</v>
      </c>
      <c r="D7862" t="e">
        <f>VLOOKUP(C7862,'lookup table'!$A$2:$B$19,2,FALSE)</f>
        <v>#N/A</v>
      </c>
      <c r="E7862" t="str">
        <f t="shared" si="122"/>
        <v/>
      </c>
    </row>
    <row r="7863" spans="1:5" x14ac:dyDescent="0.2">
      <c r="A7863" t="s">
        <v>1442</v>
      </c>
      <c r="B7863" t="s">
        <v>1443</v>
      </c>
      <c r="C7863" t="s">
        <v>451</v>
      </c>
      <c r="D7863" t="str">
        <f>VLOOKUP(C7863,'lookup table'!$A$2:$B$19,2,FALSE)</f>
        <v>Segment</v>
      </c>
      <c r="E7863" t="str">
        <f t="shared" si="122"/>
        <v>DZ3ACA_00|Segment</v>
      </c>
    </row>
    <row r="7864" spans="1:5" x14ac:dyDescent="0.2">
      <c r="A7864" t="s">
        <v>1442</v>
      </c>
      <c r="B7864" t="s">
        <v>1443</v>
      </c>
      <c r="C7864" t="s">
        <v>455</v>
      </c>
      <c r="D7864" t="e">
        <f>VLOOKUP(C7864,'lookup table'!$A$2:$B$19,2,FALSE)</f>
        <v>#N/A</v>
      </c>
      <c r="E7864" t="str">
        <f t="shared" si="122"/>
        <v/>
      </c>
    </row>
    <row r="7865" spans="1:5" x14ac:dyDescent="0.2">
      <c r="A7865" t="s">
        <v>1442</v>
      </c>
      <c r="B7865" t="s">
        <v>1443</v>
      </c>
      <c r="C7865" t="s">
        <v>456</v>
      </c>
      <c r="D7865" t="e">
        <f>VLOOKUP(C7865,'lookup table'!$A$2:$B$19,2,FALSE)</f>
        <v>#N/A</v>
      </c>
      <c r="E7865" t="str">
        <f t="shared" si="122"/>
        <v/>
      </c>
    </row>
    <row r="7866" spans="1:5" x14ac:dyDescent="0.2">
      <c r="A7866" t="s">
        <v>1442</v>
      </c>
      <c r="B7866" t="s">
        <v>1443</v>
      </c>
      <c r="C7866" t="s">
        <v>457</v>
      </c>
      <c r="D7866" t="str">
        <f>VLOOKUP(C7866,'lookup table'!$A$2:$B$19,2,FALSE)</f>
        <v>VLT</v>
      </c>
      <c r="E7866" t="str">
        <f t="shared" si="122"/>
        <v>DZ3ACA_00|VLT</v>
      </c>
    </row>
    <row r="7867" spans="1:5" x14ac:dyDescent="0.2">
      <c r="A7867" t="s">
        <v>1442</v>
      </c>
      <c r="B7867" t="s">
        <v>1443</v>
      </c>
      <c r="C7867" t="s">
        <v>458</v>
      </c>
      <c r="D7867" t="str">
        <f>VLOOKUP(C7867,'lookup table'!$A$2:$B$19,2,FALSE)</f>
        <v>VAR</v>
      </c>
      <c r="E7867" t="str">
        <f t="shared" si="122"/>
        <v>DZ3ACA_00|VAR</v>
      </c>
    </row>
    <row r="7868" spans="1:5" x14ac:dyDescent="0.2">
      <c r="A7868" t="s">
        <v>1442</v>
      </c>
      <c r="B7868" t="s">
        <v>1443</v>
      </c>
      <c r="C7868" t="s">
        <v>459</v>
      </c>
      <c r="D7868" t="e">
        <f>VLOOKUP(C7868,'lookup table'!$A$2:$B$19,2,FALSE)</f>
        <v>#N/A</v>
      </c>
      <c r="E7868" t="str">
        <f t="shared" si="122"/>
        <v/>
      </c>
    </row>
    <row r="7869" spans="1:5" x14ac:dyDescent="0.2">
      <c r="A7869" t="s">
        <v>1442</v>
      </c>
      <c r="B7869" t="s">
        <v>1443</v>
      </c>
      <c r="C7869" t="s">
        <v>460</v>
      </c>
      <c r="D7869" t="e">
        <f>VLOOKUP(C7869,'lookup table'!$A$2:$B$19,2,FALSE)</f>
        <v>#N/A</v>
      </c>
      <c r="E7869" t="str">
        <f t="shared" si="122"/>
        <v/>
      </c>
    </row>
    <row r="7870" spans="1:5" x14ac:dyDescent="0.2">
      <c r="A7870" t="s">
        <v>1442</v>
      </c>
      <c r="B7870" t="s">
        <v>1443</v>
      </c>
      <c r="C7870" t="s">
        <v>461</v>
      </c>
      <c r="D7870" t="str">
        <f>VLOOKUP(C7870,'lookup table'!$A$2:$B$19,2,FALSE)</f>
        <v>Posting Level</v>
      </c>
      <c r="E7870" t="str">
        <f t="shared" si="122"/>
        <v>DZ3ACA_00|Posting Level</v>
      </c>
    </row>
    <row r="7871" spans="1:5" x14ac:dyDescent="0.2">
      <c r="A7871" t="s">
        <v>1442</v>
      </c>
      <c r="B7871" t="s">
        <v>1443</v>
      </c>
      <c r="C7871" t="s">
        <v>462</v>
      </c>
      <c r="D7871" t="e">
        <f>VLOOKUP(C7871,'lookup table'!$A$2:$B$19,2,FALSE)</f>
        <v>#N/A</v>
      </c>
      <c r="E7871" t="str">
        <f t="shared" si="122"/>
        <v/>
      </c>
    </row>
    <row r="7872" spans="1:5" x14ac:dyDescent="0.2">
      <c r="A7872" t="s">
        <v>1442</v>
      </c>
      <c r="B7872" t="s">
        <v>1443</v>
      </c>
      <c r="C7872" t="s">
        <v>463</v>
      </c>
      <c r="D7872" t="e">
        <f>VLOOKUP(C7872,'lookup table'!$A$2:$B$19,2,FALSE)</f>
        <v>#N/A</v>
      </c>
      <c r="E7872" t="str">
        <f t="shared" si="122"/>
        <v/>
      </c>
    </row>
    <row r="7873" spans="1:5" x14ac:dyDescent="0.2">
      <c r="A7873" t="s">
        <v>1442</v>
      </c>
      <c r="B7873" t="s">
        <v>1443</v>
      </c>
      <c r="C7873" t="s">
        <v>464</v>
      </c>
      <c r="D7873" t="e">
        <f>VLOOKUP(C7873,'lookup table'!$A$2:$B$19,2,FALSE)</f>
        <v>#N/A</v>
      </c>
      <c r="E7873" t="str">
        <f t="shared" si="122"/>
        <v/>
      </c>
    </row>
    <row r="7874" spans="1:5" x14ac:dyDescent="0.2">
      <c r="A7874" t="s">
        <v>1442</v>
      </c>
      <c r="B7874" t="s">
        <v>1443</v>
      </c>
      <c r="C7874" t="s">
        <v>465</v>
      </c>
      <c r="D7874" t="e">
        <f>VLOOKUP(C7874,'lookup table'!$A$2:$B$19,2,FALSE)</f>
        <v>#N/A</v>
      </c>
      <c r="E7874" t="str">
        <f t="shared" si="122"/>
        <v/>
      </c>
    </row>
    <row r="7875" spans="1:5" x14ac:dyDescent="0.2">
      <c r="A7875" t="s">
        <v>1444</v>
      </c>
      <c r="B7875" t="s">
        <v>1445</v>
      </c>
      <c r="C7875" t="s">
        <v>2</v>
      </c>
      <c r="D7875" t="e">
        <f>VLOOKUP(C7875,'lookup table'!$A$2:$B$19,2,FALSE)</f>
        <v>#N/A</v>
      </c>
      <c r="E7875" t="str">
        <f t="shared" ref="E7875:E7938" si="123">IF(ISNA(D7875),"",IF(A7875="","",A7875) &amp; "|" &amp; D7875)</f>
        <v/>
      </c>
    </row>
    <row r="7876" spans="1:5" x14ac:dyDescent="0.2">
      <c r="A7876" t="s">
        <v>1444</v>
      </c>
      <c r="B7876" t="s">
        <v>1445</v>
      </c>
      <c r="C7876" t="s">
        <v>5</v>
      </c>
      <c r="D7876" t="e">
        <f>VLOOKUP(C7876,'lookup table'!$A$2:$B$19,2,FALSE)</f>
        <v>#N/A</v>
      </c>
      <c r="E7876" t="str">
        <f t="shared" si="123"/>
        <v/>
      </c>
    </row>
    <row r="7877" spans="1:5" x14ac:dyDescent="0.2">
      <c r="A7877" t="s">
        <v>1444</v>
      </c>
      <c r="B7877" t="s">
        <v>1445</v>
      </c>
      <c r="C7877" t="s">
        <v>6</v>
      </c>
      <c r="D7877" t="e">
        <f>VLOOKUP(C7877,'lookup table'!$A$2:$B$19,2,FALSE)</f>
        <v>#N/A</v>
      </c>
      <c r="E7877" t="str">
        <f t="shared" si="123"/>
        <v/>
      </c>
    </row>
    <row r="7878" spans="1:5" x14ac:dyDescent="0.2">
      <c r="A7878" t="s">
        <v>1444</v>
      </c>
      <c r="B7878" t="s">
        <v>1445</v>
      </c>
      <c r="C7878" t="s">
        <v>9</v>
      </c>
      <c r="D7878" t="e">
        <f>VLOOKUP(C7878,'lookup table'!$A$2:$B$19,2,FALSE)</f>
        <v>#N/A</v>
      </c>
      <c r="E7878" t="str">
        <f t="shared" si="123"/>
        <v/>
      </c>
    </row>
    <row r="7879" spans="1:5" x14ac:dyDescent="0.2">
      <c r="A7879" t="s">
        <v>1444</v>
      </c>
      <c r="B7879" t="s">
        <v>1445</v>
      </c>
      <c r="C7879" t="s">
        <v>10</v>
      </c>
      <c r="D7879" t="e">
        <f>VLOOKUP(C7879,'lookup table'!$A$2:$B$19,2,FALSE)</f>
        <v>#N/A</v>
      </c>
      <c r="E7879" t="str">
        <f t="shared" si="123"/>
        <v/>
      </c>
    </row>
    <row r="7880" spans="1:5" x14ac:dyDescent="0.2">
      <c r="A7880" t="s">
        <v>1444</v>
      </c>
      <c r="B7880" t="s">
        <v>1445</v>
      </c>
      <c r="C7880" t="s">
        <v>11</v>
      </c>
      <c r="D7880" t="e">
        <f>VLOOKUP(C7880,'lookup table'!$A$2:$B$19,2,FALSE)</f>
        <v>#N/A</v>
      </c>
      <c r="E7880" t="str">
        <f t="shared" si="123"/>
        <v/>
      </c>
    </row>
    <row r="7881" spans="1:5" x14ac:dyDescent="0.2">
      <c r="A7881" t="s">
        <v>1444</v>
      </c>
      <c r="B7881" t="s">
        <v>1445</v>
      </c>
      <c r="C7881" t="s">
        <v>12</v>
      </c>
      <c r="D7881" t="e">
        <f>VLOOKUP(C7881,'lookup table'!$A$2:$B$19,2,FALSE)</f>
        <v>#N/A</v>
      </c>
      <c r="E7881" t="str">
        <f t="shared" si="123"/>
        <v/>
      </c>
    </row>
    <row r="7882" spans="1:5" x14ac:dyDescent="0.2">
      <c r="A7882" t="s">
        <v>1444</v>
      </c>
      <c r="B7882" t="s">
        <v>1445</v>
      </c>
      <c r="C7882" t="s">
        <v>14</v>
      </c>
      <c r="D7882" t="str">
        <f>VLOOKUP(C7882,'lookup table'!$A$2:$B$19,2,FALSE)</f>
        <v>ALC</v>
      </c>
      <c r="E7882" t="str">
        <f t="shared" si="123"/>
        <v>DZ3ACY_00|ALC</v>
      </c>
    </row>
    <row r="7883" spans="1:5" x14ac:dyDescent="0.2">
      <c r="A7883" t="s">
        <v>1444</v>
      </c>
      <c r="B7883" t="s">
        <v>1445</v>
      </c>
      <c r="C7883" t="s">
        <v>20</v>
      </c>
      <c r="D7883" t="str">
        <f>VLOOKUP(C7883,'lookup table'!$A$2:$B$19,2,FALSE)</f>
        <v>AY</v>
      </c>
      <c r="E7883" t="str">
        <f t="shared" si="123"/>
        <v>DZ3ACY_00|AY</v>
      </c>
    </row>
    <row r="7884" spans="1:5" x14ac:dyDescent="0.2">
      <c r="A7884" t="s">
        <v>1444</v>
      </c>
      <c r="B7884" t="s">
        <v>1445</v>
      </c>
      <c r="C7884" t="s">
        <v>324</v>
      </c>
      <c r="D7884" t="e">
        <f>VLOOKUP(C7884,'lookup table'!$A$2:$B$19,2,FALSE)</f>
        <v>#N/A</v>
      </c>
      <c r="E7884" t="str">
        <f t="shared" si="123"/>
        <v/>
      </c>
    </row>
    <row r="7885" spans="1:5" x14ac:dyDescent="0.2">
      <c r="A7885" t="s">
        <v>1444</v>
      </c>
      <c r="B7885" t="s">
        <v>1445</v>
      </c>
      <c r="C7885" t="s">
        <v>325</v>
      </c>
      <c r="D7885" t="e">
        <f>VLOOKUP(C7885,'lookup table'!$A$2:$B$19,2,FALSE)</f>
        <v>#N/A</v>
      </c>
      <c r="E7885" t="str">
        <f t="shared" si="123"/>
        <v/>
      </c>
    </row>
    <row r="7886" spans="1:5" x14ac:dyDescent="0.2">
      <c r="A7886" t="s">
        <v>1444</v>
      </c>
      <c r="B7886" t="s">
        <v>1445</v>
      </c>
      <c r="C7886" t="s">
        <v>326</v>
      </c>
      <c r="D7886" t="e">
        <f>VLOOKUP(C7886,'lookup table'!$A$2:$B$19,2,FALSE)</f>
        <v>#N/A</v>
      </c>
      <c r="E7886" t="str">
        <f t="shared" si="123"/>
        <v/>
      </c>
    </row>
    <row r="7887" spans="1:5" x14ac:dyDescent="0.2">
      <c r="A7887" t="s">
        <v>1444</v>
      </c>
      <c r="B7887" t="s">
        <v>1445</v>
      </c>
      <c r="C7887" t="s">
        <v>327</v>
      </c>
      <c r="D7887" t="e">
        <f>VLOOKUP(C7887,'lookup table'!$A$2:$B$19,2,FALSE)</f>
        <v>#N/A</v>
      </c>
      <c r="E7887" t="str">
        <f t="shared" si="123"/>
        <v/>
      </c>
    </row>
    <row r="7888" spans="1:5" x14ac:dyDescent="0.2">
      <c r="A7888" t="s">
        <v>1444</v>
      </c>
      <c r="B7888" t="s">
        <v>1445</v>
      </c>
      <c r="C7888" t="s">
        <v>328</v>
      </c>
      <c r="D7888" t="e">
        <f>VLOOKUP(C7888,'lookup table'!$A$2:$B$19,2,FALSE)</f>
        <v>#N/A</v>
      </c>
      <c r="E7888" t="str">
        <f t="shared" si="123"/>
        <v/>
      </c>
    </row>
    <row r="7889" spans="1:5" x14ac:dyDescent="0.2">
      <c r="A7889" t="s">
        <v>1444</v>
      </c>
      <c r="B7889" t="s">
        <v>1445</v>
      </c>
      <c r="C7889" t="s">
        <v>329</v>
      </c>
      <c r="D7889" t="e">
        <f>VLOOKUP(C7889,'lookup table'!$A$2:$B$19,2,FALSE)</f>
        <v>#N/A</v>
      </c>
      <c r="E7889" t="str">
        <f t="shared" si="123"/>
        <v/>
      </c>
    </row>
    <row r="7890" spans="1:5" x14ac:dyDescent="0.2">
      <c r="A7890" t="s">
        <v>1444</v>
      </c>
      <c r="B7890" t="s">
        <v>1445</v>
      </c>
      <c r="C7890" t="s">
        <v>331</v>
      </c>
      <c r="D7890" t="str">
        <f>VLOOKUP(C7890,'lookup table'!$A$2:$B$19,2,FALSE)</f>
        <v>FS Item</v>
      </c>
      <c r="E7890" t="str">
        <f t="shared" si="123"/>
        <v>DZ3ACY_00|FS Item</v>
      </c>
    </row>
    <row r="7891" spans="1:5" x14ac:dyDescent="0.2">
      <c r="A7891" t="s">
        <v>1444</v>
      </c>
      <c r="B7891" t="s">
        <v>1445</v>
      </c>
      <c r="C7891" t="s">
        <v>422</v>
      </c>
      <c r="D7891" t="e">
        <f>VLOOKUP(C7891,'lookup table'!$A$2:$B$19,2,FALSE)</f>
        <v>#N/A</v>
      </c>
      <c r="E7891" t="str">
        <f t="shared" si="123"/>
        <v/>
      </c>
    </row>
    <row r="7892" spans="1:5" x14ac:dyDescent="0.2">
      <c r="A7892" t="s">
        <v>1444</v>
      </c>
      <c r="B7892" t="s">
        <v>1445</v>
      </c>
      <c r="C7892" t="s">
        <v>423</v>
      </c>
      <c r="D7892" t="str">
        <f>VLOOKUP(C7892,'lookup table'!$A$2:$B$19,2,FALSE)</f>
        <v>ignore</v>
      </c>
      <c r="E7892" t="str">
        <f t="shared" si="123"/>
        <v>DZ3ACY_00|ignore</v>
      </c>
    </row>
    <row r="7893" spans="1:5" x14ac:dyDescent="0.2">
      <c r="A7893" t="s">
        <v>1444</v>
      </c>
      <c r="B7893" t="s">
        <v>1445</v>
      </c>
      <c r="C7893" t="s">
        <v>424</v>
      </c>
      <c r="D7893" t="str">
        <f>VLOOKUP(C7893,'lookup table'!$A$2:$B$19,2,FALSE)</f>
        <v>GRC</v>
      </c>
      <c r="E7893" t="str">
        <f t="shared" si="123"/>
        <v>DZ3ACY_00|GRC</v>
      </c>
    </row>
    <row r="7894" spans="1:5" x14ac:dyDescent="0.2">
      <c r="A7894" t="s">
        <v>1444</v>
      </c>
      <c r="B7894" t="s">
        <v>1445</v>
      </c>
      <c r="C7894" t="s">
        <v>425</v>
      </c>
      <c r="D7894" t="str">
        <f>VLOOKUP(C7894,'lookup table'!$A$2:$B$19,2,FALSE)</f>
        <v>Investee Segment</v>
      </c>
      <c r="E7894" t="str">
        <f t="shared" si="123"/>
        <v>DZ3ACY_00|Investee Segment</v>
      </c>
    </row>
    <row r="7895" spans="1:5" x14ac:dyDescent="0.2">
      <c r="A7895" t="s">
        <v>1444</v>
      </c>
      <c r="B7895" t="s">
        <v>1445</v>
      </c>
      <c r="C7895" t="s">
        <v>426</v>
      </c>
      <c r="D7895" t="str">
        <f>VLOOKUP(C7895,'lookup table'!$A$2:$B$19,2,FALSE)</f>
        <v>Investee Unit</v>
      </c>
      <c r="E7895" t="str">
        <f t="shared" si="123"/>
        <v>DZ3ACY_00|Investee Unit</v>
      </c>
    </row>
    <row r="7896" spans="1:5" x14ac:dyDescent="0.2">
      <c r="A7896" t="s">
        <v>1444</v>
      </c>
      <c r="B7896" t="s">
        <v>1445</v>
      </c>
      <c r="C7896" t="s">
        <v>428</v>
      </c>
      <c r="D7896" t="str">
        <f>VLOOKUP(C7896,'lookup table'!$A$2:$B$19,2,FALSE)</f>
        <v>LoB</v>
      </c>
      <c r="E7896" t="str">
        <f t="shared" si="123"/>
        <v>DZ3ACY_00|LoB</v>
      </c>
    </row>
    <row r="7897" spans="1:5" x14ac:dyDescent="0.2">
      <c r="A7897" t="s">
        <v>1444</v>
      </c>
      <c r="B7897" t="s">
        <v>1445</v>
      </c>
      <c r="C7897" t="s">
        <v>436</v>
      </c>
      <c r="D7897" t="str">
        <f>VLOOKUP(C7897,'lookup table'!$A$2:$B$19,2,FALSE)</f>
        <v>MAT</v>
      </c>
      <c r="E7897" t="str">
        <f t="shared" si="123"/>
        <v>DZ3ACY_00|MAT</v>
      </c>
    </row>
    <row r="7898" spans="1:5" x14ac:dyDescent="0.2">
      <c r="A7898" t="s">
        <v>1444</v>
      </c>
      <c r="B7898" t="s">
        <v>1445</v>
      </c>
      <c r="C7898" t="s">
        <v>441</v>
      </c>
      <c r="D7898" t="str">
        <f>VLOOKUP(C7898,'lookup table'!$A$2:$B$19,2,FALSE)</f>
        <v>Partner Segment</v>
      </c>
      <c r="E7898" t="str">
        <f t="shared" si="123"/>
        <v>DZ3ACY_00|Partner Segment</v>
      </c>
    </row>
    <row r="7899" spans="1:5" x14ac:dyDescent="0.2">
      <c r="A7899" t="s">
        <v>1444</v>
      </c>
      <c r="B7899" t="s">
        <v>1445</v>
      </c>
      <c r="C7899" t="s">
        <v>442</v>
      </c>
      <c r="D7899" t="str">
        <f>VLOOKUP(C7899,'lookup table'!$A$2:$B$19,2,FALSE)</f>
        <v>Partner Unit</v>
      </c>
      <c r="E7899" t="str">
        <f t="shared" si="123"/>
        <v>DZ3ACY_00|Partner Unit</v>
      </c>
    </row>
    <row r="7900" spans="1:5" x14ac:dyDescent="0.2">
      <c r="A7900" t="s">
        <v>1444</v>
      </c>
      <c r="B7900" t="s">
        <v>1445</v>
      </c>
      <c r="C7900" t="s">
        <v>447</v>
      </c>
      <c r="D7900" t="str">
        <f>VLOOKUP(C7900,'lookup table'!$A$2:$B$19,2,FALSE)</f>
        <v>REX</v>
      </c>
      <c r="E7900" t="str">
        <f t="shared" si="123"/>
        <v>DZ3ACY_00|REX</v>
      </c>
    </row>
    <row r="7901" spans="1:5" x14ac:dyDescent="0.2">
      <c r="A7901" t="s">
        <v>1444</v>
      </c>
      <c r="B7901" t="s">
        <v>1445</v>
      </c>
      <c r="C7901" t="s">
        <v>448</v>
      </c>
      <c r="D7901" t="e">
        <f>VLOOKUP(C7901,'lookup table'!$A$2:$B$19,2,FALSE)</f>
        <v>#N/A</v>
      </c>
      <c r="E7901" t="str">
        <f t="shared" si="123"/>
        <v/>
      </c>
    </row>
    <row r="7902" spans="1:5" x14ac:dyDescent="0.2">
      <c r="A7902" t="s">
        <v>1444</v>
      </c>
      <c r="B7902" t="s">
        <v>1445</v>
      </c>
      <c r="C7902" t="s">
        <v>449</v>
      </c>
      <c r="D7902" t="e">
        <f>VLOOKUP(C7902,'lookup table'!$A$2:$B$19,2,FALSE)</f>
        <v>#N/A</v>
      </c>
      <c r="E7902" t="str">
        <f t="shared" si="123"/>
        <v/>
      </c>
    </row>
    <row r="7903" spans="1:5" x14ac:dyDescent="0.2">
      <c r="A7903" t="s">
        <v>1444</v>
      </c>
      <c r="B7903" t="s">
        <v>1445</v>
      </c>
      <c r="C7903" t="s">
        <v>451</v>
      </c>
      <c r="D7903" t="str">
        <f>VLOOKUP(C7903,'lookup table'!$A$2:$B$19,2,FALSE)</f>
        <v>Segment</v>
      </c>
      <c r="E7903" t="str">
        <f t="shared" si="123"/>
        <v>DZ3ACY_00|Segment</v>
      </c>
    </row>
    <row r="7904" spans="1:5" x14ac:dyDescent="0.2">
      <c r="A7904" t="s">
        <v>1444</v>
      </c>
      <c r="B7904" t="s">
        <v>1445</v>
      </c>
      <c r="C7904" t="s">
        <v>455</v>
      </c>
      <c r="D7904" t="e">
        <f>VLOOKUP(C7904,'lookup table'!$A$2:$B$19,2,FALSE)</f>
        <v>#N/A</v>
      </c>
      <c r="E7904" t="str">
        <f t="shared" si="123"/>
        <v/>
      </c>
    </row>
    <row r="7905" spans="1:5" x14ac:dyDescent="0.2">
      <c r="A7905" t="s">
        <v>1444</v>
      </c>
      <c r="B7905" t="s">
        <v>1445</v>
      </c>
      <c r="C7905" t="s">
        <v>456</v>
      </c>
      <c r="D7905" t="e">
        <f>VLOOKUP(C7905,'lookup table'!$A$2:$B$19,2,FALSE)</f>
        <v>#N/A</v>
      </c>
      <c r="E7905" t="str">
        <f t="shared" si="123"/>
        <v/>
      </c>
    </row>
    <row r="7906" spans="1:5" x14ac:dyDescent="0.2">
      <c r="A7906" t="s">
        <v>1444</v>
      </c>
      <c r="B7906" t="s">
        <v>1445</v>
      </c>
      <c r="C7906" t="s">
        <v>457</v>
      </c>
      <c r="D7906" t="str">
        <f>VLOOKUP(C7906,'lookup table'!$A$2:$B$19,2,FALSE)</f>
        <v>VLT</v>
      </c>
      <c r="E7906" t="str">
        <f t="shared" si="123"/>
        <v>DZ3ACY_00|VLT</v>
      </c>
    </row>
    <row r="7907" spans="1:5" x14ac:dyDescent="0.2">
      <c r="A7907" t="s">
        <v>1444</v>
      </c>
      <c r="B7907" t="s">
        <v>1445</v>
      </c>
      <c r="C7907" t="s">
        <v>458</v>
      </c>
      <c r="D7907" t="str">
        <f>VLOOKUP(C7907,'lookup table'!$A$2:$B$19,2,FALSE)</f>
        <v>VAR</v>
      </c>
      <c r="E7907" t="str">
        <f t="shared" si="123"/>
        <v>DZ3ACY_00|VAR</v>
      </c>
    </row>
    <row r="7908" spans="1:5" x14ac:dyDescent="0.2">
      <c r="A7908" t="s">
        <v>1444</v>
      </c>
      <c r="B7908" t="s">
        <v>1445</v>
      </c>
      <c r="C7908" t="s">
        <v>459</v>
      </c>
      <c r="D7908" t="e">
        <f>VLOOKUP(C7908,'lookup table'!$A$2:$B$19,2,FALSE)</f>
        <v>#N/A</v>
      </c>
      <c r="E7908" t="str">
        <f t="shared" si="123"/>
        <v/>
      </c>
    </row>
    <row r="7909" spans="1:5" x14ac:dyDescent="0.2">
      <c r="A7909" t="s">
        <v>1444</v>
      </c>
      <c r="B7909" t="s">
        <v>1445</v>
      </c>
      <c r="C7909" t="s">
        <v>460</v>
      </c>
      <c r="D7909" t="e">
        <f>VLOOKUP(C7909,'lookup table'!$A$2:$B$19,2,FALSE)</f>
        <v>#N/A</v>
      </c>
      <c r="E7909" t="str">
        <f t="shared" si="123"/>
        <v/>
      </c>
    </row>
    <row r="7910" spans="1:5" x14ac:dyDescent="0.2">
      <c r="A7910" t="s">
        <v>1444</v>
      </c>
      <c r="B7910" t="s">
        <v>1445</v>
      </c>
      <c r="C7910" t="s">
        <v>461</v>
      </c>
      <c r="D7910" t="str">
        <f>VLOOKUP(C7910,'lookup table'!$A$2:$B$19,2,FALSE)</f>
        <v>Posting Level</v>
      </c>
      <c r="E7910" t="str">
        <f t="shared" si="123"/>
        <v>DZ3ACY_00|Posting Level</v>
      </c>
    </row>
    <row r="7911" spans="1:5" x14ac:dyDescent="0.2">
      <c r="A7911" t="s">
        <v>1444</v>
      </c>
      <c r="B7911" t="s">
        <v>1445</v>
      </c>
      <c r="C7911" t="s">
        <v>462</v>
      </c>
      <c r="D7911" t="e">
        <f>VLOOKUP(C7911,'lookup table'!$A$2:$B$19,2,FALSE)</f>
        <v>#N/A</v>
      </c>
      <c r="E7911" t="str">
        <f t="shared" si="123"/>
        <v/>
      </c>
    </row>
    <row r="7912" spans="1:5" x14ac:dyDescent="0.2">
      <c r="A7912" t="s">
        <v>1444</v>
      </c>
      <c r="B7912" t="s">
        <v>1445</v>
      </c>
      <c r="C7912" t="s">
        <v>463</v>
      </c>
      <c r="D7912" t="e">
        <f>VLOOKUP(C7912,'lookup table'!$A$2:$B$19,2,FALSE)</f>
        <v>#N/A</v>
      </c>
      <c r="E7912" t="str">
        <f t="shared" si="123"/>
        <v/>
      </c>
    </row>
    <row r="7913" spans="1:5" x14ac:dyDescent="0.2">
      <c r="A7913" t="s">
        <v>1444</v>
      </c>
      <c r="B7913" t="s">
        <v>1445</v>
      </c>
      <c r="C7913" t="s">
        <v>464</v>
      </c>
      <c r="D7913" t="e">
        <f>VLOOKUP(C7913,'lookup table'!$A$2:$B$19,2,FALSE)</f>
        <v>#N/A</v>
      </c>
      <c r="E7913" t="str">
        <f t="shared" si="123"/>
        <v/>
      </c>
    </row>
    <row r="7914" spans="1:5" x14ac:dyDescent="0.2">
      <c r="A7914" t="s">
        <v>1444</v>
      </c>
      <c r="B7914" t="s">
        <v>1445</v>
      </c>
      <c r="C7914" t="s">
        <v>465</v>
      </c>
      <c r="D7914" t="e">
        <f>VLOOKUP(C7914,'lookup table'!$A$2:$B$19,2,FALSE)</f>
        <v>#N/A</v>
      </c>
      <c r="E7914" t="str">
        <f t="shared" si="123"/>
        <v/>
      </c>
    </row>
    <row r="7915" spans="1:5" x14ac:dyDescent="0.2">
      <c r="A7915" t="s">
        <v>1446</v>
      </c>
      <c r="B7915" t="s">
        <v>1447</v>
      </c>
      <c r="C7915" t="s">
        <v>2</v>
      </c>
      <c r="D7915" t="e">
        <f>VLOOKUP(C7915,'lookup table'!$A$2:$B$19,2,FALSE)</f>
        <v>#N/A</v>
      </c>
      <c r="E7915" t="str">
        <f t="shared" si="123"/>
        <v/>
      </c>
    </row>
    <row r="7916" spans="1:5" x14ac:dyDescent="0.2">
      <c r="A7916" t="s">
        <v>1446</v>
      </c>
      <c r="B7916" t="s">
        <v>1447</v>
      </c>
      <c r="C7916" t="s">
        <v>5</v>
      </c>
      <c r="D7916" t="e">
        <f>VLOOKUP(C7916,'lookup table'!$A$2:$B$19,2,FALSE)</f>
        <v>#N/A</v>
      </c>
      <c r="E7916" t="str">
        <f t="shared" si="123"/>
        <v/>
      </c>
    </row>
    <row r="7917" spans="1:5" x14ac:dyDescent="0.2">
      <c r="A7917" t="s">
        <v>1446</v>
      </c>
      <c r="B7917" t="s">
        <v>1447</v>
      </c>
      <c r="C7917" t="s">
        <v>6</v>
      </c>
      <c r="D7917" t="e">
        <f>VLOOKUP(C7917,'lookup table'!$A$2:$B$19,2,FALSE)</f>
        <v>#N/A</v>
      </c>
      <c r="E7917" t="str">
        <f t="shared" si="123"/>
        <v/>
      </c>
    </row>
    <row r="7918" spans="1:5" x14ac:dyDescent="0.2">
      <c r="A7918" t="s">
        <v>1446</v>
      </c>
      <c r="B7918" t="s">
        <v>1447</v>
      </c>
      <c r="C7918" t="s">
        <v>9</v>
      </c>
      <c r="D7918" t="e">
        <f>VLOOKUP(C7918,'lookup table'!$A$2:$B$19,2,FALSE)</f>
        <v>#N/A</v>
      </c>
      <c r="E7918" t="str">
        <f t="shared" si="123"/>
        <v/>
      </c>
    </row>
    <row r="7919" spans="1:5" x14ac:dyDescent="0.2">
      <c r="A7919" t="s">
        <v>1446</v>
      </c>
      <c r="B7919" t="s">
        <v>1447</v>
      </c>
      <c r="C7919" t="s">
        <v>10</v>
      </c>
      <c r="D7919" t="e">
        <f>VLOOKUP(C7919,'lookup table'!$A$2:$B$19,2,FALSE)</f>
        <v>#N/A</v>
      </c>
      <c r="E7919" t="str">
        <f t="shared" si="123"/>
        <v/>
      </c>
    </row>
    <row r="7920" spans="1:5" x14ac:dyDescent="0.2">
      <c r="A7920" t="s">
        <v>1446</v>
      </c>
      <c r="B7920" t="s">
        <v>1447</v>
      </c>
      <c r="C7920" t="s">
        <v>11</v>
      </c>
      <c r="D7920" t="e">
        <f>VLOOKUP(C7920,'lookup table'!$A$2:$B$19,2,FALSE)</f>
        <v>#N/A</v>
      </c>
      <c r="E7920" t="str">
        <f t="shared" si="123"/>
        <v/>
      </c>
    </row>
    <row r="7921" spans="1:5" x14ac:dyDescent="0.2">
      <c r="A7921" t="s">
        <v>1446</v>
      </c>
      <c r="B7921" t="s">
        <v>1447</v>
      </c>
      <c r="C7921" t="s">
        <v>12</v>
      </c>
      <c r="D7921" t="e">
        <f>VLOOKUP(C7921,'lookup table'!$A$2:$B$19,2,FALSE)</f>
        <v>#N/A</v>
      </c>
      <c r="E7921" t="str">
        <f t="shared" si="123"/>
        <v/>
      </c>
    </row>
    <row r="7922" spans="1:5" x14ac:dyDescent="0.2">
      <c r="A7922" t="s">
        <v>1446</v>
      </c>
      <c r="B7922" t="s">
        <v>1447</v>
      </c>
      <c r="C7922" t="s">
        <v>14</v>
      </c>
      <c r="D7922" t="str">
        <f>VLOOKUP(C7922,'lookup table'!$A$2:$B$19,2,FALSE)</f>
        <v>ALC</v>
      </c>
      <c r="E7922" t="str">
        <f t="shared" si="123"/>
        <v>DZ3LOB_00|ALC</v>
      </c>
    </row>
    <row r="7923" spans="1:5" x14ac:dyDescent="0.2">
      <c r="A7923" t="s">
        <v>1446</v>
      </c>
      <c r="B7923" t="s">
        <v>1447</v>
      </c>
      <c r="C7923" t="s">
        <v>20</v>
      </c>
      <c r="D7923" t="str">
        <f>VLOOKUP(C7923,'lookup table'!$A$2:$B$19,2,FALSE)</f>
        <v>AY</v>
      </c>
      <c r="E7923" t="str">
        <f t="shared" si="123"/>
        <v>DZ3LOB_00|AY</v>
      </c>
    </row>
    <row r="7924" spans="1:5" x14ac:dyDescent="0.2">
      <c r="A7924" t="s">
        <v>1446</v>
      </c>
      <c r="B7924" t="s">
        <v>1447</v>
      </c>
      <c r="C7924" t="s">
        <v>324</v>
      </c>
      <c r="D7924" t="e">
        <f>VLOOKUP(C7924,'lookup table'!$A$2:$B$19,2,FALSE)</f>
        <v>#N/A</v>
      </c>
      <c r="E7924" t="str">
        <f t="shared" si="123"/>
        <v/>
      </c>
    </row>
    <row r="7925" spans="1:5" x14ac:dyDescent="0.2">
      <c r="A7925" t="s">
        <v>1446</v>
      </c>
      <c r="B7925" t="s">
        <v>1447</v>
      </c>
      <c r="C7925" t="s">
        <v>325</v>
      </c>
      <c r="D7925" t="e">
        <f>VLOOKUP(C7925,'lookup table'!$A$2:$B$19,2,FALSE)</f>
        <v>#N/A</v>
      </c>
      <c r="E7925" t="str">
        <f t="shared" si="123"/>
        <v/>
      </c>
    </row>
    <row r="7926" spans="1:5" x14ac:dyDescent="0.2">
      <c r="A7926" t="s">
        <v>1446</v>
      </c>
      <c r="B7926" t="s">
        <v>1447</v>
      </c>
      <c r="C7926" t="s">
        <v>326</v>
      </c>
      <c r="D7926" t="e">
        <f>VLOOKUP(C7926,'lookup table'!$A$2:$B$19,2,FALSE)</f>
        <v>#N/A</v>
      </c>
      <c r="E7926" t="str">
        <f t="shared" si="123"/>
        <v/>
      </c>
    </row>
    <row r="7927" spans="1:5" x14ac:dyDescent="0.2">
      <c r="A7927" t="s">
        <v>1446</v>
      </c>
      <c r="B7927" t="s">
        <v>1447</v>
      </c>
      <c r="C7927" t="s">
        <v>327</v>
      </c>
      <c r="D7927" t="e">
        <f>VLOOKUP(C7927,'lookup table'!$A$2:$B$19,2,FALSE)</f>
        <v>#N/A</v>
      </c>
      <c r="E7927" t="str">
        <f t="shared" si="123"/>
        <v/>
      </c>
    </row>
    <row r="7928" spans="1:5" x14ac:dyDescent="0.2">
      <c r="A7928" t="s">
        <v>1446</v>
      </c>
      <c r="B7928" t="s">
        <v>1447</v>
      </c>
      <c r="C7928" t="s">
        <v>328</v>
      </c>
      <c r="D7928" t="e">
        <f>VLOOKUP(C7928,'lookup table'!$A$2:$B$19,2,FALSE)</f>
        <v>#N/A</v>
      </c>
      <c r="E7928" t="str">
        <f t="shared" si="123"/>
        <v/>
      </c>
    </row>
    <row r="7929" spans="1:5" x14ac:dyDescent="0.2">
      <c r="A7929" t="s">
        <v>1446</v>
      </c>
      <c r="B7929" t="s">
        <v>1447</v>
      </c>
      <c r="C7929" t="s">
        <v>329</v>
      </c>
      <c r="D7929" t="e">
        <f>VLOOKUP(C7929,'lookup table'!$A$2:$B$19,2,FALSE)</f>
        <v>#N/A</v>
      </c>
      <c r="E7929" t="str">
        <f t="shared" si="123"/>
        <v/>
      </c>
    </row>
    <row r="7930" spans="1:5" x14ac:dyDescent="0.2">
      <c r="A7930" t="s">
        <v>1446</v>
      </c>
      <c r="B7930" t="s">
        <v>1447</v>
      </c>
      <c r="C7930" t="s">
        <v>331</v>
      </c>
      <c r="D7930" t="str">
        <f>VLOOKUP(C7930,'lookup table'!$A$2:$B$19,2,FALSE)</f>
        <v>FS Item</v>
      </c>
      <c r="E7930" t="str">
        <f t="shared" si="123"/>
        <v>DZ3LOB_00|FS Item</v>
      </c>
    </row>
    <row r="7931" spans="1:5" x14ac:dyDescent="0.2">
      <c r="A7931" t="s">
        <v>1446</v>
      </c>
      <c r="B7931" t="s">
        <v>1447</v>
      </c>
      <c r="C7931" t="s">
        <v>422</v>
      </c>
      <c r="D7931" t="e">
        <f>VLOOKUP(C7931,'lookup table'!$A$2:$B$19,2,FALSE)</f>
        <v>#N/A</v>
      </c>
      <c r="E7931" t="str">
        <f t="shared" si="123"/>
        <v/>
      </c>
    </row>
    <row r="7932" spans="1:5" x14ac:dyDescent="0.2">
      <c r="A7932" t="s">
        <v>1446</v>
      </c>
      <c r="B7932" t="s">
        <v>1447</v>
      </c>
      <c r="C7932" t="s">
        <v>423</v>
      </c>
      <c r="D7932" t="str">
        <f>VLOOKUP(C7932,'lookup table'!$A$2:$B$19,2,FALSE)</f>
        <v>ignore</v>
      </c>
      <c r="E7932" t="str">
        <f t="shared" si="123"/>
        <v>DZ3LOB_00|ignore</v>
      </c>
    </row>
    <row r="7933" spans="1:5" x14ac:dyDescent="0.2">
      <c r="A7933" t="s">
        <v>1446</v>
      </c>
      <c r="B7933" t="s">
        <v>1447</v>
      </c>
      <c r="C7933" t="s">
        <v>424</v>
      </c>
      <c r="D7933" t="str">
        <f>VLOOKUP(C7933,'lookup table'!$A$2:$B$19,2,FALSE)</f>
        <v>GRC</v>
      </c>
      <c r="E7933" t="str">
        <f t="shared" si="123"/>
        <v>DZ3LOB_00|GRC</v>
      </c>
    </row>
    <row r="7934" spans="1:5" x14ac:dyDescent="0.2">
      <c r="A7934" t="s">
        <v>1446</v>
      </c>
      <c r="B7934" t="s">
        <v>1447</v>
      </c>
      <c r="C7934" t="s">
        <v>425</v>
      </c>
      <c r="D7934" t="str">
        <f>VLOOKUP(C7934,'lookup table'!$A$2:$B$19,2,FALSE)</f>
        <v>Investee Segment</v>
      </c>
      <c r="E7934" t="str">
        <f t="shared" si="123"/>
        <v>DZ3LOB_00|Investee Segment</v>
      </c>
    </row>
    <row r="7935" spans="1:5" x14ac:dyDescent="0.2">
      <c r="A7935" t="s">
        <v>1446</v>
      </c>
      <c r="B7935" t="s">
        <v>1447</v>
      </c>
      <c r="C7935" t="s">
        <v>426</v>
      </c>
      <c r="D7935" t="str">
        <f>VLOOKUP(C7935,'lookup table'!$A$2:$B$19,2,FALSE)</f>
        <v>Investee Unit</v>
      </c>
      <c r="E7935" t="str">
        <f t="shared" si="123"/>
        <v>DZ3LOB_00|Investee Unit</v>
      </c>
    </row>
    <row r="7936" spans="1:5" x14ac:dyDescent="0.2">
      <c r="A7936" t="s">
        <v>1446</v>
      </c>
      <c r="B7936" t="s">
        <v>1447</v>
      </c>
      <c r="C7936" t="s">
        <v>428</v>
      </c>
      <c r="D7936" t="str">
        <f>VLOOKUP(C7936,'lookup table'!$A$2:$B$19,2,FALSE)</f>
        <v>LoB</v>
      </c>
      <c r="E7936" t="str">
        <f t="shared" si="123"/>
        <v>DZ3LOB_00|LoB</v>
      </c>
    </row>
    <row r="7937" spans="1:5" x14ac:dyDescent="0.2">
      <c r="A7937" t="s">
        <v>1446</v>
      </c>
      <c r="B7937" t="s">
        <v>1447</v>
      </c>
      <c r="C7937" t="s">
        <v>436</v>
      </c>
      <c r="D7937" t="str">
        <f>VLOOKUP(C7937,'lookup table'!$A$2:$B$19,2,FALSE)</f>
        <v>MAT</v>
      </c>
      <c r="E7937" t="str">
        <f t="shared" si="123"/>
        <v>DZ3LOB_00|MAT</v>
      </c>
    </row>
    <row r="7938" spans="1:5" x14ac:dyDescent="0.2">
      <c r="A7938" t="s">
        <v>1446</v>
      </c>
      <c r="B7938" t="s">
        <v>1447</v>
      </c>
      <c r="C7938" t="s">
        <v>441</v>
      </c>
      <c r="D7938" t="str">
        <f>VLOOKUP(C7938,'lookup table'!$A$2:$B$19,2,FALSE)</f>
        <v>Partner Segment</v>
      </c>
      <c r="E7938" t="str">
        <f t="shared" si="123"/>
        <v>DZ3LOB_00|Partner Segment</v>
      </c>
    </row>
    <row r="7939" spans="1:5" x14ac:dyDescent="0.2">
      <c r="A7939" t="s">
        <v>1446</v>
      </c>
      <c r="B7939" t="s">
        <v>1447</v>
      </c>
      <c r="C7939" t="s">
        <v>442</v>
      </c>
      <c r="D7939" t="str">
        <f>VLOOKUP(C7939,'lookup table'!$A$2:$B$19,2,FALSE)</f>
        <v>Partner Unit</v>
      </c>
      <c r="E7939" t="str">
        <f t="shared" ref="E7939:E8002" si="124">IF(ISNA(D7939),"",IF(A7939="","",A7939) &amp; "|" &amp; D7939)</f>
        <v>DZ3LOB_00|Partner Unit</v>
      </c>
    </row>
    <row r="7940" spans="1:5" x14ac:dyDescent="0.2">
      <c r="A7940" t="s">
        <v>1446</v>
      </c>
      <c r="B7940" t="s">
        <v>1447</v>
      </c>
      <c r="C7940" t="s">
        <v>447</v>
      </c>
      <c r="D7940" t="str">
        <f>VLOOKUP(C7940,'lookup table'!$A$2:$B$19,2,FALSE)</f>
        <v>REX</v>
      </c>
      <c r="E7940" t="str">
        <f t="shared" si="124"/>
        <v>DZ3LOB_00|REX</v>
      </c>
    </row>
    <row r="7941" spans="1:5" x14ac:dyDescent="0.2">
      <c r="A7941" t="s">
        <v>1446</v>
      </c>
      <c r="B7941" t="s">
        <v>1447</v>
      </c>
      <c r="C7941" t="s">
        <v>448</v>
      </c>
      <c r="D7941" t="e">
        <f>VLOOKUP(C7941,'lookup table'!$A$2:$B$19,2,FALSE)</f>
        <v>#N/A</v>
      </c>
      <c r="E7941" t="str">
        <f t="shared" si="124"/>
        <v/>
      </c>
    </row>
    <row r="7942" spans="1:5" x14ac:dyDescent="0.2">
      <c r="A7942" t="s">
        <v>1446</v>
      </c>
      <c r="B7942" t="s">
        <v>1447</v>
      </c>
      <c r="C7942" t="s">
        <v>449</v>
      </c>
      <c r="D7942" t="e">
        <f>VLOOKUP(C7942,'lookup table'!$A$2:$B$19,2,FALSE)</f>
        <v>#N/A</v>
      </c>
      <c r="E7942" t="str">
        <f t="shared" si="124"/>
        <v/>
      </c>
    </row>
    <row r="7943" spans="1:5" x14ac:dyDescent="0.2">
      <c r="A7943" t="s">
        <v>1446</v>
      </c>
      <c r="B7943" t="s">
        <v>1447</v>
      </c>
      <c r="C7943" t="s">
        <v>451</v>
      </c>
      <c r="D7943" t="str">
        <f>VLOOKUP(C7943,'lookup table'!$A$2:$B$19,2,FALSE)</f>
        <v>Segment</v>
      </c>
      <c r="E7943" t="str">
        <f t="shared" si="124"/>
        <v>DZ3LOB_00|Segment</v>
      </c>
    </row>
    <row r="7944" spans="1:5" x14ac:dyDescent="0.2">
      <c r="A7944" t="s">
        <v>1446</v>
      </c>
      <c r="B7944" t="s">
        <v>1447</v>
      </c>
      <c r="C7944" t="s">
        <v>455</v>
      </c>
      <c r="D7944" t="e">
        <f>VLOOKUP(C7944,'lookup table'!$A$2:$B$19,2,FALSE)</f>
        <v>#N/A</v>
      </c>
      <c r="E7944" t="str">
        <f t="shared" si="124"/>
        <v/>
      </c>
    </row>
    <row r="7945" spans="1:5" x14ac:dyDescent="0.2">
      <c r="A7945" t="s">
        <v>1446</v>
      </c>
      <c r="B7945" t="s">
        <v>1447</v>
      </c>
      <c r="C7945" t="s">
        <v>456</v>
      </c>
      <c r="D7945" t="e">
        <f>VLOOKUP(C7945,'lookup table'!$A$2:$B$19,2,FALSE)</f>
        <v>#N/A</v>
      </c>
      <c r="E7945" t="str">
        <f t="shared" si="124"/>
        <v/>
      </c>
    </row>
    <row r="7946" spans="1:5" x14ac:dyDescent="0.2">
      <c r="A7946" t="s">
        <v>1446</v>
      </c>
      <c r="B7946" t="s">
        <v>1447</v>
      </c>
      <c r="C7946" t="s">
        <v>457</v>
      </c>
      <c r="D7946" t="str">
        <f>VLOOKUP(C7946,'lookup table'!$A$2:$B$19,2,FALSE)</f>
        <v>VLT</v>
      </c>
      <c r="E7946" t="str">
        <f t="shared" si="124"/>
        <v>DZ3LOB_00|VLT</v>
      </c>
    </row>
    <row r="7947" spans="1:5" x14ac:dyDescent="0.2">
      <c r="A7947" t="s">
        <v>1446</v>
      </c>
      <c r="B7947" t="s">
        <v>1447</v>
      </c>
      <c r="C7947" t="s">
        <v>458</v>
      </c>
      <c r="D7947" t="str">
        <f>VLOOKUP(C7947,'lookup table'!$A$2:$B$19,2,FALSE)</f>
        <v>VAR</v>
      </c>
      <c r="E7947" t="str">
        <f t="shared" si="124"/>
        <v>DZ3LOB_00|VAR</v>
      </c>
    </row>
    <row r="7948" spans="1:5" x14ac:dyDescent="0.2">
      <c r="A7948" t="s">
        <v>1446</v>
      </c>
      <c r="B7948" t="s">
        <v>1447</v>
      </c>
      <c r="C7948" t="s">
        <v>459</v>
      </c>
      <c r="D7948" t="e">
        <f>VLOOKUP(C7948,'lookup table'!$A$2:$B$19,2,FALSE)</f>
        <v>#N/A</v>
      </c>
      <c r="E7948" t="str">
        <f t="shared" si="124"/>
        <v/>
      </c>
    </row>
    <row r="7949" spans="1:5" x14ac:dyDescent="0.2">
      <c r="A7949" t="s">
        <v>1446</v>
      </c>
      <c r="B7949" t="s">
        <v>1447</v>
      </c>
      <c r="C7949" t="s">
        <v>460</v>
      </c>
      <c r="D7949" t="e">
        <f>VLOOKUP(C7949,'lookup table'!$A$2:$B$19,2,FALSE)</f>
        <v>#N/A</v>
      </c>
      <c r="E7949" t="str">
        <f t="shared" si="124"/>
        <v/>
      </c>
    </row>
    <row r="7950" spans="1:5" x14ac:dyDescent="0.2">
      <c r="A7950" t="s">
        <v>1446</v>
      </c>
      <c r="B7950" t="s">
        <v>1447</v>
      </c>
      <c r="C7950" t="s">
        <v>461</v>
      </c>
      <c r="D7950" t="str">
        <f>VLOOKUP(C7950,'lookup table'!$A$2:$B$19,2,FALSE)</f>
        <v>Posting Level</v>
      </c>
      <c r="E7950" t="str">
        <f t="shared" si="124"/>
        <v>DZ3LOB_00|Posting Level</v>
      </c>
    </row>
    <row r="7951" spans="1:5" x14ac:dyDescent="0.2">
      <c r="A7951" t="s">
        <v>1446</v>
      </c>
      <c r="B7951" t="s">
        <v>1447</v>
      </c>
      <c r="C7951" t="s">
        <v>462</v>
      </c>
      <c r="D7951" t="e">
        <f>VLOOKUP(C7951,'lookup table'!$A$2:$B$19,2,FALSE)</f>
        <v>#N/A</v>
      </c>
      <c r="E7951" t="str">
        <f t="shared" si="124"/>
        <v/>
      </c>
    </row>
    <row r="7952" spans="1:5" x14ac:dyDescent="0.2">
      <c r="A7952" t="s">
        <v>1446</v>
      </c>
      <c r="B7952" t="s">
        <v>1447</v>
      </c>
      <c r="C7952" t="s">
        <v>463</v>
      </c>
      <c r="D7952" t="e">
        <f>VLOOKUP(C7952,'lookup table'!$A$2:$B$19,2,FALSE)</f>
        <v>#N/A</v>
      </c>
      <c r="E7952" t="str">
        <f t="shared" si="124"/>
        <v/>
      </c>
    </row>
    <row r="7953" spans="1:5" x14ac:dyDescent="0.2">
      <c r="A7953" t="s">
        <v>1446</v>
      </c>
      <c r="B7953" t="s">
        <v>1447</v>
      </c>
      <c r="C7953" t="s">
        <v>464</v>
      </c>
      <c r="D7953" t="e">
        <f>VLOOKUP(C7953,'lookup table'!$A$2:$B$19,2,FALSE)</f>
        <v>#N/A</v>
      </c>
      <c r="E7953" t="str">
        <f t="shared" si="124"/>
        <v/>
      </c>
    </row>
    <row r="7954" spans="1:5" x14ac:dyDescent="0.2">
      <c r="A7954" t="s">
        <v>1446</v>
      </c>
      <c r="B7954" t="s">
        <v>1447</v>
      </c>
      <c r="C7954" t="s">
        <v>465</v>
      </c>
      <c r="D7954" t="e">
        <f>VLOOKUP(C7954,'lookup table'!$A$2:$B$19,2,FALSE)</f>
        <v>#N/A</v>
      </c>
      <c r="E7954" t="str">
        <f t="shared" si="124"/>
        <v/>
      </c>
    </row>
    <row r="7955" spans="1:5" x14ac:dyDescent="0.2">
      <c r="A7955" t="s">
        <v>1448</v>
      </c>
      <c r="B7955" t="s">
        <v>1449</v>
      </c>
      <c r="C7955" t="s">
        <v>2</v>
      </c>
      <c r="D7955" t="e">
        <f>VLOOKUP(C7955,'lookup table'!$A$2:$B$19,2,FALSE)</f>
        <v>#N/A</v>
      </c>
      <c r="E7955" t="str">
        <f t="shared" si="124"/>
        <v/>
      </c>
    </row>
    <row r="7956" spans="1:5" x14ac:dyDescent="0.2">
      <c r="A7956" t="s">
        <v>1448</v>
      </c>
      <c r="B7956" t="s">
        <v>1449</v>
      </c>
      <c r="C7956" t="s">
        <v>5</v>
      </c>
      <c r="D7956" t="e">
        <f>VLOOKUP(C7956,'lookup table'!$A$2:$B$19,2,FALSE)</f>
        <v>#N/A</v>
      </c>
      <c r="E7956" t="str">
        <f t="shared" si="124"/>
        <v/>
      </c>
    </row>
    <row r="7957" spans="1:5" x14ac:dyDescent="0.2">
      <c r="A7957" t="s">
        <v>1448</v>
      </c>
      <c r="B7957" t="s">
        <v>1449</v>
      </c>
      <c r="C7957" t="s">
        <v>6</v>
      </c>
      <c r="D7957" t="e">
        <f>VLOOKUP(C7957,'lookup table'!$A$2:$B$19,2,FALSE)</f>
        <v>#N/A</v>
      </c>
      <c r="E7957" t="str">
        <f t="shared" si="124"/>
        <v/>
      </c>
    </row>
    <row r="7958" spans="1:5" x14ac:dyDescent="0.2">
      <c r="A7958" t="s">
        <v>1448</v>
      </c>
      <c r="B7958" t="s">
        <v>1449</v>
      </c>
      <c r="C7958" t="s">
        <v>9</v>
      </c>
      <c r="D7958" t="e">
        <f>VLOOKUP(C7958,'lookup table'!$A$2:$B$19,2,FALSE)</f>
        <v>#N/A</v>
      </c>
      <c r="E7958" t="str">
        <f t="shared" si="124"/>
        <v/>
      </c>
    </row>
    <row r="7959" spans="1:5" x14ac:dyDescent="0.2">
      <c r="A7959" t="s">
        <v>1448</v>
      </c>
      <c r="B7959" t="s">
        <v>1449</v>
      </c>
      <c r="C7959" t="s">
        <v>10</v>
      </c>
      <c r="D7959" t="e">
        <f>VLOOKUP(C7959,'lookup table'!$A$2:$B$19,2,FALSE)</f>
        <v>#N/A</v>
      </c>
      <c r="E7959" t="str">
        <f t="shared" si="124"/>
        <v/>
      </c>
    </row>
    <row r="7960" spans="1:5" x14ac:dyDescent="0.2">
      <c r="A7960" t="s">
        <v>1448</v>
      </c>
      <c r="B7960" t="s">
        <v>1449</v>
      </c>
      <c r="C7960" t="s">
        <v>11</v>
      </c>
      <c r="D7960" t="e">
        <f>VLOOKUP(C7960,'lookup table'!$A$2:$B$19,2,FALSE)</f>
        <v>#N/A</v>
      </c>
      <c r="E7960" t="str">
        <f t="shared" si="124"/>
        <v/>
      </c>
    </row>
    <row r="7961" spans="1:5" x14ac:dyDescent="0.2">
      <c r="A7961" t="s">
        <v>1448</v>
      </c>
      <c r="B7961" t="s">
        <v>1449</v>
      </c>
      <c r="C7961" t="s">
        <v>12</v>
      </c>
      <c r="D7961" t="e">
        <f>VLOOKUP(C7961,'lookup table'!$A$2:$B$19,2,FALSE)</f>
        <v>#N/A</v>
      </c>
      <c r="E7961" t="str">
        <f t="shared" si="124"/>
        <v/>
      </c>
    </row>
    <row r="7962" spans="1:5" x14ac:dyDescent="0.2">
      <c r="A7962" t="s">
        <v>1448</v>
      </c>
      <c r="B7962" t="s">
        <v>1449</v>
      </c>
      <c r="C7962" t="s">
        <v>14</v>
      </c>
      <c r="D7962" t="str">
        <f>VLOOKUP(C7962,'lookup table'!$A$2:$B$19,2,FALSE)</f>
        <v>ALC</v>
      </c>
      <c r="E7962" t="str">
        <f t="shared" si="124"/>
        <v>DZ3REX_00|ALC</v>
      </c>
    </row>
    <row r="7963" spans="1:5" x14ac:dyDescent="0.2">
      <c r="A7963" t="s">
        <v>1448</v>
      </c>
      <c r="B7963" t="s">
        <v>1449</v>
      </c>
      <c r="C7963" t="s">
        <v>20</v>
      </c>
      <c r="D7963" t="str">
        <f>VLOOKUP(C7963,'lookup table'!$A$2:$B$19,2,FALSE)</f>
        <v>AY</v>
      </c>
      <c r="E7963" t="str">
        <f t="shared" si="124"/>
        <v>DZ3REX_00|AY</v>
      </c>
    </row>
    <row r="7964" spans="1:5" x14ac:dyDescent="0.2">
      <c r="A7964" t="s">
        <v>1448</v>
      </c>
      <c r="B7964" t="s">
        <v>1449</v>
      </c>
      <c r="C7964" t="s">
        <v>324</v>
      </c>
      <c r="D7964" t="e">
        <f>VLOOKUP(C7964,'lookup table'!$A$2:$B$19,2,FALSE)</f>
        <v>#N/A</v>
      </c>
      <c r="E7964" t="str">
        <f t="shared" si="124"/>
        <v/>
      </c>
    </row>
    <row r="7965" spans="1:5" x14ac:dyDescent="0.2">
      <c r="A7965" t="s">
        <v>1448</v>
      </c>
      <c r="B7965" t="s">
        <v>1449</v>
      </c>
      <c r="C7965" t="s">
        <v>325</v>
      </c>
      <c r="D7965" t="e">
        <f>VLOOKUP(C7965,'lookup table'!$A$2:$B$19,2,FALSE)</f>
        <v>#N/A</v>
      </c>
      <c r="E7965" t="str">
        <f t="shared" si="124"/>
        <v/>
      </c>
    </row>
    <row r="7966" spans="1:5" x14ac:dyDescent="0.2">
      <c r="A7966" t="s">
        <v>1448</v>
      </c>
      <c r="B7966" t="s">
        <v>1449</v>
      </c>
      <c r="C7966" t="s">
        <v>326</v>
      </c>
      <c r="D7966" t="e">
        <f>VLOOKUP(C7966,'lookup table'!$A$2:$B$19,2,FALSE)</f>
        <v>#N/A</v>
      </c>
      <c r="E7966" t="str">
        <f t="shared" si="124"/>
        <v/>
      </c>
    </row>
    <row r="7967" spans="1:5" x14ac:dyDescent="0.2">
      <c r="A7967" t="s">
        <v>1448</v>
      </c>
      <c r="B7967" t="s">
        <v>1449</v>
      </c>
      <c r="C7967" t="s">
        <v>327</v>
      </c>
      <c r="D7967" t="e">
        <f>VLOOKUP(C7967,'lookup table'!$A$2:$B$19,2,FALSE)</f>
        <v>#N/A</v>
      </c>
      <c r="E7967" t="str">
        <f t="shared" si="124"/>
        <v/>
      </c>
    </row>
    <row r="7968" spans="1:5" x14ac:dyDescent="0.2">
      <c r="A7968" t="s">
        <v>1448</v>
      </c>
      <c r="B7968" t="s">
        <v>1449</v>
      </c>
      <c r="C7968" t="s">
        <v>328</v>
      </c>
      <c r="D7968" t="e">
        <f>VLOOKUP(C7968,'lookup table'!$A$2:$B$19,2,FALSE)</f>
        <v>#N/A</v>
      </c>
      <c r="E7968" t="str">
        <f t="shared" si="124"/>
        <v/>
      </c>
    </row>
    <row r="7969" spans="1:5" x14ac:dyDescent="0.2">
      <c r="A7969" t="s">
        <v>1448</v>
      </c>
      <c r="B7969" t="s">
        <v>1449</v>
      </c>
      <c r="C7969" t="s">
        <v>329</v>
      </c>
      <c r="D7969" t="e">
        <f>VLOOKUP(C7969,'lookup table'!$A$2:$B$19,2,FALSE)</f>
        <v>#N/A</v>
      </c>
      <c r="E7969" t="str">
        <f t="shared" si="124"/>
        <v/>
      </c>
    </row>
    <row r="7970" spans="1:5" x14ac:dyDescent="0.2">
      <c r="A7970" t="s">
        <v>1448</v>
      </c>
      <c r="B7970" t="s">
        <v>1449</v>
      </c>
      <c r="C7970" t="s">
        <v>331</v>
      </c>
      <c r="D7970" t="str">
        <f>VLOOKUP(C7970,'lookup table'!$A$2:$B$19,2,FALSE)</f>
        <v>FS Item</v>
      </c>
      <c r="E7970" t="str">
        <f t="shared" si="124"/>
        <v>DZ3REX_00|FS Item</v>
      </c>
    </row>
    <row r="7971" spans="1:5" x14ac:dyDescent="0.2">
      <c r="A7971" t="s">
        <v>1448</v>
      </c>
      <c r="B7971" t="s">
        <v>1449</v>
      </c>
      <c r="C7971" t="s">
        <v>422</v>
      </c>
      <c r="D7971" t="e">
        <f>VLOOKUP(C7971,'lookup table'!$A$2:$B$19,2,FALSE)</f>
        <v>#N/A</v>
      </c>
      <c r="E7971" t="str">
        <f t="shared" si="124"/>
        <v/>
      </c>
    </row>
    <row r="7972" spans="1:5" x14ac:dyDescent="0.2">
      <c r="A7972" t="s">
        <v>1448</v>
      </c>
      <c r="B7972" t="s">
        <v>1449</v>
      </c>
      <c r="C7972" t="s">
        <v>423</v>
      </c>
      <c r="D7972" t="str">
        <f>VLOOKUP(C7972,'lookup table'!$A$2:$B$19,2,FALSE)</f>
        <v>ignore</v>
      </c>
      <c r="E7972" t="str">
        <f t="shared" si="124"/>
        <v>DZ3REX_00|ignore</v>
      </c>
    </row>
    <row r="7973" spans="1:5" x14ac:dyDescent="0.2">
      <c r="A7973" t="s">
        <v>1448</v>
      </c>
      <c r="B7973" t="s">
        <v>1449</v>
      </c>
      <c r="C7973" t="s">
        <v>424</v>
      </c>
      <c r="D7973" t="str">
        <f>VLOOKUP(C7973,'lookup table'!$A$2:$B$19,2,FALSE)</f>
        <v>GRC</v>
      </c>
      <c r="E7973" t="str">
        <f t="shared" si="124"/>
        <v>DZ3REX_00|GRC</v>
      </c>
    </row>
    <row r="7974" spans="1:5" x14ac:dyDescent="0.2">
      <c r="A7974" t="s">
        <v>1448</v>
      </c>
      <c r="B7974" t="s">
        <v>1449</v>
      </c>
      <c r="C7974" t="s">
        <v>425</v>
      </c>
      <c r="D7974" t="str">
        <f>VLOOKUP(C7974,'lookup table'!$A$2:$B$19,2,FALSE)</f>
        <v>Investee Segment</v>
      </c>
      <c r="E7974" t="str">
        <f t="shared" si="124"/>
        <v>DZ3REX_00|Investee Segment</v>
      </c>
    </row>
    <row r="7975" spans="1:5" x14ac:dyDescent="0.2">
      <c r="A7975" t="s">
        <v>1448</v>
      </c>
      <c r="B7975" t="s">
        <v>1449</v>
      </c>
      <c r="C7975" t="s">
        <v>426</v>
      </c>
      <c r="D7975" t="str">
        <f>VLOOKUP(C7975,'lookup table'!$A$2:$B$19,2,FALSE)</f>
        <v>Investee Unit</v>
      </c>
      <c r="E7975" t="str">
        <f t="shared" si="124"/>
        <v>DZ3REX_00|Investee Unit</v>
      </c>
    </row>
    <row r="7976" spans="1:5" x14ac:dyDescent="0.2">
      <c r="A7976" t="s">
        <v>1448</v>
      </c>
      <c r="B7976" t="s">
        <v>1449</v>
      </c>
      <c r="C7976" t="s">
        <v>428</v>
      </c>
      <c r="D7976" t="str">
        <f>VLOOKUP(C7976,'lookup table'!$A$2:$B$19,2,FALSE)</f>
        <v>LoB</v>
      </c>
      <c r="E7976" t="str">
        <f t="shared" si="124"/>
        <v>DZ3REX_00|LoB</v>
      </c>
    </row>
    <row r="7977" spans="1:5" x14ac:dyDescent="0.2">
      <c r="A7977" t="s">
        <v>1448</v>
      </c>
      <c r="B7977" t="s">
        <v>1449</v>
      </c>
      <c r="C7977" t="s">
        <v>436</v>
      </c>
      <c r="D7977" t="str">
        <f>VLOOKUP(C7977,'lookup table'!$A$2:$B$19,2,FALSE)</f>
        <v>MAT</v>
      </c>
      <c r="E7977" t="str">
        <f t="shared" si="124"/>
        <v>DZ3REX_00|MAT</v>
      </c>
    </row>
    <row r="7978" spans="1:5" x14ac:dyDescent="0.2">
      <c r="A7978" t="s">
        <v>1448</v>
      </c>
      <c r="B7978" t="s">
        <v>1449</v>
      </c>
      <c r="C7978" t="s">
        <v>438</v>
      </c>
      <c r="D7978" t="str">
        <f>VLOOKUP(C7978,'lookup table'!$A$2:$B$19,2,FALSE)</f>
        <v>ToM</v>
      </c>
      <c r="E7978" t="str">
        <f t="shared" si="124"/>
        <v>DZ3REX_00|ToM</v>
      </c>
    </row>
    <row r="7979" spans="1:5" x14ac:dyDescent="0.2">
      <c r="A7979" t="s">
        <v>1448</v>
      </c>
      <c r="B7979" t="s">
        <v>1449</v>
      </c>
      <c r="C7979" t="s">
        <v>441</v>
      </c>
      <c r="D7979" t="str">
        <f>VLOOKUP(C7979,'lookup table'!$A$2:$B$19,2,FALSE)</f>
        <v>Partner Segment</v>
      </c>
      <c r="E7979" t="str">
        <f t="shared" si="124"/>
        <v>DZ3REX_00|Partner Segment</v>
      </c>
    </row>
    <row r="7980" spans="1:5" x14ac:dyDescent="0.2">
      <c r="A7980" t="s">
        <v>1448</v>
      </c>
      <c r="B7980" t="s">
        <v>1449</v>
      </c>
      <c r="C7980" t="s">
        <v>442</v>
      </c>
      <c r="D7980" t="str">
        <f>VLOOKUP(C7980,'lookup table'!$A$2:$B$19,2,FALSE)</f>
        <v>Partner Unit</v>
      </c>
      <c r="E7980" t="str">
        <f t="shared" si="124"/>
        <v>DZ3REX_00|Partner Unit</v>
      </c>
    </row>
    <row r="7981" spans="1:5" x14ac:dyDescent="0.2">
      <c r="A7981" t="s">
        <v>1448</v>
      </c>
      <c r="B7981" t="s">
        <v>1449</v>
      </c>
      <c r="C7981" t="s">
        <v>447</v>
      </c>
      <c r="D7981" t="str">
        <f>VLOOKUP(C7981,'lookup table'!$A$2:$B$19,2,FALSE)</f>
        <v>REX</v>
      </c>
      <c r="E7981" t="str">
        <f t="shared" si="124"/>
        <v>DZ3REX_00|REX</v>
      </c>
    </row>
    <row r="7982" spans="1:5" x14ac:dyDescent="0.2">
      <c r="A7982" t="s">
        <v>1448</v>
      </c>
      <c r="B7982" t="s">
        <v>1449</v>
      </c>
      <c r="C7982" t="s">
        <v>448</v>
      </c>
      <c r="D7982" t="e">
        <f>VLOOKUP(C7982,'lookup table'!$A$2:$B$19,2,FALSE)</f>
        <v>#N/A</v>
      </c>
      <c r="E7982" t="str">
        <f t="shared" si="124"/>
        <v/>
      </c>
    </row>
    <row r="7983" spans="1:5" x14ac:dyDescent="0.2">
      <c r="A7983" t="s">
        <v>1448</v>
      </c>
      <c r="B7983" t="s">
        <v>1449</v>
      </c>
      <c r="C7983" t="s">
        <v>449</v>
      </c>
      <c r="D7983" t="e">
        <f>VLOOKUP(C7983,'lookup table'!$A$2:$B$19,2,FALSE)</f>
        <v>#N/A</v>
      </c>
      <c r="E7983" t="str">
        <f t="shared" si="124"/>
        <v/>
      </c>
    </row>
    <row r="7984" spans="1:5" x14ac:dyDescent="0.2">
      <c r="A7984" t="s">
        <v>1448</v>
      </c>
      <c r="B7984" t="s">
        <v>1449</v>
      </c>
      <c r="C7984" t="s">
        <v>451</v>
      </c>
      <c r="D7984" t="str">
        <f>VLOOKUP(C7984,'lookup table'!$A$2:$B$19,2,FALSE)</f>
        <v>Segment</v>
      </c>
      <c r="E7984" t="str">
        <f t="shared" si="124"/>
        <v>DZ3REX_00|Segment</v>
      </c>
    </row>
    <row r="7985" spans="1:5" x14ac:dyDescent="0.2">
      <c r="A7985" t="s">
        <v>1448</v>
      </c>
      <c r="B7985" t="s">
        <v>1449</v>
      </c>
      <c r="C7985" t="s">
        <v>455</v>
      </c>
      <c r="D7985" t="e">
        <f>VLOOKUP(C7985,'lookup table'!$A$2:$B$19,2,FALSE)</f>
        <v>#N/A</v>
      </c>
      <c r="E7985" t="str">
        <f t="shared" si="124"/>
        <v/>
      </c>
    </row>
    <row r="7986" spans="1:5" x14ac:dyDescent="0.2">
      <c r="A7986" t="s">
        <v>1448</v>
      </c>
      <c r="B7986" t="s">
        <v>1449</v>
      </c>
      <c r="C7986" t="s">
        <v>456</v>
      </c>
      <c r="D7986" t="e">
        <f>VLOOKUP(C7986,'lookup table'!$A$2:$B$19,2,FALSE)</f>
        <v>#N/A</v>
      </c>
      <c r="E7986" t="str">
        <f t="shared" si="124"/>
        <v/>
      </c>
    </row>
    <row r="7987" spans="1:5" x14ac:dyDescent="0.2">
      <c r="A7987" t="s">
        <v>1448</v>
      </c>
      <c r="B7987" t="s">
        <v>1449</v>
      </c>
      <c r="C7987" t="s">
        <v>457</v>
      </c>
      <c r="D7987" t="str">
        <f>VLOOKUP(C7987,'lookup table'!$A$2:$B$19,2,FALSE)</f>
        <v>VLT</v>
      </c>
      <c r="E7987" t="str">
        <f t="shared" si="124"/>
        <v>DZ3REX_00|VLT</v>
      </c>
    </row>
    <row r="7988" spans="1:5" x14ac:dyDescent="0.2">
      <c r="A7988" t="s">
        <v>1448</v>
      </c>
      <c r="B7988" t="s">
        <v>1449</v>
      </c>
      <c r="C7988" t="s">
        <v>458</v>
      </c>
      <c r="D7988" t="str">
        <f>VLOOKUP(C7988,'lookup table'!$A$2:$B$19,2,FALSE)</f>
        <v>VAR</v>
      </c>
      <c r="E7988" t="str">
        <f t="shared" si="124"/>
        <v>DZ3REX_00|VAR</v>
      </c>
    </row>
    <row r="7989" spans="1:5" x14ac:dyDescent="0.2">
      <c r="A7989" t="s">
        <v>1448</v>
      </c>
      <c r="B7989" t="s">
        <v>1449</v>
      </c>
      <c r="C7989" t="s">
        <v>459</v>
      </c>
      <c r="D7989" t="e">
        <f>VLOOKUP(C7989,'lookup table'!$A$2:$B$19,2,FALSE)</f>
        <v>#N/A</v>
      </c>
      <c r="E7989" t="str">
        <f t="shared" si="124"/>
        <v/>
      </c>
    </row>
    <row r="7990" spans="1:5" x14ac:dyDescent="0.2">
      <c r="A7990" t="s">
        <v>1448</v>
      </c>
      <c r="B7990" t="s">
        <v>1449</v>
      </c>
      <c r="C7990" t="s">
        <v>460</v>
      </c>
      <c r="D7990" t="e">
        <f>VLOOKUP(C7990,'lookup table'!$A$2:$B$19,2,FALSE)</f>
        <v>#N/A</v>
      </c>
      <c r="E7990" t="str">
        <f t="shared" si="124"/>
        <v/>
      </c>
    </row>
    <row r="7991" spans="1:5" x14ac:dyDescent="0.2">
      <c r="A7991" t="s">
        <v>1448</v>
      </c>
      <c r="B7991" t="s">
        <v>1449</v>
      </c>
      <c r="C7991" t="s">
        <v>461</v>
      </c>
      <c r="D7991" t="str">
        <f>VLOOKUP(C7991,'lookup table'!$A$2:$B$19,2,FALSE)</f>
        <v>Posting Level</v>
      </c>
      <c r="E7991" t="str">
        <f t="shared" si="124"/>
        <v>DZ3REX_00|Posting Level</v>
      </c>
    </row>
    <row r="7992" spans="1:5" x14ac:dyDescent="0.2">
      <c r="A7992" t="s">
        <v>1448</v>
      </c>
      <c r="B7992" t="s">
        <v>1449</v>
      </c>
      <c r="C7992" t="s">
        <v>462</v>
      </c>
      <c r="D7992" t="e">
        <f>VLOOKUP(C7992,'lookup table'!$A$2:$B$19,2,FALSE)</f>
        <v>#N/A</v>
      </c>
      <c r="E7992" t="str">
        <f t="shared" si="124"/>
        <v/>
      </c>
    </row>
    <row r="7993" spans="1:5" x14ac:dyDescent="0.2">
      <c r="A7993" t="s">
        <v>1448</v>
      </c>
      <c r="B7993" t="s">
        <v>1449</v>
      </c>
      <c r="C7993" t="s">
        <v>463</v>
      </c>
      <c r="D7993" t="e">
        <f>VLOOKUP(C7993,'lookup table'!$A$2:$B$19,2,FALSE)</f>
        <v>#N/A</v>
      </c>
      <c r="E7993" t="str">
        <f t="shared" si="124"/>
        <v/>
      </c>
    </row>
    <row r="7994" spans="1:5" x14ac:dyDescent="0.2">
      <c r="A7994" t="s">
        <v>1448</v>
      </c>
      <c r="B7994" t="s">
        <v>1449</v>
      </c>
      <c r="C7994" t="s">
        <v>464</v>
      </c>
      <c r="D7994" t="e">
        <f>VLOOKUP(C7994,'lookup table'!$A$2:$B$19,2,FALSE)</f>
        <v>#N/A</v>
      </c>
      <c r="E7994" t="str">
        <f t="shared" si="124"/>
        <v/>
      </c>
    </row>
    <row r="7995" spans="1:5" x14ac:dyDescent="0.2">
      <c r="A7995" t="s">
        <v>1448</v>
      </c>
      <c r="B7995" t="s">
        <v>1449</v>
      </c>
      <c r="C7995" t="s">
        <v>465</v>
      </c>
      <c r="D7995" t="e">
        <f>VLOOKUP(C7995,'lookup table'!$A$2:$B$19,2,FALSE)</f>
        <v>#N/A</v>
      </c>
      <c r="E7995" t="str">
        <f t="shared" si="124"/>
        <v/>
      </c>
    </row>
    <row r="7996" spans="1:5" x14ac:dyDescent="0.2">
      <c r="A7996" t="s">
        <v>1450</v>
      </c>
      <c r="B7996" t="s">
        <v>1451</v>
      </c>
      <c r="C7996" t="s">
        <v>2</v>
      </c>
      <c r="D7996" t="e">
        <f>VLOOKUP(C7996,'lookup table'!$A$2:$B$19,2,FALSE)</f>
        <v>#N/A</v>
      </c>
      <c r="E7996" t="str">
        <f t="shared" si="124"/>
        <v/>
      </c>
    </row>
    <row r="7997" spans="1:5" x14ac:dyDescent="0.2">
      <c r="A7997" t="s">
        <v>1450</v>
      </c>
      <c r="B7997" t="s">
        <v>1451</v>
      </c>
      <c r="C7997" t="s">
        <v>5</v>
      </c>
      <c r="D7997" t="e">
        <f>VLOOKUP(C7997,'lookup table'!$A$2:$B$19,2,FALSE)</f>
        <v>#N/A</v>
      </c>
      <c r="E7997" t="str">
        <f t="shared" si="124"/>
        <v/>
      </c>
    </row>
    <row r="7998" spans="1:5" x14ac:dyDescent="0.2">
      <c r="A7998" t="s">
        <v>1450</v>
      </c>
      <c r="B7998" t="s">
        <v>1451</v>
      </c>
      <c r="C7998" t="s">
        <v>6</v>
      </c>
      <c r="D7998" t="e">
        <f>VLOOKUP(C7998,'lookup table'!$A$2:$B$19,2,FALSE)</f>
        <v>#N/A</v>
      </c>
      <c r="E7998" t="str">
        <f t="shared" si="124"/>
        <v/>
      </c>
    </row>
    <row r="7999" spans="1:5" x14ac:dyDescent="0.2">
      <c r="A7999" t="s">
        <v>1450</v>
      </c>
      <c r="B7999" t="s">
        <v>1451</v>
      </c>
      <c r="C7999" t="s">
        <v>9</v>
      </c>
      <c r="D7999" t="e">
        <f>VLOOKUP(C7999,'lookup table'!$A$2:$B$19,2,FALSE)</f>
        <v>#N/A</v>
      </c>
      <c r="E7999" t="str">
        <f t="shared" si="124"/>
        <v/>
      </c>
    </row>
    <row r="8000" spans="1:5" x14ac:dyDescent="0.2">
      <c r="A8000" t="s">
        <v>1450</v>
      </c>
      <c r="B8000" t="s">
        <v>1451</v>
      </c>
      <c r="C8000" t="s">
        <v>10</v>
      </c>
      <c r="D8000" t="e">
        <f>VLOOKUP(C8000,'lookup table'!$A$2:$B$19,2,FALSE)</f>
        <v>#N/A</v>
      </c>
      <c r="E8000" t="str">
        <f t="shared" si="124"/>
        <v/>
      </c>
    </row>
    <row r="8001" spans="1:5" x14ac:dyDescent="0.2">
      <c r="A8001" t="s">
        <v>1450</v>
      </c>
      <c r="B8001" t="s">
        <v>1451</v>
      </c>
      <c r="C8001" t="s">
        <v>11</v>
      </c>
      <c r="D8001" t="e">
        <f>VLOOKUP(C8001,'lookup table'!$A$2:$B$19,2,FALSE)</f>
        <v>#N/A</v>
      </c>
      <c r="E8001" t="str">
        <f t="shared" si="124"/>
        <v/>
      </c>
    </row>
    <row r="8002" spans="1:5" x14ac:dyDescent="0.2">
      <c r="A8002" t="s">
        <v>1450</v>
      </c>
      <c r="B8002" t="s">
        <v>1451</v>
      </c>
      <c r="C8002" t="s">
        <v>12</v>
      </c>
      <c r="D8002" t="e">
        <f>VLOOKUP(C8002,'lookup table'!$A$2:$B$19,2,FALSE)</f>
        <v>#N/A</v>
      </c>
      <c r="E8002" t="str">
        <f t="shared" si="124"/>
        <v/>
      </c>
    </row>
    <row r="8003" spans="1:5" x14ac:dyDescent="0.2">
      <c r="A8003" t="s">
        <v>1450</v>
      </c>
      <c r="B8003" t="s">
        <v>1451</v>
      </c>
      <c r="C8003" t="s">
        <v>14</v>
      </c>
      <c r="D8003" t="str">
        <f>VLOOKUP(C8003,'lookup table'!$A$2:$B$19,2,FALSE)</f>
        <v>ALC</v>
      </c>
      <c r="E8003" t="str">
        <f t="shared" ref="E8003:E8066" si="125">IF(ISNA(D8003),"",IF(A8003="","",A8003) &amp; "|" &amp; D8003)</f>
        <v>DZ3TOM_00|ALC</v>
      </c>
    </row>
    <row r="8004" spans="1:5" x14ac:dyDescent="0.2">
      <c r="A8004" t="s">
        <v>1450</v>
      </c>
      <c r="B8004" t="s">
        <v>1451</v>
      </c>
      <c r="C8004" t="s">
        <v>20</v>
      </c>
      <c r="D8004" t="str">
        <f>VLOOKUP(C8004,'lookup table'!$A$2:$B$19,2,FALSE)</f>
        <v>AY</v>
      </c>
      <c r="E8004" t="str">
        <f t="shared" si="125"/>
        <v>DZ3TOM_00|AY</v>
      </c>
    </row>
    <row r="8005" spans="1:5" x14ac:dyDescent="0.2">
      <c r="A8005" t="s">
        <v>1450</v>
      </c>
      <c r="B8005" t="s">
        <v>1451</v>
      </c>
      <c r="C8005" t="s">
        <v>324</v>
      </c>
      <c r="D8005" t="e">
        <f>VLOOKUP(C8005,'lookup table'!$A$2:$B$19,2,FALSE)</f>
        <v>#N/A</v>
      </c>
      <c r="E8005" t="str">
        <f t="shared" si="125"/>
        <v/>
      </c>
    </row>
    <row r="8006" spans="1:5" x14ac:dyDescent="0.2">
      <c r="A8006" t="s">
        <v>1450</v>
      </c>
      <c r="B8006" t="s">
        <v>1451</v>
      </c>
      <c r="C8006" t="s">
        <v>325</v>
      </c>
      <c r="D8006" t="e">
        <f>VLOOKUP(C8006,'lookup table'!$A$2:$B$19,2,FALSE)</f>
        <v>#N/A</v>
      </c>
      <c r="E8006" t="str">
        <f t="shared" si="125"/>
        <v/>
      </c>
    </row>
    <row r="8007" spans="1:5" x14ac:dyDescent="0.2">
      <c r="A8007" t="s">
        <v>1450</v>
      </c>
      <c r="B8007" t="s">
        <v>1451</v>
      </c>
      <c r="C8007" t="s">
        <v>326</v>
      </c>
      <c r="D8007" t="e">
        <f>VLOOKUP(C8007,'lookup table'!$A$2:$B$19,2,FALSE)</f>
        <v>#N/A</v>
      </c>
      <c r="E8007" t="str">
        <f t="shared" si="125"/>
        <v/>
      </c>
    </row>
    <row r="8008" spans="1:5" x14ac:dyDescent="0.2">
      <c r="A8008" t="s">
        <v>1450</v>
      </c>
      <c r="B8008" t="s">
        <v>1451</v>
      </c>
      <c r="C8008" t="s">
        <v>327</v>
      </c>
      <c r="D8008" t="e">
        <f>VLOOKUP(C8008,'lookup table'!$A$2:$B$19,2,FALSE)</f>
        <v>#N/A</v>
      </c>
      <c r="E8008" t="str">
        <f t="shared" si="125"/>
        <v/>
      </c>
    </row>
    <row r="8009" spans="1:5" x14ac:dyDescent="0.2">
      <c r="A8009" t="s">
        <v>1450</v>
      </c>
      <c r="B8009" t="s">
        <v>1451</v>
      </c>
      <c r="C8009" t="s">
        <v>328</v>
      </c>
      <c r="D8009" t="e">
        <f>VLOOKUP(C8009,'lookup table'!$A$2:$B$19,2,FALSE)</f>
        <v>#N/A</v>
      </c>
      <c r="E8009" t="str">
        <f t="shared" si="125"/>
        <v/>
      </c>
    </row>
    <row r="8010" spans="1:5" x14ac:dyDescent="0.2">
      <c r="A8010" t="s">
        <v>1450</v>
      </c>
      <c r="B8010" t="s">
        <v>1451</v>
      </c>
      <c r="C8010" t="s">
        <v>329</v>
      </c>
      <c r="D8010" t="e">
        <f>VLOOKUP(C8010,'lookup table'!$A$2:$B$19,2,FALSE)</f>
        <v>#N/A</v>
      </c>
      <c r="E8010" t="str">
        <f t="shared" si="125"/>
        <v/>
      </c>
    </row>
    <row r="8011" spans="1:5" x14ac:dyDescent="0.2">
      <c r="A8011" t="s">
        <v>1450</v>
      </c>
      <c r="B8011" t="s">
        <v>1451</v>
      </c>
      <c r="C8011" t="s">
        <v>331</v>
      </c>
      <c r="D8011" t="str">
        <f>VLOOKUP(C8011,'lookup table'!$A$2:$B$19,2,FALSE)</f>
        <v>FS Item</v>
      </c>
      <c r="E8011" t="str">
        <f t="shared" si="125"/>
        <v>DZ3TOM_00|FS Item</v>
      </c>
    </row>
    <row r="8012" spans="1:5" x14ac:dyDescent="0.2">
      <c r="A8012" t="s">
        <v>1450</v>
      </c>
      <c r="B8012" t="s">
        <v>1451</v>
      </c>
      <c r="C8012" t="s">
        <v>422</v>
      </c>
      <c r="D8012" t="e">
        <f>VLOOKUP(C8012,'lookup table'!$A$2:$B$19,2,FALSE)</f>
        <v>#N/A</v>
      </c>
      <c r="E8012" t="str">
        <f t="shared" si="125"/>
        <v/>
      </c>
    </row>
    <row r="8013" spans="1:5" x14ac:dyDescent="0.2">
      <c r="A8013" t="s">
        <v>1450</v>
      </c>
      <c r="B8013" t="s">
        <v>1451</v>
      </c>
      <c r="C8013" t="s">
        <v>423</v>
      </c>
      <c r="D8013" t="str">
        <f>VLOOKUP(C8013,'lookup table'!$A$2:$B$19,2,FALSE)</f>
        <v>ignore</v>
      </c>
      <c r="E8013" t="str">
        <f t="shared" si="125"/>
        <v>DZ3TOM_00|ignore</v>
      </c>
    </row>
    <row r="8014" spans="1:5" x14ac:dyDescent="0.2">
      <c r="A8014" t="s">
        <v>1450</v>
      </c>
      <c r="B8014" t="s">
        <v>1451</v>
      </c>
      <c r="C8014" t="s">
        <v>424</v>
      </c>
      <c r="D8014" t="str">
        <f>VLOOKUP(C8014,'lookup table'!$A$2:$B$19,2,FALSE)</f>
        <v>GRC</v>
      </c>
      <c r="E8014" t="str">
        <f t="shared" si="125"/>
        <v>DZ3TOM_00|GRC</v>
      </c>
    </row>
    <row r="8015" spans="1:5" x14ac:dyDescent="0.2">
      <c r="A8015" t="s">
        <v>1450</v>
      </c>
      <c r="B8015" t="s">
        <v>1451</v>
      </c>
      <c r="C8015" t="s">
        <v>425</v>
      </c>
      <c r="D8015" t="str">
        <f>VLOOKUP(C8015,'lookup table'!$A$2:$B$19,2,FALSE)</f>
        <v>Investee Segment</v>
      </c>
      <c r="E8015" t="str">
        <f t="shared" si="125"/>
        <v>DZ3TOM_00|Investee Segment</v>
      </c>
    </row>
    <row r="8016" spans="1:5" x14ac:dyDescent="0.2">
      <c r="A8016" t="s">
        <v>1450</v>
      </c>
      <c r="B8016" t="s">
        <v>1451</v>
      </c>
      <c r="C8016" t="s">
        <v>426</v>
      </c>
      <c r="D8016" t="str">
        <f>VLOOKUP(C8016,'lookup table'!$A$2:$B$19,2,FALSE)</f>
        <v>Investee Unit</v>
      </c>
      <c r="E8016" t="str">
        <f t="shared" si="125"/>
        <v>DZ3TOM_00|Investee Unit</v>
      </c>
    </row>
    <row r="8017" spans="1:5" x14ac:dyDescent="0.2">
      <c r="A8017" t="s">
        <v>1450</v>
      </c>
      <c r="B8017" t="s">
        <v>1451</v>
      </c>
      <c r="C8017" t="s">
        <v>428</v>
      </c>
      <c r="D8017" t="str">
        <f>VLOOKUP(C8017,'lookup table'!$A$2:$B$19,2,FALSE)</f>
        <v>LoB</v>
      </c>
      <c r="E8017" t="str">
        <f t="shared" si="125"/>
        <v>DZ3TOM_00|LoB</v>
      </c>
    </row>
    <row r="8018" spans="1:5" x14ac:dyDescent="0.2">
      <c r="A8018" t="s">
        <v>1450</v>
      </c>
      <c r="B8018" t="s">
        <v>1451</v>
      </c>
      <c r="C8018" t="s">
        <v>436</v>
      </c>
      <c r="D8018" t="str">
        <f>VLOOKUP(C8018,'lookup table'!$A$2:$B$19,2,FALSE)</f>
        <v>MAT</v>
      </c>
      <c r="E8018" t="str">
        <f t="shared" si="125"/>
        <v>DZ3TOM_00|MAT</v>
      </c>
    </row>
    <row r="8019" spans="1:5" x14ac:dyDescent="0.2">
      <c r="A8019" t="s">
        <v>1450</v>
      </c>
      <c r="B8019" t="s">
        <v>1451</v>
      </c>
      <c r="C8019" t="s">
        <v>438</v>
      </c>
      <c r="D8019" t="str">
        <f>VLOOKUP(C8019,'lookup table'!$A$2:$B$19,2,FALSE)</f>
        <v>ToM</v>
      </c>
      <c r="E8019" t="str">
        <f t="shared" si="125"/>
        <v>DZ3TOM_00|ToM</v>
      </c>
    </row>
    <row r="8020" spans="1:5" x14ac:dyDescent="0.2">
      <c r="A8020" t="s">
        <v>1450</v>
      </c>
      <c r="B8020" t="s">
        <v>1451</v>
      </c>
      <c r="C8020" t="s">
        <v>441</v>
      </c>
      <c r="D8020" t="str">
        <f>VLOOKUP(C8020,'lookup table'!$A$2:$B$19,2,FALSE)</f>
        <v>Partner Segment</v>
      </c>
      <c r="E8020" t="str">
        <f t="shared" si="125"/>
        <v>DZ3TOM_00|Partner Segment</v>
      </c>
    </row>
    <row r="8021" spans="1:5" x14ac:dyDescent="0.2">
      <c r="A8021" t="s">
        <v>1450</v>
      </c>
      <c r="B8021" t="s">
        <v>1451</v>
      </c>
      <c r="C8021" t="s">
        <v>442</v>
      </c>
      <c r="D8021" t="str">
        <f>VLOOKUP(C8021,'lookup table'!$A$2:$B$19,2,FALSE)</f>
        <v>Partner Unit</v>
      </c>
      <c r="E8021" t="str">
        <f t="shared" si="125"/>
        <v>DZ3TOM_00|Partner Unit</v>
      </c>
    </row>
    <row r="8022" spans="1:5" x14ac:dyDescent="0.2">
      <c r="A8022" t="s">
        <v>1450</v>
      </c>
      <c r="B8022" t="s">
        <v>1451</v>
      </c>
      <c r="C8022" t="s">
        <v>447</v>
      </c>
      <c r="D8022" t="str">
        <f>VLOOKUP(C8022,'lookup table'!$A$2:$B$19,2,FALSE)</f>
        <v>REX</v>
      </c>
      <c r="E8022" t="str">
        <f t="shared" si="125"/>
        <v>DZ3TOM_00|REX</v>
      </c>
    </row>
    <row r="8023" spans="1:5" x14ac:dyDescent="0.2">
      <c r="A8023" t="s">
        <v>1450</v>
      </c>
      <c r="B8023" t="s">
        <v>1451</v>
      </c>
      <c r="C8023" t="s">
        <v>448</v>
      </c>
      <c r="D8023" t="e">
        <f>VLOOKUP(C8023,'lookup table'!$A$2:$B$19,2,FALSE)</f>
        <v>#N/A</v>
      </c>
      <c r="E8023" t="str">
        <f t="shared" si="125"/>
        <v/>
      </c>
    </row>
    <row r="8024" spans="1:5" x14ac:dyDescent="0.2">
      <c r="A8024" t="s">
        <v>1450</v>
      </c>
      <c r="B8024" t="s">
        <v>1451</v>
      </c>
      <c r="C8024" t="s">
        <v>449</v>
      </c>
      <c r="D8024" t="e">
        <f>VLOOKUP(C8024,'lookup table'!$A$2:$B$19,2,FALSE)</f>
        <v>#N/A</v>
      </c>
      <c r="E8024" t="str">
        <f t="shared" si="125"/>
        <v/>
      </c>
    </row>
    <row r="8025" spans="1:5" x14ac:dyDescent="0.2">
      <c r="A8025" t="s">
        <v>1450</v>
      </c>
      <c r="B8025" t="s">
        <v>1451</v>
      </c>
      <c r="C8025" t="s">
        <v>451</v>
      </c>
      <c r="D8025" t="str">
        <f>VLOOKUP(C8025,'lookup table'!$A$2:$B$19,2,FALSE)</f>
        <v>Segment</v>
      </c>
      <c r="E8025" t="str">
        <f t="shared" si="125"/>
        <v>DZ3TOM_00|Segment</v>
      </c>
    </row>
    <row r="8026" spans="1:5" x14ac:dyDescent="0.2">
      <c r="A8026" t="s">
        <v>1450</v>
      </c>
      <c r="B8026" t="s">
        <v>1451</v>
      </c>
      <c r="C8026" t="s">
        <v>455</v>
      </c>
      <c r="D8026" t="e">
        <f>VLOOKUP(C8026,'lookup table'!$A$2:$B$19,2,FALSE)</f>
        <v>#N/A</v>
      </c>
      <c r="E8026" t="str">
        <f t="shared" si="125"/>
        <v/>
      </c>
    </row>
    <row r="8027" spans="1:5" x14ac:dyDescent="0.2">
      <c r="A8027" t="s">
        <v>1450</v>
      </c>
      <c r="B8027" t="s">
        <v>1451</v>
      </c>
      <c r="C8027" t="s">
        <v>456</v>
      </c>
      <c r="D8027" t="e">
        <f>VLOOKUP(C8027,'lookup table'!$A$2:$B$19,2,FALSE)</f>
        <v>#N/A</v>
      </c>
      <c r="E8027" t="str">
        <f t="shared" si="125"/>
        <v/>
      </c>
    </row>
    <row r="8028" spans="1:5" x14ac:dyDescent="0.2">
      <c r="A8028" t="s">
        <v>1450</v>
      </c>
      <c r="B8028" t="s">
        <v>1451</v>
      </c>
      <c r="C8028" t="s">
        <v>457</v>
      </c>
      <c r="D8028" t="str">
        <f>VLOOKUP(C8028,'lookup table'!$A$2:$B$19,2,FALSE)</f>
        <v>VLT</v>
      </c>
      <c r="E8028" t="str">
        <f t="shared" si="125"/>
        <v>DZ3TOM_00|VLT</v>
      </c>
    </row>
    <row r="8029" spans="1:5" x14ac:dyDescent="0.2">
      <c r="A8029" t="s">
        <v>1450</v>
      </c>
      <c r="B8029" t="s">
        <v>1451</v>
      </c>
      <c r="C8029" t="s">
        <v>458</v>
      </c>
      <c r="D8029" t="str">
        <f>VLOOKUP(C8029,'lookup table'!$A$2:$B$19,2,FALSE)</f>
        <v>VAR</v>
      </c>
      <c r="E8029" t="str">
        <f t="shared" si="125"/>
        <v>DZ3TOM_00|VAR</v>
      </c>
    </row>
    <row r="8030" spans="1:5" x14ac:dyDescent="0.2">
      <c r="A8030" t="s">
        <v>1450</v>
      </c>
      <c r="B8030" t="s">
        <v>1451</v>
      </c>
      <c r="C8030" t="s">
        <v>459</v>
      </c>
      <c r="D8030" t="e">
        <f>VLOOKUP(C8030,'lookup table'!$A$2:$B$19,2,FALSE)</f>
        <v>#N/A</v>
      </c>
      <c r="E8030" t="str">
        <f t="shared" si="125"/>
        <v/>
      </c>
    </row>
    <row r="8031" spans="1:5" x14ac:dyDescent="0.2">
      <c r="A8031" t="s">
        <v>1450</v>
      </c>
      <c r="B8031" t="s">
        <v>1451</v>
      </c>
      <c r="C8031" t="s">
        <v>460</v>
      </c>
      <c r="D8031" t="e">
        <f>VLOOKUP(C8031,'lookup table'!$A$2:$B$19,2,FALSE)</f>
        <v>#N/A</v>
      </c>
      <c r="E8031" t="str">
        <f t="shared" si="125"/>
        <v/>
      </c>
    </row>
    <row r="8032" spans="1:5" x14ac:dyDescent="0.2">
      <c r="A8032" t="s">
        <v>1450</v>
      </c>
      <c r="B8032" t="s">
        <v>1451</v>
      </c>
      <c r="C8032" t="s">
        <v>461</v>
      </c>
      <c r="D8032" t="str">
        <f>VLOOKUP(C8032,'lookup table'!$A$2:$B$19,2,FALSE)</f>
        <v>Posting Level</v>
      </c>
      <c r="E8032" t="str">
        <f t="shared" si="125"/>
        <v>DZ3TOM_00|Posting Level</v>
      </c>
    </row>
    <row r="8033" spans="1:5" x14ac:dyDescent="0.2">
      <c r="A8033" t="s">
        <v>1450</v>
      </c>
      <c r="B8033" t="s">
        <v>1451</v>
      </c>
      <c r="C8033" t="s">
        <v>462</v>
      </c>
      <c r="D8033" t="e">
        <f>VLOOKUP(C8033,'lookup table'!$A$2:$B$19,2,FALSE)</f>
        <v>#N/A</v>
      </c>
      <c r="E8033" t="str">
        <f t="shared" si="125"/>
        <v/>
      </c>
    </row>
    <row r="8034" spans="1:5" x14ac:dyDescent="0.2">
      <c r="A8034" t="s">
        <v>1450</v>
      </c>
      <c r="B8034" t="s">
        <v>1451</v>
      </c>
      <c r="C8034" t="s">
        <v>463</v>
      </c>
      <c r="D8034" t="e">
        <f>VLOOKUP(C8034,'lookup table'!$A$2:$B$19,2,FALSE)</f>
        <v>#N/A</v>
      </c>
      <c r="E8034" t="str">
        <f t="shared" si="125"/>
        <v/>
      </c>
    </row>
    <row r="8035" spans="1:5" x14ac:dyDescent="0.2">
      <c r="A8035" t="s">
        <v>1450</v>
      </c>
      <c r="B8035" t="s">
        <v>1451</v>
      </c>
      <c r="C8035" t="s">
        <v>464</v>
      </c>
      <c r="D8035" t="e">
        <f>VLOOKUP(C8035,'lookup table'!$A$2:$B$19,2,FALSE)</f>
        <v>#N/A</v>
      </c>
      <c r="E8035" t="str">
        <f t="shared" si="125"/>
        <v/>
      </c>
    </row>
    <row r="8036" spans="1:5" x14ac:dyDescent="0.2">
      <c r="A8036" t="s">
        <v>1450</v>
      </c>
      <c r="B8036" t="s">
        <v>1451</v>
      </c>
      <c r="C8036" t="s">
        <v>465</v>
      </c>
      <c r="D8036" t="e">
        <f>VLOOKUP(C8036,'lookup table'!$A$2:$B$19,2,FALSE)</f>
        <v>#N/A</v>
      </c>
      <c r="E8036" t="str">
        <f t="shared" si="125"/>
        <v/>
      </c>
    </row>
    <row r="8037" spans="1:5" x14ac:dyDescent="0.2">
      <c r="A8037" t="s">
        <v>1452</v>
      </c>
      <c r="B8037" t="s">
        <v>1453</v>
      </c>
      <c r="C8037" t="s">
        <v>2</v>
      </c>
      <c r="D8037" t="e">
        <f>VLOOKUP(C8037,'lookup table'!$A$2:$B$19,2,FALSE)</f>
        <v>#N/A</v>
      </c>
      <c r="E8037" t="str">
        <f t="shared" si="125"/>
        <v/>
      </c>
    </row>
    <row r="8038" spans="1:5" x14ac:dyDescent="0.2">
      <c r="A8038" t="s">
        <v>1452</v>
      </c>
      <c r="B8038" t="s">
        <v>1453</v>
      </c>
      <c r="C8038" t="s">
        <v>5</v>
      </c>
      <c r="D8038" t="e">
        <f>VLOOKUP(C8038,'lookup table'!$A$2:$B$19,2,FALSE)</f>
        <v>#N/A</v>
      </c>
      <c r="E8038" t="str">
        <f t="shared" si="125"/>
        <v/>
      </c>
    </row>
    <row r="8039" spans="1:5" x14ac:dyDescent="0.2">
      <c r="A8039" t="s">
        <v>1452</v>
      </c>
      <c r="B8039" t="s">
        <v>1453</v>
      </c>
      <c r="C8039" t="s">
        <v>6</v>
      </c>
      <c r="D8039" t="e">
        <f>VLOOKUP(C8039,'lookup table'!$A$2:$B$19,2,FALSE)</f>
        <v>#N/A</v>
      </c>
      <c r="E8039" t="str">
        <f t="shared" si="125"/>
        <v/>
      </c>
    </row>
    <row r="8040" spans="1:5" x14ac:dyDescent="0.2">
      <c r="A8040" t="s">
        <v>1452</v>
      </c>
      <c r="B8040" t="s">
        <v>1453</v>
      </c>
      <c r="C8040" t="s">
        <v>9</v>
      </c>
      <c r="D8040" t="e">
        <f>VLOOKUP(C8040,'lookup table'!$A$2:$B$19,2,FALSE)</f>
        <v>#N/A</v>
      </c>
      <c r="E8040" t="str">
        <f t="shared" si="125"/>
        <v/>
      </c>
    </row>
    <row r="8041" spans="1:5" x14ac:dyDescent="0.2">
      <c r="A8041" t="s">
        <v>1452</v>
      </c>
      <c r="B8041" t="s">
        <v>1453</v>
      </c>
      <c r="C8041" t="s">
        <v>10</v>
      </c>
      <c r="D8041" t="e">
        <f>VLOOKUP(C8041,'lookup table'!$A$2:$B$19,2,FALSE)</f>
        <v>#N/A</v>
      </c>
      <c r="E8041" t="str">
        <f t="shared" si="125"/>
        <v/>
      </c>
    </row>
    <row r="8042" spans="1:5" x14ac:dyDescent="0.2">
      <c r="A8042" t="s">
        <v>1452</v>
      </c>
      <c r="B8042" t="s">
        <v>1453</v>
      </c>
      <c r="C8042" t="s">
        <v>11</v>
      </c>
      <c r="D8042" t="e">
        <f>VLOOKUP(C8042,'lookup table'!$A$2:$B$19,2,FALSE)</f>
        <v>#N/A</v>
      </c>
      <c r="E8042" t="str">
        <f t="shared" si="125"/>
        <v/>
      </c>
    </row>
    <row r="8043" spans="1:5" x14ac:dyDescent="0.2">
      <c r="A8043" t="s">
        <v>1452</v>
      </c>
      <c r="B8043" t="s">
        <v>1453</v>
      </c>
      <c r="C8043" t="s">
        <v>12</v>
      </c>
      <c r="D8043" t="e">
        <f>VLOOKUP(C8043,'lookup table'!$A$2:$B$19,2,FALSE)</f>
        <v>#N/A</v>
      </c>
      <c r="E8043" t="str">
        <f t="shared" si="125"/>
        <v/>
      </c>
    </row>
    <row r="8044" spans="1:5" x14ac:dyDescent="0.2">
      <c r="A8044" t="s">
        <v>1452</v>
      </c>
      <c r="B8044" t="s">
        <v>1453</v>
      </c>
      <c r="C8044" t="s">
        <v>14</v>
      </c>
      <c r="D8044" t="str">
        <f>VLOOKUP(C8044,'lookup table'!$A$2:$B$19,2,FALSE)</f>
        <v>ALC</v>
      </c>
      <c r="E8044" t="str">
        <f t="shared" si="125"/>
        <v>DZ3VAR_00|ALC</v>
      </c>
    </row>
    <row r="8045" spans="1:5" x14ac:dyDescent="0.2">
      <c r="A8045" t="s">
        <v>1452</v>
      </c>
      <c r="B8045" t="s">
        <v>1453</v>
      </c>
      <c r="C8045" t="s">
        <v>20</v>
      </c>
      <c r="D8045" t="str">
        <f>VLOOKUP(C8045,'lookup table'!$A$2:$B$19,2,FALSE)</f>
        <v>AY</v>
      </c>
      <c r="E8045" t="str">
        <f t="shared" si="125"/>
        <v>DZ3VAR_00|AY</v>
      </c>
    </row>
    <row r="8046" spans="1:5" x14ac:dyDescent="0.2">
      <c r="A8046" t="s">
        <v>1452</v>
      </c>
      <c r="B8046" t="s">
        <v>1453</v>
      </c>
      <c r="C8046" t="s">
        <v>324</v>
      </c>
      <c r="D8046" t="e">
        <f>VLOOKUP(C8046,'lookup table'!$A$2:$B$19,2,FALSE)</f>
        <v>#N/A</v>
      </c>
      <c r="E8046" t="str">
        <f t="shared" si="125"/>
        <v/>
      </c>
    </row>
    <row r="8047" spans="1:5" x14ac:dyDescent="0.2">
      <c r="A8047" t="s">
        <v>1452</v>
      </c>
      <c r="B8047" t="s">
        <v>1453</v>
      </c>
      <c r="C8047" t="s">
        <v>325</v>
      </c>
      <c r="D8047" t="e">
        <f>VLOOKUP(C8047,'lookup table'!$A$2:$B$19,2,FALSE)</f>
        <v>#N/A</v>
      </c>
      <c r="E8047" t="str">
        <f t="shared" si="125"/>
        <v/>
      </c>
    </row>
    <row r="8048" spans="1:5" x14ac:dyDescent="0.2">
      <c r="A8048" t="s">
        <v>1452</v>
      </c>
      <c r="B8048" t="s">
        <v>1453</v>
      </c>
      <c r="C8048" t="s">
        <v>326</v>
      </c>
      <c r="D8048" t="e">
        <f>VLOOKUP(C8048,'lookup table'!$A$2:$B$19,2,FALSE)</f>
        <v>#N/A</v>
      </c>
      <c r="E8048" t="str">
        <f t="shared" si="125"/>
        <v/>
      </c>
    </row>
    <row r="8049" spans="1:5" x14ac:dyDescent="0.2">
      <c r="A8049" t="s">
        <v>1452</v>
      </c>
      <c r="B8049" t="s">
        <v>1453</v>
      </c>
      <c r="C8049" t="s">
        <v>327</v>
      </c>
      <c r="D8049" t="e">
        <f>VLOOKUP(C8049,'lookup table'!$A$2:$B$19,2,FALSE)</f>
        <v>#N/A</v>
      </c>
      <c r="E8049" t="str">
        <f t="shared" si="125"/>
        <v/>
      </c>
    </row>
    <row r="8050" spans="1:5" x14ac:dyDescent="0.2">
      <c r="A8050" t="s">
        <v>1452</v>
      </c>
      <c r="B8050" t="s">
        <v>1453</v>
      </c>
      <c r="C8050" t="s">
        <v>328</v>
      </c>
      <c r="D8050" t="e">
        <f>VLOOKUP(C8050,'lookup table'!$A$2:$B$19,2,FALSE)</f>
        <v>#N/A</v>
      </c>
      <c r="E8050" t="str">
        <f t="shared" si="125"/>
        <v/>
      </c>
    </row>
    <row r="8051" spans="1:5" x14ac:dyDescent="0.2">
      <c r="A8051" t="s">
        <v>1452</v>
      </c>
      <c r="B8051" t="s">
        <v>1453</v>
      </c>
      <c r="C8051" t="s">
        <v>329</v>
      </c>
      <c r="D8051" t="e">
        <f>VLOOKUP(C8051,'lookup table'!$A$2:$B$19,2,FALSE)</f>
        <v>#N/A</v>
      </c>
      <c r="E8051" t="str">
        <f t="shared" si="125"/>
        <v/>
      </c>
    </row>
    <row r="8052" spans="1:5" x14ac:dyDescent="0.2">
      <c r="A8052" t="s">
        <v>1452</v>
      </c>
      <c r="B8052" t="s">
        <v>1453</v>
      </c>
      <c r="C8052" t="s">
        <v>331</v>
      </c>
      <c r="D8052" t="str">
        <f>VLOOKUP(C8052,'lookup table'!$A$2:$B$19,2,FALSE)</f>
        <v>FS Item</v>
      </c>
      <c r="E8052" t="str">
        <f t="shared" si="125"/>
        <v>DZ3VAR_00|FS Item</v>
      </c>
    </row>
    <row r="8053" spans="1:5" x14ac:dyDescent="0.2">
      <c r="A8053" t="s">
        <v>1452</v>
      </c>
      <c r="B8053" t="s">
        <v>1453</v>
      </c>
      <c r="C8053" t="s">
        <v>422</v>
      </c>
      <c r="D8053" t="e">
        <f>VLOOKUP(C8053,'lookup table'!$A$2:$B$19,2,FALSE)</f>
        <v>#N/A</v>
      </c>
      <c r="E8053" t="str">
        <f t="shared" si="125"/>
        <v/>
      </c>
    </row>
    <row r="8054" spans="1:5" x14ac:dyDescent="0.2">
      <c r="A8054" t="s">
        <v>1452</v>
      </c>
      <c r="B8054" t="s">
        <v>1453</v>
      </c>
      <c r="C8054" t="s">
        <v>423</v>
      </c>
      <c r="D8054" t="str">
        <f>VLOOKUP(C8054,'lookup table'!$A$2:$B$19,2,FALSE)</f>
        <v>ignore</v>
      </c>
      <c r="E8054" t="str">
        <f t="shared" si="125"/>
        <v>DZ3VAR_00|ignore</v>
      </c>
    </row>
    <row r="8055" spans="1:5" x14ac:dyDescent="0.2">
      <c r="A8055" t="s">
        <v>1452</v>
      </c>
      <c r="B8055" t="s">
        <v>1453</v>
      </c>
      <c r="C8055" t="s">
        <v>424</v>
      </c>
      <c r="D8055" t="str">
        <f>VLOOKUP(C8055,'lookup table'!$A$2:$B$19,2,FALSE)</f>
        <v>GRC</v>
      </c>
      <c r="E8055" t="str">
        <f t="shared" si="125"/>
        <v>DZ3VAR_00|GRC</v>
      </c>
    </row>
    <row r="8056" spans="1:5" x14ac:dyDescent="0.2">
      <c r="A8056" t="s">
        <v>1452</v>
      </c>
      <c r="B8056" t="s">
        <v>1453</v>
      </c>
      <c r="C8056" t="s">
        <v>425</v>
      </c>
      <c r="D8056" t="str">
        <f>VLOOKUP(C8056,'lookup table'!$A$2:$B$19,2,FALSE)</f>
        <v>Investee Segment</v>
      </c>
      <c r="E8056" t="str">
        <f t="shared" si="125"/>
        <v>DZ3VAR_00|Investee Segment</v>
      </c>
    </row>
    <row r="8057" spans="1:5" x14ac:dyDescent="0.2">
      <c r="A8057" t="s">
        <v>1452</v>
      </c>
      <c r="B8057" t="s">
        <v>1453</v>
      </c>
      <c r="C8057" t="s">
        <v>426</v>
      </c>
      <c r="D8057" t="str">
        <f>VLOOKUP(C8057,'lookup table'!$A$2:$B$19,2,FALSE)</f>
        <v>Investee Unit</v>
      </c>
      <c r="E8057" t="str">
        <f t="shared" si="125"/>
        <v>DZ3VAR_00|Investee Unit</v>
      </c>
    </row>
    <row r="8058" spans="1:5" x14ac:dyDescent="0.2">
      <c r="A8058" t="s">
        <v>1452</v>
      </c>
      <c r="B8058" t="s">
        <v>1453</v>
      </c>
      <c r="C8058" t="s">
        <v>428</v>
      </c>
      <c r="D8058" t="str">
        <f>VLOOKUP(C8058,'lookup table'!$A$2:$B$19,2,FALSE)</f>
        <v>LoB</v>
      </c>
      <c r="E8058" t="str">
        <f t="shared" si="125"/>
        <v>DZ3VAR_00|LoB</v>
      </c>
    </row>
    <row r="8059" spans="1:5" x14ac:dyDescent="0.2">
      <c r="A8059" t="s">
        <v>1452</v>
      </c>
      <c r="B8059" t="s">
        <v>1453</v>
      </c>
      <c r="C8059" t="s">
        <v>436</v>
      </c>
      <c r="D8059" t="str">
        <f>VLOOKUP(C8059,'lookup table'!$A$2:$B$19,2,FALSE)</f>
        <v>MAT</v>
      </c>
      <c r="E8059" t="str">
        <f t="shared" si="125"/>
        <v>DZ3VAR_00|MAT</v>
      </c>
    </row>
    <row r="8060" spans="1:5" x14ac:dyDescent="0.2">
      <c r="A8060" t="s">
        <v>1452</v>
      </c>
      <c r="B8060" t="s">
        <v>1453</v>
      </c>
      <c r="C8060" t="s">
        <v>438</v>
      </c>
      <c r="D8060" t="str">
        <f>VLOOKUP(C8060,'lookup table'!$A$2:$B$19,2,FALSE)</f>
        <v>ToM</v>
      </c>
      <c r="E8060" t="str">
        <f t="shared" si="125"/>
        <v>DZ3VAR_00|ToM</v>
      </c>
    </row>
    <row r="8061" spans="1:5" x14ac:dyDescent="0.2">
      <c r="A8061" t="s">
        <v>1452</v>
      </c>
      <c r="B8061" t="s">
        <v>1453</v>
      </c>
      <c r="C8061" t="s">
        <v>441</v>
      </c>
      <c r="D8061" t="str">
        <f>VLOOKUP(C8061,'lookup table'!$A$2:$B$19,2,FALSE)</f>
        <v>Partner Segment</v>
      </c>
      <c r="E8061" t="str">
        <f t="shared" si="125"/>
        <v>DZ3VAR_00|Partner Segment</v>
      </c>
    </row>
    <row r="8062" spans="1:5" x14ac:dyDescent="0.2">
      <c r="A8062" t="s">
        <v>1452</v>
      </c>
      <c r="B8062" t="s">
        <v>1453</v>
      </c>
      <c r="C8062" t="s">
        <v>442</v>
      </c>
      <c r="D8062" t="str">
        <f>VLOOKUP(C8062,'lookup table'!$A$2:$B$19,2,FALSE)</f>
        <v>Partner Unit</v>
      </c>
      <c r="E8062" t="str">
        <f t="shared" si="125"/>
        <v>DZ3VAR_00|Partner Unit</v>
      </c>
    </row>
    <row r="8063" spans="1:5" x14ac:dyDescent="0.2">
      <c r="A8063" t="s">
        <v>1452</v>
      </c>
      <c r="B8063" t="s">
        <v>1453</v>
      </c>
      <c r="C8063" t="s">
        <v>447</v>
      </c>
      <c r="D8063" t="str">
        <f>VLOOKUP(C8063,'lookup table'!$A$2:$B$19,2,FALSE)</f>
        <v>REX</v>
      </c>
      <c r="E8063" t="str">
        <f t="shared" si="125"/>
        <v>DZ3VAR_00|REX</v>
      </c>
    </row>
    <row r="8064" spans="1:5" x14ac:dyDescent="0.2">
      <c r="A8064" t="s">
        <v>1452</v>
      </c>
      <c r="B8064" t="s">
        <v>1453</v>
      </c>
      <c r="C8064" t="s">
        <v>448</v>
      </c>
      <c r="D8064" t="e">
        <f>VLOOKUP(C8064,'lookup table'!$A$2:$B$19,2,FALSE)</f>
        <v>#N/A</v>
      </c>
      <c r="E8064" t="str">
        <f t="shared" si="125"/>
        <v/>
      </c>
    </row>
    <row r="8065" spans="1:5" x14ac:dyDescent="0.2">
      <c r="A8065" t="s">
        <v>1452</v>
      </c>
      <c r="B8065" t="s">
        <v>1453</v>
      </c>
      <c r="C8065" t="s">
        <v>449</v>
      </c>
      <c r="D8065" t="e">
        <f>VLOOKUP(C8065,'lookup table'!$A$2:$B$19,2,FALSE)</f>
        <v>#N/A</v>
      </c>
      <c r="E8065" t="str">
        <f t="shared" si="125"/>
        <v/>
      </c>
    </row>
    <row r="8066" spans="1:5" x14ac:dyDescent="0.2">
      <c r="A8066" t="s">
        <v>1452</v>
      </c>
      <c r="B8066" t="s">
        <v>1453</v>
      </c>
      <c r="C8066" t="s">
        <v>451</v>
      </c>
      <c r="D8066" t="str">
        <f>VLOOKUP(C8066,'lookup table'!$A$2:$B$19,2,FALSE)</f>
        <v>Segment</v>
      </c>
      <c r="E8066" t="str">
        <f t="shared" si="125"/>
        <v>DZ3VAR_00|Segment</v>
      </c>
    </row>
    <row r="8067" spans="1:5" x14ac:dyDescent="0.2">
      <c r="A8067" t="s">
        <v>1452</v>
      </c>
      <c r="B8067" t="s">
        <v>1453</v>
      </c>
      <c r="C8067" t="s">
        <v>455</v>
      </c>
      <c r="D8067" t="e">
        <f>VLOOKUP(C8067,'lookup table'!$A$2:$B$19,2,FALSE)</f>
        <v>#N/A</v>
      </c>
      <c r="E8067" t="str">
        <f t="shared" ref="E8067:E8130" si="126">IF(ISNA(D8067),"",IF(A8067="","",A8067) &amp; "|" &amp; D8067)</f>
        <v/>
      </c>
    </row>
    <row r="8068" spans="1:5" x14ac:dyDescent="0.2">
      <c r="A8068" t="s">
        <v>1452</v>
      </c>
      <c r="B8068" t="s">
        <v>1453</v>
      </c>
      <c r="C8068" t="s">
        <v>456</v>
      </c>
      <c r="D8068" t="e">
        <f>VLOOKUP(C8068,'lookup table'!$A$2:$B$19,2,FALSE)</f>
        <v>#N/A</v>
      </c>
      <c r="E8068" t="str">
        <f t="shared" si="126"/>
        <v/>
      </c>
    </row>
    <row r="8069" spans="1:5" x14ac:dyDescent="0.2">
      <c r="A8069" t="s">
        <v>1452</v>
      </c>
      <c r="B8069" t="s">
        <v>1453</v>
      </c>
      <c r="C8069" t="s">
        <v>457</v>
      </c>
      <c r="D8069" t="str">
        <f>VLOOKUP(C8069,'lookup table'!$A$2:$B$19,2,FALSE)</f>
        <v>VLT</v>
      </c>
      <c r="E8069" t="str">
        <f t="shared" si="126"/>
        <v>DZ3VAR_00|VLT</v>
      </c>
    </row>
    <row r="8070" spans="1:5" x14ac:dyDescent="0.2">
      <c r="A8070" t="s">
        <v>1452</v>
      </c>
      <c r="B8070" t="s">
        <v>1453</v>
      </c>
      <c r="C8070" t="s">
        <v>458</v>
      </c>
      <c r="D8070" t="str">
        <f>VLOOKUP(C8070,'lookup table'!$A$2:$B$19,2,FALSE)</f>
        <v>VAR</v>
      </c>
      <c r="E8070" t="str">
        <f t="shared" si="126"/>
        <v>DZ3VAR_00|VAR</v>
      </c>
    </row>
    <row r="8071" spans="1:5" x14ac:dyDescent="0.2">
      <c r="A8071" t="s">
        <v>1452</v>
      </c>
      <c r="B8071" t="s">
        <v>1453</v>
      </c>
      <c r="C8071" t="s">
        <v>459</v>
      </c>
      <c r="D8071" t="e">
        <f>VLOOKUP(C8071,'lookup table'!$A$2:$B$19,2,FALSE)</f>
        <v>#N/A</v>
      </c>
      <c r="E8071" t="str">
        <f t="shared" si="126"/>
        <v/>
      </c>
    </row>
    <row r="8072" spans="1:5" x14ac:dyDescent="0.2">
      <c r="A8072" t="s">
        <v>1452</v>
      </c>
      <c r="B8072" t="s">
        <v>1453</v>
      </c>
      <c r="C8072" t="s">
        <v>460</v>
      </c>
      <c r="D8072" t="e">
        <f>VLOOKUP(C8072,'lookup table'!$A$2:$B$19,2,FALSE)</f>
        <v>#N/A</v>
      </c>
      <c r="E8072" t="str">
        <f t="shared" si="126"/>
        <v/>
      </c>
    </row>
    <row r="8073" spans="1:5" x14ac:dyDescent="0.2">
      <c r="A8073" t="s">
        <v>1452</v>
      </c>
      <c r="B8073" t="s">
        <v>1453</v>
      </c>
      <c r="C8073" t="s">
        <v>461</v>
      </c>
      <c r="D8073" t="str">
        <f>VLOOKUP(C8073,'lookup table'!$A$2:$B$19,2,FALSE)</f>
        <v>Posting Level</v>
      </c>
      <c r="E8073" t="str">
        <f t="shared" si="126"/>
        <v>DZ3VAR_00|Posting Level</v>
      </c>
    </row>
    <row r="8074" spans="1:5" x14ac:dyDescent="0.2">
      <c r="A8074" t="s">
        <v>1452</v>
      </c>
      <c r="B8074" t="s">
        <v>1453</v>
      </c>
      <c r="C8074" t="s">
        <v>462</v>
      </c>
      <c r="D8074" t="e">
        <f>VLOOKUP(C8074,'lookup table'!$A$2:$B$19,2,FALSE)</f>
        <v>#N/A</v>
      </c>
      <c r="E8074" t="str">
        <f t="shared" si="126"/>
        <v/>
      </c>
    </row>
    <row r="8075" spans="1:5" x14ac:dyDescent="0.2">
      <c r="A8075" t="s">
        <v>1452</v>
      </c>
      <c r="B8075" t="s">
        <v>1453</v>
      </c>
      <c r="C8075" t="s">
        <v>463</v>
      </c>
      <c r="D8075" t="e">
        <f>VLOOKUP(C8075,'lookup table'!$A$2:$B$19,2,FALSE)</f>
        <v>#N/A</v>
      </c>
      <c r="E8075" t="str">
        <f t="shared" si="126"/>
        <v/>
      </c>
    </row>
    <row r="8076" spans="1:5" x14ac:dyDescent="0.2">
      <c r="A8076" t="s">
        <v>1452</v>
      </c>
      <c r="B8076" t="s">
        <v>1453</v>
      </c>
      <c r="C8076" t="s">
        <v>464</v>
      </c>
      <c r="D8076" t="e">
        <f>VLOOKUP(C8076,'lookup table'!$A$2:$B$19,2,FALSE)</f>
        <v>#N/A</v>
      </c>
      <c r="E8076" t="str">
        <f t="shared" si="126"/>
        <v/>
      </c>
    </row>
    <row r="8077" spans="1:5" x14ac:dyDescent="0.2">
      <c r="A8077" t="s">
        <v>1452</v>
      </c>
      <c r="B8077" t="s">
        <v>1453</v>
      </c>
      <c r="C8077" t="s">
        <v>465</v>
      </c>
      <c r="D8077" t="e">
        <f>VLOOKUP(C8077,'lookup table'!$A$2:$B$19,2,FALSE)</f>
        <v>#N/A</v>
      </c>
      <c r="E8077" t="str">
        <f t="shared" si="126"/>
        <v/>
      </c>
    </row>
    <row r="8078" spans="1:5" x14ac:dyDescent="0.2">
      <c r="A8078" t="s">
        <v>1454</v>
      </c>
      <c r="B8078" t="s">
        <v>1455</v>
      </c>
      <c r="C8078" t="s">
        <v>2</v>
      </c>
      <c r="D8078" t="e">
        <f>VLOOKUP(C8078,'lookup table'!$A$2:$B$19,2,FALSE)</f>
        <v>#N/A</v>
      </c>
      <c r="E8078" t="str">
        <f t="shared" si="126"/>
        <v/>
      </c>
    </row>
    <row r="8079" spans="1:5" x14ac:dyDescent="0.2">
      <c r="A8079" t="s">
        <v>1454</v>
      </c>
      <c r="B8079" t="s">
        <v>1455</v>
      </c>
      <c r="C8079" t="s">
        <v>5</v>
      </c>
      <c r="D8079" t="e">
        <f>VLOOKUP(C8079,'lookup table'!$A$2:$B$19,2,FALSE)</f>
        <v>#N/A</v>
      </c>
      <c r="E8079" t="str">
        <f t="shared" si="126"/>
        <v/>
      </c>
    </row>
    <row r="8080" spans="1:5" x14ac:dyDescent="0.2">
      <c r="A8080" t="s">
        <v>1454</v>
      </c>
      <c r="B8080" t="s">
        <v>1455</v>
      </c>
      <c r="C8080" t="s">
        <v>6</v>
      </c>
      <c r="D8080" t="e">
        <f>VLOOKUP(C8080,'lookup table'!$A$2:$B$19,2,FALSE)</f>
        <v>#N/A</v>
      </c>
      <c r="E8080" t="str">
        <f t="shared" si="126"/>
        <v/>
      </c>
    </row>
    <row r="8081" spans="1:5" x14ac:dyDescent="0.2">
      <c r="A8081" t="s">
        <v>1454</v>
      </c>
      <c r="B8081" t="s">
        <v>1455</v>
      </c>
      <c r="C8081" t="s">
        <v>9</v>
      </c>
      <c r="D8081" t="e">
        <f>VLOOKUP(C8081,'lookup table'!$A$2:$B$19,2,FALSE)</f>
        <v>#N/A</v>
      </c>
      <c r="E8081" t="str">
        <f t="shared" si="126"/>
        <v/>
      </c>
    </row>
    <row r="8082" spans="1:5" x14ac:dyDescent="0.2">
      <c r="A8082" t="s">
        <v>1454</v>
      </c>
      <c r="B8082" t="s">
        <v>1455</v>
      </c>
      <c r="C8082" t="s">
        <v>10</v>
      </c>
      <c r="D8082" t="e">
        <f>VLOOKUP(C8082,'lookup table'!$A$2:$B$19,2,FALSE)</f>
        <v>#N/A</v>
      </c>
      <c r="E8082" t="str">
        <f t="shared" si="126"/>
        <v/>
      </c>
    </row>
    <row r="8083" spans="1:5" x14ac:dyDescent="0.2">
      <c r="A8083" t="s">
        <v>1454</v>
      </c>
      <c r="B8083" t="s">
        <v>1455</v>
      </c>
      <c r="C8083" t="s">
        <v>11</v>
      </c>
      <c r="D8083" t="e">
        <f>VLOOKUP(C8083,'lookup table'!$A$2:$B$19,2,FALSE)</f>
        <v>#N/A</v>
      </c>
      <c r="E8083" t="str">
        <f t="shared" si="126"/>
        <v/>
      </c>
    </row>
    <row r="8084" spans="1:5" x14ac:dyDescent="0.2">
      <c r="A8084" t="s">
        <v>1454</v>
      </c>
      <c r="B8084" t="s">
        <v>1455</v>
      </c>
      <c r="C8084" t="s">
        <v>12</v>
      </c>
      <c r="D8084" t="e">
        <f>VLOOKUP(C8084,'lookup table'!$A$2:$B$19,2,FALSE)</f>
        <v>#N/A</v>
      </c>
      <c r="E8084" t="str">
        <f t="shared" si="126"/>
        <v/>
      </c>
    </row>
    <row r="8085" spans="1:5" x14ac:dyDescent="0.2">
      <c r="A8085" t="s">
        <v>1454</v>
      </c>
      <c r="B8085" t="s">
        <v>1455</v>
      </c>
      <c r="C8085" t="s">
        <v>14</v>
      </c>
      <c r="D8085" t="str">
        <f>VLOOKUP(C8085,'lookup table'!$A$2:$B$19,2,FALSE)</f>
        <v>ALC</v>
      </c>
      <c r="E8085" t="str">
        <f t="shared" si="126"/>
        <v>DZ4ACY_00|ALC</v>
      </c>
    </row>
    <row r="8086" spans="1:5" x14ac:dyDescent="0.2">
      <c r="A8086" t="s">
        <v>1454</v>
      </c>
      <c r="B8086" t="s">
        <v>1455</v>
      </c>
      <c r="C8086" t="s">
        <v>20</v>
      </c>
      <c r="D8086" t="str">
        <f>VLOOKUP(C8086,'lookup table'!$A$2:$B$19,2,FALSE)</f>
        <v>AY</v>
      </c>
      <c r="E8086" t="str">
        <f t="shared" si="126"/>
        <v>DZ4ACY_00|AY</v>
      </c>
    </row>
    <row r="8087" spans="1:5" x14ac:dyDescent="0.2">
      <c r="A8087" t="s">
        <v>1454</v>
      </c>
      <c r="B8087" t="s">
        <v>1455</v>
      </c>
      <c r="C8087" t="s">
        <v>324</v>
      </c>
      <c r="D8087" t="e">
        <f>VLOOKUP(C8087,'lookup table'!$A$2:$B$19,2,FALSE)</f>
        <v>#N/A</v>
      </c>
      <c r="E8087" t="str">
        <f t="shared" si="126"/>
        <v/>
      </c>
    </row>
    <row r="8088" spans="1:5" x14ac:dyDescent="0.2">
      <c r="A8088" t="s">
        <v>1454</v>
      </c>
      <c r="B8088" t="s">
        <v>1455</v>
      </c>
      <c r="C8088" t="s">
        <v>325</v>
      </c>
      <c r="D8088" t="e">
        <f>VLOOKUP(C8088,'lookup table'!$A$2:$B$19,2,FALSE)</f>
        <v>#N/A</v>
      </c>
      <c r="E8088" t="str">
        <f t="shared" si="126"/>
        <v/>
      </c>
    </row>
    <row r="8089" spans="1:5" x14ac:dyDescent="0.2">
      <c r="A8089" t="s">
        <v>1454</v>
      </c>
      <c r="B8089" t="s">
        <v>1455</v>
      </c>
      <c r="C8089" t="s">
        <v>326</v>
      </c>
      <c r="D8089" t="e">
        <f>VLOOKUP(C8089,'lookup table'!$A$2:$B$19,2,FALSE)</f>
        <v>#N/A</v>
      </c>
      <c r="E8089" t="str">
        <f t="shared" si="126"/>
        <v/>
      </c>
    </row>
    <row r="8090" spans="1:5" x14ac:dyDescent="0.2">
      <c r="A8090" t="s">
        <v>1454</v>
      </c>
      <c r="B8090" t="s">
        <v>1455</v>
      </c>
      <c r="C8090" t="s">
        <v>327</v>
      </c>
      <c r="D8090" t="e">
        <f>VLOOKUP(C8090,'lookup table'!$A$2:$B$19,2,FALSE)</f>
        <v>#N/A</v>
      </c>
      <c r="E8090" t="str">
        <f t="shared" si="126"/>
        <v/>
      </c>
    </row>
    <row r="8091" spans="1:5" x14ac:dyDescent="0.2">
      <c r="A8091" t="s">
        <v>1454</v>
      </c>
      <c r="B8091" t="s">
        <v>1455</v>
      </c>
      <c r="C8091" t="s">
        <v>328</v>
      </c>
      <c r="D8091" t="e">
        <f>VLOOKUP(C8091,'lookup table'!$A$2:$B$19,2,FALSE)</f>
        <v>#N/A</v>
      </c>
      <c r="E8091" t="str">
        <f t="shared" si="126"/>
        <v/>
      </c>
    </row>
    <row r="8092" spans="1:5" x14ac:dyDescent="0.2">
      <c r="A8092" t="s">
        <v>1454</v>
      </c>
      <c r="B8092" t="s">
        <v>1455</v>
      </c>
      <c r="C8092" t="s">
        <v>329</v>
      </c>
      <c r="D8092" t="e">
        <f>VLOOKUP(C8092,'lookup table'!$A$2:$B$19,2,FALSE)</f>
        <v>#N/A</v>
      </c>
      <c r="E8092" t="str">
        <f t="shared" si="126"/>
        <v/>
      </c>
    </row>
    <row r="8093" spans="1:5" x14ac:dyDescent="0.2">
      <c r="A8093" t="s">
        <v>1454</v>
      </c>
      <c r="B8093" t="s">
        <v>1455</v>
      </c>
      <c r="C8093" t="s">
        <v>331</v>
      </c>
      <c r="D8093" t="str">
        <f>VLOOKUP(C8093,'lookup table'!$A$2:$B$19,2,FALSE)</f>
        <v>FS Item</v>
      </c>
      <c r="E8093" t="str">
        <f t="shared" si="126"/>
        <v>DZ4ACY_00|FS Item</v>
      </c>
    </row>
    <row r="8094" spans="1:5" x14ac:dyDescent="0.2">
      <c r="A8094" t="s">
        <v>1454</v>
      </c>
      <c r="B8094" t="s">
        <v>1455</v>
      </c>
      <c r="C8094" t="s">
        <v>422</v>
      </c>
      <c r="D8094" t="e">
        <f>VLOOKUP(C8094,'lookup table'!$A$2:$B$19,2,FALSE)</f>
        <v>#N/A</v>
      </c>
      <c r="E8094" t="str">
        <f t="shared" si="126"/>
        <v/>
      </c>
    </row>
    <row r="8095" spans="1:5" x14ac:dyDescent="0.2">
      <c r="A8095" t="s">
        <v>1454</v>
      </c>
      <c r="B8095" t="s">
        <v>1455</v>
      </c>
      <c r="C8095" t="s">
        <v>423</v>
      </c>
      <c r="D8095" t="str">
        <f>VLOOKUP(C8095,'lookup table'!$A$2:$B$19,2,FALSE)</f>
        <v>ignore</v>
      </c>
      <c r="E8095" t="str">
        <f t="shared" si="126"/>
        <v>DZ4ACY_00|ignore</v>
      </c>
    </row>
    <row r="8096" spans="1:5" x14ac:dyDescent="0.2">
      <c r="A8096" t="s">
        <v>1454</v>
      </c>
      <c r="B8096" t="s">
        <v>1455</v>
      </c>
      <c r="C8096" t="s">
        <v>424</v>
      </c>
      <c r="D8096" t="str">
        <f>VLOOKUP(C8096,'lookup table'!$A$2:$B$19,2,FALSE)</f>
        <v>GRC</v>
      </c>
      <c r="E8096" t="str">
        <f t="shared" si="126"/>
        <v>DZ4ACY_00|GRC</v>
      </c>
    </row>
    <row r="8097" spans="1:5" x14ac:dyDescent="0.2">
      <c r="A8097" t="s">
        <v>1454</v>
      </c>
      <c r="B8097" t="s">
        <v>1455</v>
      </c>
      <c r="C8097" t="s">
        <v>425</v>
      </c>
      <c r="D8097" t="str">
        <f>VLOOKUP(C8097,'lookup table'!$A$2:$B$19,2,FALSE)</f>
        <v>Investee Segment</v>
      </c>
      <c r="E8097" t="str">
        <f t="shared" si="126"/>
        <v>DZ4ACY_00|Investee Segment</v>
      </c>
    </row>
    <row r="8098" spans="1:5" x14ac:dyDescent="0.2">
      <c r="A8098" t="s">
        <v>1454</v>
      </c>
      <c r="B8098" t="s">
        <v>1455</v>
      </c>
      <c r="C8098" t="s">
        <v>426</v>
      </c>
      <c r="D8098" t="str">
        <f>VLOOKUP(C8098,'lookup table'!$A$2:$B$19,2,FALSE)</f>
        <v>Investee Unit</v>
      </c>
      <c r="E8098" t="str">
        <f t="shared" si="126"/>
        <v>DZ4ACY_00|Investee Unit</v>
      </c>
    </row>
    <row r="8099" spans="1:5" x14ac:dyDescent="0.2">
      <c r="A8099" t="s">
        <v>1454</v>
      </c>
      <c r="B8099" t="s">
        <v>1455</v>
      </c>
      <c r="C8099" t="s">
        <v>428</v>
      </c>
      <c r="D8099" t="str">
        <f>VLOOKUP(C8099,'lookup table'!$A$2:$B$19,2,FALSE)</f>
        <v>LoB</v>
      </c>
      <c r="E8099" t="str">
        <f t="shared" si="126"/>
        <v>DZ4ACY_00|LoB</v>
      </c>
    </row>
    <row r="8100" spans="1:5" x14ac:dyDescent="0.2">
      <c r="A8100" t="s">
        <v>1454</v>
      </c>
      <c r="B8100" t="s">
        <v>1455</v>
      </c>
      <c r="C8100" t="s">
        <v>436</v>
      </c>
      <c r="D8100" t="str">
        <f>VLOOKUP(C8100,'lookup table'!$A$2:$B$19,2,FALSE)</f>
        <v>MAT</v>
      </c>
      <c r="E8100" t="str">
        <f t="shared" si="126"/>
        <v>DZ4ACY_00|MAT</v>
      </c>
    </row>
    <row r="8101" spans="1:5" x14ac:dyDescent="0.2">
      <c r="A8101" t="s">
        <v>1454</v>
      </c>
      <c r="B8101" t="s">
        <v>1455</v>
      </c>
      <c r="C8101" t="s">
        <v>441</v>
      </c>
      <c r="D8101" t="str">
        <f>VLOOKUP(C8101,'lookup table'!$A$2:$B$19,2,FALSE)</f>
        <v>Partner Segment</v>
      </c>
      <c r="E8101" t="str">
        <f t="shared" si="126"/>
        <v>DZ4ACY_00|Partner Segment</v>
      </c>
    </row>
    <row r="8102" spans="1:5" x14ac:dyDescent="0.2">
      <c r="A8102" t="s">
        <v>1454</v>
      </c>
      <c r="B8102" t="s">
        <v>1455</v>
      </c>
      <c r="C8102" t="s">
        <v>442</v>
      </c>
      <c r="D8102" t="str">
        <f>VLOOKUP(C8102,'lookup table'!$A$2:$B$19,2,FALSE)</f>
        <v>Partner Unit</v>
      </c>
      <c r="E8102" t="str">
        <f t="shared" si="126"/>
        <v>DZ4ACY_00|Partner Unit</v>
      </c>
    </row>
    <row r="8103" spans="1:5" x14ac:dyDescent="0.2">
      <c r="A8103" t="s">
        <v>1454</v>
      </c>
      <c r="B8103" t="s">
        <v>1455</v>
      </c>
      <c r="C8103" t="s">
        <v>447</v>
      </c>
      <c r="D8103" t="str">
        <f>VLOOKUP(C8103,'lookup table'!$A$2:$B$19,2,FALSE)</f>
        <v>REX</v>
      </c>
      <c r="E8103" t="str">
        <f t="shared" si="126"/>
        <v>DZ4ACY_00|REX</v>
      </c>
    </row>
    <row r="8104" spans="1:5" x14ac:dyDescent="0.2">
      <c r="A8104" t="s">
        <v>1454</v>
      </c>
      <c r="B8104" t="s">
        <v>1455</v>
      </c>
      <c r="C8104" t="s">
        <v>448</v>
      </c>
      <c r="D8104" t="e">
        <f>VLOOKUP(C8104,'lookup table'!$A$2:$B$19,2,FALSE)</f>
        <v>#N/A</v>
      </c>
      <c r="E8104" t="str">
        <f t="shared" si="126"/>
        <v/>
      </c>
    </row>
    <row r="8105" spans="1:5" x14ac:dyDescent="0.2">
      <c r="A8105" t="s">
        <v>1454</v>
      </c>
      <c r="B8105" t="s">
        <v>1455</v>
      </c>
      <c r="C8105" t="s">
        <v>449</v>
      </c>
      <c r="D8105" t="e">
        <f>VLOOKUP(C8105,'lookup table'!$A$2:$B$19,2,FALSE)</f>
        <v>#N/A</v>
      </c>
      <c r="E8105" t="str">
        <f t="shared" si="126"/>
        <v/>
      </c>
    </row>
    <row r="8106" spans="1:5" x14ac:dyDescent="0.2">
      <c r="A8106" t="s">
        <v>1454</v>
      </c>
      <c r="B8106" t="s">
        <v>1455</v>
      </c>
      <c r="C8106" t="s">
        <v>451</v>
      </c>
      <c r="D8106" t="str">
        <f>VLOOKUP(C8106,'lookup table'!$A$2:$B$19,2,FALSE)</f>
        <v>Segment</v>
      </c>
      <c r="E8106" t="str">
        <f t="shared" si="126"/>
        <v>DZ4ACY_00|Segment</v>
      </c>
    </row>
    <row r="8107" spans="1:5" x14ac:dyDescent="0.2">
      <c r="A8107" t="s">
        <v>1454</v>
      </c>
      <c r="B8107" t="s">
        <v>1455</v>
      </c>
      <c r="C8107" t="s">
        <v>455</v>
      </c>
      <c r="D8107" t="e">
        <f>VLOOKUP(C8107,'lookup table'!$A$2:$B$19,2,FALSE)</f>
        <v>#N/A</v>
      </c>
      <c r="E8107" t="str">
        <f t="shared" si="126"/>
        <v/>
      </c>
    </row>
    <row r="8108" spans="1:5" x14ac:dyDescent="0.2">
      <c r="A8108" t="s">
        <v>1454</v>
      </c>
      <c r="B8108" t="s">
        <v>1455</v>
      </c>
      <c r="C8108" t="s">
        <v>456</v>
      </c>
      <c r="D8108" t="e">
        <f>VLOOKUP(C8108,'lookup table'!$A$2:$B$19,2,FALSE)</f>
        <v>#N/A</v>
      </c>
      <c r="E8108" t="str">
        <f t="shared" si="126"/>
        <v/>
      </c>
    </row>
    <row r="8109" spans="1:5" x14ac:dyDescent="0.2">
      <c r="A8109" t="s">
        <v>1454</v>
      </c>
      <c r="B8109" t="s">
        <v>1455</v>
      </c>
      <c r="C8109" t="s">
        <v>457</v>
      </c>
      <c r="D8109" t="str">
        <f>VLOOKUP(C8109,'lookup table'!$A$2:$B$19,2,FALSE)</f>
        <v>VLT</v>
      </c>
      <c r="E8109" t="str">
        <f t="shared" si="126"/>
        <v>DZ4ACY_00|VLT</v>
      </c>
    </row>
    <row r="8110" spans="1:5" x14ac:dyDescent="0.2">
      <c r="A8110" t="s">
        <v>1454</v>
      </c>
      <c r="B8110" t="s">
        <v>1455</v>
      </c>
      <c r="C8110" t="s">
        <v>458</v>
      </c>
      <c r="D8110" t="str">
        <f>VLOOKUP(C8110,'lookup table'!$A$2:$B$19,2,FALSE)</f>
        <v>VAR</v>
      </c>
      <c r="E8110" t="str">
        <f t="shared" si="126"/>
        <v>DZ4ACY_00|VAR</v>
      </c>
    </row>
    <row r="8111" spans="1:5" x14ac:dyDescent="0.2">
      <c r="A8111" t="s">
        <v>1454</v>
      </c>
      <c r="B8111" t="s">
        <v>1455</v>
      </c>
      <c r="C8111" t="s">
        <v>459</v>
      </c>
      <c r="D8111" t="e">
        <f>VLOOKUP(C8111,'lookup table'!$A$2:$B$19,2,FALSE)</f>
        <v>#N/A</v>
      </c>
      <c r="E8111" t="str">
        <f t="shared" si="126"/>
        <v/>
      </c>
    </row>
    <row r="8112" spans="1:5" x14ac:dyDescent="0.2">
      <c r="A8112" t="s">
        <v>1454</v>
      </c>
      <c r="B8112" t="s">
        <v>1455</v>
      </c>
      <c r="C8112" t="s">
        <v>460</v>
      </c>
      <c r="D8112" t="e">
        <f>VLOOKUP(C8112,'lookup table'!$A$2:$B$19,2,FALSE)</f>
        <v>#N/A</v>
      </c>
      <c r="E8112" t="str">
        <f t="shared" si="126"/>
        <v/>
      </c>
    </row>
    <row r="8113" spans="1:5" x14ac:dyDescent="0.2">
      <c r="A8113" t="s">
        <v>1454</v>
      </c>
      <c r="B8113" t="s">
        <v>1455</v>
      </c>
      <c r="C8113" t="s">
        <v>461</v>
      </c>
      <c r="D8113" t="str">
        <f>VLOOKUP(C8113,'lookup table'!$A$2:$B$19,2,FALSE)</f>
        <v>Posting Level</v>
      </c>
      <c r="E8113" t="str">
        <f t="shared" si="126"/>
        <v>DZ4ACY_00|Posting Level</v>
      </c>
    </row>
    <row r="8114" spans="1:5" x14ac:dyDescent="0.2">
      <c r="A8114" t="s">
        <v>1454</v>
      </c>
      <c r="B8114" t="s">
        <v>1455</v>
      </c>
      <c r="C8114" t="s">
        <v>462</v>
      </c>
      <c r="D8114" t="e">
        <f>VLOOKUP(C8114,'lookup table'!$A$2:$B$19,2,FALSE)</f>
        <v>#N/A</v>
      </c>
      <c r="E8114" t="str">
        <f t="shared" si="126"/>
        <v/>
      </c>
    </row>
    <row r="8115" spans="1:5" x14ac:dyDescent="0.2">
      <c r="A8115" t="s">
        <v>1454</v>
      </c>
      <c r="B8115" t="s">
        <v>1455</v>
      </c>
      <c r="C8115" t="s">
        <v>463</v>
      </c>
      <c r="D8115" t="e">
        <f>VLOOKUP(C8115,'lookup table'!$A$2:$B$19,2,FALSE)</f>
        <v>#N/A</v>
      </c>
      <c r="E8115" t="str">
        <f t="shared" si="126"/>
        <v/>
      </c>
    </row>
    <row r="8116" spans="1:5" x14ac:dyDescent="0.2">
      <c r="A8116" t="s">
        <v>1454</v>
      </c>
      <c r="B8116" t="s">
        <v>1455</v>
      </c>
      <c r="C8116" t="s">
        <v>464</v>
      </c>
      <c r="D8116" t="e">
        <f>VLOOKUP(C8116,'lookup table'!$A$2:$B$19,2,FALSE)</f>
        <v>#N/A</v>
      </c>
      <c r="E8116" t="str">
        <f t="shared" si="126"/>
        <v/>
      </c>
    </row>
    <row r="8117" spans="1:5" x14ac:dyDescent="0.2">
      <c r="A8117" t="s">
        <v>1454</v>
      </c>
      <c r="B8117" t="s">
        <v>1455</v>
      </c>
      <c r="C8117" t="s">
        <v>465</v>
      </c>
      <c r="D8117" t="e">
        <f>VLOOKUP(C8117,'lookup table'!$A$2:$B$19,2,FALSE)</f>
        <v>#N/A</v>
      </c>
      <c r="E8117" t="str">
        <f t="shared" si="126"/>
        <v/>
      </c>
    </row>
    <row r="8118" spans="1:5" x14ac:dyDescent="0.2">
      <c r="A8118" t="s">
        <v>1456</v>
      </c>
      <c r="B8118" t="s">
        <v>1457</v>
      </c>
      <c r="C8118" t="s">
        <v>2</v>
      </c>
      <c r="D8118" t="e">
        <f>VLOOKUP(C8118,'lookup table'!$A$2:$B$19,2,FALSE)</f>
        <v>#N/A</v>
      </c>
      <c r="E8118" t="str">
        <f t="shared" si="126"/>
        <v/>
      </c>
    </row>
    <row r="8119" spans="1:5" x14ac:dyDescent="0.2">
      <c r="A8119" t="s">
        <v>1456</v>
      </c>
      <c r="B8119" t="s">
        <v>1457</v>
      </c>
      <c r="C8119" t="s">
        <v>5</v>
      </c>
      <c r="D8119" t="e">
        <f>VLOOKUP(C8119,'lookup table'!$A$2:$B$19,2,FALSE)</f>
        <v>#N/A</v>
      </c>
      <c r="E8119" t="str">
        <f t="shared" si="126"/>
        <v/>
      </c>
    </row>
    <row r="8120" spans="1:5" x14ac:dyDescent="0.2">
      <c r="A8120" t="s">
        <v>1456</v>
      </c>
      <c r="B8120" t="s">
        <v>1457</v>
      </c>
      <c r="C8120" t="s">
        <v>6</v>
      </c>
      <c r="D8120" t="e">
        <f>VLOOKUP(C8120,'lookup table'!$A$2:$B$19,2,FALSE)</f>
        <v>#N/A</v>
      </c>
      <c r="E8120" t="str">
        <f t="shared" si="126"/>
        <v/>
      </c>
    </row>
    <row r="8121" spans="1:5" x14ac:dyDescent="0.2">
      <c r="A8121" t="s">
        <v>1456</v>
      </c>
      <c r="B8121" t="s">
        <v>1457</v>
      </c>
      <c r="C8121" t="s">
        <v>9</v>
      </c>
      <c r="D8121" t="e">
        <f>VLOOKUP(C8121,'lookup table'!$A$2:$B$19,2,FALSE)</f>
        <v>#N/A</v>
      </c>
      <c r="E8121" t="str">
        <f t="shared" si="126"/>
        <v/>
      </c>
    </row>
    <row r="8122" spans="1:5" x14ac:dyDescent="0.2">
      <c r="A8122" t="s">
        <v>1456</v>
      </c>
      <c r="B8122" t="s">
        <v>1457</v>
      </c>
      <c r="C8122" t="s">
        <v>10</v>
      </c>
      <c r="D8122" t="e">
        <f>VLOOKUP(C8122,'lookup table'!$A$2:$B$19,2,FALSE)</f>
        <v>#N/A</v>
      </c>
      <c r="E8122" t="str">
        <f t="shared" si="126"/>
        <v/>
      </c>
    </row>
    <row r="8123" spans="1:5" x14ac:dyDescent="0.2">
      <c r="A8123" t="s">
        <v>1456</v>
      </c>
      <c r="B8123" t="s">
        <v>1457</v>
      </c>
      <c r="C8123" t="s">
        <v>11</v>
      </c>
      <c r="D8123" t="e">
        <f>VLOOKUP(C8123,'lookup table'!$A$2:$B$19,2,FALSE)</f>
        <v>#N/A</v>
      </c>
      <c r="E8123" t="str">
        <f t="shared" si="126"/>
        <v/>
      </c>
    </row>
    <row r="8124" spans="1:5" x14ac:dyDescent="0.2">
      <c r="A8124" t="s">
        <v>1456</v>
      </c>
      <c r="B8124" t="s">
        <v>1457</v>
      </c>
      <c r="C8124" t="s">
        <v>12</v>
      </c>
      <c r="D8124" t="e">
        <f>VLOOKUP(C8124,'lookup table'!$A$2:$B$19,2,FALSE)</f>
        <v>#N/A</v>
      </c>
      <c r="E8124" t="str">
        <f t="shared" si="126"/>
        <v/>
      </c>
    </row>
    <row r="8125" spans="1:5" x14ac:dyDescent="0.2">
      <c r="A8125" t="s">
        <v>1456</v>
      </c>
      <c r="B8125" t="s">
        <v>1457</v>
      </c>
      <c r="C8125" t="s">
        <v>14</v>
      </c>
      <c r="D8125" t="str">
        <f>VLOOKUP(C8125,'lookup table'!$A$2:$B$19,2,FALSE)</f>
        <v>ALC</v>
      </c>
      <c r="E8125" t="str">
        <f t="shared" si="126"/>
        <v>DZ4LOB_00|ALC</v>
      </c>
    </row>
    <row r="8126" spans="1:5" x14ac:dyDescent="0.2">
      <c r="A8126" t="s">
        <v>1456</v>
      </c>
      <c r="B8126" t="s">
        <v>1457</v>
      </c>
      <c r="C8126" t="s">
        <v>20</v>
      </c>
      <c r="D8126" t="str">
        <f>VLOOKUP(C8126,'lookup table'!$A$2:$B$19,2,FALSE)</f>
        <v>AY</v>
      </c>
      <c r="E8126" t="str">
        <f t="shared" si="126"/>
        <v>DZ4LOB_00|AY</v>
      </c>
    </row>
    <row r="8127" spans="1:5" x14ac:dyDescent="0.2">
      <c r="A8127" t="s">
        <v>1456</v>
      </c>
      <c r="B8127" t="s">
        <v>1457</v>
      </c>
      <c r="C8127" t="s">
        <v>324</v>
      </c>
      <c r="D8127" t="e">
        <f>VLOOKUP(C8127,'lookup table'!$A$2:$B$19,2,FALSE)</f>
        <v>#N/A</v>
      </c>
      <c r="E8127" t="str">
        <f t="shared" si="126"/>
        <v/>
      </c>
    </row>
    <row r="8128" spans="1:5" x14ac:dyDescent="0.2">
      <c r="A8128" t="s">
        <v>1456</v>
      </c>
      <c r="B8128" t="s">
        <v>1457</v>
      </c>
      <c r="C8128" t="s">
        <v>325</v>
      </c>
      <c r="D8128" t="e">
        <f>VLOOKUP(C8128,'lookup table'!$A$2:$B$19,2,FALSE)</f>
        <v>#N/A</v>
      </c>
      <c r="E8128" t="str">
        <f t="shared" si="126"/>
        <v/>
      </c>
    </row>
    <row r="8129" spans="1:5" x14ac:dyDescent="0.2">
      <c r="A8129" t="s">
        <v>1456</v>
      </c>
      <c r="B8129" t="s">
        <v>1457</v>
      </c>
      <c r="C8129" t="s">
        <v>326</v>
      </c>
      <c r="D8129" t="e">
        <f>VLOOKUP(C8129,'lookup table'!$A$2:$B$19,2,FALSE)</f>
        <v>#N/A</v>
      </c>
      <c r="E8129" t="str">
        <f t="shared" si="126"/>
        <v/>
      </c>
    </row>
    <row r="8130" spans="1:5" x14ac:dyDescent="0.2">
      <c r="A8130" t="s">
        <v>1456</v>
      </c>
      <c r="B8130" t="s">
        <v>1457</v>
      </c>
      <c r="C8130" t="s">
        <v>327</v>
      </c>
      <c r="D8130" t="e">
        <f>VLOOKUP(C8130,'lookup table'!$A$2:$B$19,2,FALSE)</f>
        <v>#N/A</v>
      </c>
      <c r="E8130" t="str">
        <f t="shared" si="126"/>
        <v/>
      </c>
    </row>
    <row r="8131" spans="1:5" x14ac:dyDescent="0.2">
      <c r="A8131" t="s">
        <v>1456</v>
      </c>
      <c r="B8131" t="s">
        <v>1457</v>
      </c>
      <c r="C8131" t="s">
        <v>328</v>
      </c>
      <c r="D8131" t="e">
        <f>VLOOKUP(C8131,'lookup table'!$A$2:$B$19,2,FALSE)</f>
        <v>#N/A</v>
      </c>
      <c r="E8131" t="str">
        <f t="shared" ref="E8131:E8194" si="127">IF(ISNA(D8131),"",IF(A8131="","",A8131) &amp; "|" &amp; D8131)</f>
        <v/>
      </c>
    </row>
    <row r="8132" spans="1:5" x14ac:dyDescent="0.2">
      <c r="A8132" t="s">
        <v>1456</v>
      </c>
      <c r="B8132" t="s">
        <v>1457</v>
      </c>
      <c r="C8132" t="s">
        <v>329</v>
      </c>
      <c r="D8132" t="e">
        <f>VLOOKUP(C8132,'lookup table'!$A$2:$B$19,2,FALSE)</f>
        <v>#N/A</v>
      </c>
      <c r="E8132" t="str">
        <f t="shared" si="127"/>
        <v/>
      </c>
    </row>
    <row r="8133" spans="1:5" x14ac:dyDescent="0.2">
      <c r="A8133" t="s">
        <v>1456</v>
      </c>
      <c r="B8133" t="s">
        <v>1457</v>
      </c>
      <c r="C8133" t="s">
        <v>331</v>
      </c>
      <c r="D8133" t="str">
        <f>VLOOKUP(C8133,'lookup table'!$A$2:$B$19,2,FALSE)</f>
        <v>FS Item</v>
      </c>
      <c r="E8133" t="str">
        <f t="shared" si="127"/>
        <v>DZ4LOB_00|FS Item</v>
      </c>
    </row>
    <row r="8134" spans="1:5" x14ac:dyDescent="0.2">
      <c r="A8134" t="s">
        <v>1456</v>
      </c>
      <c r="B8134" t="s">
        <v>1457</v>
      </c>
      <c r="C8134" t="s">
        <v>422</v>
      </c>
      <c r="D8134" t="e">
        <f>VLOOKUP(C8134,'lookup table'!$A$2:$B$19,2,FALSE)</f>
        <v>#N/A</v>
      </c>
      <c r="E8134" t="str">
        <f t="shared" si="127"/>
        <v/>
      </c>
    </row>
    <row r="8135" spans="1:5" x14ac:dyDescent="0.2">
      <c r="A8135" t="s">
        <v>1456</v>
      </c>
      <c r="B8135" t="s">
        <v>1457</v>
      </c>
      <c r="C8135" t="s">
        <v>423</v>
      </c>
      <c r="D8135" t="str">
        <f>VLOOKUP(C8135,'lookup table'!$A$2:$B$19,2,FALSE)</f>
        <v>ignore</v>
      </c>
      <c r="E8135" t="str">
        <f t="shared" si="127"/>
        <v>DZ4LOB_00|ignore</v>
      </c>
    </row>
    <row r="8136" spans="1:5" x14ac:dyDescent="0.2">
      <c r="A8136" t="s">
        <v>1456</v>
      </c>
      <c r="B8136" t="s">
        <v>1457</v>
      </c>
      <c r="C8136" t="s">
        <v>424</v>
      </c>
      <c r="D8136" t="str">
        <f>VLOOKUP(C8136,'lookup table'!$A$2:$B$19,2,FALSE)</f>
        <v>GRC</v>
      </c>
      <c r="E8136" t="str">
        <f t="shared" si="127"/>
        <v>DZ4LOB_00|GRC</v>
      </c>
    </row>
    <row r="8137" spans="1:5" x14ac:dyDescent="0.2">
      <c r="A8137" t="s">
        <v>1456</v>
      </c>
      <c r="B8137" t="s">
        <v>1457</v>
      </c>
      <c r="C8137" t="s">
        <v>425</v>
      </c>
      <c r="D8137" t="str">
        <f>VLOOKUP(C8137,'lookup table'!$A$2:$B$19,2,FALSE)</f>
        <v>Investee Segment</v>
      </c>
      <c r="E8137" t="str">
        <f t="shared" si="127"/>
        <v>DZ4LOB_00|Investee Segment</v>
      </c>
    </row>
    <row r="8138" spans="1:5" x14ac:dyDescent="0.2">
      <c r="A8138" t="s">
        <v>1456</v>
      </c>
      <c r="B8138" t="s">
        <v>1457</v>
      </c>
      <c r="C8138" t="s">
        <v>426</v>
      </c>
      <c r="D8138" t="str">
        <f>VLOOKUP(C8138,'lookup table'!$A$2:$B$19,2,FALSE)</f>
        <v>Investee Unit</v>
      </c>
      <c r="E8138" t="str">
        <f t="shared" si="127"/>
        <v>DZ4LOB_00|Investee Unit</v>
      </c>
    </row>
    <row r="8139" spans="1:5" x14ac:dyDescent="0.2">
      <c r="A8139" t="s">
        <v>1456</v>
      </c>
      <c r="B8139" t="s">
        <v>1457</v>
      </c>
      <c r="C8139" t="s">
        <v>428</v>
      </c>
      <c r="D8139" t="str">
        <f>VLOOKUP(C8139,'lookup table'!$A$2:$B$19,2,FALSE)</f>
        <v>LoB</v>
      </c>
      <c r="E8139" t="str">
        <f t="shared" si="127"/>
        <v>DZ4LOB_00|LoB</v>
      </c>
    </row>
    <row r="8140" spans="1:5" x14ac:dyDescent="0.2">
      <c r="A8140" t="s">
        <v>1456</v>
      </c>
      <c r="B8140" t="s">
        <v>1457</v>
      </c>
      <c r="C8140" t="s">
        <v>436</v>
      </c>
      <c r="D8140" t="str">
        <f>VLOOKUP(C8140,'lookup table'!$A$2:$B$19,2,FALSE)</f>
        <v>MAT</v>
      </c>
      <c r="E8140" t="str">
        <f t="shared" si="127"/>
        <v>DZ4LOB_00|MAT</v>
      </c>
    </row>
    <row r="8141" spans="1:5" x14ac:dyDescent="0.2">
      <c r="A8141" t="s">
        <v>1456</v>
      </c>
      <c r="B8141" t="s">
        <v>1457</v>
      </c>
      <c r="C8141" t="s">
        <v>441</v>
      </c>
      <c r="D8141" t="str">
        <f>VLOOKUP(C8141,'lookup table'!$A$2:$B$19,2,FALSE)</f>
        <v>Partner Segment</v>
      </c>
      <c r="E8141" t="str">
        <f t="shared" si="127"/>
        <v>DZ4LOB_00|Partner Segment</v>
      </c>
    </row>
    <row r="8142" spans="1:5" x14ac:dyDescent="0.2">
      <c r="A8142" t="s">
        <v>1456</v>
      </c>
      <c r="B8142" t="s">
        <v>1457</v>
      </c>
      <c r="C8142" t="s">
        <v>442</v>
      </c>
      <c r="D8142" t="str">
        <f>VLOOKUP(C8142,'lookup table'!$A$2:$B$19,2,FALSE)</f>
        <v>Partner Unit</v>
      </c>
      <c r="E8142" t="str">
        <f t="shared" si="127"/>
        <v>DZ4LOB_00|Partner Unit</v>
      </c>
    </row>
    <row r="8143" spans="1:5" x14ac:dyDescent="0.2">
      <c r="A8143" t="s">
        <v>1456</v>
      </c>
      <c r="B8143" t="s">
        <v>1457</v>
      </c>
      <c r="C8143" t="s">
        <v>447</v>
      </c>
      <c r="D8143" t="str">
        <f>VLOOKUP(C8143,'lookup table'!$A$2:$B$19,2,FALSE)</f>
        <v>REX</v>
      </c>
      <c r="E8143" t="str">
        <f t="shared" si="127"/>
        <v>DZ4LOB_00|REX</v>
      </c>
    </row>
    <row r="8144" spans="1:5" x14ac:dyDescent="0.2">
      <c r="A8144" t="s">
        <v>1456</v>
      </c>
      <c r="B8144" t="s">
        <v>1457</v>
      </c>
      <c r="C8144" t="s">
        <v>448</v>
      </c>
      <c r="D8144" t="e">
        <f>VLOOKUP(C8144,'lookup table'!$A$2:$B$19,2,FALSE)</f>
        <v>#N/A</v>
      </c>
      <c r="E8144" t="str">
        <f t="shared" si="127"/>
        <v/>
      </c>
    </row>
    <row r="8145" spans="1:5" x14ac:dyDescent="0.2">
      <c r="A8145" t="s">
        <v>1456</v>
      </c>
      <c r="B8145" t="s">
        <v>1457</v>
      </c>
      <c r="C8145" t="s">
        <v>449</v>
      </c>
      <c r="D8145" t="e">
        <f>VLOOKUP(C8145,'lookup table'!$A$2:$B$19,2,FALSE)</f>
        <v>#N/A</v>
      </c>
      <c r="E8145" t="str">
        <f t="shared" si="127"/>
        <v/>
      </c>
    </row>
    <row r="8146" spans="1:5" x14ac:dyDescent="0.2">
      <c r="A8146" t="s">
        <v>1456</v>
      </c>
      <c r="B8146" t="s">
        <v>1457</v>
      </c>
      <c r="C8146" t="s">
        <v>451</v>
      </c>
      <c r="D8146" t="str">
        <f>VLOOKUP(C8146,'lookup table'!$A$2:$B$19,2,FALSE)</f>
        <v>Segment</v>
      </c>
      <c r="E8146" t="str">
        <f t="shared" si="127"/>
        <v>DZ4LOB_00|Segment</v>
      </c>
    </row>
    <row r="8147" spans="1:5" x14ac:dyDescent="0.2">
      <c r="A8147" t="s">
        <v>1456</v>
      </c>
      <c r="B8147" t="s">
        <v>1457</v>
      </c>
      <c r="C8147" t="s">
        <v>455</v>
      </c>
      <c r="D8147" t="e">
        <f>VLOOKUP(C8147,'lookup table'!$A$2:$B$19,2,FALSE)</f>
        <v>#N/A</v>
      </c>
      <c r="E8147" t="str">
        <f t="shared" si="127"/>
        <v/>
      </c>
    </row>
    <row r="8148" spans="1:5" x14ac:dyDescent="0.2">
      <c r="A8148" t="s">
        <v>1456</v>
      </c>
      <c r="B8148" t="s">
        <v>1457</v>
      </c>
      <c r="C8148" t="s">
        <v>456</v>
      </c>
      <c r="D8148" t="e">
        <f>VLOOKUP(C8148,'lookup table'!$A$2:$B$19,2,FALSE)</f>
        <v>#N/A</v>
      </c>
      <c r="E8148" t="str">
        <f t="shared" si="127"/>
        <v/>
      </c>
    </row>
    <row r="8149" spans="1:5" x14ac:dyDescent="0.2">
      <c r="A8149" t="s">
        <v>1456</v>
      </c>
      <c r="B8149" t="s">
        <v>1457</v>
      </c>
      <c r="C8149" t="s">
        <v>457</v>
      </c>
      <c r="D8149" t="str">
        <f>VLOOKUP(C8149,'lookup table'!$A$2:$B$19,2,FALSE)</f>
        <v>VLT</v>
      </c>
      <c r="E8149" t="str">
        <f t="shared" si="127"/>
        <v>DZ4LOB_00|VLT</v>
      </c>
    </row>
    <row r="8150" spans="1:5" x14ac:dyDescent="0.2">
      <c r="A8150" t="s">
        <v>1456</v>
      </c>
      <c r="B8150" t="s">
        <v>1457</v>
      </c>
      <c r="C8150" t="s">
        <v>458</v>
      </c>
      <c r="D8150" t="str">
        <f>VLOOKUP(C8150,'lookup table'!$A$2:$B$19,2,FALSE)</f>
        <v>VAR</v>
      </c>
      <c r="E8150" t="str">
        <f t="shared" si="127"/>
        <v>DZ4LOB_00|VAR</v>
      </c>
    </row>
    <row r="8151" spans="1:5" x14ac:dyDescent="0.2">
      <c r="A8151" t="s">
        <v>1456</v>
      </c>
      <c r="B8151" t="s">
        <v>1457</v>
      </c>
      <c r="C8151" t="s">
        <v>459</v>
      </c>
      <c r="D8151" t="e">
        <f>VLOOKUP(C8151,'lookup table'!$A$2:$B$19,2,FALSE)</f>
        <v>#N/A</v>
      </c>
      <c r="E8151" t="str">
        <f t="shared" si="127"/>
        <v/>
      </c>
    </row>
    <row r="8152" spans="1:5" x14ac:dyDescent="0.2">
      <c r="A8152" t="s">
        <v>1456</v>
      </c>
      <c r="B8152" t="s">
        <v>1457</v>
      </c>
      <c r="C8152" t="s">
        <v>460</v>
      </c>
      <c r="D8152" t="e">
        <f>VLOOKUP(C8152,'lookup table'!$A$2:$B$19,2,FALSE)</f>
        <v>#N/A</v>
      </c>
      <c r="E8152" t="str">
        <f t="shared" si="127"/>
        <v/>
      </c>
    </row>
    <row r="8153" spans="1:5" x14ac:dyDescent="0.2">
      <c r="A8153" t="s">
        <v>1456</v>
      </c>
      <c r="B8153" t="s">
        <v>1457</v>
      </c>
      <c r="C8153" t="s">
        <v>461</v>
      </c>
      <c r="D8153" t="str">
        <f>VLOOKUP(C8153,'lookup table'!$A$2:$B$19,2,FALSE)</f>
        <v>Posting Level</v>
      </c>
      <c r="E8153" t="str">
        <f t="shared" si="127"/>
        <v>DZ4LOB_00|Posting Level</v>
      </c>
    </row>
    <row r="8154" spans="1:5" x14ac:dyDescent="0.2">
      <c r="A8154" t="s">
        <v>1456</v>
      </c>
      <c r="B8154" t="s">
        <v>1457</v>
      </c>
      <c r="C8154" t="s">
        <v>462</v>
      </c>
      <c r="D8154" t="e">
        <f>VLOOKUP(C8154,'lookup table'!$A$2:$B$19,2,FALSE)</f>
        <v>#N/A</v>
      </c>
      <c r="E8154" t="str">
        <f t="shared" si="127"/>
        <v/>
      </c>
    </row>
    <row r="8155" spans="1:5" x14ac:dyDescent="0.2">
      <c r="A8155" t="s">
        <v>1456</v>
      </c>
      <c r="B8155" t="s">
        <v>1457</v>
      </c>
      <c r="C8155" t="s">
        <v>463</v>
      </c>
      <c r="D8155" t="e">
        <f>VLOOKUP(C8155,'lookup table'!$A$2:$B$19,2,FALSE)</f>
        <v>#N/A</v>
      </c>
      <c r="E8155" t="str">
        <f t="shared" si="127"/>
        <v/>
      </c>
    </row>
    <row r="8156" spans="1:5" x14ac:dyDescent="0.2">
      <c r="A8156" t="s">
        <v>1456</v>
      </c>
      <c r="B8156" t="s">
        <v>1457</v>
      </c>
      <c r="C8156" t="s">
        <v>464</v>
      </c>
      <c r="D8156" t="e">
        <f>VLOOKUP(C8156,'lookup table'!$A$2:$B$19,2,FALSE)</f>
        <v>#N/A</v>
      </c>
      <c r="E8156" t="str">
        <f t="shared" si="127"/>
        <v/>
      </c>
    </row>
    <row r="8157" spans="1:5" x14ac:dyDescent="0.2">
      <c r="A8157" t="s">
        <v>1456</v>
      </c>
      <c r="B8157" t="s">
        <v>1457</v>
      </c>
      <c r="C8157" t="s">
        <v>465</v>
      </c>
      <c r="D8157" t="e">
        <f>VLOOKUP(C8157,'lookup table'!$A$2:$B$19,2,FALSE)</f>
        <v>#N/A</v>
      </c>
      <c r="E8157" t="str">
        <f t="shared" si="127"/>
        <v/>
      </c>
    </row>
    <row r="8158" spans="1:5" x14ac:dyDescent="0.2">
      <c r="A8158" t="s">
        <v>1458</v>
      </c>
      <c r="B8158" t="s">
        <v>1457</v>
      </c>
      <c r="C8158" t="s">
        <v>2</v>
      </c>
      <c r="D8158" t="e">
        <f>VLOOKUP(C8158,'lookup table'!$A$2:$B$19,2,FALSE)</f>
        <v>#N/A</v>
      </c>
      <c r="E8158" t="str">
        <f t="shared" si="127"/>
        <v/>
      </c>
    </row>
    <row r="8159" spans="1:5" x14ac:dyDescent="0.2">
      <c r="A8159" t="s">
        <v>1458</v>
      </c>
      <c r="B8159" t="s">
        <v>1457</v>
      </c>
      <c r="C8159" t="s">
        <v>5</v>
      </c>
      <c r="D8159" t="e">
        <f>VLOOKUP(C8159,'lookup table'!$A$2:$B$19,2,FALSE)</f>
        <v>#N/A</v>
      </c>
      <c r="E8159" t="str">
        <f t="shared" si="127"/>
        <v/>
      </c>
    </row>
    <row r="8160" spans="1:5" x14ac:dyDescent="0.2">
      <c r="A8160" t="s">
        <v>1458</v>
      </c>
      <c r="B8160" t="s">
        <v>1457</v>
      </c>
      <c r="C8160" t="s">
        <v>6</v>
      </c>
      <c r="D8160" t="e">
        <f>VLOOKUP(C8160,'lookup table'!$A$2:$B$19,2,FALSE)</f>
        <v>#N/A</v>
      </c>
      <c r="E8160" t="str">
        <f t="shared" si="127"/>
        <v/>
      </c>
    </row>
    <row r="8161" spans="1:5" x14ac:dyDescent="0.2">
      <c r="A8161" t="s">
        <v>1458</v>
      </c>
      <c r="B8161" t="s">
        <v>1457</v>
      </c>
      <c r="C8161" t="s">
        <v>9</v>
      </c>
      <c r="D8161" t="e">
        <f>VLOOKUP(C8161,'lookup table'!$A$2:$B$19,2,FALSE)</f>
        <v>#N/A</v>
      </c>
      <c r="E8161" t="str">
        <f t="shared" si="127"/>
        <v/>
      </c>
    </row>
    <row r="8162" spans="1:5" x14ac:dyDescent="0.2">
      <c r="A8162" t="s">
        <v>1458</v>
      </c>
      <c r="B8162" t="s">
        <v>1457</v>
      </c>
      <c r="C8162" t="s">
        <v>10</v>
      </c>
      <c r="D8162" t="e">
        <f>VLOOKUP(C8162,'lookup table'!$A$2:$B$19,2,FALSE)</f>
        <v>#N/A</v>
      </c>
      <c r="E8162" t="str">
        <f t="shared" si="127"/>
        <v/>
      </c>
    </row>
    <row r="8163" spans="1:5" x14ac:dyDescent="0.2">
      <c r="A8163" t="s">
        <v>1458</v>
      </c>
      <c r="B8163" t="s">
        <v>1457</v>
      </c>
      <c r="C8163" t="s">
        <v>11</v>
      </c>
      <c r="D8163" t="e">
        <f>VLOOKUP(C8163,'lookup table'!$A$2:$B$19,2,FALSE)</f>
        <v>#N/A</v>
      </c>
      <c r="E8163" t="str">
        <f t="shared" si="127"/>
        <v/>
      </c>
    </row>
    <row r="8164" spans="1:5" x14ac:dyDescent="0.2">
      <c r="A8164" t="s">
        <v>1458</v>
      </c>
      <c r="B8164" t="s">
        <v>1457</v>
      </c>
      <c r="C8164" t="s">
        <v>12</v>
      </c>
      <c r="D8164" t="e">
        <f>VLOOKUP(C8164,'lookup table'!$A$2:$B$19,2,FALSE)</f>
        <v>#N/A</v>
      </c>
      <c r="E8164" t="str">
        <f t="shared" si="127"/>
        <v/>
      </c>
    </row>
    <row r="8165" spans="1:5" x14ac:dyDescent="0.2">
      <c r="A8165" t="s">
        <v>1458</v>
      </c>
      <c r="B8165" t="s">
        <v>1457</v>
      </c>
      <c r="C8165" t="s">
        <v>14</v>
      </c>
      <c r="D8165" t="str">
        <f>VLOOKUP(C8165,'lookup table'!$A$2:$B$19,2,FALSE)</f>
        <v>ALC</v>
      </c>
      <c r="E8165" t="str">
        <f t="shared" si="127"/>
        <v>DZ4LOB_14|ALC</v>
      </c>
    </row>
    <row r="8166" spans="1:5" x14ac:dyDescent="0.2">
      <c r="A8166" t="s">
        <v>1458</v>
      </c>
      <c r="B8166" t="s">
        <v>1457</v>
      </c>
      <c r="C8166" t="s">
        <v>20</v>
      </c>
      <c r="D8166" t="str">
        <f>VLOOKUP(C8166,'lookup table'!$A$2:$B$19,2,FALSE)</f>
        <v>AY</v>
      </c>
      <c r="E8166" t="str">
        <f t="shared" si="127"/>
        <v>DZ4LOB_14|AY</v>
      </c>
    </row>
    <row r="8167" spans="1:5" x14ac:dyDescent="0.2">
      <c r="A8167" t="s">
        <v>1458</v>
      </c>
      <c r="B8167" t="s">
        <v>1457</v>
      </c>
      <c r="C8167" t="s">
        <v>324</v>
      </c>
      <c r="D8167" t="e">
        <f>VLOOKUP(C8167,'lookup table'!$A$2:$B$19,2,FALSE)</f>
        <v>#N/A</v>
      </c>
      <c r="E8167" t="str">
        <f t="shared" si="127"/>
        <v/>
      </c>
    </row>
    <row r="8168" spans="1:5" x14ac:dyDescent="0.2">
      <c r="A8168" t="s">
        <v>1458</v>
      </c>
      <c r="B8168" t="s">
        <v>1457</v>
      </c>
      <c r="C8168" t="s">
        <v>325</v>
      </c>
      <c r="D8168" t="e">
        <f>VLOOKUP(C8168,'lookup table'!$A$2:$B$19,2,FALSE)</f>
        <v>#N/A</v>
      </c>
      <c r="E8168" t="str">
        <f t="shared" si="127"/>
        <v/>
      </c>
    </row>
    <row r="8169" spans="1:5" x14ac:dyDescent="0.2">
      <c r="A8169" t="s">
        <v>1458</v>
      </c>
      <c r="B8169" t="s">
        <v>1457</v>
      </c>
      <c r="C8169" t="s">
        <v>326</v>
      </c>
      <c r="D8169" t="e">
        <f>VLOOKUP(C8169,'lookup table'!$A$2:$B$19,2,FALSE)</f>
        <v>#N/A</v>
      </c>
      <c r="E8169" t="str">
        <f t="shared" si="127"/>
        <v/>
      </c>
    </row>
    <row r="8170" spans="1:5" x14ac:dyDescent="0.2">
      <c r="A8170" t="s">
        <v>1458</v>
      </c>
      <c r="B8170" t="s">
        <v>1457</v>
      </c>
      <c r="C8170" t="s">
        <v>327</v>
      </c>
      <c r="D8170" t="e">
        <f>VLOOKUP(C8170,'lookup table'!$A$2:$B$19,2,FALSE)</f>
        <v>#N/A</v>
      </c>
      <c r="E8170" t="str">
        <f t="shared" si="127"/>
        <v/>
      </c>
    </row>
    <row r="8171" spans="1:5" x14ac:dyDescent="0.2">
      <c r="A8171" t="s">
        <v>1458</v>
      </c>
      <c r="B8171" t="s">
        <v>1457</v>
      </c>
      <c r="C8171" t="s">
        <v>328</v>
      </c>
      <c r="D8171" t="e">
        <f>VLOOKUP(C8171,'lookup table'!$A$2:$B$19,2,FALSE)</f>
        <v>#N/A</v>
      </c>
      <c r="E8171" t="str">
        <f t="shared" si="127"/>
        <v/>
      </c>
    </row>
    <row r="8172" spans="1:5" x14ac:dyDescent="0.2">
      <c r="A8172" t="s">
        <v>1458</v>
      </c>
      <c r="B8172" t="s">
        <v>1457</v>
      </c>
      <c r="C8172" t="s">
        <v>329</v>
      </c>
      <c r="D8172" t="e">
        <f>VLOOKUP(C8172,'lookup table'!$A$2:$B$19,2,FALSE)</f>
        <v>#N/A</v>
      </c>
      <c r="E8172" t="str">
        <f t="shared" si="127"/>
        <v/>
      </c>
    </row>
    <row r="8173" spans="1:5" x14ac:dyDescent="0.2">
      <c r="A8173" t="s">
        <v>1458</v>
      </c>
      <c r="B8173" t="s">
        <v>1457</v>
      </c>
      <c r="C8173" t="s">
        <v>331</v>
      </c>
      <c r="D8173" t="str">
        <f>VLOOKUP(C8173,'lookup table'!$A$2:$B$19,2,FALSE)</f>
        <v>FS Item</v>
      </c>
      <c r="E8173" t="str">
        <f t="shared" si="127"/>
        <v>DZ4LOB_14|FS Item</v>
      </c>
    </row>
    <row r="8174" spans="1:5" x14ac:dyDescent="0.2">
      <c r="A8174" t="s">
        <v>1458</v>
      </c>
      <c r="B8174" t="s">
        <v>1457</v>
      </c>
      <c r="C8174" t="s">
        <v>422</v>
      </c>
      <c r="D8174" t="e">
        <f>VLOOKUP(C8174,'lookup table'!$A$2:$B$19,2,FALSE)</f>
        <v>#N/A</v>
      </c>
      <c r="E8174" t="str">
        <f t="shared" si="127"/>
        <v/>
      </c>
    </row>
    <row r="8175" spans="1:5" x14ac:dyDescent="0.2">
      <c r="A8175" t="s">
        <v>1458</v>
      </c>
      <c r="B8175" t="s">
        <v>1457</v>
      </c>
      <c r="C8175" t="s">
        <v>423</v>
      </c>
      <c r="D8175" t="str">
        <f>VLOOKUP(C8175,'lookup table'!$A$2:$B$19,2,FALSE)</f>
        <v>ignore</v>
      </c>
      <c r="E8175" t="str">
        <f t="shared" si="127"/>
        <v>DZ4LOB_14|ignore</v>
      </c>
    </row>
    <row r="8176" spans="1:5" x14ac:dyDescent="0.2">
      <c r="A8176" t="s">
        <v>1458</v>
      </c>
      <c r="B8176" t="s">
        <v>1457</v>
      </c>
      <c r="C8176" t="s">
        <v>424</v>
      </c>
      <c r="D8176" t="str">
        <f>VLOOKUP(C8176,'lookup table'!$A$2:$B$19,2,FALSE)</f>
        <v>GRC</v>
      </c>
      <c r="E8176" t="str">
        <f t="shared" si="127"/>
        <v>DZ4LOB_14|GRC</v>
      </c>
    </row>
    <row r="8177" spans="1:5" x14ac:dyDescent="0.2">
      <c r="A8177" t="s">
        <v>1458</v>
      </c>
      <c r="B8177" t="s">
        <v>1457</v>
      </c>
      <c r="C8177" t="s">
        <v>425</v>
      </c>
      <c r="D8177" t="str">
        <f>VLOOKUP(C8177,'lookup table'!$A$2:$B$19,2,FALSE)</f>
        <v>Investee Segment</v>
      </c>
      <c r="E8177" t="str">
        <f t="shared" si="127"/>
        <v>DZ4LOB_14|Investee Segment</v>
      </c>
    </row>
    <row r="8178" spans="1:5" x14ac:dyDescent="0.2">
      <c r="A8178" t="s">
        <v>1458</v>
      </c>
      <c r="B8178" t="s">
        <v>1457</v>
      </c>
      <c r="C8178" t="s">
        <v>426</v>
      </c>
      <c r="D8178" t="str">
        <f>VLOOKUP(C8178,'lookup table'!$A$2:$B$19,2,FALSE)</f>
        <v>Investee Unit</v>
      </c>
      <c r="E8178" t="str">
        <f t="shared" si="127"/>
        <v>DZ4LOB_14|Investee Unit</v>
      </c>
    </row>
    <row r="8179" spans="1:5" x14ac:dyDescent="0.2">
      <c r="A8179" t="s">
        <v>1458</v>
      </c>
      <c r="B8179" t="s">
        <v>1457</v>
      </c>
      <c r="C8179" t="s">
        <v>428</v>
      </c>
      <c r="D8179" t="str">
        <f>VLOOKUP(C8179,'lookup table'!$A$2:$B$19,2,FALSE)</f>
        <v>LoB</v>
      </c>
      <c r="E8179" t="str">
        <f t="shared" si="127"/>
        <v>DZ4LOB_14|LoB</v>
      </c>
    </row>
    <row r="8180" spans="1:5" x14ac:dyDescent="0.2">
      <c r="A8180" t="s">
        <v>1458</v>
      </c>
      <c r="B8180" t="s">
        <v>1457</v>
      </c>
      <c r="C8180" t="s">
        <v>436</v>
      </c>
      <c r="D8180" t="str">
        <f>VLOOKUP(C8180,'lookup table'!$A$2:$B$19,2,FALSE)</f>
        <v>MAT</v>
      </c>
      <c r="E8180" t="str">
        <f t="shared" si="127"/>
        <v>DZ4LOB_14|MAT</v>
      </c>
    </row>
    <row r="8181" spans="1:5" x14ac:dyDescent="0.2">
      <c r="A8181" t="s">
        <v>1458</v>
      </c>
      <c r="B8181" t="s">
        <v>1457</v>
      </c>
      <c r="C8181" t="s">
        <v>441</v>
      </c>
      <c r="D8181" t="str">
        <f>VLOOKUP(C8181,'lookup table'!$A$2:$B$19,2,FALSE)</f>
        <v>Partner Segment</v>
      </c>
      <c r="E8181" t="str">
        <f t="shared" si="127"/>
        <v>DZ4LOB_14|Partner Segment</v>
      </c>
    </row>
    <row r="8182" spans="1:5" x14ac:dyDescent="0.2">
      <c r="A8182" t="s">
        <v>1458</v>
      </c>
      <c r="B8182" t="s">
        <v>1457</v>
      </c>
      <c r="C8182" t="s">
        <v>442</v>
      </c>
      <c r="D8182" t="str">
        <f>VLOOKUP(C8182,'lookup table'!$A$2:$B$19,2,FALSE)</f>
        <v>Partner Unit</v>
      </c>
      <c r="E8182" t="str">
        <f t="shared" si="127"/>
        <v>DZ4LOB_14|Partner Unit</v>
      </c>
    </row>
    <row r="8183" spans="1:5" x14ac:dyDescent="0.2">
      <c r="A8183" t="s">
        <v>1458</v>
      </c>
      <c r="B8183" t="s">
        <v>1457</v>
      </c>
      <c r="C8183" t="s">
        <v>447</v>
      </c>
      <c r="D8183" t="str">
        <f>VLOOKUP(C8183,'lookup table'!$A$2:$B$19,2,FALSE)</f>
        <v>REX</v>
      </c>
      <c r="E8183" t="str">
        <f t="shared" si="127"/>
        <v>DZ4LOB_14|REX</v>
      </c>
    </row>
    <row r="8184" spans="1:5" x14ac:dyDescent="0.2">
      <c r="A8184" t="s">
        <v>1458</v>
      </c>
      <c r="B8184" t="s">
        <v>1457</v>
      </c>
      <c r="C8184" t="s">
        <v>448</v>
      </c>
      <c r="D8184" t="e">
        <f>VLOOKUP(C8184,'lookup table'!$A$2:$B$19,2,FALSE)</f>
        <v>#N/A</v>
      </c>
      <c r="E8184" t="str">
        <f t="shared" si="127"/>
        <v/>
      </c>
    </row>
    <row r="8185" spans="1:5" x14ac:dyDescent="0.2">
      <c r="A8185" t="s">
        <v>1458</v>
      </c>
      <c r="B8185" t="s">
        <v>1457</v>
      </c>
      <c r="C8185" t="s">
        <v>449</v>
      </c>
      <c r="D8185" t="e">
        <f>VLOOKUP(C8185,'lookup table'!$A$2:$B$19,2,FALSE)</f>
        <v>#N/A</v>
      </c>
      <c r="E8185" t="str">
        <f t="shared" si="127"/>
        <v/>
      </c>
    </row>
    <row r="8186" spans="1:5" x14ac:dyDescent="0.2">
      <c r="A8186" t="s">
        <v>1458</v>
      </c>
      <c r="B8186" t="s">
        <v>1457</v>
      </c>
      <c r="C8186" t="s">
        <v>451</v>
      </c>
      <c r="D8186" t="str">
        <f>VLOOKUP(C8186,'lookup table'!$A$2:$B$19,2,FALSE)</f>
        <v>Segment</v>
      </c>
      <c r="E8186" t="str">
        <f t="shared" si="127"/>
        <v>DZ4LOB_14|Segment</v>
      </c>
    </row>
    <row r="8187" spans="1:5" x14ac:dyDescent="0.2">
      <c r="A8187" t="s">
        <v>1458</v>
      </c>
      <c r="B8187" t="s">
        <v>1457</v>
      </c>
      <c r="C8187" t="s">
        <v>455</v>
      </c>
      <c r="D8187" t="e">
        <f>VLOOKUP(C8187,'lookup table'!$A$2:$B$19,2,FALSE)</f>
        <v>#N/A</v>
      </c>
      <c r="E8187" t="str">
        <f t="shared" si="127"/>
        <v/>
      </c>
    </row>
    <row r="8188" spans="1:5" x14ac:dyDescent="0.2">
      <c r="A8188" t="s">
        <v>1458</v>
      </c>
      <c r="B8188" t="s">
        <v>1457</v>
      </c>
      <c r="C8188" t="s">
        <v>456</v>
      </c>
      <c r="D8188" t="e">
        <f>VLOOKUP(C8188,'lookup table'!$A$2:$B$19,2,FALSE)</f>
        <v>#N/A</v>
      </c>
      <c r="E8188" t="str">
        <f t="shared" si="127"/>
        <v/>
      </c>
    </row>
    <row r="8189" spans="1:5" x14ac:dyDescent="0.2">
      <c r="A8189" t="s">
        <v>1458</v>
      </c>
      <c r="B8189" t="s">
        <v>1457</v>
      </c>
      <c r="C8189" t="s">
        <v>457</v>
      </c>
      <c r="D8189" t="str">
        <f>VLOOKUP(C8189,'lookup table'!$A$2:$B$19,2,FALSE)</f>
        <v>VLT</v>
      </c>
      <c r="E8189" t="str">
        <f t="shared" si="127"/>
        <v>DZ4LOB_14|VLT</v>
      </c>
    </row>
    <row r="8190" spans="1:5" x14ac:dyDescent="0.2">
      <c r="A8190" t="s">
        <v>1458</v>
      </c>
      <c r="B8190" t="s">
        <v>1457</v>
      </c>
      <c r="C8190" t="s">
        <v>458</v>
      </c>
      <c r="D8190" t="str">
        <f>VLOOKUP(C8190,'lookup table'!$A$2:$B$19,2,FALSE)</f>
        <v>VAR</v>
      </c>
      <c r="E8190" t="str">
        <f t="shared" si="127"/>
        <v>DZ4LOB_14|VAR</v>
      </c>
    </row>
    <row r="8191" spans="1:5" x14ac:dyDescent="0.2">
      <c r="A8191" t="s">
        <v>1458</v>
      </c>
      <c r="B8191" t="s">
        <v>1457</v>
      </c>
      <c r="C8191" t="s">
        <v>459</v>
      </c>
      <c r="D8191" t="e">
        <f>VLOOKUP(C8191,'lookup table'!$A$2:$B$19,2,FALSE)</f>
        <v>#N/A</v>
      </c>
      <c r="E8191" t="str">
        <f t="shared" si="127"/>
        <v/>
      </c>
    </row>
    <row r="8192" spans="1:5" x14ac:dyDescent="0.2">
      <c r="A8192" t="s">
        <v>1458</v>
      </c>
      <c r="B8192" t="s">
        <v>1457</v>
      </c>
      <c r="C8192" t="s">
        <v>460</v>
      </c>
      <c r="D8192" t="e">
        <f>VLOOKUP(C8192,'lookup table'!$A$2:$B$19,2,FALSE)</f>
        <v>#N/A</v>
      </c>
      <c r="E8192" t="str">
        <f t="shared" si="127"/>
        <v/>
      </c>
    </row>
    <row r="8193" spans="1:5" x14ac:dyDescent="0.2">
      <c r="A8193" t="s">
        <v>1458</v>
      </c>
      <c r="B8193" t="s">
        <v>1457</v>
      </c>
      <c r="C8193" t="s">
        <v>461</v>
      </c>
      <c r="D8193" t="str">
        <f>VLOOKUP(C8193,'lookup table'!$A$2:$B$19,2,FALSE)</f>
        <v>Posting Level</v>
      </c>
      <c r="E8193" t="str">
        <f t="shared" si="127"/>
        <v>DZ4LOB_14|Posting Level</v>
      </c>
    </row>
    <row r="8194" spans="1:5" x14ac:dyDescent="0.2">
      <c r="A8194" t="s">
        <v>1458</v>
      </c>
      <c r="B8194" t="s">
        <v>1457</v>
      </c>
      <c r="C8194" t="s">
        <v>462</v>
      </c>
      <c r="D8194" t="e">
        <f>VLOOKUP(C8194,'lookup table'!$A$2:$B$19,2,FALSE)</f>
        <v>#N/A</v>
      </c>
      <c r="E8194" t="str">
        <f t="shared" si="127"/>
        <v/>
      </c>
    </row>
    <row r="8195" spans="1:5" x14ac:dyDescent="0.2">
      <c r="A8195" t="s">
        <v>1458</v>
      </c>
      <c r="B8195" t="s">
        <v>1457</v>
      </c>
      <c r="C8195" t="s">
        <v>463</v>
      </c>
      <c r="D8195" t="e">
        <f>VLOOKUP(C8195,'lookup table'!$A$2:$B$19,2,FALSE)</f>
        <v>#N/A</v>
      </c>
      <c r="E8195" t="str">
        <f t="shared" ref="E8195:E8258" si="128">IF(ISNA(D8195),"",IF(A8195="","",A8195) &amp; "|" &amp; D8195)</f>
        <v/>
      </c>
    </row>
    <row r="8196" spans="1:5" x14ac:dyDescent="0.2">
      <c r="A8196" t="s">
        <v>1458</v>
      </c>
      <c r="B8196" t="s">
        <v>1457</v>
      </c>
      <c r="C8196" t="s">
        <v>464</v>
      </c>
      <c r="D8196" t="e">
        <f>VLOOKUP(C8196,'lookup table'!$A$2:$B$19,2,FALSE)</f>
        <v>#N/A</v>
      </c>
      <c r="E8196" t="str">
        <f t="shared" si="128"/>
        <v/>
      </c>
    </row>
    <row r="8197" spans="1:5" x14ac:dyDescent="0.2">
      <c r="A8197" t="s">
        <v>1458</v>
      </c>
      <c r="B8197" t="s">
        <v>1457</v>
      </c>
      <c r="C8197" t="s">
        <v>465</v>
      </c>
      <c r="D8197" t="e">
        <f>VLOOKUP(C8197,'lookup table'!$A$2:$B$19,2,FALSE)</f>
        <v>#N/A</v>
      </c>
      <c r="E8197" t="str">
        <f t="shared" si="128"/>
        <v/>
      </c>
    </row>
    <row r="8198" spans="1:5" x14ac:dyDescent="0.2">
      <c r="A8198" t="s">
        <v>1459</v>
      </c>
      <c r="B8198" t="s">
        <v>1460</v>
      </c>
      <c r="C8198" t="s">
        <v>2</v>
      </c>
      <c r="D8198" t="e">
        <f>VLOOKUP(C8198,'lookup table'!$A$2:$B$19,2,FALSE)</f>
        <v>#N/A</v>
      </c>
      <c r="E8198" t="str">
        <f t="shared" si="128"/>
        <v/>
      </c>
    </row>
    <row r="8199" spans="1:5" x14ac:dyDescent="0.2">
      <c r="A8199" t="s">
        <v>1459</v>
      </c>
      <c r="B8199" t="s">
        <v>1460</v>
      </c>
      <c r="C8199" t="s">
        <v>5</v>
      </c>
      <c r="D8199" t="e">
        <f>VLOOKUP(C8199,'lookup table'!$A$2:$B$19,2,FALSE)</f>
        <v>#N/A</v>
      </c>
      <c r="E8199" t="str">
        <f t="shared" si="128"/>
        <v/>
      </c>
    </row>
    <row r="8200" spans="1:5" x14ac:dyDescent="0.2">
      <c r="A8200" t="s">
        <v>1459</v>
      </c>
      <c r="B8200" t="s">
        <v>1460</v>
      </c>
      <c r="C8200" t="s">
        <v>6</v>
      </c>
      <c r="D8200" t="e">
        <f>VLOOKUP(C8200,'lookup table'!$A$2:$B$19,2,FALSE)</f>
        <v>#N/A</v>
      </c>
      <c r="E8200" t="str">
        <f t="shared" si="128"/>
        <v/>
      </c>
    </row>
    <row r="8201" spans="1:5" x14ac:dyDescent="0.2">
      <c r="A8201" t="s">
        <v>1459</v>
      </c>
      <c r="B8201" t="s">
        <v>1460</v>
      </c>
      <c r="C8201" t="s">
        <v>9</v>
      </c>
      <c r="D8201" t="e">
        <f>VLOOKUP(C8201,'lookup table'!$A$2:$B$19,2,FALSE)</f>
        <v>#N/A</v>
      </c>
      <c r="E8201" t="str">
        <f t="shared" si="128"/>
        <v/>
      </c>
    </row>
    <row r="8202" spans="1:5" x14ac:dyDescent="0.2">
      <c r="A8202" t="s">
        <v>1459</v>
      </c>
      <c r="B8202" t="s">
        <v>1460</v>
      </c>
      <c r="C8202" t="s">
        <v>10</v>
      </c>
      <c r="D8202" t="e">
        <f>VLOOKUP(C8202,'lookup table'!$A$2:$B$19,2,FALSE)</f>
        <v>#N/A</v>
      </c>
      <c r="E8202" t="str">
        <f t="shared" si="128"/>
        <v/>
      </c>
    </row>
    <row r="8203" spans="1:5" x14ac:dyDescent="0.2">
      <c r="A8203" t="s">
        <v>1459</v>
      </c>
      <c r="B8203" t="s">
        <v>1460</v>
      </c>
      <c r="C8203" t="s">
        <v>11</v>
      </c>
      <c r="D8203" t="e">
        <f>VLOOKUP(C8203,'lookup table'!$A$2:$B$19,2,FALSE)</f>
        <v>#N/A</v>
      </c>
      <c r="E8203" t="str">
        <f t="shared" si="128"/>
        <v/>
      </c>
    </row>
    <row r="8204" spans="1:5" x14ac:dyDescent="0.2">
      <c r="A8204" t="s">
        <v>1459</v>
      </c>
      <c r="B8204" t="s">
        <v>1460</v>
      </c>
      <c r="C8204" t="s">
        <v>12</v>
      </c>
      <c r="D8204" t="e">
        <f>VLOOKUP(C8204,'lookup table'!$A$2:$B$19,2,FALSE)</f>
        <v>#N/A</v>
      </c>
      <c r="E8204" t="str">
        <f t="shared" si="128"/>
        <v/>
      </c>
    </row>
    <row r="8205" spans="1:5" x14ac:dyDescent="0.2">
      <c r="A8205" t="s">
        <v>1459</v>
      </c>
      <c r="B8205" t="s">
        <v>1460</v>
      </c>
      <c r="C8205" t="s">
        <v>14</v>
      </c>
      <c r="D8205" t="str">
        <f>VLOOKUP(C8205,'lookup table'!$A$2:$B$19,2,FALSE)</f>
        <v>ALC</v>
      </c>
      <c r="E8205" t="str">
        <f t="shared" si="128"/>
        <v>DZ4REX_00|ALC</v>
      </c>
    </row>
    <row r="8206" spans="1:5" x14ac:dyDescent="0.2">
      <c r="A8206" t="s">
        <v>1459</v>
      </c>
      <c r="B8206" t="s">
        <v>1460</v>
      </c>
      <c r="C8206" t="s">
        <v>20</v>
      </c>
      <c r="D8206" t="str">
        <f>VLOOKUP(C8206,'lookup table'!$A$2:$B$19,2,FALSE)</f>
        <v>AY</v>
      </c>
      <c r="E8206" t="str">
        <f t="shared" si="128"/>
        <v>DZ4REX_00|AY</v>
      </c>
    </row>
    <row r="8207" spans="1:5" x14ac:dyDescent="0.2">
      <c r="A8207" t="s">
        <v>1459</v>
      </c>
      <c r="B8207" t="s">
        <v>1460</v>
      </c>
      <c r="C8207" t="s">
        <v>324</v>
      </c>
      <c r="D8207" t="e">
        <f>VLOOKUP(C8207,'lookup table'!$A$2:$B$19,2,FALSE)</f>
        <v>#N/A</v>
      </c>
      <c r="E8207" t="str">
        <f t="shared" si="128"/>
        <v/>
      </c>
    </row>
    <row r="8208" spans="1:5" x14ac:dyDescent="0.2">
      <c r="A8208" t="s">
        <v>1459</v>
      </c>
      <c r="B8208" t="s">
        <v>1460</v>
      </c>
      <c r="C8208" t="s">
        <v>325</v>
      </c>
      <c r="D8208" t="e">
        <f>VLOOKUP(C8208,'lookup table'!$A$2:$B$19,2,FALSE)</f>
        <v>#N/A</v>
      </c>
      <c r="E8208" t="str">
        <f t="shared" si="128"/>
        <v/>
      </c>
    </row>
    <row r="8209" spans="1:5" x14ac:dyDescent="0.2">
      <c r="A8209" t="s">
        <v>1459</v>
      </c>
      <c r="B8209" t="s">
        <v>1460</v>
      </c>
      <c r="C8209" t="s">
        <v>326</v>
      </c>
      <c r="D8209" t="e">
        <f>VLOOKUP(C8209,'lookup table'!$A$2:$B$19,2,FALSE)</f>
        <v>#N/A</v>
      </c>
      <c r="E8209" t="str">
        <f t="shared" si="128"/>
        <v/>
      </c>
    </row>
    <row r="8210" spans="1:5" x14ac:dyDescent="0.2">
      <c r="A8210" t="s">
        <v>1459</v>
      </c>
      <c r="B8210" t="s">
        <v>1460</v>
      </c>
      <c r="C8210" t="s">
        <v>327</v>
      </c>
      <c r="D8210" t="e">
        <f>VLOOKUP(C8210,'lookup table'!$A$2:$B$19,2,FALSE)</f>
        <v>#N/A</v>
      </c>
      <c r="E8210" t="str">
        <f t="shared" si="128"/>
        <v/>
      </c>
    </row>
    <row r="8211" spans="1:5" x14ac:dyDescent="0.2">
      <c r="A8211" t="s">
        <v>1459</v>
      </c>
      <c r="B8211" t="s">
        <v>1460</v>
      </c>
      <c r="C8211" t="s">
        <v>328</v>
      </c>
      <c r="D8211" t="e">
        <f>VLOOKUP(C8211,'lookup table'!$A$2:$B$19,2,FALSE)</f>
        <v>#N/A</v>
      </c>
      <c r="E8211" t="str">
        <f t="shared" si="128"/>
        <v/>
      </c>
    </row>
    <row r="8212" spans="1:5" x14ac:dyDescent="0.2">
      <c r="A8212" t="s">
        <v>1459</v>
      </c>
      <c r="B8212" t="s">
        <v>1460</v>
      </c>
      <c r="C8212" t="s">
        <v>329</v>
      </c>
      <c r="D8212" t="e">
        <f>VLOOKUP(C8212,'lookup table'!$A$2:$B$19,2,FALSE)</f>
        <v>#N/A</v>
      </c>
      <c r="E8212" t="str">
        <f t="shared" si="128"/>
        <v/>
      </c>
    </row>
    <row r="8213" spans="1:5" x14ac:dyDescent="0.2">
      <c r="A8213" t="s">
        <v>1459</v>
      </c>
      <c r="B8213" t="s">
        <v>1460</v>
      </c>
      <c r="C8213" t="s">
        <v>331</v>
      </c>
      <c r="D8213" t="str">
        <f>VLOOKUP(C8213,'lookup table'!$A$2:$B$19,2,FALSE)</f>
        <v>FS Item</v>
      </c>
      <c r="E8213" t="str">
        <f t="shared" si="128"/>
        <v>DZ4REX_00|FS Item</v>
      </c>
    </row>
    <row r="8214" spans="1:5" x14ac:dyDescent="0.2">
      <c r="A8214" t="s">
        <v>1459</v>
      </c>
      <c r="B8214" t="s">
        <v>1460</v>
      </c>
      <c r="C8214" t="s">
        <v>422</v>
      </c>
      <c r="D8214" t="e">
        <f>VLOOKUP(C8214,'lookup table'!$A$2:$B$19,2,FALSE)</f>
        <v>#N/A</v>
      </c>
      <c r="E8214" t="str">
        <f t="shared" si="128"/>
        <v/>
      </c>
    </row>
    <row r="8215" spans="1:5" x14ac:dyDescent="0.2">
      <c r="A8215" t="s">
        <v>1459</v>
      </c>
      <c r="B8215" t="s">
        <v>1460</v>
      </c>
      <c r="C8215" t="s">
        <v>423</v>
      </c>
      <c r="D8215" t="str">
        <f>VLOOKUP(C8215,'lookup table'!$A$2:$B$19,2,FALSE)</f>
        <v>ignore</v>
      </c>
      <c r="E8215" t="str">
        <f t="shared" si="128"/>
        <v>DZ4REX_00|ignore</v>
      </c>
    </row>
    <row r="8216" spans="1:5" x14ac:dyDescent="0.2">
      <c r="A8216" t="s">
        <v>1459</v>
      </c>
      <c r="B8216" t="s">
        <v>1460</v>
      </c>
      <c r="C8216" t="s">
        <v>424</v>
      </c>
      <c r="D8216" t="str">
        <f>VLOOKUP(C8216,'lookup table'!$A$2:$B$19,2,FALSE)</f>
        <v>GRC</v>
      </c>
      <c r="E8216" t="str">
        <f t="shared" si="128"/>
        <v>DZ4REX_00|GRC</v>
      </c>
    </row>
    <row r="8217" spans="1:5" x14ac:dyDescent="0.2">
      <c r="A8217" t="s">
        <v>1459</v>
      </c>
      <c r="B8217" t="s">
        <v>1460</v>
      </c>
      <c r="C8217" t="s">
        <v>425</v>
      </c>
      <c r="D8217" t="str">
        <f>VLOOKUP(C8217,'lookup table'!$A$2:$B$19,2,FALSE)</f>
        <v>Investee Segment</v>
      </c>
      <c r="E8217" t="str">
        <f t="shared" si="128"/>
        <v>DZ4REX_00|Investee Segment</v>
      </c>
    </row>
    <row r="8218" spans="1:5" x14ac:dyDescent="0.2">
      <c r="A8218" t="s">
        <v>1459</v>
      </c>
      <c r="B8218" t="s">
        <v>1460</v>
      </c>
      <c r="C8218" t="s">
        <v>426</v>
      </c>
      <c r="D8218" t="str">
        <f>VLOOKUP(C8218,'lookup table'!$A$2:$B$19,2,FALSE)</f>
        <v>Investee Unit</v>
      </c>
      <c r="E8218" t="str">
        <f t="shared" si="128"/>
        <v>DZ4REX_00|Investee Unit</v>
      </c>
    </row>
    <row r="8219" spans="1:5" x14ac:dyDescent="0.2">
      <c r="A8219" t="s">
        <v>1459</v>
      </c>
      <c r="B8219" t="s">
        <v>1460</v>
      </c>
      <c r="C8219" t="s">
        <v>428</v>
      </c>
      <c r="D8219" t="str">
        <f>VLOOKUP(C8219,'lookup table'!$A$2:$B$19,2,FALSE)</f>
        <v>LoB</v>
      </c>
      <c r="E8219" t="str">
        <f t="shared" si="128"/>
        <v>DZ4REX_00|LoB</v>
      </c>
    </row>
    <row r="8220" spans="1:5" x14ac:dyDescent="0.2">
      <c r="A8220" t="s">
        <v>1459</v>
      </c>
      <c r="B8220" t="s">
        <v>1460</v>
      </c>
      <c r="C8220" t="s">
        <v>436</v>
      </c>
      <c r="D8220" t="str">
        <f>VLOOKUP(C8220,'lookup table'!$A$2:$B$19,2,FALSE)</f>
        <v>MAT</v>
      </c>
      <c r="E8220" t="str">
        <f t="shared" si="128"/>
        <v>DZ4REX_00|MAT</v>
      </c>
    </row>
    <row r="8221" spans="1:5" x14ac:dyDescent="0.2">
      <c r="A8221" t="s">
        <v>1459</v>
      </c>
      <c r="B8221" t="s">
        <v>1460</v>
      </c>
      <c r="C8221" t="s">
        <v>438</v>
      </c>
      <c r="D8221" t="str">
        <f>VLOOKUP(C8221,'lookup table'!$A$2:$B$19,2,FALSE)</f>
        <v>ToM</v>
      </c>
      <c r="E8221" t="str">
        <f t="shared" si="128"/>
        <v>DZ4REX_00|ToM</v>
      </c>
    </row>
    <row r="8222" spans="1:5" x14ac:dyDescent="0.2">
      <c r="A8222" t="s">
        <v>1459</v>
      </c>
      <c r="B8222" t="s">
        <v>1460</v>
      </c>
      <c r="C8222" t="s">
        <v>441</v>
      </c>
      <c r="D8222" t="str">
        <f>VLOOKUP(C8222,'lookup table'!$A$2:$B$19,2,FALSE)</f>
        <v>Partner Segment</v>
      </c>
      <c r="E8222" t="str">
        <f t="shared" si="128"/>
        <v>DZ4REX_00|Partner Segment</v>
      </c>
    </row>
    <row r="8223" spans="1:5" x14ac:dyDescent="0.2">
      <c r="A8223" t="s">
        <v>1459</v>
      </c>
      <c r="B8223" t="s">
        <v>1460</v>
      </c>
      <c r="C8223" t="s">
        <v>442</v>
      </c>
      <c r="D8223" t="str">
        <f>VLOOKUP(C8223,'lookup table'!$A$2:$B$19,2,FALSE)</f>
        <v>Partner Unit</v>
      </c>
      <c r="E8223" t="str">
        <f t="shared" si="128"/>
        <v>DZ4REX_00|Partner Unit</v>
      </c>
    </row>
    <row r="8224" spans="1:5" x14ac:dyDescent="0.2">
      <c r="A8224" t="s">
        <v>1459</v>
      </c>
      <c r="B8224" t="s">
        <v>1460</v>
      </c>
      <c r="C8224" t="s">
        <v>447</v>
      </c>
      <c r="D8224" t="str">
        <f>VLOOKUP(C8224,'lookup table'!$A$2:$B$19,2,FALSE)</f>
        <v>REX</v>
      </c>
      <c r="E8224" t="str">
        <f t="shared" si="128"/>
        <v>DZ4REX_00|REX</v>
      </c>
    </row>
    <row r="8225" spans="1:5" x14ac:dyDescent="0.2">
      <c r="A8225" t="s">
        <v>1459</v>
      </c>
      <c r="B8225" t="s">
        <v>1460</v>
      </c>
      <c r="C8225" t="s">
        <v>448</v>
      </c>
      <c r="D8225" t="e">
        <f>VLOOKUP(C8225,'lookup table'!$A$2:$B$19,2,FALSE)</f>
        <v>#N/A</v>
      </c>
      <c r="E8225" t="str">
        <f t="shared" si="128"/>
        <v/>
      </c>
    </row>
    <row r="8226" spans="1:5" x14ac:dyDescent="0.2">
      <c r="A8226" t="s">
        <v>1459</v>
      </c>
      <c r="B8226" t="s">
        <v>1460</v>
      </c>
      <c r="C8226" t="s">
        <v>449</v>
      </c>
      <c r="D8226" t="e">
        <f>VLOOKUP(C8226,'lookup table'!$A$2:$B$19,2,FALSE)</f>
        <v>#N/A</v>
      </c>
      <c r="E8226" t="str">
        <f t="shared" si="128"/>
        <v/>
      </c>
    </row>
    <row r="8227" spans="1:5" x14ac:dyDescent="0.2">
      <c r="A8227" t="s">
        <v>1459</v>
      </c>
      <c r="B8227" t="s">
        <v>1460</v>
      </c>
      <c r="C8227" t="s">
        <v>451</v>
      </c>
      <c r="D8227" t="str">
        <f>VLOOKUP(C8227,'lookup table'!$A$2:$B$19,2,FALSE)</f>
        <v>Segment</v>
      </c>
      <c r="E8227" t="str">
        <f t="shared" si="128"/>
        <v>DZ4REX_00|Segment</v>
      </c>
    </row>
    <row r="8228" spans="1:5" x14ac:dyDescent="0.2">
      <c r="A8228" t="s">
        <v>1459</v>
      </c>
      <c r="B8228" t="s">
        <v>1460</v>
      </c>
      <c r="C8228" t="s">
        <v>455</v>
      </c>
      <c r="D8228" t="e">
        <f>VLOOKUP(C8228,'lookup table'!$A$2:$B$19,2,FALSE)</f>
        <v>#N/A</v>
      </c>
      <c r="E8228" t="str">
        <f t="shared" si="128"/>
        <v/>
      </c>
    </row>
    <row r="8229" spans="1:5" x14ac:dyDescent="0.2">
      <c r="A8229" t="s">
        <v>1459</v>
      </c>
      <c r="B8229" t="s">
        <v>1460</v>
      </c>
      <c r="C8229" t="s">
        <v>456</v>
      </c>
      <c r="D8229" t="e">
        <f>VLOOKUP(C8229,'lookup table'!$A$2:$B$19,2,FALSE)</f>
        <v>#N/A</v>
      </c>
      <c r="E8229" t="str">
        <f t="shared" si="128"/>
        <v/>
      </c>
    </row>
    <row r="8230" spans="1:5" x14ac:dyDescent="0.2">
      <c r="A8230" t="s">
        <v>1459</v>
      </c>
      <c r="B8230" t="s">
        <v>1460</v>
      </c>
      <c r="C8230" t="s">
        <v>457</v>
      </c>
      <c r="D8230" t="str">
        <f>VLOOKUP(C8230,'lookup table'!$A$2:$B$19,2,FALSE)</f>
        <v>VLT</v>
      </c>
      <c r="E8230" t="str">
        <f t="shared" si="128"/>
        <v>DZ4REX_00|VLT</v>
      </c>
    </row>
    <row r="8231" spans="1:5" x14ac:dyDescent="0.2">
      <c r="A8231" t="s">
        <v>1459</v>
      </c>
      <c r="B8231" t="s">
        <v>1460</v>
      </c>
      <c r="C8231" t="s">
        <v>458</v>
      </c>
      <c r="D8231" t="str">
        <f>VLOOKUP(C8231,'lookup table'!$A$2:$B$19,2,FALSE)</f>
        <v>VAR</v>
      </c>
      <c r="E8231" t="str">
        <f t="shared" si="128"/>
        <v>DZ4REX_00|VAR</v>
      </c>
    </row>
    <row r="8232" spans="1:5" x14ac:dyDescent="0.2">
      <c r="A8232" t="s">
        <v>1459</v>
      </c>
      <c r="B8232" t="s">
        <v>1460</v>
      </c>
      <c r="C8232" t="s">
        <v>459</v>
      </c>
      <c r="D8232" t="e">
        <f>VLOOKUP(C8232,'lookup table'!$A$2:$B$19,2,FALSE)</f>
        <v>#N/A</v>
      </c>
      <c r="E8232" t="str">
        <f t="shared" si="128"/>
        <v/>
      </c>
    </row>
    <row r="8233" spans="1:5" x14ac:dyDescent="0.2">
      <c r="A8233" t="s">
        <v>1459</v>
      </c>
      <c r="B8233" t="s">
        <v>1460</v>
      </c>
      <c r="C8233" t="s">
        <v>460</v>
      </c>
      <c r="D8233" t="e">
        <f>VLOOKUP(C8233,'lookup table'!$A$2:$B$19,2,FALSE)</f>
        <v>#N/A</v>
      </c>
      <c r="E8233" t="str">
        <f t="shared" si="128"/>
        <v/>
      </c>
    </row>
    <row r="8234" spans="1:5" x14ac:dyDescent="0.2">
      <c r="A8234" t="s">
        <v>1459</v>
      </c>
      <c r="B8234" t="s">
        <v>1460</v>
      </c>
      <c r="C8234" t="s">
        <v>461</v>
      </c>
      <c r="D8234" t="str">
        <f>VLOOKUP(C8234,'lookup table'!$A$2:$B$19,2,FALSE)</f>
        <v>Posting Level</v>
      </c>
      <c r="E8234" t="str">
        <f t="shared" si="128"/>
        <v>DZ4REX_00|Posting Level</v>
      </c>
    </row>
    <row r="8235" spans="1:5" x14ac:dyDescent="0.2">
      <c r="A8235" t="s">
        <v>1459</v>
      </c>
      <c r="B8235" t="s">
        <v>1460</v>
      </c>
      <c r="C8235" t="s">
        <v>462</v>
      </c>
      <c r="D8235" t="e">
        <f>VLOOKUP(C8235,'lookup table'!$A$2:$B$19,2,FALSE)</f>
        <v>#N/A</v>
      </c>
      <c r="E8235" t="str">
        <f t="shared" si="128"/>
        <v/>
      </c>
    </row>
    <row r="8236" spans="1:5" x14ac:dyDescent="0.2">
      <c r="A8236" t="s">
        <v>1459</v>
      </c>
      <c r="B8236" t="s">
        <v>1460</v>
      </c>
      <c r="C8236" t="s">
        <v>463</v>
      </c>
      <c r="D8236" t="e">
        <f>VLOOKUP(C8236,'lookup table'!$A$2:$B$19,2,FALSE)</f>
        <v>#N/A</v>
      </c>
      <c r="E8236" t="str">
        <f t="shared" si="128"/>
        <v/>
      </c>
    </row>
    <row r="8237" spans="1:5" x14ac:dyDescent="0.2">
      <c r="A8237" t="s">
        <v>1459</v>
      </c>
      <c r="B8237" t="s">
        <v>1460</v>
      </c>
      <c r="C8237" t="s">
        <v>464</v>
      </c>
      <c r="D8237" t="e">
        <f>VLOOKUP(C8237,'lookup table'!$A$2:$B$19,2,FALSE)</f>
        <v>#N/A</v>
      </c>
      <c r="E8237" t="str">
        <f t="shared" si="128"/>
        <v/>
      </c>
    </row>
    <row r="8238" spans="1:5" x14ac:dyDescent="0.2">
      <c r="A8238" t="s">
        <v>1459</v>
      </c>
      <c r="B8238" t="s">
        <v>1460</v>
      </c>
      <c r="C8238" t="s">
        <v>465</v>
      </c>
      <c r="D8238" t="e">
        <f>VLOOKUP(C8238,'lookup table'!$A$2:$B$19,2,FALSE)</f>
        <v>#N/A</v>
      </c>
      <c r="E8238" t="str">
        <f t="shared" si="128"/>
        <v/>
      </c>
    </row>
    <row r="8239" spans="1:5" x14ac:dyDescent="0.2">
      <c r="A8239" t="s">
        <v>1461</v>
      </c>
      <c r="B8239" t="s">
        <v>1462</v>
      </c>
      <c r="C8239" t="s">
        <v>2</v>
      </c>
      <c r="D8239" t="e">
        <f>VLOOKUP(C8239,'lookup table'!$A$2:$B$19,2,FALSE)</f>
        <v>#N/A</v>
      </c>
      <c r="E8239" t="str">
        <f t="shared" si="128"/>
        <v/>
      </c>
    </row>
    <row r="8240" spans="1:5" x14ac:dyDescent="0.2">
      <c r="A8240" t="s">
        <v>1461</v>
      </c>
      <c r="B8240" t="s">
        <v>1462</v>
      </c>
      <c r="C8240" t="s">
        <v>5</v>
      </c>
      <c r="D8240" t="e">
        <f>VLOOKUP(C8240,'lookup table'!$A$2:$B$19,2,FALSE)</f>
        <v>#N/A</v>
      </c>
      <c r="E8240" t="str">
        <f t="shared" si="128"/>
        <v/>
      </c>
    </row>
    <row r="8241" spans="1:5" x14ac:dyDescent="0.2">
      <c r="A8241" t="s">
        <v>1461</v>
      </c>
      <c r="B8241" t="s">
        <v>1462</v>
      </c>
      <c r="C8241" t="s">
        <v>6</v>
      </c>
      <c r="D8241" t="e">
        <f>VLOOKUP(C8241,'lookup table'!$A$2:$B$19,2,FALSE)</f>
        <v>#N/A</v>
      </c>
      <c r="E8241" t="str">
        <f t="shared" si="128"/>
        <v/>
      </c>
    </row>
    <row r="8242" spans="1:5" x14ac:dyDescent="0.2">
      <c r="A8242" t="s">
        <v>1461</v>
      </c>
      <c r="B8242" t="s">
        <v>1462</v>
      </c>
      <c r="C8242" t="s">
        <v>9</v>
      </c>
      <c r="D8242" t="e">
        <f>VLOOKUP(C8242,'lookup table'!$A$2:$B$19,2,FALSE)</f>
        <v>#N/A</v>
      </c>
      <c r="E8242" t="str">
        <f t="shared" si="128"/>
        <v/>
      </c>
    </row>
    <row r="8243" spans="1:5" x14ac:dyDescent="0.2">
      <c r="A8243" t="s">
        <v>1461</v>
      </c>
      <c r="B8243" t="s">
        <v>1462</v>
      </c>
      <c r="C8243" t="s">
        <v>10</v>
      </c>
      <c r="D8243" t="e">
        <f>VLOOKUP(C8243,'lookup table'!$A$2:$B$19,2,FALSE)</f>
        <v>#N/A</v>
      </c>
      <c r="E8243" t="str">
        <f t="shared" si="128"/>
        <v/>
      </c>
    </row>
    <row r="8244" spans="1:5" x14ac:dyDescent="0.2">
      <c r="A8244" t="s">
        <v>1461</v>
      </c>
      <c r="B8244" t="s">
        <v>1462</v>
      </c>
      <c r="C8244" t="s">
        <v>11</v>
      </c>
      <c r="D8244" t="e">
        <f>VLOOKUP(C8244,'lookup table'!$A$2:$B$19,2,FALSE)</f>
        <v>#N/A</v>
      </c>
      <c r="E8244" t="str">
        <f t="shared" si="128"/>
        <v/>
      </c>
    </row>
    <row r="8245" spans="1:5" x14ac:dyDescent="0.2">
      <c r="A8245" t="s">
        <v>1461</v>
      </c>
      <c r="B8245" t="s">
        <v>1462</v>
      </c>
      <c r="C8245" t="s">
        <v>12</v>
      </c>
      <c r="D8245" t="e">
        <f>VLOOKUP(C8245,'lookup table'!$A$2:$B$19,2,FALSE)</f>
        <v>#N/A</v>
      </c>
      <c r="E8245" t="str">
        <f t="shared" si="128"/>
        <v/>
      </c>
    </row>
    <row r="8246" spans="1:5" x14ac:dyDescent="0.2">
      <c r="A8246" t="s">
        <v>1461</v>
      </c>
      <c r="B8246" t="s">
        <v>1462</v>
      </c>
      <c r="C8246" t="s">
        <v>14</v>
      </c>
      <c r="D8246" t="str">
        <f>VLOOKUP(C8246,'lookup table'!$A$2:$B$19,2,FALSE)</f>
        <v>ALC</v>
      </c>
      <c r="E8246" t="str">
        <f t="shared" si="128"/>
        <v>DZ4TOM_00|ALC</v>
      </c>
    </row>
    <row r="8247" spans="1:5" x14ac:dyDescent="0.2">
      <c r="A8247" t="s">
        <v>1461</v>
      </c>
      <c r="B8247" t="s">
        <v>1462</v>
      </c>
      <c r="C8247" t="s">
        <v>20</v>
      </c>
      <c r="D8247" t="str">
        <f>VLOOKUP(C8247,'lookup table'!$A$2:$B$19,2,FALSE)</f>
        <v>AY</v>
      </c>
      <c r="E8247" t="str">
        <f t="shared" si="128"/>
        <v>DZ4TOM_00|AY</v>
      </c>
    </row>
    <row r="8248" spans="1:5" x14ac:dyDescent="0.2">
      <c r="A8248" t="s">
        <v>1461</v>
      </c>
      <c r="B8248" t="s">
        <v>1462</v>
      </c>
      <c r="C8248" t="s">
        <v>324</v>
      </c>
      <c r="D8248" t="e">
        <f>VLOOKUP(C8248,'lookup table'!$A$2:$B$19,2,FALSE)</f>
        <v>#N/A</v>
      </c>
      <c r="E8248" t="str">
        <f t="shared" si="128"/>
        <v/>
      </c>
    </row>
    <row r="8249" spans="1:5" x14ac:dyDescent="0.2">
      <c r="A8249" t="s">
        <v>1461</v>
      </c>
      <c r="B8249" t="s">
        <v>1462</v>
      </c>
      <c r="C8249" t="s">
        <v>325</v>
      </c>
      <c r="D8249" t="e">
        <f>VLOOKUP(C8249,'lookup table'!$A$2:$B$19,2,FALSE)</f>
        <v>#N/A</v>
      </c>
      <c r="E8249" t="str">
        <f t="shared" si="128"/>
        <v/>
      </c>
    </row>
    <row r="8250" spans="1:5" x14ac:dyDescent="0.2">
      <c r="A8250" t="s">
        <v>1461</v>
      </c>
      <c r="B8250" t="s">
        <v>1462</v>
      </c>
      <c r="C8250" t="s">
        <v>326</v>
      </c>
      <c r="D8250" t="e">
        <f>VLOOKUP(C8250,'lookup table'!$A$2:$B$19,2,FALSE)</f>
        <v>#N/A</v>
      </c>
      <c r="E8250" t="str">
        <f t="shared" si="128"/>
        <v/>
      </c>
    </row>
    <row r="8251" spans="1:5" x14ac:dyDescent="0.2">
      <c r="A8251" t="s">
        <v>1461</v>
      </c>
      <c r="B8251" t="s">
        <v>1462</v>
      </c>
      <c r="C8251" t="s">
        <v>327</v>
      </c>
      <c r="D8251" t="e">
        <f>VLOOKUP(C8251,'lookup table'!$A$2:$B$19,2,FALSE)</f>
        <v>#N/A</v>
      </c>
      <c r="E8251" t="str">
        <f t="shared" si="128"/>
        <v/>
      </c>
    </row>
    <row r="8252" spans="1:5" x14ac:dyDescent="0.2">
      <c r="A8252" t="s">
        <v>1461</v>
      </c>
      <c r="B8252" t="s">
        <v>1462</v>
      </c>
      <c r="C8252" t="s">
        <v>328</v>
      </c>
      <c r="D8252" t="e">
        <f>VLOOKUP(C8252,'lookup table'!$A$2:$B$19,2,FALSE)</f>
        <v>#N/A</v>
      </c>
      <c r="E8252" t="str">
        <f t="shared" si="128"/>
        <v/>
      </c>
    </row>
    <row r="8253" spans="1:5" x14ac:dyDescent="0.2">
      <c r="A8253" t="s">
        <v>1461</v>
      </c>
      <c r="B8253" t="s">
        <v>1462</v>
      </c>
      <c r="C8253" t="s">
        <v>329</v>
      </c>
      <c r="D8253" t="e">
        <f>VLOOKUP(C8253,'lookup table'!$A$2:$B$19,2,FALSE)</f>
        <v>#N/A</v>
      </c>
      <c r="E8253" t="str">
        <f t="shared" si="128"/>
        <v/>
      </c>
    </row>
    <row r="8254" spans="1:5" x14ac:dyDescent="0.2">
      <c r="A8254" t="s">
        <v>1461</v>
      </c>
      <c r="B8254" t="s">
        <v>1462</v>
      </c>
      <c r="C8254" t="s">
        <v>331</v>
      </c>
      <c r="D8254" t="str">
        <f>VLOOKUP(C8254,'lookup table'!$A$2:$B$19,2,FALSE)</f>
        <v>FS Item</v>
      </c>
      <c r="E8254" t="str">
        <f t="shared" si="128"/>
        <v>DZ4TOM_00|FS Item</v>
      </c>
    </row>
    <row r="8255" spans="1:5" x14ac:dyDescent="0.2">
      <c r="A8255" t="s">
        <v>1461</v>
      </c>
      <c r="B8255" t="s">
        <v>1462</v>
      </c>
      <c r="C8255" t="s">
        <v>422</v>
      </c>
      <c r="D8255" t="e">
        <f>VLOOKUP(C8255,'lookup table'!$A$2:$B$19,2,FALSE)</f>
        <v>#N/A</v>
      </c>
      <c r="E8255" t="str">
        <f t="shared" si="128"/>
        <v/>
      </c>
    </row>
    <row r="8256" spans="1:5" x14ac:dyDescent="0.2">
      <c r="A8256" t="s">
        <v>1461</v>
      </c>
      <c r="B8256" t="s">
        <v>1462</v>
      </c>
      <c r="C8256" t="s">
        <v>423</v>
      </c>
      <c r="D8256" t="str">
        <f>VLOOKUP(C8256,'lookup table'!$A$2:$B$19,2,FALSE)</f>
        <v>ignore</v>
      </c>
      <c r="E8256" t="str">
        <f t="shared" si="128"/>
        <v>DZ4TOM_00|ignore</v>
      </c>
    </row>
    <row r="8257" spans="1:5" x14ac:dyDescent="0.2">
      <c r="A8257" t="s">
        <v>1461</v>
      </c>
      <c r="B8257" t="s">
        <v>1462</v>
      </c>
      <c r="C8257" t="s">
        <v>424</v>
      </c>
      <c r="D8257" t="str">
        <f>VLOOKUP(C8257,'lookup table'!$A$2:$B$19,2,FALSE)</f>
        <v>GRC</v>
      </c>
      <c r="E8257" t="str">
        <f t="shared" si="128"/>
        <v>DZ4TOM_00|GRC</v>
      </c>
    </row>
    <row r="8258" spans="1:5" x14ac:dyDescent="0.2">
      <c r="A8258" t="s">
        <v>1461</v>
      </c>
      <c r="B8258" t="s">
        <v>1462</v>
      </c>
      <c r="C8258" t="s">
        <v>425</v>
      </c>
      <c r="D8258" t="str">
        <f>VLOOKUP(C8258,'lookup table'!$A$2:$B$19,2,FALSE)</f>
        <v>Investee Segment</v>
      </c>
      <c r="E8258" t="str">
        <f t="shared" si="128"/>
        <v>DZ4TOM_00|Investee Segment</v>
      </c>
    </row>
    <row r="8259" spans="1:5" x14ac:dyDescent="0.2">
      <c r="A8259" t="s">
        <v>1461</v>
      </c>
      <c r="B8259" t="s">
        <v>1462</v>
      </c>
      <c r="C8259" t="s">
        <v>426</v>
      </c>
      <c r="D8259" t="str">
        <f>VLOOKUP(C8259,'lookup table'!$A$2:$B$19,2,FALSE)</f>
        <v>Investee Unit</v>
      </c>
      <c r="E8259" t="str">
        <f t="shared" ref="E8259:E8322" si="129">IF(ISNA(D8259),"",IF(A8259="","",A8259) &amp; "|" &amp; D8259)</f>
        <v>DZ4TOM_00|Investee Unit</v>
      </c>
    </row>
    <row r="8260" spans="1:5" x14ac:dyDescent="0.2">
      <c r="A8260" t="s">
        <v>1461</v>
      </c>
      <c r="B8260" t="s">
        <v>1462</v>
      </c>
      <c r="C8260" t="s">
        <v>428</v>
      </c>
      <c r="D8260" t="str">
        <f>VLOOKUP(C8260,'lookup table'!$A$2:$B$19,2,FALSE)</f>
        <v>LoB</v>
      </c>
      <c r="E8260" t="str">
        <f t="shared" si="129"/>
        <v>DZ4TOM_00|LoB</v>
      </c>
    </row>
    <row r="8261" spans="1:5" x14ac:dyDescent="0.2">
      <c r="A8261" t="s">
        <v>1461</v>
      </c>
      <c r="B8261" t="s">
        <v>1462</v>
      </c>
      <c r="C8261" t="s">
        <v>436</v>
      </c>
      <c r="D8261" t="str">
        <f>VLOOKUP(C8261,'lookup table'!$A$2:$B$19,2,FALSE)</f>
        <v>MAT</v>
      </c>
      <c r="E8261" t="str">
        <f t="shared" si="129"/>
        <v>DZ4TOM_00|MAT</v>
      </c>
    </row>
    <row r="8262" spans="1:5" x14ac:dyDescent="0.2">
      <c r="A8262" t="s">
        <v>1461</v>
      </c>
      <c r="B8262" t="s">
        <v>1462</v>
      </c>
      <c r="C8262" t="s">
        <v>438</v>
      </c>
      <c r="D8262" t="str">
        <f>VLOOKUP(C8262,'lookup table'!$A$2:$B$19,2,FALSE)</f>
        <v>ToM</v>
      </c>
      <c r="E8262" t="str">
        <f t="shared" si="129"/>
        <v>DZ4TOM_00|ToM</v>
      </c>
    </row>
    <row r="8263" spans="1:5" x14ac:dyDescent="0.2">
      <c r="A8263" t="s">
        <v>1461</v>
      </c>
      <c r="B8263" t="s">
        <v>1462</v>
      </c>
      <c r="C8263" t="s">
        <v>441</v>
      </c>
      <c r="D8263" t="str">
        <f>VLOOKUP(C8263,'lookup table'!$A$2:$B$19,2,FALSE)</f>
        <v>Partner Segment</v>
      </c>
      <c r="E8263" t="str">
        <f t="shared" si="129"/>
        <v>DZ4TOM_00|Partner Segment</v>
      </c>
    </row>
    <row r="8264" spans="1:5" x14ac:dyDescent="0.2">
      <c r="A8264" t="s">
        <v>1461</v>
      </c>
      <c r="B8264" t="s">
        <v>1462</v>
      </c>
      <c r="C8264" t="s">
        <v>442</v>
      </c>
      <c r="D8264" t="str">
        <f>VLOOKUP(C8264,'lookup table'!$A$2:$B$19,2,FALSE)</f>
        <v>Partner Unit</v>
      </c>
      <c r="E8264" t="str">
        <f t="shared" si="129"/>
        <v>DZ4TOM_00|Partner Unit</v>
      </c>
    </row>
    <row r="8265" spans="1:5" x14ac:dyDescent="0.2">
      <c r="A8265" t="s">
        <v>1461</v>
      </c>
      <c r="B8265" t="s">
        <v>1462</v>
      </c>
      <c r="C8265" t="s">
        <v>447</v>
      </c>
      <c r="D8265" t="str">
        <f>VLOOKUP(C8265,'lookup table'!$A$2:$B$19,2,FALSE)</f>
        <v>REX</v>
      </c>
      <c r="E8265" t="str">
        <f t="shared" si="129"/>
        <v>DZ4TOM_00|REX</v>
      </c>
    </row>
    <row r="8266" spans="1:5" x14ac:dyDescent="0.2">
      <c r="A8266" t="s">
        <v>1461</v>
      </c>
      <c r="B8266" t="s">
        <v>1462</v>
      </c>
      <c r="C8266" t="s">
        <v>448</v>
      </c>
      <c r="D8266" t="e">
        <f>VLOOKUP(C8266,'lookup table'!$A$2:$B$19,2,FALSE)</f>
        <v>#N/A</v>
      </c>
      <c r="E8266" t="str">
        <f t="shared" si="129"/>
        <v/>
      </c>
    </row>
    <row r="8267" spans="1:5" x14ac:dyDescent="0.2">
      <c r="A8267" t="s">
        <v>1461</v>
      </c>
      <c r="B8267" t="s">
        <v>1462</v>
      </c>
      <c r="C8267" t="s">
        <v>449</v>
      </c>
      <c r="D8267" t="e">
        <f>VLOOKUP(C8267,'lookup table'!$A$2:$B$19,2,FALSE)</f>
        <v>#N/A</v>
      </c>
      <c r="E8267" t="str">
        <f t="shared" si="129"/>
        <v/>
      </c>
    </row>
    <row r="8268" spans="1:5" x14ac:dyDescent="0.2">
      <c r="A8268" t="s">
        <v>1461</v>
      </c>
      <c r="B8268" t="s">
        <v>1462</v>
      </c>
      <c r="C8268" t="s">
        <v>451</v>
      </c>
      <c r="D8268" t="str">
        <f>VLOOKUP(C8268,'lookup table'!$A$2:$B$19,2,FALSE)</f>
        <v>Segment</v>
      </c>
      <c r="E8268" t="str">
        <f t="shared" si="129"/>
        <v>DZ4TOM_00|Segment</v>
      </c>
    </row>
    <row r="8269" spans="1:5" x14ac:dyDescent="0.2">
      <c r="A8269" t="s">
        <v>1461</v>
      </c>
      <c r="B8269" t="s">
        <v>1462</v>
      </c>
      <c r="C8269" t="s">
        <v>455</v>
      </c>
      <c r="D8269" t="e">
        <f>VLOOKUP(C8269,'lookup table'!$A$2:$B$19,2,FALSE)</f>
        <v>#N/A</v>
      </c>
      <c r="E8269" t="str">
        <f t="shared" si="129"/>
        <v/>
      </c>
    </row>
    <row r="8270" spans="1:5" x14ac:dyDescent="0.2">
      <c r="A8270" t="s">
        <v>1461</v>
      </c>
      <c r="B8270" t="s">
        <v>1462</v>
      </c>
      <c r="C8270" t="s">
        <v>456</v>
      </c>
      <c r="D8270" t="e">
        <f>VLOOKUP(C8270,'lookup table'!$A$2:$B$19,2,FALSE)</f>
        <v>#N/A</v>
      </c>
      <c r="E8270" t="str">
        <f t="shared" si="129"/>
        <v/>
      </c>
    </row>
    <row r="8271" spans="1:5" x14ac:dyDescent="0.2">
      <c r="A8271" t="s">
        <v>1461</v>
      </c>
      <c r="B8271" t="s">
        <v>1462</v>
      </c>
      <c r="C8271" t="s">
        <v>457</v>
      </c>
      <c r="D8271" t="str">
        <f>VLOOKUP(C8271,'lookup table'!$A$2:$B$19,2,FALSE)</f>
        <v>VLT</v>
      </c>
      <c r="E8271" t="str">
        <f t="shared" si="129"/>
        <v>DZ4TOM_00|VLT</v>
      </c>
    </row>
    <row r="8272" spans="1:5" x14ac:dyDescent="0.2">
      <c r="A8272" t="s">
        <v>1461</v>
      </c>
      <c r="B8272" t="s">
        <v>1462</v>
      </c>
      <c r="C8272" t="s">
        <v>458</v>
      </c>
      <c r="D8272" t="str">
        <f>VLOOKUP(C8272,'lookup table'!$A$2:$B$19,2,FALSE)</f>
        <v>VAR</v>
      </c>
      <c r="E8272" t="str">
        <f t="shared" si="129"/>
        <v>DZ4TOM_00|VAR</v>
      </c>
    </row>
    <row r="8273" spans="1:5" x14ac:dyDescent="0.2">
      <c r="A8273" t="s">
        <v>1461</v>
      </c>
      <c r="B8273" t="s">
        <v>1462</v>
      </c>
      <c r="C8273" t="s">
        <v>459</v>
      </c>
      <c r="D8273" t="e">
        <f>VLOOKUP(C8273,'lookup table'!$A$2:$B$19,2,FALSE)</f>
        <v>#N/A</v>
      </c>
      <c r="E8273" t="str">
        <f t="shared" si="129"/>
        <v/>
      </c>
    </row>
    <row r="8274" spans="1:5" x14ac:dyDescent="0.2">
      <c r="A8274" t="s">
        <v>1461</v>
      </c>
      <c r="B8274" t="s">
        <v>1462</v>
      </c>
      <c r="C8274" t="s">
        <v>460</v>
      </c>
      <c r="D8274" t="e">
        <f>VLOOKUP(C8274,'lookup table'!$A$2:$B$19,2,FALSE)</f>
        <v>#N/A</v>
      </c>
      <c r="E8274" t="str">
        <f t="shared" si="129"/>
        <v/>
      </c>
    </row>
    <row r="8275" spans="1:5" x14ac:dyDescent="0.2">
      <c r="A8275" t="s">
        <v>1461</v>
      </c>
      <c r="B8275" t="s">
        <v>1462</v>
      </c>
      <c r="C8275" t="s">
        <v>461</v>
      </c>
      <c r="D8275" t="str">
        <f>VLOOKUP(C8275,'lookup table'!$A$2:$B$19,2,FALSE)</f>
        <v>Posting Level</v>
      </c>
      <c r="E8275" t="str">
        <f t="shared" si="129"/>
        <v>DZ4TOM_00|Posting Level</v>
      </c>
    </row>
    <row r="8276" spans="1:5" x14ac:dyDescent="0.2">
      <c r="A8276" t="s">
        <v>1461</v>
      </c>
      <c r="B8276" t="s">
        <v>1462</v>
      </c>
      <c r="C8276" t="s">
        <v>462</v>
      </c>
      <c r="D8276" t="e">
        <f>VLOOKUP(C8276,'lookup table'!$A$2:$B$19,2,FALSE)</f>
        <v>#N/A</v>
      </c>
      <c r="E8276" t="str">
        <f t="shared" si="129"/>
        <v/>
      </c>
    </row>
    <row r="8277" spans="1:5" x14ac:dyDescent="0.2">
      <c r="A8277" t="s">
        <v>1461</v>
      </c>
      <c r="B8277" t="s">
        <v>1462</v>
      </c>
      <c r="C8277" t="s">
        <v>463</v>
      </c>
      <c r="D8277" t="e">
        <f>VLOOKUP(C8277,'lookup table'!$A$2:$B$19,2,FALSE)</f>
        <v>#N/A</v>
      </c>
      <c r="E8277" t="str">
        <f t="shared" si="129"/>
        <v/>
      </c>
    </row>
    <row r="8278" spans="1:5" x14ac:dyDescent="0.2">
      <c r="A8278" t="s">
        <v>1461</v>
      </c>
      <c r="B8278" t="s">
        <v>1462</v>
      </c>
      <c r="C8278" t="s">
        <v>464</v>
      </c>
      <c r="D8278" t="e">
        <f>VLOOKUP(C8278,'lookup table'!$A$2:$B$19,2,FALSE)</f>
        <v>#N/A</v>
      </c>
      <c r="E8278" t="str">
        <f t="shared" si="129"/>
        <v/>
      </c>
    </row>
    <row r="8279" spans="1:5" x14ac:dyDescent="0.2">
      <c r="A8279" t="s">
        <v>1461</v>
      </c>
      <c r="B8279" t="s">
        <v>1462</v>
      </c>
      <c r="C8279" t="s">
        <v>465</v>
      </c>
      <c r="D8279" t="e">
        <f>VLOOKUP(C8279,'lookup table'!$A$2:$B$19,2,FALSE)</f>
        <v>#N/A</v>
      </c>
      <c r="E8279" t="str">
        <f t="shared" si="129"/>
        <v/>
      </c>
    </row>
    <row r="8280" spans="1:5" x14ac:dyDescent="0.2">
      <c r="A8280" t="s">
        <v>1463</v>
      </c>
      <c r="B8280" t="s">
        <v>1464</v>
      </c>
      <c r="C8280" t="s">
        <v>2</v>
      </c>
      <c r="D8280" t="e">
        <f>VLOOKUP(C8280,'lookup table'!$A$2:$B$19,2,FALSE)</f>
        <v>#N/A</v>
      </c>
      <c r="E8280" t="str">
        <f t="shared" si="129"/>
        <v/>
      </c>
    </row>
    <row r="8281" spans="1:5" x14ac:dyDescent="0.2">
      <c r="A8281" t="s">
        <v>1463</v>
      </c>
      <c r="B8281" t="s">
        <v>1464</v>
      </c>
      <c r="C8281" t="s">
        <v>5</v>
      </c>
      <c r="D8281" t="e">
        <f>VLOOKUP(C8281,'lookup table'!$A$2:$B$19,2,FALSE)</f>
        <v>#N/A</v>
      </c>
      <c r="E8281" t="str">
        <f t="shared" si="129"/>
        <v/>
      </c>
    </row>
    <row r="8282" spans="1:5" x14ac:dyDescent="0.2">
      <c r="A8282" t="s">
        <v>1463</v>
      </c>
      <c r="B8282" t="s">
        <v>1464</v>
      </c>
      <c r="C8282" t="s">
        <v>6</v>
      </c>
      <c r="D8282" t="e">
        <f>VLOOKUP(C8282,'lookup table'!$A$2:$B$19,2,FALSE)</f>
        <v>#N/A</v>
      </c>
      <c r="E8282" t="str">
        <f t="shared" si="129"/>
        <v/>
      </c>
    </row>
    <row r="8283" spans="1:5" x14ac:dyDescent="0.2">
      <c r="A8283" t="s">
        <v>1463</v>
      </c>
      <c r="B8283" t="s">
        <v>1464</v>
      </c>
      <c r="C8283" t="s">
        <v>9</v>
      </c>
      <c r="D8283" t="e">
        <f>VLOOKUP(C8283,'lookup table'!$A$2:$B$19,2,FALSE)</f>
        <v>#N/A</v>
      </c>
      <c r="E8283" t="str">
        <f t="shared" si="129"/>
        <v/>
      </c>
    </row>
    <row r="8284" spans="1:5" x14ac:dyDescent="0.2">
      <c r="A8284" t="s">
        <v>1463</v>
      </c>
      <c r="B8284" t="s">
        <v>1464</v>
      </c>
      <c r="C8284" t="s">
        <v>10</v>
      </c>
      <c r="D8284" t="e">
        <f>VLOOKUP(C8284,'lookup table'!$A$2:$B$19,2,FALSE)</f>
        <v>#N/A</v>
      </c>
      <c r="E8284" t="str">
        <f t="shared" si="129"/>
        <v/>
      </c>
    </row>
    <row r="8285" spans="1:5" x14ac:dyDescent="0.2">
      <c r="A8285" t="s">
        <v>1463</v>
      </c>
      <c r="B8285" t="s">
        <v>1464</v>
      </c>
      <c r="C8285" t="s">
        <v>11</v>
      </c>
      <c r="D8285" t="e">
        <f>VLOOKUP(C8285,'lookup table'!$A$2:$B$19,2,FALSE)</f>
        <v>#N/A</v>
      </c>
      <c r="E8285" t="str">
        <f t="shared" si="129"/>
        <v/>
      </c>
    </row>
    <row r="8286" spans="1:5" x14ac:dyDescent="0.2">
      <c r="A8286" t="s">
        <v>1463</v>
      </c>
      <c r="B8286" t="s">
        <v>1464</v>
      </c>
      <c r="C8286" t="s">
        <v>12</v>
      </c>
      <c r="D8286" t="e">
        <f>VLOOKUP(C8286,'lookup table'!$A$2:$B$19,2,FALSE)</f>
        <v>#N/A</v>
      </c>
      <c r="E8286" t="str">
        <f t="shared" si="129"/>
        <v/>
      </c>
    </row>
    <row r="8287" spans="1:5" x14ac:dyDescent="0.2">
      <c r="A8287" t="s">
        <v>1463</v>
      </c>
      <c r="B8287" t="s">
        <v>1464</v>
      </c>
      <c r="C8287" t="s">
        <v>14</v>
      </c>
      <c r="D8287" t="str">
        <f>VLOOKUP(C8287,'lookup table'!$A$2:$B$19,2,FALSE)</f>
        <v>ALC</v>
      </c>
      <c r="E8287" t="str">
        <f t="shared" si="129"/>
        <v>DZ4VAR_00|ALC</v>
      </c>
    </row>
    <row r="8288" spans="1:5" x14ac:dyDescent="0.2">
      <c r="A8288" t="s">
        <v>1463</v>
      </c>
      <c r="B8288" t="s">
        <v>1464</v>
      </c>
      <c r="C8288" t="s">
        <v>20</v>
      </c>
      <c r="D8288" t="str">
        <f>VLOOKUP(C8288,'lookup table'!$A$2:$B$19,2,FALSE)</f>
        <v>AY</v>
      </c>
      <c r="E8288" t="str">
        <f t="shared" si="129"/>
        <v>DZ4VAR_00|AY</v>
      </c>
    </row>
    <row r="8289" spans="1:5" x14ac:dyDescent="0.2">
      <c r="A8289" t="s">
        <v>1463</v>
      </c>
      <c r="B8289" t="s">
        <v>1464</v>
      </c>
      <c r="C8289" t="s">
        <v>324</v>
      </c>
      <c r="D8289" t="e">
        <f>VLOOKUP(C8289,'lookup table'!$A$2:$B$19,2,FALSE)</f>
        <v>#N/A</v>
      </c>
      <c r="E8289" t="str">
        <f t="shared" si="129"/>
        <v/>
      </c>
    </row>
    <row r="8290" spans="1:5" x14ac:dyDescent="0.2">
      <c r="A8290" t="s">
        <v>1463</v>
      </c>
      <c r="B8290" t="s">
        <v>1464</v>
      </c>
      <c r="C8290" t="s">
        <v>325</v>
      </c>
      <c r="D8290" t="e">
        <f>VLOOKUP(C8290,'lookup table'!$A$2:$B$19,2,FALSE)</f>
        <v>#N/A</v>
      </c>
      <c r="E8290" t="str">
        <f t="shared" si="129"/>
        <v/>
      </c>
    </row>
    <row r="8291" spans="1:5" x14ac:dyDescent="0.2">
      <c r="A8291" t="s">
        <v>1463</v>
      </c>
      <c r="B8291" t="s">
        <v>1464</v>
      </c>
      <c r="C8291" t="s">
        <v>326</v>
      </c>
      <c r="D8291" t="e">
        <f>VLOOKUP(C8291,'lookup table'!$A$2:$B$19,2,FALSE)</f>
        <v>#N/A</v>
      </c>
      <c r="E8291" t="str">
        <f t="shared" si="129"/>
        <v/>
      </c>
    </row>
    <row r="8292" spans="1:5" x14ac:dyDescent="0.2">
      <c r="A8292" t="s">
        <v>1463</v>
      </c>
      <c r="B8292" t="s">
        <v>1464</v>
      </c>
      <c r="C8292" t="s">
        <v>327</v>
      </c>
      <c r="D8292" t="e">
        <f>VLOOKUP(C8292,'lookup table'!$A$2:$B$19,2,FALSE)</f>
        <v>#N/A</v>
      </c>
      <c r="E8292" t="str">
        <f t="shared" si="129"/>
        <v/>
      </c>
    </row>
    <row r="8293" spans="1:5" x14ac:dyDescent="0.2">
      <c r="A8293" t="s">
        <v>1463</v>
      </c>
      <c r="B8293" t="s">
        <v>1464</v>
      </c>
      <c r="C8293" t="s">
        <v>328</v>
      </c>
      <c r="D8293" t="e">
        <f>VLOOKUP(C8293,'lookup table'!$A$2:$B$19,2,FALSE)</f>
        <v>#N/A</v>
      </c>
      <c r="E8293" t="str">
        <f t="shared" si="129"/>
        <v/>
      </c>
    </row>
    <row r="8294" spans="1:5" x14ac:dyDescent="0.2">
      <c r="A8294" t="s">
        <v>1463</v>
      </c>
      <c r="B8294" t="s">
        <v>1464</v>
      </c>
      <c r="C8294" t="s">
        <v>329</v>
      </c>
      <c r="D8294" t="e">
        <f>VLOOKUP(C8294,'lookup table'!$A$2:$B$19,2,FALSE)</f>
        <v>#N/A</v>
      </c>
      <c r="E8294" t="str">
        <f t="shared" si="129"/>
        <v/>
      </c>
    </row>
    <row r="8295" spans="1:5" x14ac:dyDescent="0.2">
      <c r="A8295" t="s">
        <v>1463</v>
      </c>
      <c r="B8295" t="s">
        <v>1464</v>
      </c>
      <c r="C8295" t="s">
        <v>331</v>
      </c>
      <c r="D8295" t="str">
        <f>VLOOKUP(C8295,'lookup table'!$A$2:$B$19,2,FALSE)</f>
        <v>FS Item</v>
      </c>
      <c r="E8295" t="str">
        <f t="shared" si="129"/>
        <v>DZ4VAR_00|FS Item</v>
      </c>
    </row>
    <row r="8296" spans="1:5" x14ac:dyDescent="0.2">
      <c r="A8296" t="s">
        <v>1463</v>
      </c>
      <c r="B8296" t="s">
        <v>1464</v>
      </c>
      <c r="C8296" t="s">
        <v>422</v>
      </c>
      <c r="D8296" t="e">
        <f>VLOOKUP(C8296,'lookup table'!$A$2:$B$19,2,FALSE)</f>
        <v>#N/A</v>
      </c>
      <c r="E8296" t="str">
        <f t="shared" si="129"/>
        <v/>
      </c>
    </row>
    <row r="8297" spans="1:5" x14ac:dyDescent="0.2">
      <c r="A8297" t="s">
        <v>1463</v>
      </c>
      <c r="B8297" t="s">
        <v>1464</v>
      </c>
      <c r="C8297" t="s">
        <v>423</v>
      </c>
      <c r="D8297" t="str">
        <f>VLOOKUP(C8297,'lookup table'!$A$2:$B$19,2,FALSE)</f>
        <v>ignore</v>
      </c>
      <c r="E8297" t="str">
        <f t="shared" si="129"/>
        <v>DZ4VAR_00|ignore</v>
      </c>
    </row>
    <row r="8298" spans="1:5" x14ac:dyDescent="0.2">
      <c r="A8298" t="s">
        <v>1463</v>
      </c>
      <c r="B8298" t="s">
        <v>1464</v>
      </c>
      <c r="C8298" t="s">
        <v>424</v>
      </c>
      <c r="D8298" t="str">
        <f>VLOOKUP(C8298,'lookup table'!$A$2:$B$19,2,FALSE)</f>
        <v>GRC</v>
      </c>
      <c r="E8298" t="str">
        <f t="shared" si="129"/>
        <v>DZ4VAR_00|GRC</v>
      </c>
    </row>
    <row r="8299" spans="1:5" x14ac:dyDescent="0.2">
      <c r="A8299" t="s">
        <v>1463</v>
      </c>
      <c r="B8299" t="s">
        <v>1464</v>
      </c>
      <c r="C8299" t="s">
        <v>425</v>
      </c>
      <c r="D8299" t="str">
        <f>VLOOKUP(C8299,'lookup table'!$A$2:$B$19,2,FALSE)</f>
        <v>Investee Segment</v>
      </c>
      <c r="E8299" t="str">
        <f t="shared" si="129"/>
        <v>DZ4VAR_00|Investee Segment</v>
      </c>
    </row>
    <row r="8300" spans="1:5" x14ac:dyDescent="0.2">
      <c r="A8300" t="s">
        <v>1463</v>
      </c>
      <c r="B8300" t="s">
        <v>1464</v>
      </c>
      <c r="C8300" t="s">
        <v>426</v>
      </c>
      <c r="D8300" t="str">
        <f>VLOOKUP(C8300,'lookup table'!$A$2:$B$19,2,FALSE)</f>
        <v>Investee Unit</v>
      </c>
      <c r="E8300" t="str">
        <f t="shared" si="129"/>
        <v>DZ4VAR_00|Investee Unit</v>
      </c>
    </row>
    <row r="8301" spans="1:5" x14ac:dyDescent="0.2">
      <c r="A8301" t="s">
        <v>1463</v>
      </c>
      <c r="B8301" t="s">
        <v>1464</v>
      </c>
      <c r="C8301" t="s">
        <v>428</v>
      </c>
      <c r="D8301" t="str">
        <f>VLOOKUP(C8301,'lookup table'!$A$2:$B$19,2,FALSE)</f>
        <v>LoB</v>
      </c>
      <c r="E8301" t="str">
        <f t="shared" si="129"/>
        <v>DZ4VAR_00|LoB</v>
      </c>
    </row>
    <row r="8302" spans="1:5" x14ac:dyDescent="0.2">
      <c r="A8302" t="s">
        <v>1463</v>
      </c>
      <c r="B8302" t="s">
        <v>1464</v>
      </c>
      <c r="C8302" t="s">
        <v>436</v>
      </c>
      <c r="D8302" t="str">
        <f>VLOOKUP(C8302,'lookup table'!$A$2:$B$19,2,FALSE)</f>
        <v>MAT</v>
      </c>
      <c r="E8302" t="str">
        <f t="shared" si="129"/>
        <v>DZ4VAR_00|MAT</v>
      </c>
    </row>
    <row r="8303" spans="1:5" x14ac:dyDescent="0.2">
      <c r="A8303" t="s">
        <v>1463</v>
      </c>
      <c r="B8303" t="s">
        <v>1464</v>
      </c>
      <c r="C8303" t="s">
        <v>438</v>
      </c>
      <c r="D8303" t="str">
        <f>VLOOKUP(C8303,'lookup table'!$A$2:$B$19,2,FALSE)</f>
        <v>ToM</v>
      </c>
      <c r="E8303" t="str">
        <f t="shared" si="129"/>
        <v>DZ4VAR_00|ToM</v>
      </c>
    </row>
    <row r="8304" spans="1:5" x14ac:dyDescent="0.2">
      <c r="A8304" t="s">
        <v>1463</v>
      </c>
      <c r="B8304" t="s">
        <v>1464</v>
      </c>
      <c r="C8304" t="s">
        <v>441</v>
      </c>
      <c r="D8304" t="str">
        <f>VLOOKUP(C8304,'lookup table'!$A$2:$B$19,2,FALSE)</f>
        <v>Partner Segment</v>
      </c>
      <c r="E8304" t="str">
        <f t="shared" si="129"/>
        <v>DZ4VAR_00|Partner Segment</v>
      </c>
    </row>
    <row r="8305" spans="1:5" x14ac:dyDescent="0.2">
      <c r="A8305" t="s">
        <v>1463</v>
      </c>
      <c r="B8305" t="s">
        <v>1464</v>
      </c>
      <c r="C8305" t="s">
        <v>442</v>
      </c>
      <c r="D8305" t="str">
        <f>VLOOKUP(C8305,'lookup table'!$A$2:$B$19,2,FALSE)</f>
        <v>Partner Unit</v>
      </c>
      <c r="E8305" t="str">
        <f t="shared" si="129"/>
        <v>DZ4VAR_00|Partner Unit</v>
      </c>
    </row>
    <row r="8306" spans="1:5" x14ac:dyDescent="0.2">
      <c r="A8306" t="s">
        <v>1463</v>
      </c>
      <c r="B8306" t="s">
        <v>1464</v>
      </c>
      <c r="C8306" t="s">
        <v>447</v>
      </c>
      <c r="D8306" t="str">
        <f>VLOOKUP(C8306,'lookup table'!$A$2:$B$19,2,FALSE)</f>
        <v>REX</v>
      </c>
      <c r="E8306" t="str">
        <f t="shared" si="129"/>
        <v>DZ4VAR_00|REX</v>
      </c>
    </row>
    <row r="8307" spans="1:5" x14ac:dyDescent="0.2">
      <c r="A8307" t="s">
        <v>1463</v>
      </c>
      <c r="B8307" t="s">
        <v>1464</v>
      </c>
      <c r="C8307" t="s">
        <v>448</v>
      </c>
      <c r="D8307" t="e">
        <f>VLOOKUP(C8307,'lookup table'!$A$2:$B$19,2,FALSE)</f>
        <v>#N/A</v>
      </c>
      <c r="E8307" t="str">
        <f t="shared" si="129"/>
        <v/>
      </c>
    </row>
    <row r="8308" spans="1:5" x14ac:dyDescent="0.2">
      <c r="A8308" t="s">
        <v>1463</v>
      </c>
      <c r="B8308" t="s">
        <v>1464</v>
      </c>
      <c r="C8308" t="s">
        <v>449</v>
      </c>
      <c r="D8308" t="e">
        <f>VLOOKUP(C8308,'lookup table'!$A$2:$B$19,2,FALSE)</f>
        <v>#N/A</v>
      </c>
      <c r="E8308" t="str">
        <f t="shared" si="129"/>
        <v/>
      </c>
    </row>
    <row r="8309" spans="1:5" x14ac:dyDescent="0.2">
      <c r="A8309" t="s">
        <v>1463</v>
      </c>
      <c r="B8309" t="s">
        <v>1464</v>
      </c>
      <c r="C8309" t="s">
        <v>451</v>
      </c>
      <c r="D8309" t="str">
        <f>VLOOKUP(C8309,'lookup table'!$A$2:$B$19,2,FALSE)</f>
        <v>Segment</v>
      </c>
      <c r="E8309" t="str">
        <f t="shared" si="129"/>
        <v>DZ4VAR_00|Segment</v>
      </c>
    </row>
    <row r="8310" spans="1:5" x14ac:dyDescent="0.2">
      <c r="A8310" t="s">
        <v>1463</v>
      </c>
      <c r="B8310" t="s">
        <v>1464</v>
      </c>
      <c r="C8310" t="s">
        <v>455</v>
      </c>
      <c r="D8310" t="e">
        <f>VLOOKUP(C8310,'lookup table'!$A$2:$B$19,2,FALSE)</f>
        <v>#N/A</v>
      </c>
      <c r="E8310" t="str">
        <f t="shared" si="129"/>
        <v/>
      </c>
    </row>
    <row r="8311" spans="1:5" x14ac:dyDescent="0.2">
      <c r="A8311" t="s">
        <v>1463</v>
      </c>
      <c r="B8311" t="s">
        <v>1464</v>
      </c>
      <c r="C8311" t="s">
        <v>456</v>
      </c>
      <c r="D8311" t="e">
        <f>VLOOKUP(C8311,'lookup table'!$A$2:$B$19,2,FALSE)</f>
        <v>#N/A</v>
      </c>
      <c r="E8311" t="str">
        <f t="shared" si="129"/>
        <v/>
      </c>
    </row>
    <row r="8312" spans="1:5" x14ac:dyDescent="0.2">
      <c r="A8312" t="s">
        <v>1463</v>
      </c>
      <c r="B8312" t="s">
        <v>1464</v>
      </c>
      <c r="C8312" t="s">
        <v>457</v>
      </c>
      <c r="D8312" t="str">
        <f>VLOOKUP(C8312,'lookup table'!$A$2:$B$19,2,FALSE)</f>
        <v>VLT</v>
      </c>
      <c r="E8312" t="str">
        <f t="shared" si="129"/>
        <v>DZ4VAR_00|VLT</v>
      </c>
    </row>
    <row r="8313" spans="1:5" x14ac:dyDescent="0.2">
      <c r="A8313" t="s">
        <v>1463</v>
      </c>
      <c r="B8313" t="s">
        <v>1464</v>
      </c>
      <c r="C8313" t="s">
        <v>458</v>
      </c>
      <c r="D8313" t="str">
        <f>VLOOKUP(C8313,'lookup table'!$A$2:$B$19,2,FALSE)</f>
        <v>VAR</v>
      </c>
      <c r="E8313" t="str">
        <f t="shared" si="129"/>
        <v>DZ4VAR_00|VAR</v>
      </c>
    </row>
    <row r="8314" spans="1:5" x14ac:dyDescent="0.2">
      <c r="A8314" t="s">
        <v>1463</v>
      </c>
      <c r="B8314" t="s">
        <v>1464</v>
      </c>
      <c r="C8314" t="s">
        <v>459</v>
      </c>
      <c r="D8314" t="e">
        <f>VLOOKUP(C8314,'lookup table'!$A$2:$B$19,2,FALSE)</f>
        <v>#N/A</v>
      </c>
      <c r="E8314" t="str">
        <f t="shared" si="129"/>
        <v/>
      </c>
    </row>
    <row r="8315" spans="1:5" x14ac:dyDescent="0.2">
      <c r="A8315" t="s">
        <v>1463</v>
      </c>
      <c r="B8315" t="s">
        <v>1464</v>
      </c>
      <c r="C8315" t="s">
        <v>460</v>
      </c>
      <c r="D8315" t="e">
        <f>VLOOKUP(C8315,'lookup table'!$A$2:$B$19,2,FALSE)</f>
        <v>#N/A</v>
      </c>
      <c r="E8315" t="str">
        <f t="shared" si="129"/>
        <v/>
      </c>
    </row>
    <row r="8316" spans="1:5" x14ac:dyDescent="0.2">
      <c r="A8316" t="s">
        <v>1463</v>
      </c>
      <c r="B8316" t="s">
        <v>1464</v>
      </c>
      <c r="C8316" t="s">
        <v>461</v>
      </c>
      <c r="D8316" t="str">
        <f>VLOOKUP(C8316,'lookup table'!$A$2:$B$19,2,FALSE)</f>
        <v>Posting Level</v>
      </c>
      <c r="E8316" t="str">
        <f t="shared" si="129"/>
        <v>DZ4VAR_00|Posting Level</v>
      </c>
    </row>
    <row r="8317" spans="1:5" x14ac:dyDescent="0.2">
      <c r="A8317" t="s">
        <v>1463</v>
      </c>
      <c r="B8317" t="s">
        <v>1464</v>
      </c>
      <c r="C8317" t="s">
        <v>462</v>
      </c>
      <c r="D8317" t="e">
        <f>VLOOKUP(C8317,'lookup table'!$A$2:$B$19,2,FALSE)</f>
        <v>#N/A</v>
      </c>
      <c r="E8317" t="str">
        <f t="shared" si="129"/>
        <v/>
      </c>
    </row>
    <row r="8318" spans="1:5" x14ac:dyDescent="0.2">
      <c r="A8318" t="s">
        <v>1463</v>
      </c>
      <c r="B8318" t="s">
        <v>1464</v>
      </c>
      <c r="C8318" t="s">
        <v>463</v>
      </c>
      <c r="D8318" t="e">
        <f>VLOOKUP(C8318,'lookup table'!$A$2:$B$19,2,FALSE)</f>
        <v>#N/A</v>
      </c>
      <c r="E8318" t="str">
        <f t="shared" si="129"/>
        <v/>
      </c>
    </row>
    <row r="8319" spans="1:5" x14ac:dyDescent="0.2">
      <c r="A8319" t="s">
        <v>1463</v>
      </c>
      <c r="B8319" t="s">
        <v>1464</v>
      </c>
      <c r="C8319" t="s">
        <v>464</v>
      </c>
      <c r="D8319" t="e">
        <f>VLOOKUP(C8319,'lookup table'!$A$2:$B$19,2,FALSE)</f>
        <v>#N/A</v>
      </c>
      <c r="E8319" t="str">
        <f t="shared" si="129"/>
        <v/>
      </c>
    </row>
    <row r="8320" spans="1:5" x14ac:dyDescent="0.2">
      <c r="A8320" t="s">
        <v>1463</v>
      </c>
      <c r="B8320" t="s">
        <v>1464</v>
      </c>
      <c r="C8320" t="s">
        <v>465</v>
      </c>
      <c r="D8320" t="e">
        <f>VLOOKUP(C8320,'lookup table'!$A$2:$B$19,2,FALSE)</f>
        <v>#N/A</v>
      </c>
      <c r="E8320" t="str">
        <f t="shared" si="129"/>
        <v/>
      </c>
    </row>
    <row r="8321" spans="1:5" x14ac:dyDescent="0.2">
      <c r="A8321" t="s">
        <v>1465</v>
      </c>
      <c r="B8321" t="s">
        <v>1466</v>
      </c>
      <c r="C8321" t="s">
        <v>2</v>
      </c>
      <c r="D8321" t="e">
        <f>VLOOKUP(C8321,'lookup table'!$A$2:$B$19,2,FALSE)</f>
        <v>#N/A</v>
      </c>
      <c r="E8321" t="str">
        <f t="shared" si="129"/>
        <v/>
      </c>
    </row>
    <row r="8322" spans="1:5" x14ac:dyDescent="0.2">
      <c r="A8322" t="s">
        <v>1465</v>
      </c>
      <c r="B8322" t="s">
        <v>1466</v>
      </c>
      <c r="C8322" t="s">
        <v>5</v>
      </c>
      <c r="D8322" t="e">
        <f>VLOOKUP(C8322,'lookup table'!$A$2:$B$19,2,FALSE)</f>
        <v>#N/A</v>
      </c>
      <c r="E8322" t="str">
        <f t="shared" si="129"/>
        <v/>
      </c>
    </row>
    <row r="8323" spans="1:5" x14ac:dyDescent="0.2">
      <c r="A8323" t="s">
        <v>1465</v>
      </c>
      <c r="B8323" t="s">
        <v>1466</v>
      </c>
      <c r="C8323" t="s">
        <v>6</v>
      </c>
      <c r="D8323" t="e">
        <f>VLOOKUP(C8323,'lookup table'!$A$2:$B$19,2,FALSE)</f>
        <v>#N/A</v>
      </c>
      <c r="E8323" t="str">
        <f t="shared" ref="E8323:E8386" si="130">IF(ISNA(D8323),"",IF(A8323="","",A8323) &amp; "|" &amp; D8323)</f>
        <v/>
      </c>
    </row>
    <row r="8324" spans="1:5" x14ac:dyDescent="0.2">
      <c r="A8324" t="s">
        <v>1465</v>
      </c>
      <c r="B8324" t="s">
        <v>1466</v>
      </c>
      <c r="C8324" t="s">
        <v>9</v>
      </c>
      <c r="D8324" t="e">
        <f>VLOOKUP(C8324,'lookup table'!$A$2:$B$19,2,FALSE)</f>
        <v>#N/A</v>
      </c>
      <c r="E8324" t="str">
        <f t="shared" si="130"/>
        <v/>
      </c>
    </row>
    <row r="8325" spans="1:5" x14ac:dyDescent="0.2">
      <c r="A8325" t="s">
        <v>1465</v>
      </c>
      <c r="B8325" t="s">
        <v>1466</v>
      </c>
      <c r="C8325" t="s">
        <v>10</v>
      </c>
      <c r="D8325" t="e">
        <f>VLOOKUP(C8325,'lookup table'!$A$2:$B$19,2,FALSE)</f>
        <v>#N/A</v>
      </c>
      <c r="E8325" t="str">
        <f t="shared" si="130"/>
        <v/>
      </c>
    </row>
    <row r="8326" spans="1:5" x14ac:dyDescent="0.2">
      <c r="A8326" t="s">
        <v>1465</v>
      </c>
      <c r="B8326" t="s">
        <v>1466</v>
      </c>
      <c r="C8326" t="s">
        <v>11</v>
      </c>
      <c r="D8326" t="e">
        <f>VLOOKUP(C8326,'lookup table'!$A$2:$B$19,2,FALSE)</f>
        <v>#N/A</v>
      </c>
      <c r="E8326" t="str">
        <f t="shared" si="130"/>
        <v/>
      </c>
    </row>
    <row r="8327" spans="1:5" x14ac:dyDescent="0.2">
      <c r="A8327" t="s">
        <v>1465</v>
      </c>
      <c r="B8327" t="s">
        <v>1466</v>
      </c>
      <c r="C8327" t="s">
        <v>12</v>
      </c>
      <c r="D8327" t="e">
        <f>VLOOKUP(C8327,'lookup table'!$A$2:$B$19,2,FALSE)</f>
        <v>#N/A</v>
      </c>
      <c r="E8327" t="str">
        <f t="shared" si="130"/>
        <v/>
      </c>
    </row>
    <row r="8328" spans="1:5" x14ac:dyDescent="0.2">
      <c r="A8328" t="s">
        <v>1465</v>
      </c>
      <c r="B8328" t="s">
        <v>1466</v>
      </c>
      <c r="C8328" t="s">
        <v>14</v>
      </c>
      <c r="D8328" t="str">
        <f>VLOOKUP(C8328,'lookup table'!$A$2:$B$19,2,FALSE)</f>
        <v>ALC</v>
      </c>
      <c r="E8328" t="str">
        <f t="shared" si="130"/>
        <v>DZ5ACY_00|ALC</v>
      </c>
    </row>
    <row r="8329" spans="1:5" x14ac:dyDescent="0.2">
      <c r="A8329" t="s">
        <v>1465</v>
      </c>
      <c r="B8329" t="s">
        <v>1466</v>
      </c>
      <c r="C8329" t="s">
        <v>20</v>
      </c>
      <c r="D8329" t="str">
        <f>VLOOKUP(C8329,'lookup table'!$A$2:$B$19,2,FALSE)</f>
        <v>AY</v>
      </c>
      <c r="E8329" t="str">
        <f t="shared" si="130"/>
        <v>DZ5ACY_00|AY</v>
      </c>
    </row>
    <row r="8330" spans="1:5" x14ac:dyDescent="0.2">
      <c r="A8330" t="s">
        <v>1465</v>
      </c>
      <c r="B8330" t="s">
        <v>1466</v>
      </c>
      <c r="C8330" t="s">
        <v>324</v>
      </c>
      <c r="D8330" t="e">
        <f>VLOOKUP(C8330,'lookup table'!$A$2:$B$19,2,FALSE)</f>
        <v>#N/A</v>
      </c>
      <c r="E8330" t="str">
        <f t="shared" si="130"/>
        <v/>
      </c>
    </row>
    <row r="8331" spans="1:5" x14ac:dyDescent="0.2">
      <c r="A8331" t="s">
        <v>1465</v>
      </c>
      <c r="B8331" t="s">
        <v>1466</v>
      </c>
      <c r="C8331" t="s">
        <v>325</v>
      </c>
      <c r="D8331" t="e">
        <f>VLOOKUP(C8331,'lookup table'!$A$2:$B$19,2,FALSE)</f>
        <v>#N/A</v>
      </c>
      <c r="E8331" t="str">
        <f t="shared" si="130"/>
        <v/>
      </c>
    </row>
    <row r="8332" spans="1:5" x14ac:dyDescent="0.2">
      <c r="A8332" t="s">
        <v>1465</v>
      </c>
      <c r="B8332" t="s">
        <v>1466</v>
      </c>
      <c r="C8332" t="s">
        <v>326</v>
      </c>
      <c r="D8332" t="e">
        <f>VLOOKUP(C8332,'lookup table'!$A$2:$B$19,2,FALSE)</f>
        <v>#N/A</v>
      </c>
      <c r="E8332" t="str">
        <f t="shared" si="130"/>
        <v/>
      </c>
    </row>
    <row r="8333" spans="1:5" x14ac:dyDescent="0.2">
      <c r="A8333" t="s">
        <v>1465</v>
      </c>
      <c r="B8333" t="s">
        <v>1466</v>
      </c>
      <c r="C8333" t="s">
        <v>327</v>
      </c>
      <c r="D8333" t="e">
        <f>VLOOKUP(C8333,'lookup table'!$A$2:$B$19,2,FALSE)</f>
        <v>#N/A</v>
      </c>
      <c r="E8333" t="str">
        <f t="shared" si="130"/>
        <v/>
      </c>
    </row>
    <row r="8334" spans="1:5" x14ac:dyDescent="0.2">
      <c r="A8334" t="s">
        <v>1465</v>
      </c>
      <c r="B8334" t="s">
        <v>1466</v>
      </c>
      <c r="C8334" t="s">
        <v>328</v>
      </c>
      <c r="D8334" t="e">
        <f>VLOOKUP(C8334,'lookup table'!$A$2:$B$19,2,FALSE)</f>
        <v>#N/A</v>
      </c>
      <c r="E8334" t="str">
        <f t="shared" si="130"/>
        <v/>
      </c>
    </row>
    <row r="8335" spans="1:5" x14ac:dyDescent="0.2">
      <c r="A8335" t="s">
        <v>1465</v>
      </c>
      <c r="B8335" t="s">
        <v>1466</v>
      </c>
      <c r="C8335" t="s">
        <v>329</v>
      </c>
      <c r="D8335" t="e">
        <f>VLOOKUP(C8335,'lookup table'!$A$2:$B$19,2,FALSE)</f>
        <v>#N/A</v>
      </c>
      <c r="E8335" t="str">
        <f t="shared" si="130"/>
        <v/>
      </c>
    </row>
    <row r="8336" spans="1:5" x14ac:dyDescent="0.2">
      <c r="A8336" t="s">
        <v>1465</v>
      </c>
      <c r="B8336" t="s">
        <v>1466</v>
      </c>
      <c r="C8336" t="s">
        <v>331</v>
      </c>
      <c r="D8336" t="str">
        <f>VLOOKUP(C8336,'lookup table'!$A$2:$B$19,2,FALSE)</f>
        <v>FS Item</v>
      </c>
      <c r="E8336" t="str">
        <f t="shared" si="130"/>
        <v>DZ5ACY_00|FS Item</v>
      </c>
    </row>
    <row r="8337" spans="1:5" x14ac:dyDescent="0.2">
      <c r="A8337" t="s">
        <v>1465</v>
      </c>
      <c r="B8337" t="s">
        <v>1466</v>
      </c>
      <c r="C8337" t="s">
        <v>422</v>
      </c>
      <c r="D8337" t="e">
        <f>VLOOKUP(C8337,'lookup table'!$A$2:$B$19,2,FALSE)</f>
        <v>#N/A</v>
      </c>
      <c r="E8337" t="str">
        <f t="shared" si="130"/>
        <v/>
      </c>
    </row>
    <row r="8338" spans="1:5" x14ac:dyDescent="0.2">
      <c r="A8338" t="s">
        <v>1465</v>
      </c>
      <c r="B8338" t="s">
        <v>1466</v>
      </c>
      <c r="C8338" t="s">
        <v>423</v>
      </c>
      <c r="D8338" t="str">
        <f>VLOOKUP(C8338,'lookup table'!$A$2:$B$19,2,FALSE)</f>
        <v>ignore</v>
      </c>
      <c r="E8338" t="str">
        <f t="shared" si="130"/>
        <v>DZ5ACY_00|ignore</v>
      </c>
    </row>
    <row r="8339" spans="1:5" x14ac:dyDescent="0.2">
      <c r="A8339" t="s">
        <v>1465</v>
      </c>
      <c r="B8339" t="s">
        <v>1466</v>
      </c>
      <c r="C8339" t="s">
        <v>424</v>
      </c>
      <c r="D8339" t="str">
        <f>VLOOKUP(C8339,'lookup table'!$A$2:$B$19,2,FALSE)</f>
        <v>GRC</v>
      </c>
      <c r="E8339" t="str">
        <f t="shared" si="130"/>
        <v>DZ5ACY_00|GRC</v>
      </c>
    </row>
    <row r="8340" spans="1:5" x14ac:dyDescent="0.2">
      <c r="A8340" t="s">
        <v>1465</v>
      </c>
      <c r="B8340" t="s">
        <v>1466</v>
      </c>
      <c r="C8340" t="s">
        <v>425</v>
      </c>
      <c r="D8340" t="str">
        <f>VLOOKUP(C8340,'lookup table'!$A$2:$B$19,2,FALSE)</f>
        <v>Investee Segment</v>
      </c>
      <c r="E8340" t="str">
        <f t="shared" si="130"/>
        <v>DZ5ACY_00|Investee Segment</v>
      </c>
    </row>
    <row r="8341" spans="1:5" x14ac:dyDescent="0.2">
      <c r="A8341" t="s">
        <v>1465</v>
      </c>
      <c r="B8341" t="s">
        <v>1466</v>
      </c>
      <c r="C8341" t="s">
        <v>426</v>
      </c>
      <c r="D8341" t="str">
        <f>VLOOKUP(C8341,'lookup table'!$A$2:$B$19,2,FALSE)</f>
        <v>Investee Unit</v>
      </c>
      <c r="E8341" t="str">
        <f t="shared" si="130"/>
        <v>DZ5ACY_00|Investee Unit</v>
      </c>
    </row>
    <row r="8342" spans="1:5" x14ac:dyDescent="0.2">
      <c r="A8342" t="s">
        <v>1465</v>
      </c>
      <c r="B8342" t="s">
        <v>1466</v>
      </c>
      <c r="C8342" t="s">
        <v>428</v>
      </c>
      <c r="D8342" t="str">
        <f>VLOOKUP(C8342,'lookup table'!$A$2:$B$19,2,FALSE)</f>
        <v>LoB</v>
      </c>
      <c r="E8342" t="str">
        <f t="shared" si="130"/>
        <v>DZ5ACY_00|LoB</v>
      </c>
    </row>
    <row r="8343" spans="1:5" x14ac:dyDescent="0.2">
      <c r="A8343" t="s">
        <v>1465</v>
      </c>
      <c r="B8343" t="s">
        <v>1466</v>
      </c>
      <c r="C8343" t="s">
        <v>436</v>
      </c>
      <c r="D8343" t="str">
        <f>VLOOKUP(C8343,'lookup table'!$A$2:$B$19,2,FALSE)</f>
        <v>MAT</v>
      </c>
      <c r="E8343" t="str">
        <f t="shared" si="130"/>
        <v>DZ5ACY_00|MAT</v>
      </c>
    </row>
    <row r="8344" spans="1:5" x14ac:dyDescent="0.2">
      <c r="A8344" t="s">
        <v>1465</v>
      </c>
      <c r="B8344" t="s">
        <v>1466</v>
      </c>
      <c r="C8344" t="s">
        <v>441</v>
      </c>
      <c r="D8344" t="str">
        <f>VLOOKUP(C8344,'lookup table'!$A$2:$B$19,2,FALSE)</f>
        <v>Partner Segment</v>
      </c>
      <c r="E8344" t="str">
        <f t="shared" si="130"/>
        <v>DZ5ACY_00|Partner Segment</v>
      </c>
    </row>
    <row r="8345" spans="1:5" x14ac:dyDescent="0.2">
      <c r="A8345" t="s">
        <v>1465</v>
      </c>
      <c r="B8345" t="s">
        <v>1466</v>
      </c>
      <c r="C8345" t="s">
        <v>442</v>
      </c>
      <c r="D8345" t="str">
        <f>VLOOKUP(C8345,'lookup table'!$A$2:$B$19,2,FALSE)</f>
        <v>Partner Unit</v>
      </c>
      <c r="E8345" t="str">
        <f t="shared" si="130"/>
        <v>DZ5ACY_00|Partner Unit</v>
      </c>
    </row>
    <row r="8346" spans="1:5" x14ac:dyDescent="0.2">
      <c r="A8346" t="s">
        <v>1465</v>
      </c>
      <c r="B8346" t="s">
        <v>1466</v>
      </c>
      <c r="C8346" t="s">
        <v>447</v>
      </c>
      <c r="D8346" t="str">
        <f>VLOOKUP(C8346,'lookup table'!$A$2:$B$19,2,FALSE)</f>
        <v>REX</v>
      </c>
      <c r="E8346" t="str">
        <f t="shared" si="130"/>
        <v>DZ5ACY_00|REX</v>
      </c>
    </row>
    <row r="8347" spans="1:5" x14ac:dyDescent="0.2">
      <c r="A8347" t="s">
        <v>1465</v>
      </c>
      <c r="B8347" t="s">
        <v>1466</v>
      </c>
      <c r="C8347" t="s">
        <v>448</v>
      </c>
      <c r="D8347" t="e">
        <f>VLOOKUP(C8347,'lookup table'!$A$2:$B$19,2,FALSE)</f>
        <v>#N/A</v>
      </c>
      <c r="E8347" t="str">
        <f t="shared" si="130"/>
        <v/>
      </c>
    </row>
    <row r="8348" spans="1:5" x14ac:dyDescent="0.2">
      <c r="A8348" t="s">
        <v>1465</v>
      </c>
      <c r="B8348" t="s">
        <v>1466</v>
      </c>
      <c r="C8348" t="s">
        <v>449</v>
      </c>
      <c r="D8348" t="e">
        <f>VLOOKUP(C8348,'lookup table'!$A$2:$B$19,2,FALSE)</f>
        <v>#N/A</v>
      </c>
      <c r="E8348" t="str">
        <f t="shared" si="130"/>
        <v/>
      </c>
    </row>
    <row r="8349" spans="1:5" x14ac:dyDescent="0.2">
      <c r="A8349" t="s">
        <v>1465</v>
      </c>
      <c r="B8349" t="s">
        <v>1466</v>
      </c>
      <c r="C8349" t="s">
        <v>451</v>
      </c>
      <c r="D8349" t="str">
        <f>VLOOKUP(C8349,'lookup table'!$A$2:$B$19,2,FALSE)</f>
        <v>Segment</v>
      </c>
      <c r="E8349" t="str">
        <f t="shared" si="130"/>
        <v>DZ5ACY_00|Segment</v>
      </c>
    </row>
    <row r="8350" spans="1:5" x14ac:dyDescent="0.2">
      <c r="A8350" t="s">
        <v>1465</v>
      </c>
      <c r="B8350" t="s">
        <v>1466</v>
      </c>
      <c r="C8350" t="s">
        <v>455</v>
      </c>
      <c r="D8350" t="e">
        <f>VLOOKUP(C8350,'lookup table'!$A$2:$B$19,2,FALSE)</f>
        <v>#N/A</v>
      </c>
      <c r="E8350" t="str">
        <f t="shared" si="130"/>
        <v/>
      </c>
    </row>
    <row r="8351" spans="1:5" x14ac:dyDescent="0.2">
      <c r="A8351" t="s">
        <v>1465</v>
      </c>
      <c r="B8351" t="s">
        <v>1466</v>
      </c>
      <c r="C8351" t="s">
        <v>456</v>
      </c>
      <c r="D8351" t="e">
        <f>VLOOKUP(C8351,'lookup table'!$A$2:$B$19,2,FALSE)</f>
        <v>#N/A</v>
      </c>
      <c r="E8351" t="str">
        <f t="shared" si="130"/>
        <v/>
      </c>
    </row>
    <row r="8352" spans="1:5" x14ac:dyDescent="0.2">
      <c r="A8352" t="s">
        <v>1465</v>
      </c>
      <c r="B8352" t="s">
        <v>1466</v>
      </c>
      <c r="C8352" t="s">
        <v>457</v>
      </c>
      <c r="D8352" t="str">
        <f>VLOOKUP(C8352,'lookup table'!$A$2:$B$19,2,FALSE)</f>
        <v>VLT</v>
      </c>
      <c r="E8352" t="str">
        <f t="shared" si="130"/>
        <v>DZ5ACY_00|VLT</v>
      </c>
    </row>
    <row r="8353" spans="1:5" x14ac:dyDescent="0.2">
      <c r="A8353" t="s">
        <v>1465</v>
      </c>
      <c r="B8353" t="s">
        <v>1466</v>
      </c>
      <c r="C8353" t="s">
        <v>458</v>
      </c>
      <c r="D8353" t="str">
        <f>VLOOKUP(C8353,'lookup table'!$A$2:$B$19,2,FALSE)</f>
        <v>VAR</v>
      </c>
      <c r="E8353" t="str">
        <f t="shared" si="130"/>
        <v>DZ5ACY_00|VAR</v>
      </c>
    </row>
    <row r="8354" spans="1:5" x14ac:dyDescent="0.2">
      <c r="A8354" t="s">
        <v>1465</v>
      </c>
      <c r="B8354" t="s">
        <v>1466</v>
      </c>
      <c r="C8354" t="s">
        <v>459</v>
      </c>
      <c r="D8354" t="e">
        <f>VLOOKUP(C8354,'lookup table'!$A$2:$B$19,2,FALSE)</f>
        <v>#N/A</v>
      </c>
      <c r="E8354" t="str">
        <f t="shared" si="130"/>
        <v/>
      </c>
    </row>
    <row r="8355" spans="1:5" x14ac:dyDescent="0.2">
      <c r="A8355" t="s">
        <v>1465</v>
      </c>
      <c r="B8355" t="s">
        <v>1466</v>
      </c>
      <c r="C8355" t="s">
        <v>460</v>
      </c>
      <c r="D8355" t="e">
        <f>VLOOKUP(C8355,'lookup table'!$A$2:$B$19,2,FALSE)</f>
        <v>#N/A</v>
      </c>
      <c r="E8355" t="str">
        <f t="shared" si="130"/>
        <v/>
      </c>
    </row>
    <row r="8356" spans="1:5" x14ac:dyDescent="0.2">
      <c r="A8356" t="s">
        <v>1465</v>
      </c>
      <c r="B8356" t="s">
        <v>1466</v>
      </c>
      <c r="C8356" t="s">
        <v>461</v>
      </c>
      <c r="D8356" t="str">
        <f>VLOOKUP(C8356,'lookup table'!$A$2:$B$19,2,FALSE)</f>
        <v>Posting Level</v>
      </c>
      <c r="E8356" t="str">
        <f t="shared" si="130"/>
        <v>DZ5ACY_00|Posting Level</v>
      </c>
    </row>
    <row r="8357" spans="1:5" x14ac:dyDescent="0.2">
      <c r="A8357" t="s">
        <v>1465</v>
      </c>
      <c r="B8357" t="s">
        <v>1466</v>
      </c>
      <c r="C8357" t="s">
        <v>462</v>
      </c>
      <c r="D8357" t="e">
        <f>VLOOKUP(C8357,'lookup table'!$A$2:$B$19,2,FALSE)</f>
        <v>#N/A</v>
      </c>
      <c r="E8357" t="str">
        <f t="shared" si="130"/>
        <v/>
      </c>
    </row>
    <row r="8358" spans="1:5" x14ac:dyDescent="0.2">
      <c r="A8358" t="s">
        <v>1465</v>
      </c>
      <c r="B8358" t="s">
        <v>1466</v>
      </c>
      <c r="C8358" t="s">
        <v>463</v>
      </c>
      <c r="D8358" t="e">
        <f>VLOOKUP(C8358,'lookup table'!$A$2:$B$19,2,FALSE)</f>
        <v>#N/A</v>
      </c>
      <c r="E8358" t="str">
        <f t="shared" si="130"/>
        <v/>
      </c>
    </row>
    <row r="8359" spans="1:5" x14ac:dyDescent="0.2">
      <c r="A8359" t="s">
        <v>1465</v>
      </c>
      <c r="B8359" t="s">
        <v>1466</v>
      </c>
      <c r="C8359" t="s">
        <v>464</v>
      </c>
      <c r="D8359" t="e">
        <f>VLOOKUP(C8359,'lookup table'!$A$2:$B$19,2,FALSE)</f>
        <v>#N/A</v>
      </c>
      <c r="E8359" t="str">
        <f t="shared" si="130"/>
        <v/>
      </c>
    </row>
    <row r="8360" spans="1:5" x14ac:dyDescent="0.2">
      <c r="A8360" t="s">
        <v>1465</v>
      </c>
      <c r="B8360" t="s">
        <v>1466</v>
      </c>
      <c r="C8360" t="s">
        <v>465</v>
      </c>
      <c r="D8360" t="e">
        <f>VLOOKUP(C8360,'lookup table'!$A$2:$B$19,2,FALSE)</f>
        <v>#N/A</v>
      </c>
      <c r="E8360" t="str">
        <f t="shared" si="130"/>
        <v/>
      </c>
    </row>
    <row r="8361" spans="1:5" x14ac:dyDescent="0.2">
      <c r="A8361" t="s">
        <v>1467</v>
      </c>
      <c r="B8361" t="s">
        <v>1468</v>
      </c>
      <c r="C8361" t="s">
        <v>2</v>
      </c>
      <c r="D8361" t="e">
        <f>VLOOKUP(C8361,'lookup table'!$A$2:$B$19,2,FALSE)</f>
        <v>#N/A</v>
      </c>
      <c r="E8361" t="str">
        <f t="shared" si="130"/>
        <v/>
      </c>
    </row>
    <row r="8362" spans="1:5" x14ac:dyDescent="0.2">
      <c r="A8362" t="s">
        <v>1467</v>
      </c>
      <c r="B8362" t="s">
        <v>1468</v>
      </c>
      <c r="C8362" t="s">
        <v>5</v>
      </c>
      <c r="D8362" t="e">
        <f>VLOOKUP(C8362,'lookup table'!$A$2:$B$19,2,FALSE)</f>
        <v>#N/A</v>
      </c>
      <c r="E8362" t="str">
        <f t="shared" si="130"/>
        <v/>
      </c>
    </row>
    <row r="8363" spans="1:5" x14ac:dyDescent="0.2">
      <c r="A8363" t="s">
        <v>1467</v>
      </c>
      <c r="B8363" t="s">
        <v>1468</v>
      </c>
      <c r="C8363" t="s">
        <v>6</v>
      </c>
      <c r="D8363" t="e">
        <f>VLOOKUP(C8363,'lookup table'!$A$2:$B$19,2,FALSE)</f>
        <v>#N/A</v>
      </c>
      <c r="E8363" t="str">
        <f t="shared" si="130"/>
        <v/>
      </c>
    </row>
    <row r="8364" spans="1:5" x14ac:dyDescent="0.2">
      <c r="A8364" t="s">
        <v>1467</v>
      </c>
      <c r="B8364" t="s">
        <v>1468</v>
      </c>
      <c r="C8364" t="s">
        <v>9</v>
      </c>
      <c r="D8364" t="e">
        <f>VLOOKUP(C8364,'lookup table'!$A$2:$B$19,2,FALSE)</f>
        <v>#N/A</v>
      </c>
      <c r="E8364" t="str">
        <f t="shared" si="130"/>
        <v/>
      </c>
    </row>
    <row r="8365" spans="1:5" x14ac:dyDescent="0.2">
      <c r="A8365" t="s">
        <v>1467</v>
      </c>
      <c r="B8365" t="s">
        <v>1468</v>
      </c>
      <c r="C8365" t="s">
        <v>10</v>
      </c>
      <c r="D8365" t="e">
        <f>VLOOKUP(C8365,'lookup table'!$A$2:$B$19,2,FALSE)</f>
        <v>#N/A</v>
      </c>
      <c r="E8365" t="str">
        <f t="shared" si="130"/>
        <v/>
      </c>
    </row>
    <row r="8366" spans="1:5" x14ac:dyDescent="0.2">
      <c r="A8366" t="s">
        <v>1467</v>
      </c>
      <c r="B8366" t="s">
        <v>1468</v>
      </c>
      <c r="C8366" t="s">
        <v>11</v>
      </c>
      <c r="D8366" t="e">
        <f>VLOOKUP(C8366,'lookup table'!$A$2:$B$19,2,FALSE)</f>
        <v>#N/A</v>
      </c>
      <c r="E8366" t="str">
        <f t="shared" si="130"/>
        <v/>
      </c>
    </row>
    <row r="8367" spans="1:5" x14ac:dyDescent="0.2">
      <c r="A8367" t="s">
        <v>1467</v>
      </c>
      <c r="B8367" t="s">
        <v>1468</v>
      </c>
      <c r="C8367" t="s">
        <v>12</v>
      </c>
      <c r="D8367" t="e">
        <f>VLOOKUP(C8367,'lookup table'!$A$2:$B$19,2,FALSE)</f>
        <v>#N/A</v>
      </c>
      <c r="E8367" t="str">
        <f t="shared" si="130"/>
        <v/>
      </c>
    </row>
    <row r="8368" spans="1:5" x14ac:dyDescent="0.2">
      <c r="A8368" t="s">
        <v>1467</v>
      </c>
      <c r="B8368" t="s">
        <v>1468</v>
      </c>
      <c r="C8368" t="s">
        <v>14</v>
      </c>
      <c r="D8368" t="str">
        <f>VLOOKUP(C8368,'lookup table'!$A$2:$B$19,2,FALSE)</f>
        <v>ALC</v>
      </c>
      <c r="E8368" t="str">
        <f t="shared" si="130"/>
        <v>DZ5LOB_00|ALC</v>
      </c>
    </row>
    <row r="8369" spans="1:5" x14ac:dyDescent="0.2">
      <c r="A8369" t="s">
        <v>1467</v>
      </c>
      <c r="B8369" t="s">
        <v>1468</v>
      </c>
      <c r="C8369" t="s">
        <v>20</v>
      </c>
      <c r="D8369" t="str">
        <f>VLOOKUP(C8369,'lookup table'!$A$2:$B$19,2,FALSE)</f>
        <v>AY</v>
      </c>
      <c r="E8369" t="str">
        <f t="shared" si="130"/>
        <v>DZ5LOB_00|AY</v>
      </c>
    </row>
    <row r="8370" spans="1:5" x14ac:dyDescent="0.2">
      <c r="A8370" t="s">
        <v>1467</v>
      </c>
      <c r="B8370" t="s">
        <v>1468</v>
      </c>
      <c r="C8370" t="s">
        <v>324</v>
      </c>
      <c r="D8370" t="e">
        <f>VLOOKUP(C8370,'lookup table'!$A$2:$B$19,2,FALSE)</f>
        <v>#N/A</v>
      </c>
      <c r="E8370" t="str">
        <f t="shared" si="130"/>
        <v/>
      </c>
    </row>
    <row r="8371" spans="1:5" x14ac:dyDescent="0.2">
      <c r="A8371" t="s">
        <v>1467</v>
      </c>
      <c r="B8371" t="s">
        <v>1468</v>
      </c>
      <c r="C8371" t="s">
        <v>325</v>
      </c>
      <c r="D8371" t="e">
        <f>VLOOKUP(C8371,'lookup table'!$A$2:$B$19,2,FALSE)</f>
        <v>#N/A</v>
      </c>
      <c r="E8371" t="str">
        <f t="shared" si="130"/>
        <v/>
      </c>
    </row>
    <row r="8372" spans="1:5" x14ac:dyDescent="0.2">
      <c r="A8372" t="s">
        <v>1467</v>
      </c>
      <c r="B8372" t="s">
        <v>1468</v>
      </c>
      <c r="C8372" t="s">
        <v>326</v>
      </c>
      <c r="D8372" t="e">
        <f>VLOOKUP(C8372,'lookup table'!$A$2:$B$19,2,FALSE)</f>
        <v>#N/A</v>
      </c>
      <c r="E8372" t="str">
        <f t="shared" si="130"/>
        <v/>
      </c>
    </row>
    <row r="8373" spans="1:5" x14ac:dyDescent="0.2">
      <c r="A8373" t="s">
        <v>1467</v>
      </c>
      <c r="B8373" t="s">
        <v>1468</v>
      </c>
      <c r="C8373" t="s">
        <v>327</v>
      </c>
      <c r="D8373" t="e">
        <f>VLOOKUP(C8373,'lookup table'!$A$2:$B$19,2,FALSE)</f>
        <v>#N/A</v>
      </c>
      <c r="E8373" t="str">
        <f t="shared" si="130"/>
        <v/>
      </c>
    </row>
    <row r="8374" spans="1:5" x14ac:dyDescent="0.2">
      <c r="A8374" t="s">
        <v>1467</v>
      </c>
      <c r="B8374" t="s">
        <v>1468</v>
      </c>
      <c r="C8374" t="s">
        <v>328</v>
      </c>
      <c r="D8374" t="e">
        <f>VLOOKUP(C8374,'lookup table'!$A$2:$B$19,2,FALSE)</f>
        <v>#N/A</v>
      </c>
      <c r="E8374" t="str">
        <f t="shared" si="130"/>
        <v/>
      </c>
    </row>
    <row r="8375" spans="1:5" x14ac:dyDescent="0.2">
      <c r="A8375" t="s">
        <v>1467</v>
      </c>
      <c r="B8375" t="s">
        <v>1468</v>
      </c>
      <c r="C8375" t="s">
        <v>329</v>
      </c>
      <c r="D8375" t="e">
        <f>VLOOKUP(C8375,'lookup table'!$A$2:$B$19,2,FALSE)</f>
        <v>#N/A</v>
      </c>
      <c r="E8375" t="str">
        <f t="shared" si="130"/>
        <v/>
      </c>
    </row>
    <row r="8376" spans="1:5" x14ac:dyDescent="0.2">
      <c r="A8376" t="s">
        <v>1467</v>
      </c>
      <c r="B8376" t="s">
        <v>1468</v>
      </c>
      <c r="C8376" t="s">
        <v>331</v>
      </c>
      <c r="D8376" t="str">
        <f>VLOOKUP(C8376,'lookup table'!$A$2:$B$19,2,FALSE)</f>
        <v>FS Item</v>
      </c>
      <c r="E8376" t="str">
        <f t="shared" si="130"/>
        <v>DZ5LOB_00|FS Item</v>
      </c>
    </row>
    <row r="8377" spans="1:5" x14ac:dyDescent="0.2">
      <c r="A8377" t="s">
        <v>1467</v>
      </c>
      <c r="B8377" t="s">
        <v>1468</v>
      </c>
      <c r="C8377" t="s">
        <v>422</v>
      </c>
      <c r="D8377" t="e">
        <f>VLOOKUP(C8377,'lookup table'!$A$2:$B$19,2,FALSE)</f>
        <v>#N/A</v>
      </c>
      <c r="E8377" t="str">
        <f t="shared" si="130"/>
        <v/>
      </c>
    </row>
    <row r="8378" spans="1:5" x14ac:dyDescent="0.2">
      <c r="A8378" t="s">
        <v>1467</v>
      </c>
      <c r="B8378" t="s">
        <v>1468</v>
      </c>
      <c r="C8378" t="s">
        <v>423</v>
      </c>
      <c r="D8378" t="str">
        <f>VLOOKUP(C8378,'lookup table'!$A$2:$B$19,2,FALSE)</f>
        <v>ignore</v>
      </c>
      <c r="E8378" t="str">
        <f t="shared" si="130"/>
        <v>DZ5LOB_00|ignore</v>
      </c>
    </row>
    <row r="8379" spans="1:5" x14ac:dyDescent="0.2">
      <c r="A8379" t="s">
        <v>1467</v>
      </c>
      <c r="B8379" t="s">
        <v>1468</v>
      </c>
      <c r="C8379" t="s">
        <v>424</v>
      </c>
      <c r="D8379" t="str">
        <f>VLOOKUP(C8379,'lookup table'!$A$2:$B$19,2,FALSE)</f>
        <v>GRC</v>
      </c>
      <c r="E8379" t="str">
        <f t="shared" si="130"/>
        <v>DZ5LOB_00|GRC</v>
      </c>
    </row>
    <row r="8380" spans="1:5" x14ac:dyDescent="0.2">
      <c r="A8380" t="s">
        <v>1467</v>
      </c>
      <c r="B8380" t="s">
        <v>1468</v>
      </c>
      <c r="C8380" t="s">
        <v>425</v>
      </c>
      <c r="D8380" t="str">
        <f>VLOOKUP(C8380,'lookup table'!$A$2:$B$19,2,FALSE)</f>
        <v>Investee Segment</v>
      </c>
      <c r="E8380" t="str">
        <f t="shared" si="130"/>
        <v>DZ5LOB_00|Investee Segment</v>
      </c>
    </row>
    <row r="8381" spans="1:5" x14ac:dyDescent="0.2">
      <c r="A8381" t="s">
        <v>1467</v>
      </c>
      <c r="B8381" t="s">
        <v>1468</v>
      </c>
      <c r="C8381" t="s">
        <v>426</v>
      </c>
      <c r="D8381" t="str">
        <f>VLOOKUP(C8381,'lookup table'!$A$2:$B$19,2,FALSE)</f>
        <v>Investee Unit</v>
      </c>
      <c r="E8381" t="str">
        <f t="shared" si="130"/>
        <v>DZ5LOB_00|Investee Unit</v>
      </c>
    </row>
    <row r="8382" spans="1:5" x14ac:dyDescent="0.2">
      <c r="A8382" t="s">
        <v>1467</v>
      </c>
      <c r="B8382" t="s">
        <v>1468</v>
      </c>
      <c r="C8382" t="s">
        <v>428</v>
      </c>
      <c r="D8382" t="str">
        <f>VLOOKUP(C8382,'lookup table'!$A$2:$B$19,2,FALSE)</f>
        <v>LoB</v>
      </c>
      <c r="E8382" t="str">
        <f t="shared" si="130"/>
        <v>DZ5LOB_00|LoB</v>
      </c>
    </row>
    <row r="8383" spans="1:5" x14ac:dyDescent="0.2">
      <c r="A8383" t="s">
        <v>1467</v>
      </c>
      <c r="B8383" t="s">
        <v>1468</v>
      </c>
      <c r="C8383" t="s">
        <v>436</v>
      </c>
      <c r="D8383" t="str">
        <f>VLOOKUP(C8383,'lookup table'!$A$2:$B$19,2,FALSE)</f>
        <v>MAT</v>
      </c>
      <c r="E8383" t="str">
        <f t="shared" si="130"/>
        <v>DZ5LOB_00|MAT</v>
      </c>
    </row>
    <row r="8384" spans="1:5" x14ac:dyDescent="0.2">
      <c r="A8384" t="s">
        <v>1467</v>
      </c>
      <c r="B8384" t="s">
        <v>1468</v>
      </c>
      <c r="C8384" t="s">
        <v>438</v>
      </c>
      <c r="D8384" t="str">
        <f>VLOOKUP(C8384,'lookup table'!$A$2:$B$19,2,FALSE)</f>
        <v>ToM</v>
      </c>
      <c r="E8384" t="str">
        <f t="shared" si="130"/>
        <v>DZ5LOB_00|ToM</v>
      </c>
    </row>
    <row r="8385" spans="1:5" x14ac:dyDescent="0.2">
      <c r="A8385" t="s">
        <v>1467</v>
      </c>
      <c r="B8385" t="s">
        <v>1468</v>
      </c>
      <c r="C8385" t="s">
        <v>441</v>
      </c>
      <c r="D8385" t="str">
        <f>VLOOKUP(C8385,'lookup table'!$A$2:$B$19,2,FALSE)</f>
        <v>Partner Segment</v>
      </c>
      <c r="E8385" t="str">
        <f t="shared" si="130"/>
        <v>DZ5LOB_00|Partner Segment</v>
      </c>
    </row>
    <row r="8386" spans="1:5" x14ac:dyDescent="0.2">
      <c r="A8386" t="s">
        <v>1467</v>
      </c>
      <c r="B8386" t="s">
        <v>1468</v>
      </c>
      <c r="C8386" t="s">
        <v>442</v>
      </c>
      <c r="D8386" t="str">
        <f>VLOOKUP(C8386,'lookup table'!$A$2:$B$19,2,FALSE)</f>
        <v>Partner Unit</v>
      </c>
      <c r="E8386" t="str">
        <f t="shared" si="130"/>
        <v>DZ5LOB_00|Partner Unit</v>
      </c>
    </row>
    <row r="8387" spans="1:5" x14ac:dyDescent="0.2">
      <c r="A8387" t="s">
        <v>1467</v>
      </c>
      <c r="B8387" t="s">
        <v>1468</v>
      </c>
      <c r="C8387" t="s">
        <v>447</v>
      </c>
      <c r="D8387" t="str">
        <f>VLOOKUP(C8387,'lookup table'!$A$2:$B$19,2,FALSE)</f>
        <v>REX</v>
      </c>
      <c r="E8387" t="str">
        <f t="shared" ref="E8387:E8450" si="131">IF(ISNA(D8387),"",IF(A8387="","",A8387) &amp; "|" &amp; D8387)</f>
        <v>DZ5LOB_00|REX</v>
      </c>
    </row>
    <row r="8388" spans="1:5" x14ac:dyDescent="0.2">
      <c r="A8388" t="s">
        <v>1467</v>
      </c>
      <c r="B8388" t="s">
        <v>1468</v>
      </c>
      <c r="C8388" t="s">
        <v>448</v>
      </c>
      <c r="D8388" t="e">
        <f>VLOOKUP(C8388,'lookup table'!$A$2:$B$19,2,FALSE)</f>
        <v>#N/A</v>
      </c>
      <c r="E8388" t="str">
        <f t="shared" si="131"/>
        <v/>
      </c>
    </row>
    <row r="8389" spans="1:5" x14ac:dyDescent="0.2">
      <c r="A8389" t="s">
        <v>1467</v>
      </c>
      <c r="B8389" t="s">
        <v>1468</v>
      </c>
      <c r="C8389" t="s">
        <v>449</v>
      </c>
      <c r="D8389" t="e">
        <f>VLOOKUP(C8389,'lookup table'!$A$2:$B$19,2,FALSE)</f>
        <v>#N/A</v>
      </c>
      <c r="E8389" t="str">
        <f t="shared" si="131"/>
        <v/>
      </c>
    </row>
    <row r="8390" spans="1:5" x14ac:dyDescent="0.2">
      <c r="A8390" t="s">
        <v>1467</v>
      </c>
      <c r="B8390" t="s">
        <v>1468</v>
      </c>
      <c r="C8390" t="s">
        <v>451</v>
      </c>
      <c r="D8390" t="str">
        <f>VLOOKUP(C8390,'lookup table'!$A$2:$B$19,2,FALSE)</f>
        <v>Segment</v>
      </c>
      <c r="E8390" t="str">
        <f t="shared" si="131"/>
        <v>DZ5LOB_00|Segment</v>
      </c>
    </row>
    <row r="8391" spans="1:5" x14ac:dyDescent="0.2">
      <c r="A8391" t="s">
        <v>1467</v>
      </c>
      <c r="B8391" t="s">
        <v>1468</v>
      </c>
      <c r="C8391" t="s">
        <v>455</v>
      </c>
      <c r="D8391" t="e">
        <f>VLOOKUP(C8391,'lookup table'!$A$2:$B$19,2,FALSE)</f>
        <v>#N/A</v>
      </c>
      <c r="E8391" t="str">
        <f t="shared" si="131"/>
        <v/>
      </c>
    </row>
    <row r="8392" spans="1:5" x14ac:dyDescent="0.2">
      <c r="A8392" t="s">
        <v>1467</v>
      </c>
      <c r="B8392" t="s">
        <v>1468</v>
      </c>
      <c r="C8392" t="s">
        <v>456</v>
      </c>
      <c r="D8392" t="e">
        <f>VLOOKUP(C8392,'lookup table'!$A$2:$B$19,2,FALSE)</f>
        <v>#N/A</v>
      </c>
      <c r="E8392" t="str">
        <f t="shared" si="131"/>
        <v/>
      </c>
    </row>
    <row r="8393" spans="1:5" x14ac:dyDescent="0.2">
      <c r="A8393" t="s">
        <v>1467</v>
      </c>
      <c r="B8393" t="s">
        <v>1468</v>
      </c>
      <c r="C8393" t="s">
        <v>457</v>
      </c>
      <c r="D8393" t="str">
        <f>VLOOKUP(C8393,'lookup table'!$A$2:$B$19,2,FALSE)</f>
        <v>VLT</v>
      </c>
      <c r="E8393" t="str">
        <f t="shared" si="131"/>
        <v>DZ5LOB_00|VLT</v>
      </c>
    </row>
    <row r="8394" spans="1:5" x14ac:dyDescent="0.2">
      <c r="A8394" t="s">
        <v>1467</v>
      </c>
      <c r="B8394" t="s">
        <v>1468</v>
      </c>
      <c r="C8394" t="s">
        <v>458</v>
      </c>
      <c r="D8394" t="str">
        <f>VLOOKUP(C8394,'lookup table'!$A$2:$B$19,2,FALSE)</f>
        <v>VAR</v>
      </c>
      <c r="E8394" t="str">
        <f t="shared" si="131"/>
        <v>DZ5LOB_00|VAR</v>
      </c>
    </row>
    <row r="8395" spans="1:5" x14ac:dyDescent="0.2">
      <c r="A8395" t="s">
        <v>1467</v>
      </c>
      <c r="B8395" t="s">
        <v>1468</v>
      </c>
      <c r="C8395" t="s">
        <v>459</v>
      </c>
      <c r="D8395" t="e">
        <f>VLOOKUP(C8395,'lookup table'!$A$2:$B$19,2,FALSE)</f>
        <v>#N/A</v>
      </c>
      <c r="E8395" t="str">
        <f t="shared" si="131"/>
        <v/>
      </c>
    </row>
    <row r="8396" spans="1:5" x14ac:dyDescent="0.2">
      <c r="A8396" t="s">
        <v>1467</v>
      </c>
      <c r="B8396" t="s">
        <v>1468</v>
      </c>
      <c r="C8396" t="s">
        <v>460</v>
      </c>
      <c r="D8396" t="e">
        <f>VLOOKUP(C8396,'lookup table'!$A$2:$B$19,2,FALSE)</f>
        <v>#N/A</v>
      </c>
      <c r="E8396" t="str">
        <f t="shared" si="131"/>
        <v/>
      </c>
    </row>
    <row r="8397" spans="1:5" x14ac:dyDescent="0.2">
      <c r="A8397" t="s">
        <v>1467</v>
      </c>
      <c r="B8397" t="s">
        <v>1468</v>
      </c>
      <c r="C8397" t="s">
        <v>461</v>
      </c>
      <c r="D8397" t="str">
        <f>VLOOKUP(C8397,'lookup table'!$A$2:$B$19,2,FALSE)</f>
        <v>Posting Level</v>
      </c>
      <c r="E8397" t="str">
        <f t="shared" si="131"/>
        <v>DZ5LOB_00|Posting Level</v>
      </c>
    </row>
    <row r="8398" spans="1:5" x14ac:dyDescent="0.2">
      <c r="A8398" t="s">
        <v>1467</v>
      </c>
      <c r="B8398" t="s">
        <v>1468</v>
      </c>
      <c r="C8398" t="s">
        <v>462</v>
      </c>
      <c r="D8398" t="e">
        <f>VLOOKUP(C8398,'lookup table'!$A$2:$B$19,2,FALSE)</f>
        <v>#N/A</v>
      </c>
      <c r="E8398" t="str">
        <f t="shared" si="131"/>
        <v/>
      </c>
    </row>
    <row r="8399" spans="1:5" x14ac:dyDescent="0.2">
      <c r="A8399" t="s">
        <v>1467</v>
      </c>
      <c r="B8399" t="s">
        <v>1468</v>
      </c>
      <c r="C8399" t="s">
        <v>463</v>
      </c>
      <c r="D8399" t="e">
        <f>VLOOKUP(C8399,'lookup table'!$A$2:$B$19,2,FALSE)</f>
        <v>#N/A</v>
      </c>
      <c r="E8399" t="str">
        <f t="shared" si="131"/>
        <v/>
      </c>
    </row>
    <row r="8400" spans="1:5" x14ac:dyDescent="0.2">
      <c r="A8400" t="s">
        <v>1467</v>
      </c>
      <c r="B8400" t="s">
        <v>1468</v>
      </c>
      <c r="C8400" t="s">
        <v>464</v>
      </c>
      <c r="D8400" t="e">
        <f>VLOOKUP(C8400,'lookup table'!$A$2:$B$19,2,FALSE)</f>
        <v>#N/A</v>
      </c>
      <c r="E8400" t="str">
        <f t="shared" si="131"/>
        <v/>
      </c>
    </row>
    <row r="8401" spans="1:5" x14ac:dyDescent="0.2">
      <c r="A8401" t="s">
        <v>1467</v>
      </c>
      <c r="B8401" t="s">
        <v>1468</v>
      </c>
      <c r="C8401" t="s">
        <v>465</v>
      </c>
      <c r="D8401" t="e">
        <f>VLOOKUP(C8401,'lookup table'!$A$2:$B$19,2,FALSE)</f>
        <v>#N/A</v>
      </c>
      <c r="E8401" t="str">
        <f t="shared" si="131"/>
        <v/>
      </c>
    </row>
    <row r="8402" spans="1:5" x14ac:dyDescent="0.2">
      <c r="A8402" t="s">
        <v>1469</v>
      </c>
      <c r="B8402" t="s">
        <v>1468</v>
      </c>
      <c r="C8402" t="s">
        <v>2</v>
      </c>
      <c r="D8402" t="e">
        <f>VLOOKUP(C8402,'lookup table'!$A$2:$B$19,2,FALSE)</f>
        <v>#N/A</v>
      </c>
      <c r="E8402" t="str">
        <f t="shared" si="131"/>
        <v/>
      </c>
    </row>
    <row r="8403" spans="1:5" x14ac:dyDescent="0.2">
      <c r="A8403" t="s">
        <v>1469</v>
      </c>
      <c r="B8403" t="s">
        <v>1468</v>
      </c>
      <c r="C8403" t="s">
        <v>5</v>
      </c>
      <c r="D8403" t="e">
        <f>VLOOKUP(C8403,'lookup table'!$A$2:$B$19,2,FALSE)</f>
        <v>#N/A</v>
      </c>
      <c r="E8403" t="str">
        <f t="shared" si="131"/>
        <v/>
      </c>
    </row>
    <row r="8404" spans="1:5" x14ac:dyDescent="0.2">
      <c r="A8404" t="s">
        <v>1469</v>
      </c>
      <c r="B8404" t="s">
        <v>1468</v>
      </c>
      <c r="C8404" t="s">
        <v>6</v>
      </c>
      <c r="D8404" t="e">
        <f>VLOOKUP(C8404,'lookup table'!$A$2:$B$19,2,FALSE)</f>
        <v>#N/A</v>
      </c>
      <c r="E8404" t="str">
        <f t="shared" si="131"/>
        <v/>
      </c>
    </row>
    <row r="8405" spans="1:5" x14ac:dyDescent="0.2">
      <c r="A8405" t="s">
        <v>1469</v>
      </c>
      <c r="B8405" t="s">
        <v>1468</v>
      </c>
      <c r="C8405" t="s">
        <v>9</v>
      </c>
      <c r="D8405" t="e">
        <f>VLOOKUP(C8405,'lookup table'!$A$2:$B$19,2,FALSE)</f>
        <v>#N/A</v>
      </c>
      <c r="E8405" t="str">
        <f t="shared" si="131"/>
        <v/>
      </c>
    </row>
    <row r="8406" spans="1:5" x14ac:dyDescent="0.2">
      <c r="A8406" t="s">
        <v>1469</v>
      </c>
      <c r="B8406" t="s">
        <v>1468</v>
      </c>
      <c r="C8406" t="s">
        <v>10</v>
      </c>
      <c r="D8406" t="e">
        <f>VLOOKUP(C8406,'lookup table'!$A$2:$B$19,2,FALSE)</f>
        <v>#N/A</v>
      </c>
      <c r="E8406" t="str">
        <f t="shared" si="131"/>
        <v/>
      </c>
    </row>
    <row r="8407" spans="1:5" x14ac:dyDescent="0.2">
      <c r="A8407" t="s">
        <v>1469</v>
      </c>
      <c r="B8407" t="s">
        <v>1468</v>
      </c>
      <c r="C8407" t="s">
        <v>11</v>
      </c>
      <c r="D8407" t="e">
        <f>VLOOKUP(C8407,'lookup table'!$A$2:$B$19,2,FALSE)</f>
        <v>#N/A</v>
      </c>
      <c r="E8407" t="str">
        <f t="shared" si="131"/>
        <v/>
      </c>
    </row>
    <row r="8408" spans="1:5" x14ac:dyDescent="0.2">
      <c r="A8408" t="s">
        <v>1469</v>
      </c>
      <c r="B8408" t="s">
        <v>1468</v>
      </c>
      <c r="C8408" t="s">
        <v>12</v>
      </c>
      <c r="D8408" t="e">
        <f>VLOOKUP(C8408,'lookup table'!$A$2:$B$19,2,FALSE)</f>
        <v>#N/A</v>
      </c>
      <c r="E8408" t="str">
        <f t="shared" si="131"/>
        <v/>
      </c>
    </row>
    <row r="8409" spans="1:5" x14ac:dyDescent="0.2">
      <c r="A8409" t="s">
        <v>1469</v>
      </c>
      <c r="B8409" t="s">
        <v>1468</v>
      </c>
      <c r="C8409" t="s">
        <v>14</v>
      </c>
      <c r="D8409" t="str">
        <f>VLOOKUP(C8409,'lookup table'!$A$2:$B$19,2,FALSE)</f>
        <v>ALC</v>
      </c>
      <c r="E8409" t="str">
        <f t="shared" si="131"/>
        <v>DZ5LOB_14|ALC</v>
      </c>
    </row>
    <row r="8410" spans="1:5" x14ac:dyDescent="0.2">
      <c r="A8410" t="s">
        <v>1469</v>
      </c>
      <c r="B8410" t="s">
        <v>1468</v>
      </c>
      <c r="C8410" t="s">
        <v>20</v>
      </c>
      <c r="D8410" t="str">
        <f>VLOOKUP(C8410,'lookup table'!$A$2:$B$19,2,FALSE)</f>
        <v>AY</v>
      </c>
      <c r="E8410" t="str">
        <f t="shared" si="131"/>
        <v>DZ5LOB_14|AY</v>
      </c>
    </row>
    <row r="8411" spans="1:5" x14ac:dyDescent="0.2">
      <c r="A8411" t="s">
        <v>1469</v>
      </c>
      <c r="B8411" t="s">
        <v>1468</v>
      </c>
      <c r="C8411" t="s">
        <v>324</v>
      </c>
      <c r="D8411" t="e">
        <f>VLOOKUP(C8411,'lookup table'!$A$2:$B$19,2,FALSE)</f>
        <v>#N/A</v>
      </c>
      <c r="E8411" t="str">
        <f t="shared" si="131"/>
        <v/>
      </c>
    </row>
    <row r="8412" spans="1:5" x14ac:dyDescent="0.2">
      <c r="A8412" t="s">
        <v>1469</v>
      </c>
      <c r="B8412" t="s">
        <v>1468</v>
      </c>
      <c r="C8412" t="s">
        <v>325</v>
      </c>
      <c r="D8412" t="e">
        <f>VLOOKUP(C8412,'lookup table'!$A$2:$B$19,2,FALSE)</f>
        <v>#N/A</v>
      </c>
      <c r="E8412" t="str">
        <f t="shared" si="131"/>
        <v/>
      </c>
    </row>
    <row r="8413" spans="1:5" x14ac:dyDescent="0.2">
      <c r="A8413" t="s">
        <v>1469</v>
      </c>
      <c r="B8413" t="s">
        <v>1468</v>
      </c>
      <c r="C8413" t="s">
        <v>326</v>
      </c>
      <c r="D8413" t="e">
        <f>VLOOKUP(C8413,'lookup table'!$A$2:$B$19,2,FALSE)</f>
        <v>#N/A</v>
      </c>
      <c r="E8413" t="str">
        <f t="shared" si="131"/>
        <v/>
      </c>
    </row>
    <row r="8414" spans="1:5" x14ac:dyDescent="0.2">
      <c r="A8414" t="s">
        <v>1469</v>
      </c>
      <c r="B8414" t="s">
        <v>1468</v>
      </c>
      <c r="C8414" t="s">
        <v>327</v>
      </c>
      <c r="D8414" t="e">
        <f>VLOOKUP(C8414,'lookup table'!$A$2:$B$19,2,FALSE)</f>
        <v>#N/A</v>
      </c>
      <c r="E8414" t="str">
        <f t="shared" si="131"/>
        <v/>
      </c>
    </row>
    <row r="8415" spans="1:5" x14ac:dyDescent="0.2">
      <c r="A8415" t="s">
        <v>1469</v>
      </c>
      <c r="B8415" t="s">
        <v>1468</v>
      </c>
      <c r="C8415" t="s">
        <v>328</v>
      </c>
      <c r="D8415" t="e">
        <f>VLOOKUP(C8415,'lookup table'!$A$2:$B$19,2,FALSE)</f>
        <v>#N/A</v>
      </c>
      <c r="E8415" t="str">
        <f t="shared" si="131"/>
        <v/>
      </c>
    </row>
    <row r="8416" spans="1:5" x14ac:dyDescent="0.2">
      <c r="A8416" t="s">
        <v>1469</v>
      </c>
      <c r="B8416" t="s">
        <v>1468</v>
      </c>
      <c r="C8416" t="s">
        <v>329</v>
      </c>
      <c r="D8416" t="e">
        <f>VLOOKUP(C8416,'lookup table'!$A$2:$B$19,2,FALSE)</f>
        <v>#N/A</v>
      </c>
      <c r="E8416" t="str">
        <f t="shared" si="131"/>
        <v/>
      </c>
    </row>
    <row r="8417" spans="1:5" x14ac:dyDescent="0.2">
      <c r="A8417" t="s">
        <v>1469</v>
      </c>
      <c r="B8417" t="s">
        <v>1468</v>
      </c>
      <c r="C8417" t="s">
        <v>331</v>
      </c>
      <c r="D8417" t="str">
        <f>VLOOKUP(C8417,'lookup table'!$A$2:$B$19,2,FALSE)</f>
        <v>FS Item</v>
      </c>
      <c r="E8417" t="str">
        <f t="shared" si="131"/>
        <v>DZ5LOB_14|FS Item</v>
      </c>
    </row>
    <row r="8418" spans="1:5" x14ac:dyDescent="0.2">
      <c r="A8418" t="s">
        <v>1469</v>
      </c>
      <c r="B8418" t="s">
        <v>1468</v>
      </c>
      <c r="C8418" t="s">
        <v>422</v>
      </c>
      <c r="D8418" t="e">
        <f>VLOOKUP(C8418,'lookup table'!$A$2:$B$19,2,FALSE)</f>
        <v>#N/A</v>
      </c>
      <c r="E8418" t="str">
        <f t="shared" si="131"/>
        <v/>
      </c>
    </row>
    <row r="8419" spans="1:5" x14ac:dyDescent="0.2">
      <c r="A8419" t="s">
        <v>1469</v>
      </c>
      <c r="B8419" t="s">
        <v>1468</v>
      </c>
      <c r="C8419" t="s">
        <v>423</v>
      </c>
      <c r="D8419" t="str">
        <f>VLOOKUP(C8419,'lookup table'!$A$2:$B$19,2,FALSE)</f>
        <v>ignore</v>
      </c>
      <c r="E8419" t="str">
        <f t="shared" si="131"/>
        <v>DZ5LOB_14|ignore</v>
      </c>
    </row>
    <row r="8420" spans="1:5" x14ac:dyDescent="0.2">
      <c r="A8420" t="s">
        <v>1469</v>
      </c>
      <c r="B8420" t="s">
        <v>1468</v>
      </c>
      <c r="C8420" t="s">
        <v>424</v>
      </c>
      <c r="D8420" t="str">
        <f>VLOOKUP(C8420,'lookup table'!$A$2:$B$19,2,FALSE)</f>
        <v>GRC</v>
      </c>
      <c r="E8420" t="str">
        <f t="shared" si="131"/>
        <v>DZ5LOB_14|GRC</v>
      </c>
    </row>
    <row r="8421" spans="1:5" x14ac:dyDescent="0.2">
      <c r="A8421" t="s">
        <v>1469</v>
      </c>
      <c r="B8421" t="s">
        <v>1468</v>
      </c>
      <c r="C8421" t="s">
        <v>425</v>
      </c>
      <c r="D8421" t="str">
        <f>VLOOKUP(C8421,'lookup table'!$A$2:$B$19,2,FALSE)</f>
        <v>Investee Segment</v>
      </c>
      <c r="E8421" t="str">
        <f t="shared" si="131"/>
        <v>DZ5LOB_14|Investee Segment</v>
      </c>
    </row>
    <row r="8422" spans="1:5" x14ac:dyDescent="0.2">
      <c r="A8422" t="s">
        <v>1469</v>
      </c>
      <c r="B8422" t="s">
        <v>1468</v>
      </c>
      <c r="C8422" t="s">
        <v>426</v>
      </c>
      <c r="D8422" t="str">
        <f>VLOOKUP(C8422,'lookup table'!$A$2:$B$19,2,FALSE)</f>
        <v>Investee Unit</v>
      </c>
      <c r="E8422" t="str">
        <f t="shared" si="131"/>
        <v>DZ5LOB_14|Investee Unit</v>
      </c>
    </row>
    <row r="8423" spans="1:5" x14ac:dyDescent="0.2">
      <c r="A8423" t="s">
        <v>1469</v>
      </c>
      <c r="B8423" t="s">
        <v>1468</v>
      </c>
      <c r="C8423" t="s">
        <v>428</v>
      </c>
      <c r="D8423" t="str">
        <f>VLOOKUP(C8423,'lookup table'!$A$2:$B$19,2,FALSE)</f>
        <v>LoB</v>
      </c>
      <c r="E8423" t="str">
        <f t="shared" si="131"/>
        <v>DZ5LOB_14|LoB</v>
      </c>
    </row>
    <row r="8424" spans="1:5" x14ac:dyDescent="0.2">
      <c r="A8424" t="s">
        <v>1469</v>
      </c>
      <c r="B8424" t="s">
        <v>1468</v>
      </c>
      <c r="C8424" t="s">
        <v>436</v>
      </c>
      <c r="D8424" t="str">
        <f>VLOOKUP(C8424,'lookup table'!$A$2:$B$19,2,FALSE)</f>
        <v>MAT</v>
      </c>
      <c r="E8424" t="str">
        <f t="shared" si="131"/>
        <v>DZ5LOB_14|MAT</v>
      </c>
    </row>
    <row r="8425" spans="1:5" x14ac:dyDescent="0.2">
      <c r="A8425" t="s">
        <v>1469</v>
      </c>
      <c r="B8425" t="s">
        <v>1468</v>
      </c>
      <c r="C8425" t="s">
        <v>438</v>
      </c>
      <c r="D8425" t="str">
        <f>VLOOKUP(C8425,'lookup table'!$A$2:$B$19,2,FALSE)</f>
        <v>ToM</v>
      </c>
      <c r="E8425" t="str">
        <f t="shared" si="131"/>
        <v>DZ5LOB_14|ToM</v>
      </c>
    </row>
    <row r="8426" spans="1:5" x14ac:dyDescent="0.2">
      <c r="A8426" t="s">
        <v>1469</v>
      </c>
      <c r="B8426" t="s">
        <v>1468</v>
      </c>
      <c r="C8426" t="s">
        <v>441</v>
      </c>
      <c r="D8426" t="str">
        <f>VLOOKUP(C8426,'lookup table'!$A$2:$B$19,2,FALSE)</f>
        <v>Partner Segment</v>
      </c>
      <c r="E8426" t="str">
        <f t="shared" si="131"/>
        <v>DZ5LOB_14|Partner Segment</v>
      </c>
    </row>
    <row r="8427" spans="1:5" x14ac:dyDescent="0.2">
      <c r="A8427" t="s">
        <v>1469</v>
      </c>
      <c r="B8427" t="s">
        <v>1468</v>
      </c>
      <c r="C8427" t="s">
        <v>442</v>
      </c>
      <c r="D8427" t="str">
        <f>VLOOKUP(C8427,'lookup table'!$A$2:$B$19,2,FALSE)</f>
        <v>Partner Unit</v>
      </c>
      <c r="E8427" t="str">
        <f t="shared" si="131"/>
        <v>DZ5LOB_14|Partner Unit</v>
      </c>
    </row>
    <row r="8428" spans="1:5" x14ac:dyDescent="0.2">
      <c r="A8428" t="s">
        <v>1469</v>
      </c>
      <c r="B8428" t="s">
        <v>1468</v>
      </c>
      <c r="C8428" t="s">
        <v>447</v>
      </c>
      <c r="D8428" t="str">
        <f>VLOOKUP(C8428,'lookup table'!$A$2:$B$19,2,FALSE)</f>
        <v>REX</v>
      </c>
      <c r="E8428" t="str">
        <f t="shared" si="131"/>
        <v>DZ5LOB_14|REX</v>
      </c>
    </row>
    <row r="8429" spans="1:5" x14ac:dyDescent="0.2">
      <c r="A8429" t="s">
        <v>1469</v>
      </c>
      <c r="B8429" t="s">
        <v>1468</v>
      </c>
      <c r="C8429" t="s">
        <v>448</v>
      </c>
      <c r="D8429" t="e">
        <f>VLOOKUP(C8429,'lookup table'!$A$2:$B$19,2,FALSE)</f>
        <v>#N/A</v>
      </c>
      <c r="E8429" t="str">
        <f t="shared" si="131"/>
        <v/>
      </c>
    </row>
    <row r="8430" spans="1:5" x14ac:dyDescent="0.2">
      <c r="A8430" t="s">
        <v>1469</v>
      </c>
      <c r="B8430" t="s">
        <v>1468</v>
      </c>
      <c r="C8430" t="s">
        <v>449</v>
      </c>
      <c r="D8430" t="e">
        <f>VLOOKUP(C8430,'lookup table'!$A$2:$B$19,2,FALSE)</f>
        <v>#N/A</v>
      </c>
      <c r="E8430" t="str">
        <f t="shared" si="131"/>
        <v/>
      </c>
    </row>
    <row r="8431" spans="1:5" x14ac:dyDescent="0.2">
      <c r="A8431" t="s">
        <v>1469</v>
      </c>
      <c r="B8431" t="s">
        <v>1468</v>
      </c>
      <c r="C8431" t="s">
        <v>451</v>
      </c>
      <c r="D8431" t="str">
        <f>VLOOKUP(C8431,'lookup table'!$A$2:$B$19,2,FALSE)</f>
        <v>Segment</v>
      </c>
      <c r="E8431" t="str">
        <f t="shared" si="131"/>
        <v>DZ5LOB_14|Segment</v>
      </c>
    </row>
    <row r="8432" spans="1:5" x14ac:dyDescent="0.2">
      <c r="A8432" t="s">
        <v>1469</v>
      </c>
      <c r="B8432" t="s">
        <v>1468</v>
      </c>
      <c r="C8432" t="s">
        <v>455</v>
      </c>
      <c r="D8432" t="e">
        <f>VLOOKUP(C8432,'lookup table'!$A$2:$B$19,2,FALSE)</f>
        <v>#N/A</v>
      </c>
      <c r="E8432" t="str">
        <f t="shared" si="131"/>
        <v/>
      </c>
    </row>
    <row r="8433" spans="1:5" x14ac:dyDescent="0.2">
      <c r="A8433" t="s">
        <v>1469</v>
      </c>
      <c r="B8433" t="s">
        <v>1468</v>
      </c>
      <c r="C8433" t="s">
        <v>456</v>
      </c>
      <c r="D8433" t="e">
        <f>VLOOKUP(C8433,'lookup table'!$A$2:$B$19,2,FALSE)</f>
        <v>#N/A</v>
      </c>
      <c r="E8433" t="str">
        <f t="shared" si="131"/>
        <v/>
      </c>
    </row>
    <row r="8434" spans="1:5" x14ac:dyDescent="0.2">
      <c r="A8434" t="s">
        <v>1469</v>
      </c>
      <c r="B8434" t="s">
        <v>1468</v>
      </c>
      <c r="C8434" t="s">
        <v>457</v>
      </c>
      <c r="D8434" t="str">
        <f>VLOOKUP(C8434,'lookup table'!$A$2:$B$19,2,FALSE)</f>
        <v>VLT</v>
      </c>
      <c r="E8434" t="str">
        <f t="shared" si="131"/>
        <v>DZ5LOB_14|VLT</v>
      </c>
    </row>
    <row r="8435" spans="1:5" x14ac:dyDescent="0.2">
      <c r="A8435" t="s">
        <v>1469</v>
      </c>
      <c r="B8435" t="s">
        <v>1468</v>
      </c>
      <c r="C8435" t="s">
        <v>458</v>
      </c>
      <c r="D8435" t="str">
        <f>VLOOKUP(C8435,'lookup table'!$A$2:$B$19,2,FALSE)</f>
        <v>VAR</v>
      </c>
      <c r="E8435" t="str">
        <f t="shared" si="131"/>
        <v>DZ5LOB_14|VAR</v>
      </c>
    </row>
    <row r="8436" spans="1:5" x14ac:dyDescent="0.2">
      <c r="A8436" t="s">
        <v>1469</v>
      </c>
      <c r="B8436" t="s">
        <v>1468</v>
      </c>
      <c r="C8436" t="s">
        <v>459</v>
      </c>
      <c r="D8436" t="e">
        <f>VLOOKUP(C8436,'lookup table'!$A$2:$B$19,2,FALSE)</f>
        <v>#N/A</v>
      </c>
      <c r="E8436" t="str">
        <f t="shared" si="131"/>
        <v/>
      </c>
    </row>
    <row r="8437" spans="1:5" x14ac:dyDescent="0.2">
      <c r="A8437" t="s">
        <v>1469</v>
      </c>
      <c r="B8437" t="s">
        <v>1468</v>
      </c>
      <c r="C8437" t="s">
        <v>460</v>
      </c>
      <c r="D8437" t="e">
        <f>VLOOKUP(C8437,'lookup table'!$A$2:$B$19,2,FALSE)</f>
        <v>#N/A</v>
      </c>
      <c r="E8437" t="str">
        <f t="shared" si="131"/>
        <v/>
      </c>
    </row>
    <row r="8438" spans="1:5" x14ac:dyDescent="0.2">
      <c r="A8438" t="s">
        <v>1469</v>
      </c>
      <c r="B8438" t="s">
        <v>1468</v>
      </c>
      <c r="C8438" t="s">
        <v>461</v>
      </c>
      <c r="D8438" t="str">
        <f>VLOOKUP(C8438,'lookup table'!$A$2:$B$19,2,FALSE)</f>
        <v>Posting Level</v>
      </c>
      <c r="E8438" t="str">
        <f t="shared" si="131"/>
        <v>DZ5LOB_14|Posting Level</v>
      </c>
    </row>
    <row r="8439" spans="1:5" x14ac:dyDescent="0.2">
      <c r="A8439" t="s">
        <v>1469</v>
      </c>
      <c r="B8439" t="s">
        <v>1468</v>
      </c>
      <c r="C8439" t="s">
        <v>462</v>
      </c>
      <c r="D8439" t="e">
        <f>VLOOKUP(C8439,'lookup table'!$A$2:$B$19,2,FALSE)</f>
        <v>#N/A</v>
      </c>
      <c r="E8439" t="str">
        <f t="shared" si="131"/>
        <v/>
      </c>
    </row>
    <row r="8440" spans="1:5" x14ac:dyDescent="0.2">
      <c r="A8440" t="s">
        <v>1469</v>
      </c>
      <c r="B8440" t="s">
        <v>1468</v>
      </c>
      <c r="C8440" t="s">
        <v>463</v>
      </c>
      <c r="D8440" t="e">
        <f>VLOOKUP(C8440,'lookup table'!$A$2:$B$19,2,FALSE)</f>
        <v>#N/A</v>
      </c>
      <c r="E8440" t="str">
        <f t="shared" si="131"/>
        <v/>
      </c>
    </row>
    <row r="8441" spans="1:5" x14ac:dyDescent="0.2">
      <c r="A8441" t="s">
        <v>1469</v>
      </c>
      <c r="B8441" t="s">
        <v>1468</v>
      </c>
      <c r="C8441" t="s">
        <v>464</v>
      </c>
      <c r="D8441" t="e">
        <f>VLOOKUP(C8441,'lookup table'!$A$2:$B$19,2,FALSE)</f>
        <v>#N/A</v>
      </c>
      <c r="E8441" t="str">
        <f t="shared" si="131"/>
        <v/>
      </c>
    </row>
    <row r="8442" spans="1:5" x14ac:dyDescent="0.2">
      <c r="A8442" t="s">
        <v>1469</v>
      </c>
      <c r="B8442" t="s">
        <v>1468</v>
      </c>
      <c r="C8442" t="s">
        <v>465</v>
      </c>
      <c r="D8442" t="e">
        <f>VLOOKUP(C8442,'lookup table'!$A$2:$B$19,2,FALSE)</f>
        <v>#N/A</v>
      </c>
      <c r="E8442" t="str">
        <f t="shared" si="131"/>
        <v/>
      </c>
    </row>
    <row r="8443" spans="1:5" x14ac:dyDescent="0.2">
      <c r="A8443" t="s">
        <v>1470</v>
      </c>
      <c r="B8443" t="s">
        <v>1471</v>
      </c>
      <c r="C8443" t="s">
        <v>2</v>
      </c>
      <c r="D8443" t="e">
        <f>VLOOKUP(C8443,'lookup table'!$A$2:$B$19,2,FALSE)</f>
        <v>#N/A</v>
      </c>
      <c r="E8443" t="str">
        <f t="shared" si="131"/>
        <v/>
      </c>
    </row>
    <row r="8444" spans="1:5" x14ac:dyDescent="0.2">
      <c r="A8444" t="s">
        <v>1470</v>
      </c>
      <c r="B8444" t="s">
        <v>1471</v>
      </c>
      <c r="C8444" t="s">
        <v>5</v>
      </c>
      <c r="D8444" t="e">
        <f>VLOOKUP(C8444,'lookup table'!$A$2:$B$19,2,FALSE)</f>
        <v>#N/A</v>
      </c>
      <c r="E8444" t="str">
        <f t="shared" si="131"/>
        <v/>
      </c>
    </row>
    <row r="8445" spans="1:5" x14ac:dyDescent="0.2">
      <c r="A8445" t="s">
        <v>1470</v>
      </c>
      <c r="B8445" t="s">
        <v>1471</v>
      </c>
      <c r="C8445" t="s">
        <v>6</v>
      </c>
      <c r="D8445" t="e">
        <f>VLOOKUP(C8445,'lookup table'!$A$2:$B$19,2,FALSE)</f>
        <v>#N/A</v>
      </c>
      <c r="E8445" t="str">
        <f t="shared" si="131"/>
        <v/>
      </c>
    </row>
    <row r="8446" spans="1:5" x14ac:dyDescent="0.2">
      <c r="A8446" t="s">
        <v>1470</v>
      </c>
      <c r="B8446" t="s">
        <v>1471</v>
      </c>
      <c r="C8446" t="s">
        <v>9</v>
      </c>
      <c r="D8446" t="e">
        <f>VLOOKUP(C8446,'lookup table'!$A$2:$B$19,2,FALSE)</f>
        <v>#N/A</v>
      </c>
      <c r="E8446" t="str">
        <f t="shared" si="131"/>
        <v/>
      </c>
    </row>
    <row r="8447" spans="1:5" x14ac:dyDescent="0.2">
      <c r="A8447" t="s">
        <v>1470</v>
      </c>
      <c r="B8447" t="s">
        <v>1471</v>
      </c>
      <c r="C8447" t="s">
        <v>10</v>
      </c>
      <c r="D8447" t="e">
        <f>VLOOKUP(C8447,'lookup table'!$A$2:$B$19,2,FALSE)</f>
        <v>#N/A</v>
      </c>
      <c r="E8447" t="str">
        <f t="shared" si="131"/>
        <v/>
      </c>
    </row>
    <row r="8448" spans="1:5" x14ac:dyDescent="0.2">
      <c r="A8448" t="s">
        <v>1470</v>
      </c>
      <c r="B8448" t="s">
        <v>1471</v>
      </c>
      <c r="C8448" t="s">
        <v>11</v>
      </c>
      <c r="D8448" t="e">
        <f>VLOOKUP(C8448,'lookup table'!$A$2:$B$19,2,FALSE)</f>
        <v>#N/A</v>
      </c>
      <c r="E8448" t="str">
        <f t="shared" si="131"/>
        <v/>
      </c>
    </row>
    <row r="8449" spans="1:5" x14ac:dyDescent="0.2">
      <c r="A8449" t="s">
        <v>1470</v>
      </c>
      <c r="B8449" t="s">
        <v>1471</v>
      </c>
      <c r="C8449" t="s">
        <v>12</v>
      </c>
      <c r="D8449" t="e">
        <f>VLOOKUP(C8449,'lookup table'!$A$2:$B$19,2,FALSE)</f>
        <v>#N/A</v>
      </c>
      <c r="E8449" t="str">
        <f t="shared" si="131"/>
        <v/>
      </c>
    </row>
    <row r="8450" spans="1:5" x14ac:dyDescent="0.2">
      <c r="A8450" t="s">
        <v>1470</v>
      </c>
      <c r="B8450" t="s">
        <v>1471</v>
      </c>
      <c r="C8450" t="s">
        <v>14</v>
      </c>
      <c r="D8450" t="str">
        <f>VLOOKUP(C8450,'lookup table'!$A$2:$B$19,2,FALSE)</f>
        <v>ALC</v>
      </c>
      <c r="E8450" t="str">
        <f t="shared" si="131"/>
        <v>DZ5REX_00|ALC</v>
      </c>
    </row>
    <row r="8451" spans="1:5" x14ac:dyDescent="0.2">
      <c r="A8451" t="s">
        <v>1470</v>
      </c>
      <c r="B8451" t="s">
        <v>1471</v>
      </c>
      <c r="C8451" t="s">
        <v>20</v>
      </c>
      <c r="D8451" t="str">
        <f>VLOOKUP(C8451,'lookup table'!$A$2:$B$19,2,FALSE)</f>
        <v>AY</v>
      </c>
      <c r="E8451" t="str">
        <f t="shared" ref="E8451:E8514" si="132">IF(ISNA(D8451),"",IF(A8451="","",A8451) &amp; "|" &amp; D8451)</f>
        <v>DZ5REX_00|AY</v>
      </c>
    </row>
    <row r="8452" spans="1:5" x14ac:dyDescent="0.2">
      <c r="A8452" t="s">
        <v>1470</v>
      </c>
      <c r="B8452" t="s">
        <v>1471</v>
      </c>
      <c r="C8452" t="s">
        <v>324</v>
      </c>
      <c r="D8452" t="e">
        <f>VLOOKUP(C8452,'lookup table'!$A$2:$B$19,2,FALSE)</f>
        <v>#N/A</v>
      </c>
      <c r="E8452" t="str">
        <f t="shared" si="132"/>
        <v/>
      </c>
    </row>
    <row r="8453" spans="1:5" x14ac:dyDescent="0.2">
      <c r="A8453" t="s">
        <v>1470</v>
      </c>
      <c r="B8453" t="s">
        <v>1471</v>
      </c>
      <c r="C8453" t="s">
        <v>325</v>
      </c>
      <c r="D8453" t="e">
        <f>VLOOKUP(C8453,'lookup table'!$A$2:$B$19,2,FALSE)</f>
        <v>#N/A</v>
      </c>
      <c r="E8453" t="str">
        <f t="shared" si="132"/>
        <v/>
      </c>
    </row>
    <row r="8454" spans="1:5" x14ac:dyDescent="0.2">
      <c r="A8454" t="s">
        <v>1470</v>
      </c>
      <c r="B8454" t="s">
        <v>1471</v>
      </c>
      <c r="C8454" t="s">
        <v>326</v>
      </c>
      <c r="D8454" t="e">
        <f>VLOOKUP(C8454,'lookup table'!$A$2:$B$19,2,FALSE)</f>
        <v>#N/A</v>
      </c>
      <c r="E8454" t="str">
        <f t="shared" si="132"/>
        <v/>
      </c>
    </row>
    <row r="8455" spans="1:5" x14ac:dyDescent="0.2">
      <c r="A8455" t="s">
        <v>1470</v>
      </c>
      <c r="B8455" t="s">
        <v>1471</v>
      </c>
      <c r="C8455" t="s">
        <v>327</v>
      </c>
      <c r="D8455" t="e">
        <f>VLOOKUP(C8455,'lookup table'!$A$2:$B$19,2,FALSE)</f>
        <v>#N/A</v>
      </c>
      <c r="E8455" t="str">
        <f t="shared" si="132"/>
        <v/>
      </c>
    </row>
    <row r="8456" spans="1:5" x14ac:dyDescent="0.2">
      <c r="A8456" t="s">
        <v>1470</v>
      </c>
      <c r="B8456" t="s">
        <v>1471</v>
      </c>
      <c r="C8456" t="s">
        <v>328</v>
      </c>
      <c r="D8456" t="e">
        <f>VLOOKUP(C8456,'lookup table'!$A$2:$B$19,2,FALSE)</f>
        <v>#N/A</v>
      </c>
      <c r="E8456" t="str">
        <f t="shared" si="132"/>
        <v/>
      </c>
    </row>
    <row r="8457" spans="1:5" x14ac:dyDescent="0.2">
      <c r="A8457" t="s">
        <v>1470</v>
      </c>
      <c r="B8457" t="s">
        <v>1471</v>
      </c>
      <c r="C8457" t="s">
        <v>329</v>
      </c>
      <c r="D8457" t="e">
        <f>VLOOKUP(C8457,'lookup table'!$A$2:$B$19,2,FALSE)</f>
        <v>#N/A</v>
      </c>
      <c r="E8457" t="str">
        <f t="shared" si="132"/>
        <v/>
      </c>
    </row>
    <row r="8458" spans="1:5" x14ac:dyDescent="0.2">
      <c r="A8458" t="s">
        <v>1470</v>
      </c>
      <c r="B8458" t="s">
        <v>1471</v>
      </c>
      <c r="C8458" t="s">
        <v>331</v>
      </c>
      <c r="D8458" t="str">
        <f>VLOOKUP(C8458,'lookup table'!$A$2:$B$19,2,FALSE)</f>
        <v>FS Item</v>
      </c>
      <c r="E8458" t="str">
        <f t="shared" si="132"/>
        <v>DZ5REX_00|FS Item</v>
      </c>
    </row>
    <row r="8459" spans="1:5" x14ac:dyDescent="0.2">
      <c r="A8459" t="s">
        <v>1470</v>
      </c>
      <c r="B8459" t="s">
        <v>1471</v>
      </c>
      <c r="C8459" t="s">
        <v>422</v>
      </c>
      <c r="D8459" t="e">
        <f>VLOOKUP(C8459,'lookup table'!$A$2:$B$19,2,FALSE)</f>
        <v>#N/A</v>
      </c>
      <c r="E8459" t="str">
        <f t="shared" si="132"/>
        <v/>
      </c>
    </row>
    <row r="8460" spans="1:5" x14ac:dyDescent="0.2">
      <c r="A8460" t="s">
        <v>1470</v>
      </c>
      <c r="B8460" t="s">
        <v>1471</v>
      </c>
      <c r="C8460" t="s">
        <v>423</v>
      </c>
      <c r="D8460" t="str">
        <f>VLOOKUP(C8460,'lookup table'!$A$2:$B$19,2,FALSE)</f>
        <v>ignore</v>
      </c>
      <c r="E8460" t="str">
        <f t="shared" si="132"/>
        <v>DZ5REX_00|ignore</v>
      </c>
    </row>
    <row r="8461" spans="1:5" x14ac:dyDescent="0.2">
      <c r="A8461" t="s">
        <v>1470</v>
      </c>
      <c r="B8461" t="s">
        <v>1471</v>
      </c>
      <c r="C8461" t="s">
        <v>424</v>
      </c>
      <c r="D8461" t="str">
        <f>VLOOKUP(C8461,'lookup table'!$A$2:$B$19,2,FALSE)</f>
        <v>GRC</v>
      </c>
      <c r="E8461" t="str">
        <f t="shared" si="132"/>
        <v>DZ5REX_00|GRC</v>
      </c>
    </row>
    <row r="8462" spans="1:5" x14ac:dyDescent="0.2">
      <c r="A8462" t="s">
        <v>1470</v>
      </c>
      <c r="B8462" t="s">
        <v>1471</v>
      </c>
      <c r="C8462" t="s">
        <v>425</v>
      </c>
      <c r="D8462" t="str">
        <f>VLOOKUP(C8462,'lookup table'!$A$2:$B$19,2,FALSE)</f>
        <v>Investee Segment</v>
      </c>
      <c r="E8462" t="str">
        <f t="shared" si="132"/>
        <v>DZ5REX_00|Investee Segment</v>
      </c>
    </row>
    <row r="8463" spans="1:5" x14ac:dyDescent="0.2">
      <c r="A8463" t="s">
        <v>1470</v>
      </c>
      <c r="B8463" t="s">
        <v>1471</v>
      </c>
      <c r="C8463" t="s">
        <v>426</v>
      </c>
      <c r="D8463" t="str">
        <f>VLOOKUP(C8463,'lookup table'!$A$2:$B$19,2,FALSE)</f>
        <v>Investee Unit</v>
      </c>
      <c r="E8463" t="str">
        <f t="shared" si="132"/>
        <v>DZ5REX_00|Investee Unit</v>
      </c>
    </row>
    <row r="8464" spans="1:5" x14ac:dyDescent="0.2">
      <c r="A8464" t="s">
        <v>1470</v>
      </c>
      <c r="B8464" t="s">
        <v>1471</v>
      </c>
      <c r="C8464" t="s">
        <v>428</v>
      </c>
      <c r="D8464" t="str">
        <f>VLOOKUP(C8464,'lookup table'!$A$2:$B$19,2,FALSE)</f>
        <v>LoB</v>
      </c>
      <c r="E8464" t="str">
        <f t="shared" si="132"/>
        <v>DZ5REX_00|LoB</v>
      </c>
    </row>
    <row r="8465" spans="1:5" x14ac:dyDescent="0.2">
      <c r="A8465" t="s">
        <v>1470</v>
      </c>
      <c r="B8465" t="s">
        <v>1471</v>
      </c>
      <c r="C8465" t="s">
        <v>436</v>
      </c>
      <c r="D8465" t="str">
        <f>VLOOKUP(C8465,'lookup table'!$A$2:$B$19,2,FALSE)</f>
        <v>MAT</v>
      </c>
      <c r="E8465" t="str">
        <f t="shared" si="132"/>
        <v>DZ5REX_00|MAT</v>
      </c>
    </row>
    <row r="8466" spans="1:5" x14ac:dyDescent="0.2">
      <c r="A8466" t="s">
        <v>1470</v>
      </c>
      <c r="B8466" t="s">
        <v>1471</v>
      </c>
      <c r="C8466" t="s">
        <v>438</v>
      </c>
      <c r="D8466" t="str">
        <f>VLOOKUP(C8466,'lookup table'!$A$2:$B$19,2,FALSE)</f>
        <v>ToM</v>
      </c>
      <c r="E8466" t="str">
        <f t="shared" si="132"/>
        <v>DZ5REX_00|ToM</v>
      </c>
    </row>
    <row r="8467" spans="1:5" x14ac:dyDescent="0.2">
      <c r="A8467" t="s">
        <v>1470</v>
      </c>
      <c r="B8467" t="s">
        <v>1471</v>
      </c>
      <c r="C8467" t="s">
        <v>441</v>
      </c>
      <c r="D8467" t="str">
        <f>VLOOKUP(C8467,'lookup table'!$A$2:$B$19,2,FALSE)</f>
        <v>Partner Segment</v>
      </c>
      <c r="E8467" t="str">
        <f t="shared" si="132"/>
        <v>DZ5REX_00|Partner Segment</v>
      </c>
    </row>
    <row r="8468" spans="1:5" x14ac:dyDescent="0.2">
      <c r="A8468" t="s">
        <v>1470</v>
      </c>
      <c r="B8468" t="s">
        <v>1471</v>
      </c>
      <c r="C8468" t="s">
        <v>442</v>
      </c>
      <c r="D8468" t="str">
        <f>VLOOKUP(C8468,'lookup table'!$A$2:$B$19,2,FALSE)</f>
        <v>Partner Unit</v>
      </c>
      <c r="E8468" t="str">
        <f t="shared" si="132"/>
        <v>DZ5REX_00|Partner Unit</v>
      </c>
    </row>
    <row r="8469" spans="1:5" x14ac:dyDescent="0.2">
      <c r="A8469" t="s">
        <v>1470</v>
      </c>
      <c r="B8469" t="s">
        <v>1471</v>
      </c>
      <c r="C8469" t="s">
        <v>447</v>
      </c>
      <c r="D8469" t="str">
        <f>VLOOKUP(C8469,'lookup table'!$A$2:$B$19,2,FALSE)</f>
        <v>REX</v>
      </c>
      <c r="E8469" t="str">
        <f t="shared" si="132"/>
        <v>DZ5REX_00|REX</v>
      </c>
    </row>
    <row r="8470" spans="1:5" x14ac:dyDescent="0.2">
      <c r="A8470" t="s">
        <v>1470</v>
      </c>
      <c r="B8470" t="s">
        <v>1471</v>
      </c>
      <c r="C8470" t="s">
        <v>448</v>
      </c>
      <c r="D8470" t="e">
        <f>VLOOKUP(C8470,'lookup table'!$A$2:$B$19,2,FALSE)</f>
        <v>#N/A</v>
      </c>
      <c r="E8470" t="str">
        <f t="shared" si="132"/>
        <v/>
      </c>
    </row>
    <row r="8471" spans="1:5" x14ac:dyDescent="0.2">
      <c r="A8471" t="s">
        <v>1470</v>
      </c>
      <c r="B8471" t="s">
        <v>1471</v>
      </c>
      <c r="C8471" t="s">
        <v>449</v>
      </c>
      <c r="D8471" t="e">
        <f>VLOOKUP(C8471,'lookup table'!$A$2:$B$19,2,FALSE)</f>
        <v>#N/A</v>
      </c>
      <c r="E8471" t="str">
        <f t="shared" si="132"/>
        <v/>
      </c>
    </row>
    <row r="8472" spans="1:5" x14ac:dyDescent="0.2">
      <c r="A8472" t="s">
        <v>1470</v>
      </c>
      <c r="B8472" t="s">
        <v>1471</v>
      </c>
      <c r="C8472" t="s">
        <v>451</v>
      </c>
      <c r="D8472" t="str">
        <f>VLOOKUP(C8472,'lookup table'!$A$2:$B$19,2,FALSE)</f>
        <v>Segment</v>
      </c>
      <c r="E8472" t="str">
        <f t="shared" si="132"/>
        <v>DZ5REX_00|Segment</v>
      </c>
    </row>
    <row r="8473" spans="1:5" x14ac:dyDescent="0.2">
      <c r="A8473" t="s">
        <v>1470</v>
      </c>
      <c r="B8473" t="s">
        <v>1471</v>
      </c>
      <c r="C8473" t="s">
        <v>455</v>
      </c>
      <c r="D8473" t="e">
        <f>VLOOKUP(C8473,'lookup table'!$A$2:$B$19,2,FALSE)</f>
        <v>#N/A</v>
      </c>
      <c r="E8473" t="str">
        <f t="shared" si="132"/>
        <v/>
      </c>
    </row>
    <row r="8474" spans="1:5" x14ac:dyDescent="0.2">
      <c r="A8474" t="s">
        <v>1470</v>
      </c>
      <c r="B8474" t="s">
        <v>1471</v>
      </c>
      <c r="C8474" t="s">
        <v>456</v>
      </c>
      <c r="D8474" t="e">
        <f>VLOOKUP(C8474,'lookup table'!$A$2:$B$19,2,FALSE)</f>
        <v>#N/A</v>
      </c>
      <c r="E8474" t="str">
        <f t="shared" si="132"/>
        <v/>
      </c>
    </row>
    <row r="8475" spans="1:5" x14ac:dyDescent="0.2">
      <c r="A8475" t="s">
        <v>1470</v>
      </c>
      <c r="B8475" t="s">
        <v>1471</v>
      </c>
      <c r="C8475" t="s">
        <v>457</v>
      </c>
      <c r="D8475" t="str">
        <f>VLOOKUP(C8475,'lookup table'!$A$2:$B$19,2,FALSE)</f>
        <v>VLT</v>
      </c>
      <c r="E8475" t="str">
        <f t="shared" si="132"/>
        <v>DZ5REX_00|VLT</v>
      </c>
    </row>
    <row r="8476" spans="1:5" x14ac:dyDescent="0.2">
      <c r="A8476" t="s">
        <v>1470</v>
      </c>
      <c r="B8476" t="s">
        <v>1471</v>
      </c>
      <c r="C8476" t="s">
        <v>458</v>
      </c>
      <c r="D8476" t="str">
        <f>VLOOKUP(C8476,'lookup table'!$A$2:$B$19,2,FALSE)</f>
        <v>VAR</v>
      </c>
      <c r="E8476" t="str">
        <f t="shared" si="132"/>
        <v>DZ5REX_00|VAR</v>
      </c>
    </row>
    <row r="8477" spans="1:5" x14ac:dyDescent="0.2">
      <c r="A8477" t="s">
        <v>1470</v>
      </c>
      <c r="B8477" t="s">
        <v>1471</v>
      </c>
      <c r="C8477" t="s">
        <v>459</v>
      </c>
      <c r="D8477" t="e">
        <f>VLOOKUP(C8477,'lookup table'!$A$2:$B$19,2,FALSE)</f>
        <v>#N/A</v>
      </c>
      <c r="E8477" t="str">
        <f t="shared" si="132"/>
        <v/>
      </c>
    </row>
    <row r="8478" spans="1:5" x14ac:dyDescent="0.2">
      <c r="A8478" t="s">
        <v>1470</v>
      </c>
      <c r="B8478" t="s">
        <v>1471</v>
      </c>
      <c r="C8478" t="s">
        <v>460</v>
      </c>
      <c r="D8478" t="e">
        <f>VLOOKUP(C8478,'lookup table'!$A$2:$B$19,2,FALSE)</f>
        <v>#N/A</v>
      </c>
      <c r="E8478" t="str">
        <f t="shared" si="132"/>
        <v/>
      </c>
    </row>
    <row r="8479" spans="1:5" x14ac:dyDescent="0.2">
      <c r="A8479" t="s">
        <v>1470</v>
      </c>
      <c r="B8479" t="s">
        <v>1471</v>
      </c>
      <c r="C8479" t="s">
        <v>461</v>
      </c>
      <c r="D8479" t="str">
        <f>VLOOKUP(C8479,'lookup table'!$A$2:$B$19,2,FALSE)</f>
        <v>Posting Level</v>
      </c>
      <c r="E8479" t="str">
        <f t="shared" si="132"/>
        <v>DZ5REX_00|Posting Level</v>
      </c>
    </row>
    <row r="8480" spans="1:5" x14ac:dyDescent="0.2">
      <c r="A8480" t="s">
        <v>1470</v>
      </c>
      <c r="B8480" t="s">
        <v>1471</v>
      </c>
      <c r="C8480" t="s">
        <v>462</v>
      </c>
      <c r="D8480" t="e">
        <f>VLOOKUP(C8480,'lookup table'!$A$2:$B$19,2,FALSE)</f>
        <v>#N/A</v>
      </c>
      <c r="E8480" t="str">
        <f t="shared" si="132"/>
        <v/>
      </c>
    </row>
    <row r="8481" spans="1:5" x14ac:dyDescent="0.2">
      <c r="A8481" t="s">
        <v>1470</v>
      </c>
      <c r="B8481" t="s">
        <v>1471</v>
      </c>
      <c r="C8481" t="s">
        <v>463</v>
      </c>
      <c r="D8481" t="e">
        <f>VLOOKUP(C8481,'lookup table'!$A$2:$B$19,2,FALSE)</f>
        <v>#N/A</v>
      </c>
      <c r="E8481" t="str">
        <f t="shared" si="132"/>
        <v/>
      </c>
    </row>
    <row r="8482" spans="1:5" x14ac:dyDescent="0.2">
      <c r="A8482" t="s">
        <v>1470</v>
      </c>
      <c r="B8482" t="s">
        <v>1471</v>
      </c>
      <c r="C8482" t="s">
        <v>464</v>
      </c>
      <c r="D8482" t="e">
        <f>VLOOKUP(C8482,'lookup table'!$A$2:$B$19,2,FALSE)</f>
        <v>#N/A</v>
      </c>
      <c r="E8482" t="str">
        <f t="shared" si="132"/>
        <v/>
      </c>
    </row>
    <row r="8483" spans="1:5" x14ac:dyDescent="0.2">
      <c r="A8483" t="s">
        <v>1470</v>
      </c>
      <c r="B8483" t="s">
        <v>1471</v>
      </c>
      <c r="C8483" t="s">
        <v>465</v>
      </c>
      <c r="D8483" t="e">
        <f>VLOOKUP(C8483,'lookup table'!$A$2:$B$19,2,FALSE)</f>
        <v>#N/A</v>
      </c>
      <c r="E8483" t="str">
        <f t="shared" si="132"/>
        <v/>
      </c>
    </row>
    <row r="8484" spans="1:5" x14ac:dyDescent="0.2">
      <c r="A8484" t="s">
        <v>1472</v>
      </c>
      <c r="B8484" t="s">
        <v>1473</v>
      </c>
      <c r="C8484" t="s">
        <v>2</v>
      </c>
      <c r="D8484" t="e">
        <f>VLOOKUP(C8484,'lookup table'!$A$2:$B$19,2,FALSE)</f>
        <v>#N/A</v>
      </c>
      <c r="E8484" t="str">
        <f t="shared" si="132"/>
        <v/>
      </c>
    </row>
    <row r="8485" spans="1:5" x14ac:dyDescent="0.2">
      <c r="A8485" t="s">
        <v>1472</v>
      </c>
      <c r="B8485" t="s">
        <v>1473</v>
      </c>
      <c r="C8485" t="s">
        <v>5</v>
      </c>
      <c r="D8485" t="e">
        <f>VLOOKUP(C8485,'lookup table'!$A$2:$B$19,2,FALSE)</f>
        <v>#N/A</v>
      </c>
      <c r="E8485" t="str">
        <f t="shared" si="132"/>
        <v/>
      </c>
    </row>
    <row r="8486" spans="1:5" x14ac:dyDescent="0.2">
      <c r="A8486" t="s">
        <v>1472</v>
      </c>
      <c r="B8486" t="s">
        <v>1473</v>
      </c>
      <c r="C8486" t="s">
        <v>6</v>
      </c>
      <c r="D8486" t="e">
        <f>VLOOKUP(C8486,'lookup table'!$A$2:$B$19,2,FALSE)</f>
        <v>#N/A</v>
      </c>
      <c r="E8486" t="str">
        <f t="shared" si="132"/>
        <v/>
      </c>
    </row>
    <row r="8487" spans="1:5" x14ac:dyDescent="0.2">
      <c r="A8487" t="s">
        <v>1472</v>
      </c>
      <c r="B8487" t="s">
        <v>1473</v>
      </c>
      <c r="C8487" t="s">
        <v>9</v>
      </c>
      <c r="D8487" t="e">
        <f>VLOOKUP(C8487,'lookup table'!$A$2:$B$19,2,FALSE)</f>
        <v>#N/A</v>
      </c>
      <c r="E8487" t="str">
        <f t="shared" si="132"/>
        <v/>
      </c>
    </row>
    <row r="8488" spans="1:5" x14ac:dyDescent="0.2">
      <c r="A8488" t="s">
        <v>1472</v>
      </c>
      <c r="B8488" t="s">
        <v>1473</v>
      </c>
      <c r="C8488" t="s">
        <v>10</v>
      </c>
      <c r="D8488" t="e">
        <f>VLOOKUP(C8488,'lookup table'!$A$2:$B$19,2,FALSE)</f>
        <v>#N/A</v>
      </c>
      <c r="E8488" t="str">
        <f t="shared" si="132"/>
        <v/>
      </c>
    </row>
    <row r="8489" spans="1:5" x14ac:dyDescent="0.2">
      <c r="A8489" t="s">
        <v>1472</v>
      </c>
      <c r="B8489" t="s">
        <v>1473</v>
      </c>
      <c r="C8489" t="s">
        <v>11</v>
      </c>
      <c r="D8489" t="e">
        <f>VLOOKUP(C8489,'lookup table'!$A$2:$B$19,2,FALSE)</f>
        <v>#N/A</v>
      </c>
      <c r="E8489" t="str">
        <f t="shared" si="132"/>
        <v/>
      </c>
    </row>
    <row r="8490" spans="1:5" x14ac:dyDescent="0.2">
      <c r="A8490" t="s">
        <v>1472</v>
      </c>
      <c r="B8490" t="s">
        <v>1473</v>
      </c>
      <c r="C8490" t="s">
        <v>12</v>
      </c>
      <c r="D8490" t="e">
        <f>VLOOKUP(C8490,'lookup table'!$A$2:$B$19,2,FALSE)</f>
        <v>#N/A</v>
      </c>
      <c r="E8490" t="str">
        <f t="shared" si="132"/>
        <v/>
      </c>
    </row>
    <row r="8491" spans="1:5" x14ac:dyDescent="0.2">
      <c r="A8491" t="s">
        <v>1472</v>
      </c>
      <c r="B8491" t="s">
        <v>1473</v>
      </c>
      <c r="C8491" t="s">
        <v>14</v>
      </c>
      <c r="D8491" t="str">
        <f>VLOOKUP(C8491,'lookup table'!$A$2:$B$19,2,FALSE)</f>
        <v>ALC</v>
      </c>
      <c r="E8491" t="str">
        <f t="shared" si="132"/>
        <v>DZ5TOM_00|ALC</v>
      </c>
    </row>
    <row r="8492" spans="1:5" x14ac:dyDescent="0.2">
      <c r="A8492" t="s">
        <v>1472</v>
      </c>
      <c r="B8492" t="s">
        <v>1473</v>
      </c>
      <c r="C8492" t="s">
        <v>20</v>
      </c>
      <c r="D8492" t="str">
        <f>VLOOKUP(C8492,'lookup table'!$A$2:$B$19,2,FALSE)</f>
        <v>AY</v>
      </c>
      <c r="E8492" t="str">
        <f t="shared" si="132"/>
        <v>DZ5TOM_00|AY</v>
      </c>
    </row>
    <row r="8493" spans="1:5" x14ac:dyDescent="0.2">
      <c r="A8493" t="s">
        <v>1472</v>
      </c>
      <c r="B8493" t="s">
        <v>1473</v>
      </c>
      <c r="C8493" t="s">
        <v>324</v>
      </c>
      <c r="D8493" t="e">
        <f>VLOOKUP(C8493,'lookup table'!$A$2:$B$19,2,FALSE)</f>
        <v>#N/A</v>
      </c>
      <c r="E8493" t="str">
        <f t="shared" si="132"/>
        <v/>
      </c>
    </row>
    <row r="8494" spans="1:5" x14ac:dyDescent="0.2">
      <c r="A8494" t="s">
        <v>1472</v>
      </c>
      <c r="B8494" t="s">
        <v>1473</v>
      </c>
      <c r="C8494" t="s">
        <v>325</v>
      </c>
      <c r="D8494" t="e">
        <f>VLOOKUP(C8494,'lookup table'!$A$2:$B$19,2,FALSE)</f>
        <v>#N/A</v>
      </c>
      <c r="E8494" t="str">
        <f t="shared" si="132"/>
        <v/>
      </c>
    </row>
    <row r="8495" spans="1:5" x14ac:dyDescent="0.2">
      <c r="A8495" t="s">
        <v>1472</v>
      </c>
      <c r="B8495" t="s">
        <v>1473</v>
      </c>
      <c r="C8495" t="s">
        <v>326</v>
      </c>
      <c r="D8495" t="e">
        <f>VLOOKUP(C8495,'lookup table'!$A$2:$B$19,2,FALSE)</f>
        <v>#N/A</v>
      </c>
      <c r="E8495" t="str">
        <f t="shared" si="132"/>
        <v/>
      </c>
    </row>
    <row r="8496" spans="1:5" x14ac:dyDescent="0.2">
      <c r="A8496" t="s">
        <v>1472</v>
      </c>
      <c r="B8496" t="s">
        <v>1473</v>
      </c>
      <c r="C8496" t="s">
        <v>327</v>
      </c>
      <c r="D8496" t="e">
        <f>VLOOKUP(C8496,'lookup table'!$A$2:$B$19,2,FALSE)</f>
        <v>#N/A</v>
      </c>
      <c r="E8496" t="str">
        <f t="shared" si="132"/>
        <v/>
      </c>
    </row>
    <row r="8497" spans="1:5" x14ac:dyDescent="0.2">
      <c r="A8497" t="s">
        <v>1472</v>
      </c>
      <c r="B8497" t="s">
        <v>1473</v>
      </c>
      <c r="C8497" t="s">
        <v>328</v>
      </c>
      <c r="D8497" t="e">
        <f>VLOOKUP(C8497,'lookup table'!$A$2:$B$19,2,FALSE)</f>
        <v>#N/A</v>
      </c>
      <c r="E8497" t="str">
        <f t="shared" si="132"/>
        <v/>
      </c>
    </row>
    <row r="8498" spans="1:5" x14ac:dyDescent="0.2">
      <c r="A8498" t="s">
        <v>1472</v>
      </c>
      <c r="B8498" t="s">
        <v>1473</v>
      </c>
      <c r="C8498" t="s">
        <v>329</v>
      </c>
      <c r="D8498" t="e">
        <f>VLOOKUP(C8498,'lookup table'!$A$2:$B$19,2,FALSE)</f>
        <v>#N/A</v>
      </c>
      <c r="E8498" t="str">
        <f t="shared" si="132"/>
        <v/>
      </c>
    </row>
    <row r="8499" spans="1:5" x14ac:dyDescent="0.2">
      <c r="A8499" t="s">
        <v>1472</v>
      </c>
      <c r="B8499" t="s">
        <v>1473</v>
      </c>
      <c r="C8499" t="s">
        <v>331</v>
      </c>
      <c r="D8499" t="str">
        <f>VLOOKUP(C8499,'lookup table'!$A$2:$B$19,2,FALSE)</f>
        <v>FS Item</v>
      </c>
      <c r="E8499" t="str">
        <f t="shared" si="132"/>
        <v>DZ5TOM_00|FS Item</v>
      </c>
    </row>
    <row r="8500" spans="1:5" x14ac:dyDescent="0.2">
      <c r="A8500" t="s">
        <v>1472</v>
      </c>
      <c r="B8500" t="s">
        <v>1473</v>
      </c>
      <c r="C8500" t="s">
        <v>422</v>
      </c>
      <c r="D8500" t="e">
        <f>VLOOKUP(C8500,'lookup table'!$A$2:$B$19,2,FALSE)</f>
        <v>#N/A</v>
      </c>
      <c r="E8500" t="str">
        <f t="shared" si="132"/>
        <v/>
      </c>
    </row>
    <row r="8501" spans="1:5" x14ac:dyDescent="0.2">
      <c r="A8501" t="s">
        <v>1472</v>
      </c>
      <c r="B8501" t="s">
        <v>1473</v>
      </c>
      <c r="C8501" t="s">
        <v>423</v>
      </c>
      <c r="D8501" t="str">
        <f>VLOOKUP(C8501,'lookup table'!$A$2:$B$19,2,FALSE)</f>
        <v>ignore</v>
      </c>
      <c r="E8501" t="str">
        <f t="shared" si="132"/>
        <v>DZ5TOM_00|ignore</v>
      </c>
    </row>
    <row r="8502" spans="1:5" x14ac:dyDescent="0.2">
      <c r="A8502" t="s">
        <v>1472</v>
      </c>
      <c r="B8502" t="s">
        <v>1473</v>
      </c>
      <c r="C8502" t="s">
        <v>424</v>
      </c>
      <c r="D8502" t="str">
        <f>VLOOKUP(C8502,'lookup table'!$A$2:$B$19,2,FALSE)</f>
        <v>GRC</v>
      </c>
      <c r="E8502" t="str">
        <f t="shared" si="132"/>
        <v>DZ5TOM_00|GRC</v>
      </c>
    </row>
    <row r="8503" spans="1:5" x14ac:dyDescent="0.2">
      <c r="A8503" t="s">
        <v>1472</v>
      </c>
      <c r="B8503" t="s">
        <v>1473</v>
      </c>
      <c r="C8503" t="s">
        <v>425</v>
      </c>
      <c r="D8503" t="str">
        <f>VLOOKUP(C8503,'lookup table'!$A$2:$B$19,2,FALSE)</f>
        <v>Investee Segment</v>
      </c>
      <c r="E8503" t="str">
        <f t="shared" si="132"/>
        <v>DZ5TOM_00|Investee Segment</v>
      </c>
    </row>
    <row r="8504" spans="1:5" x14ac:dyDescent="0.2">
      <c r="A8504" t="s">
        <v>1472</v>
      </c>
      <c r="B8504" t="s">
        <v>1473</v>
      </c>
      <c r="C8504" t="s">
        <v>426</v>
      </c>
      <c r="D8504" t="str">
        <f>VLOOKUP(C8504,'lookup table'!$A$2:$B$19,2,FALSE)</f>
        <v>Investee Unit</v>
      </c>
      <c r="E8504" t="str">
        <f t="shared" si="132"/>
        <v>DZ5TOM_00|Investee Unit</v>
      </c>
    </row>
    <row r="8505" spans="1:5" x14ac:dyDescent="0.2">
      <c r="A8505" t="s">
        <v>1472</v>
      </c>
      <c r="B8505" t="s">
        <v>1473</v>
      </c>
      <c r="C8505" t="s">
        <v>428</v>
      </c>
      <c r="D8505" t="str">
        <f>VLOOKUP(C8505,'lookup table'!$A$2:$B$19,2,FALSE)</f>
        <v>LoB</v>
      </c>
      <c r="E8505" t="str">
        <f t="shared" si="132"/>
        <v>DZ5TOM_00|LoB</v>
      </c>
    </row>
    <row r="8506" spans="1:5" x14ac:dyDescent="0.2">
      <c r="A8506" t="s">
        <v>1472</v>
      </c>
      <c r="B8506" t="s">
        <v>1473</v>
      </c>
      <c r="C8506" t="s">
        <v>436</v>
      </c>
      <c r="D8506" t="str">
        <f>VLOOKUP(C8506,'lookup table'!$A$2:$B$19,2,FALSE)</f>
        <v>MAT</v>
      </c>
      <c r="E8506" t="str">
        <f t="shared" si="132"/>
        <v>DZ5TOM_00|MAT</v>
      </c>
    </row>
    <row r="8507" spans="1:5" x14ac:dyDescent="0.2">
      <c r="A8507" t="s">
        <v>1472</v>
      </c>
      <c r="B8507" t="s">
        <v>1473</v>
      </c>
      <c r="C8507" t="s">
        <v>438</v>
      </c>
      <c r="D8507" t="str">
        <f>VLOOKUP(C8507,'lookup table'!$A$2:$B$19,2,FALSE)</f>
        <v>ToM</v>
      </c>
      <c r="E8507" t="str">
        <f t="shared" si="132"/>
        <v>DZ5TOM_00|ToM</v>
      </c>
    </row>
    <row r="8508" spans="1:5" x14ac:dyDescent="0.2">
      <c r="A8508" t="s">
        <v>1472</v>
      </c>
      <c r="B8508" t="s">
        <v>1473</v>
      </c>
      <c r="C8508" t="s">
        <v>441</v>
      </c>
      <c r="D8508" t="str">
        <f>VLOOKUP(C8508,'lookup table'!$A$2:$B$19,2,FALSE)</f>
        <v>Partner Segment</v>
      </c>
      <c r="E8508" t="str">
        <f t="shared" si="132"/>
        <v>DZ5TOM_00|Partner Segment</v>
      </c>
    </row>
    <row r="8509" spans="1:5" x14ac:dyDescent="0.2">
      <c r="A8509" t="s">
        <v>1472</v>
      </c>
      <c r="B8509" t="s">
        <v>1473</v>
      </c>
      <c r="C8509" t="s">
        <v>442</v>
      </c>
      <c r="D8509" t="str">
        <f>VLOOKUP(C8509,'lookup table'!$A$2:$B$19,2,FALSE)</f>
        <v>Partner Unit</v>
      </c>
      <c r="E8509" t="str">
        <f t="shared" si="132"/>
        <v>DZ5TOM_00|Partner Unit</v>
      </c>
    </row>
    <row r="8510" spans="1:5" x14ac:dyDescent="0.2">
      <c r="A8510" t="s">
        <v>1472</v>
      </c>
      <c r="B8510" t="s">
        <v>1473</v>
      </c>
      <c r="C8510" t="s">
        <v>447</v>
      </c>
      <c r="D8510" t="str">
        <f>VLOOKUP(C8510,'lookup table'!$A$2:$B$19,2,FALSE)</f>
        <v>REX</v>
      </c>
      <c r="E8510" t="str">
        <f t="shared" si="132"/>
        <v>DZ5TOM_00|REX</v>
      </c>
    </row>
    <row r="8511" spans="1:5" x14ac:dyDescent="0.2">
      <c r="A8511" t="s">
        <v>1472</v>
      </c>
      <c r="B8511" t="s">
        <v>1473</v>
      </c>
      <c r="C8511" t="s">
        <v>448</v>
      </c>
      <c r="D8511" t="e">
        <f>VLOOKUP(C8511,'lookup table'!$A$2:$B$19,2,FALSE)</f>
        <v>#N/A</v>
      </c>
      <c r="E8511" t="str">
        <f t="shared" si="132"/>
        <v/>
      </c>
    </row>
    <row r="8512" spans="1:5" x14ac:dyDescent="0.2">
      <c r="A8512" t="s">
        <v>1472</v>
      </c>
      <c r="B8512" t="s">
        <v>1473</v>
      </c>
      <c r="C8512" t="s">
        <v>449</v>
      </c>
      <c r="D8512" t="e">
        <f>VLOOKUP(C8512,'lookup table'!$A$2:$B$19,2,FALSE)</f>
        <v>#N/A</v>
      </c>
      <c r="E8512" t="str">
        <f t="shared" si="132"/>
        <v/>
      </c>
    </row>
    <row r="8513" spans="1:5" x14ac:dyDescent="0.2">
      <c r="A8513" t="s">
        <v>1472</v>
      </c>
      <c r="B8513" t="s">
        <v>1473</v>
      </c>
      <c r="C8513" t="s">
        <v>451</v>
      </c>
      <c r="D8513" t="str">
        <f>VLOOKUP(C8513,'lookup table'!$A$2:$B$19,2,FALSE)</f>
        <v>Segment</v>
      </c>
      <c r="E8513" t="str">
        <f t="shared" si="132"/>
        <v>DZ5TOM_00|Segment</v>
      </c>
    </row>
    <row r="8514" spans="1:5" x14ac:dyDescent="0.2">
      <c r="A8514" t="s">
        <v>1472</v>
      </c>
      <c r="B8514" t="s">
        <v>1473</v>
      </c>
      <c r="C8514" t="s">
        <v>455</v>
      </c>
      <c r="D8514" t="e">
        <f>VLOOKUP(C8514,'lookup table'!$A$2:$B$19,2,FALSE)</f>
        <v>#N/A</v>
      </c>
      <c r="E8514" t="str">
        <f t="shared" si="132"/>
        <v/>
      </c>
    </row>
    <row r="8515" spans="1:5" x14ac:dyDescent="0.2">
      <c r="A8515" t="s">
        <v>1472</v>
      </c>
      <c r="B8515" t="s">
        <v>1473</v>
      </c>
      <c r="C8515" t="s">
        <v>456</v>
      </c>
      <c r="D8515" t="e">
        <f>VLOOKUP(C8515,'lookup table'!$A$2:$B$19,2,FALSE)</f>
        <v>#N/A</v>
      </c>
      <c r="E8515" t="str">
        <f t="shared" ref="E8515:E8578" si="133">IF(ISNA(D8515),"",IF(A8515="","",A8515) &amp; "|" &amp; D8515)</f>
        <v/>
      </c>
    </row>
    <row r="8516" spans="1:5" x14ac:dyDescent="0.2">
      <c r="A8516" t="s">
        <v>1472</v>
      </c>
      <c r="B8516" t="s">
        <v>1473</v>
      </c>
      <c r="C8516" t="s">
        <v>457</v>
      </c>
      <c r="D8516" t="str">
        <f>VLOOKUP(C8516,'lookup table'!$A$2:$B$19,2,FALSE)</f>
        <v>VLT</v>
      </c>
      <c r="E8516" t="str">
        <f t="shared" si="133"/>
        <v>DZ5TOM_00|VLT</v>
      </c>
    </row>
    <row r="8517" spans="1:5" x14ac:dyDescent="0.2">
      <c r="A8517" t="s">
        <v>1472</v>
      </c>
      <c r="B8517" t="s">
        <v>1473</v>
      </c>
      <c r="C8517" t="s">
        <v>458</v>
      </c>
      <c r="D8517" t="str">
        <f>VLOOKUP(C8517,'lookup table'!$A$2:$B$19,2,FALSE)</f>
        <v>VAR</v>
      </c>
      <c r="E8517" t="str">
        <f t="shared" si="133"/>
        <v>DZ5TOM_00|VAR</v>
      </c>
    </row>
    <row r="8518" spans="1:5" x14ac:dyDescent="0.2">
      <c r="A8518" t="s">
        <v>1472</v>
      </c>
      <c r="B8518" t="s">
        <v>1473</v>
      </c>
      <c r="C8518" t="s">
        <v>459</v>
      </c>
      <c r="D8518" t="e">
        <f>VLOOKUP(C8518,'lookup table'!$A$2:$B$19,2,FALSE)</f>
        <v>#N/A</v>
      </c>
      <c r="E8518" t="str">
        <f t="shared" si="133"/>
        <v/>
      </c>
    </row>
    <row r="8519" spans="1:5" x14ac:dyDescent="0.2">
      <c r="A8519" t="s">
        <v>1472</v>
      </c>
      <c r="B8519" t="s">
        <v>1473</v>
      </c>
      <c r="C8519" t="s">
        <v>460</v>
      </c>
      <c r="D8519" t="e">
        <f>VLOOKUP(C8519,'lookup table'!$A$2:$B$19,2,FALSE)</f>
        <v>#N/A</v>
      </c>
      <c r="E8519" t="str">
        <f t="shared" si="133"/>
        <v/>
      </c>
    </row>
    <row r="8520" spans="1:5" x14ac:dyDescent="0.2">
      <c r="A8520" t="s">
        <v>1472</v>
      </c>
      <c r="B8520" t="s">
        <v>1473</v>
      </c>
      <c r="C8520" t="s">
        <v>461</v>
      </c>
      <c r="D8520" t="str">
        <f>VLOOKUP(C8520,'lookup table'!$A$2:$B$19,2,FALSE)</f>
        <v>Posting Level</v>
      </c>
      <c r="E8520" t="str">
        <f t="shared" si="133"/>
        <v>DZ5TOM_00|Posting Level</v>
      </c>
    </row>
    <row r="8521" spans="1:5" x14ac:dyDescent="0.2">
      <c r="A8521" t="s">
        <v>1472</v>
      </c>
      <c r="B8521" t="s">
        <v>1473</v>
      </c>
      <c r="C8521" t="s">
        <v>462</v>
      </c>
      <c r="D8521" t="e">
        <f>VLOOKUP(C8521,'lookup table'!$A$2:$B$19,2,FALSE)</f>
        <v>#N/A</v>
      </c>
      <c r="E8521" t="str">
        <f t="shared" si="133"/>
        <v/>
      </c>
    </row>
    <row r="8522" spans="1:5" x14ac:dyDescent="0.2">
      <c r="A8522" t="s">
        <v>1472</v>
      </c>
      <c r="B8522" t="s">
        <v>1473</v>
      </c>
      <c r="C8522" t="s">
        <v>463</v>
      </c>
      <c r="D8522" t="e">
        <f>VLOOKUP(C8522,'lookup table'!$A$2:$B$19,2,FALSE)</f>
        <v>#N/A</v>
      </c>
      <c r="E8522" t="str">
        <f t="shared" si="133"/>
        <v/>
      </c>
    </row>
    <row r="8523" spans="1:5" x14ac:dyDescent="0.2">
      <c r="A8523" t="s">
        <v>1472</v>
      </c>
      <c r="B8523" t="s">
        <v>1473</v>
      </c>
      <c r="C8523" t="s">
        <v>464</v>
      </c>
      <c r="D8523" t="e">
        <f>VLOOKUP(C8523,'lookup table'!$A$2:$B$19,2,FALSE)</f>
        <v>#N/A</v>
      </c>
      <c r="E8523" t="str">
        <f t="shared" si="133"/>
        <v/>
      </c>
    </row>
    <row r="8524" spans="1:5" x14ac:dyDescent="0.2">
      <c r="A8524" t="s">
        <v>1472</v>
      </c>
      <c r="B8524" t="s">
        <v>1473</v>
      </c>
      <c r="C8524" t="s">
        <v>465</v>
      </c>
      <c r="D8524" t="e">
        <f>VLOOKUP(C8524,'lookup table'!$A$2:$B$19,2,FALSE)</f>
        <v>#N/A</v>
      </c>
      <c r="E8524" t="str">
        <f t="shared" si="133"/>
        <v/>
      </c>
    </row>
    <row r="8525" spans="1:5" x14ac:dyDescent="0.2">
      <c r="A8525" t="s">
        <v>1474</v>
      </c>
      <c r="B8525" t="s">
        <v>1475</v>
      </c>
      <c r="C8525" t="s">
        <v>2</v>
      </c>
      <c r="D8525" t="e">
        <f>VLOOKUP(C8525,'lookup table'!$A$2:$B$19,2,FALSE)</f>
        <v>#N/A</v>
      </c>
      <c r="E8525" t="str">
        <f t="shared" si="133"/>
        <v/>
      </c>
    </row>
    <row r="8526" spans="1:5" x14ac:dyDescent="0.2">
      <c r="A8526" t="s">
        <v>1474</v>
      </c>
      <c r="B8526" t="s">
        <v>1475</v>
      </c>
      <c r="C8526" t="s">
        <v>5</v>
      </c>
      <c r="D8526" t="e">
        <f>VLOOKUP(C8526,'lookup table'!$A$2:$B$19,2,FALSE)</f>
        <v>#N/A</v>
      </c>
      <c r="E8526" t="str">
        <f t="shared" si="133"/>
        <v/>
      </c>
    </row>
    <row r="8527" spans="1:5" x14ac:dyDescent="0.2">
      <c r="A8527" t="s">
        <v>1474</v>
      </c>
      <c r="B8527" t="s">
        <v>1475</v>
      </c>
      <c r="C8527" t="s">
        <v>6</v>
      </c>
      <c r="D8527" t="e">
        <f>VLOOKUP(C8527,'lookup table'!$A$2:$B$19,2,FALSE)</f>
        <v>#N/A</v>
      </c>
      <c r="E8527" t="str">
        <f t="shared" si="133"/>
        <v/>
      </c>
    </row>
    <row r="8528" spans="1:5" x14ac:dyDescent="0.2">
      <c r="A8528" t="s">
        <v>1474</v>
      </c>
      <c r="B8528" t="s">
        <v>1475</v>
      </c>
      <c r="C8528" t="s">
        <v>9</v>
      </c>
      <c r="D8528" t="e">
        <f>VLOOKUP(C8528,'lookup table'!$A$2:$B$19,2,FALSE)</f>
        <v>#N/A</v>
      </c>
      <c r="E8528" t="str">
        <f t="shared" si="133"/>
        <v/>
      </c>
    </row>
    <row r="8529" spans="1:5" x14ac:dyDescent="0.2">
      <c r="A8529" t="s">
        <v>1474</v>
      </c>
      <c r="B8529" t="s">
        <v>1475</v>
      </c>
      <c r="C8529" t="s">
        <v>10</v>
      </c>
      <c r="D8529" t="e">
        <f>VLOOKUP(C8529,'lookup table'!$A$2:$B$19,2,FALSE)</f>
        <v>#N/A</v>
      </c>
      <c r="E8529" t="str">
        <f t="shared" si="133"/>
        <v/>
      </c>
    </row>
    <row r="8530" spans="1:5" x14ac:dyDescent="0.2">
      <c r="A8530" t="s">
        <v>1474</v>
      </c>
      <c r="B8530" t="s">
        <v>1475</v>
      </c>
      <c r="C8530" t="s">
        <v>11</v>
      </c>
      <c r="D8530" t="e">
        <f>VLOOKUP(C8530,'lookup table'!$A$2:$B$19,2,FALSE)</f>
        <v>#N/A</v>
      </c>
      <c r="E8530" t="str">
        <f t="shared" si="133"/>
        <v/>
      </c>
    </row>
    <row r="8531" spans="1:5" x14ac:dyDescent="0.2">
      <c r="A8531" t="s">
        <v>1474</v>
      </c>
      <c r="B8531" t="s">
        <v>1475</v>
      </c>
      <c r="C8531" t="s">
        <v>12</v>
      </c>
      <c r="D8531" t="e">
        <f>VLOOKUP(C8531,'lookup table'!$A$2:$B$19,2,FALSE)</f>
        <v>#N/A</v>
      </c>
      <c r="E8531" t="str">
        <f t="shared" si="133"/>
        <v/>
      </c>
    </row>
    <row r="8532" spans="1:5" x14ac:dyDescent="0.2">
      <c r="A8532" t="s">
        <v>1474</v>
      </c>
      <c r="B8532" t="s">
        <v>1475</v>
      </c>
      <c r="C8532" t="s">
        <v>14</v>
      </c>
      <c r="D8532" t="str">
        <f>VLOOKUP(C8532,'lookup table'!$A$2:$B$19,2,FALSE)</f>
        <v>ALC</v>
      </c>
      <c r="E8532" t="str">
        <f t="shared" si="133"/>
        <v>DZ5VAR_00|ALC</v>
      </c>
    </row>
    <row r="8533" spans="1:5" x14ac:dyDescent="0.2">
      <c r="A8533" t="s">
        <v>1474</v>
      </c>
      <c r="B8533" t="s">
        <v>1475</v>
      </c>
      <c r="C8533" t="s">
        <v>20</v>
      </c>
      <c r="D8533" t="str">
        <f>VLOOKUP(C8533,'lookup table'!$A$2:$B$19,2,FALSE)</f>
        <v>AY</v>
      </c>
      <c r="E8533" t="str">
        <f t="shared" si="133"/>
        <v>DZ5VAR_00|AY</v>
      </c>
    </row>
    <row r="8534" spans="1:5" x14ac:dyDescent="0.2">
      <c r="A8534" t="s">
        <v>1474</v>
      </c>
      <c r="B8534" t="s">
        <v>1475</v>
      </c>
      <c r="C8534" t="s">
        <v>324</v>
      </c>
      <c r="D8534" t="e">
        <f>VLOOKUP(C8534,'lookup table'!$A$2:$B$19,2,FALSE)</f>
        <v>#N/A</v>
      </c>
      <c r="E8534" t="str">
        <f t="shared" si="133"/>
        <v/>
      </c>
    </row>
    <row r="8535" spans="1:5" x14ac:dyDescent="0.2">
      <c r="A8535" t="s">
        <v>1474</v>
      </c>
      <c r="B8535" t="s">
        <v>1475</v>
      </c>
      <c r="C8535" t="s">
        <v>325</v>
      </c>
      <c r="D8535" t="e">
        <f>VLOOKUP(C8535,'lookup table'!$A$2:$B$19,2,FALSE)</f>
        <v>#N/A</v>
      </c>
      <c r="E8535" t="str">
        <f t="shared" si="133"/>
        <v/>
      </c>
    </row>
    <row r="8536" spans="1:5" x14ac:dyDescent="0.2">
      <c r="A8536" t="s">
        <v>1474</v>
      </c>
      <c r="B8536" t="s">
        <v>1475</v>
      </c>
      <c r="C8536" t="s">
        <v>326</v>
      </c>
      <c r="D8536" t="e">
        <f>VLOOKUP(C8536,'lookup table'!$A$2:$B$19,2,FALSE)</f>
        <v>#N/A</v>
      </c>
      <c r="E8536" t="str">
        <f t="shared" si="133"/>
        <v/>
      </c>
    </row>
    <row r="8537" spans="1:5" x14ac:dyDescent="0.2">
      <c r="A8537" t="s">
        <v>1474</v>
      </c>
      <c r="B8537" t="s">
        <v>1475</v>
      </c>
      <c r="C8537" t="s">
        <v>327</v>
      </c>
      <c r="D8537" t="e">
        <f>VLOOKUP(C8537,'lookup table'!$A$2:$B$19,2,FALSE)</f>
        <v>#N/A</v>
      </c>
      <c r="E8537" t="str">
        <f t="shared" si="133"/>
        <v/>
      </c>
    </row>
    <row r="8538" spans="1:5" x14ac:dyDescent="0.2">
      <c r="A8538" t="s">
        <v>1474</v>
      </c>
      <c r="B8538" t="s">
        <v>1475</v>
      </c>
      <c r="C8538" t="s">
        <v>328</v>
      </c>
      <c r="D8538" t="e">
        <f>VLOOKUP(C8538,'lookup table'!$A$2:$B$19,2,FALSE)</f>
        <v>#N/A</v>
      </c>
      <c r="E8538" t="str">
        <f t="shared" si="133"/>
        <v/>
      </c>
    </row>
    <row r="8539" spans="1:5" x14ac:dyDescent="0.2">
      <c r="A8539" t="s">
        <v>1474</v>
      </c>
      <c r="B8539" t="s">
        <v>1475</v>
      </c>
      <c r="C8539" t="s">
        <v>329</v>
      </c>
      <c r="D8539" t="e">
        <f>VLOOKUP(C8539,'lookup table'!$A$2:$B$19,2,FALSE)</f>
        <v>#N/A</v>
      </c>
      <c r="E8539" t="str">
        <f t="shared" si="133"/>
        <v/>
      </c>
    </row>
    <row r="8540" spans="1:5" x14ac:dyDescent="0.2">
      <c r="A8540" t="s">
        <v>1474</v>
      </c>
      <c r="B8540" t="s">
        <v>1475</v>
      </c>
      <c r="C8540" t="s">
        <v>331</v>
      </c>
      <c r="D8540" t="str">
        <f>VLOOKUP(C8540,'lookup table'!$A$2:$B$19,2,FALSE)</f>
        <v>FS Item</v>
      </c>
      <c r="E8540" t="str">
        <f t="shared" si="133"/>
        <v>DZ5VAR_00|FS Item</v>
      </c>
    </row>
    <row r="8541" spans="1:5" x14ac:dyDescent="0.2">
      <c r="A8541" t="s">
        <v>1474</v>
      </c>
      <c r="B8541" t="s">
        <v>1475</v>
      </c>
      <c r="C8541" t="s">
        <v>422</v>
      </c>
      <c r="D8541" t="e">
        <f>VLOOKUP(C8541,'lookup table'!$A$2:$B$19,2,FALSE)</f>
        <v>#N/A</v>
      </c>
      <c r="E8541" t="str">
        <f t="shared" si="133"/>
        <v/>
      </c>
    </row>
    <row r="8542" spans="1:5" x14ac:dyDescent="0.2">
      <c r="A8542" t="s">
        <v>1474</v>
      </c>
      <c r="B8542" t="s">
        <v>1475</v>
      </c>
      <c r="C8542" t="s">
        <v>423</v>
      </c>
      <c r="D8542" t="str">
        <f>VLOOKUP(C8542,'lookup table'!$A$2:$B$19,2,FALSE)</f>
        <v>ignore</v>
      </c>
      <c r="E8542" t="str">
        <f t="shared" si="133"/>
        <v>DZ5VAR_00|ignore</v>
      </c>
    </row>
    <row r="8543" spans="1:5" x14ac:dyDescent="0.2">
      <c r="A8543" t="s">
        <v>1474</v>
      </c>
      <c r="B8543" t="s">
        <v>1475</v>
      </c>
      <c r="C8543" t="s">
        <v>424</v>
      </c>
      <c r="D8543" t="str">
        <f>VLOOKUP(C8543,'lookup table'!$A$2:$B$19,2,FALSE)</f>
        <v>GRC</v>
      </c>
      <c r="E8543" t="str">
        <f t="shared" si="133"/>
        <v>DZ5VAR_00|GRC</v>
      </c>
    </row>
    <row r="8544" spans="1:5" x14ac:dyDescent="0.2">
      <c r="A8544" t="s">
        <v>1474</v>
      </c>
      <c r="B8544" t="s">
        <v>1475</v>
      </c>
      <c r="C8544" t="s">
        <v>425</v>
      </c>
      <c r="D8544" t="str">
        <f>VLOOKUP(C8544,'lookup table'!$A$2:$B$19,2,FALSE)</f>
        <v>Investee Segment</v>
      </c>
      <c r="E8544" t="str">
        <f t="shared" si="133"/>
        <v>DZ5VAR_00|Investee Segment</v>
      </c>
    </row>
    <row r="8545" spans="1:5" x14ac:dyDescent="0.2">
      <c r="A8545" t="s">
        <v>1474</v>
      </c>
      <c r="B8545" t="s">
        <v>1475</v>
      </c>
      <c r="C8545" t="s">
        <v>426</v>
      </c>
      <c r="D8545" t="str">
        <f>VLOOKUP(C8545,'lookup table'!$A$2:$B$19,2,FALSE)</f>
        <v>Investee Unit</v>
      </c>
      <c r="E8545" t="str">
        <f t="shared" si="133"/>
        <v>DZ5VAR_00|Investee Unit</v>
      </c>
    </row>
    <row r="8546" spans="1:5" x14ac:dyDescent="0.2">
      <c r="A8546" t="s">
        <v>1474</v>
      </c>
      <c r="B8546" t="s">
        <v>1475</v>
      </c>
      <c r="C8546" t="s">
        <v>428</v>
      </c>
      <c r="D8546" t="str">
        <f>VLOOKUP(C8546,'lookup table'!$A$2:$B$19,2,FALSE)</f>
        <v>LoB</v>
      </c>
      <c r="E8546" t="str">
        <f t="shared" si="133"/>
        <v>DZ5VAR_00|LoB</v>
      </c>
    </row>
    <row r="8547" spans="1:5" x14ac:dyDescent="0.2">
      <c r="A8547" t="s">
        <v>1474</v>
      </c>
      <c r="B8547" t="s">
        <v>1475</v>
      </c>
      <c r="C8547" t="s">
        <v>436</v>
      </c>
      <c r="D8547" t="str">
        <f>VLOOKUP(C8547,'lookup table'!$A$2:$B$19,2,FALSE)</f>
        <v>MAT</v>
      </c>
      <c r="E8547" t="str">
        <f t="shared" si="133"/>
        <v>DZ5VAR_00|MAT</v>
      </c>
    </row>
    <row r="8548" spans="1:5" x14ac:dyDescent="0.2">
      <c r="A8548" t="s">
        <v>1474</v>
      </c>
      <c r="B8548" t="s">
        <v>1475</v>
      </c>
      <c r="C8548" t="s">
        <v>438</v>
      </c>
      <c r="D8548" t="str">
        <f>VLOOKUP(C8548,'lookup table'!$A$2:$B$19,2,FALSE)</f>
        <v>ToM</v>
      </c>
      <c r="E8548" t="str">
        <f t="shared" si="133"/>
        <v>DZ5VAR_00|ToM</v>
      </c>
    </row>
    <row r="8549" spans="1:5" x14ac:dyDescent="0.2">
      <c r="A8549" t="s">
        <v>1474</v>
      </c>
      <c r="B8549" t="s">
        <v>1475</v>
      </c>
      <c r="C8549" t="s">
        <v>441</v>
      </c>
      <c r="D8549" t="str">
        <f>VLOOKUP(C8549,'lookup table'!$A$2:$B$19,2,FALSE)</f>
        <v>Partner Segment</v>
      </c>
      <c r="E8549" t="str">
        <f t="shared" si="133"/>
        <v>DZ5VAR_00|Partner Segment</v>
      </c>
    </row>
    <row r="8550" spans="1:5" x14ac:dyDescent="0.2">
      <c r="A8550" t="s">
        <v>1474</v>
      </c>
      <c r="B8550" t="s">
        <v>1475</v>
      </c>
      <c r="C8550" t="s">
        <v>442</v>
      </c>
      <c r="D8550" t="str">
        <f>VLOOKUP(C8550,'lookup table'!$A$2:$B$19,2,FALSE)</f>
        <v>Partner Unit</v>
      </c>
      <c r="E8550" t="str">
        <f t="shared" si="133"/>
        <v>DZ5VAR_00|Partner Unit</v>
      </c>
    </row>
    <row r="8551" spans="1:5" x14ac:dyDescent="0.2">
      <c r="A8551" t="s">
        <v>1474</v>
      </c>
      <c r="B8551" t="s">
        <v>1475</v>
      </c>
      <c r="C8551" t="s">
        <v>447</v>
      </c>
      <c r="D8551" t="str">
        <f>VLOOKUP(C8551,'lookup table'!$A$2:$B$19,2,FALSE)</f>
        <v>REX</v>
      </c>
      <c r="E8551" t="str">
        <f t="shared" si="133"/>
        <v>DZ5VAR_00|REX</v>
      </c>
    </row>
    <row r="8552" spans="1:5" x14ac:dyDescent="0.2">
      <c r="A8552" t="s">
        <v>1474</v>
      </c>
      <c r="B8552" t="s">
        <v>1475</v>
      </c>
      <c r="C8552" t="s">
        <v>448</v>
      </c>
      <c r="D8552" t="e">
        <f>VLOOKUP(C8552,'lookup table'!$A$2:$B$19,2,FALSE)</f>
        <v>#N/A</v>
      </c>
      <c r="E8552" t="str">
        <f t="shared" si="133"/>
        <v/>
      </c>
    </row>
    <row r="8553" spans="1:5" x14ac:dyDescent="0.2">
      <c r="A8553" t="s">
        <v>1474</v>
      </c>
      <c r="B8553" t="s">
        <v>1475</v>
      </c>
      <c r="C8553" t="s">
        <v>449</v>
      </c>
      <c r="D8553" t="e">
        <f>VLOOKUP(C8553,'lookup table'!$A$2:$B$19,2,FALSE)</f>
        <v>#N/A</v>
      </c>
      <c r="E8553" t="str">
        <f t="shared" si="133"/>
        <v/>
      </c>
    </row>
    <row r="8554" spans="1:5" x14ac:dyDescent="0.2">
      <c r="A8554" t="s">
        <v>1474</v>
      </c>
      <c r="B8554" t="s">
        <v>1475</v>
      </c>
      <c r="C8554" t="s">
        <v>451</v>
      </c>
      <c r="D8554" t="str">
        <f>VLOOKUP(C8554,'lookup table'!$A$2:$B$19,2,FALSE)</f>
        <v>Segment</v>
      </c>
      <c r="E8554" t="str">
        <f t="shared" si="133"/>
        <v>DZ5VAR_00|Segment</v>
      </c>
    </row>
    <row r="8555" spans="1:5" x14ac:dyDescent="0.2">
      <c r="A8555" t="s">
        <v>1474</v>
      </c>
      <c r="B8555" t="s">
        <v>1475</v>
      </c>
      <c r="C8555" t="s">
        <v>455</v>
      </c>
      <c r="D8555" t="e">
        <f>VLOOKUP(C8555,'lookup table'!$A$2:$B$19,2,FALSE)</f>
        <v>#N/A</v>
      </c>
      <c r="E8555" t="str">
        <f t="shared" si="133"/>
        <v/>
      </c>
    </row>
    <row r="8556" spans="1:5" x14ac:dyDescent="0.2">
      <c r="A8556" t="s">
        <v>1474</v>
      </c>
      <c r="B8556" t="s">
        <v>1475</v>
      </c>
      <c r="C8556" t="s">
        <v>456</v>
      </c>
      <c r="D8556" t="e">
        <f>VLOOKUP(C8556,'lookup table'!$A$2:$B$19,2,FALSE)</f>
        <v>#N/A</v>
      </c>
      <c r="E8556" t="str">
        <f t="shared" si="133"/>
        <v/>
      </c>
    </row>
    <row r="8557" spans="1:5" x14ac:dyDescent="0.2">
      <c r="A8557" t="s">
        <v>1474</v>
      </c>
      <c r="B8557" t="s">
        <v>1475</v>
      </c>
      <c r="C8557" t="s">
        <v>457</v>
      </c>
      <c r="D8557" t="str">
        <f>VLOOKUP(C8557,'lookup table'!$A$2:$B$19,2,FALSE)</f>
        <v>VLT</v>
      </c>
      <c r="E8557" t="str">
        <f t="shared" si="133"/>
        <v>DZ5VAR_00|VLT</v>
      </c>
    </row>
    <row r="8558" spans="1:5" x14ac:dyDescent="0.2">
      <c r="A8558" t="s">
        <v>1474</v>
      </c>
      <c r="B8558" t="s">
        <v>1475</v>
      </c>
      <c r="C8558" t="s">
        <v>458</v>
      </c>
      <c r="D8558" t="str">
        <f>VLOOKUP(C8558,'lookup table'!$A$2:$B$19,2,FALSE)</f>
        <v>VAR</v>
      </c>
      <c r="E8558" t="str">
        <f t="shared" si="133"/>
        <v>DZ5VAR_00|VAR</v>
      </c>
    </row>
    <row r="8559" spans="1:5" x14ac:dyDescent="0.2">
      <c r="A8559" t="s">
        <v>1474</v>
      </c>
      <c r="B8559" t="s">
        <v>1475</v>
      </c>
      <c r="C8559" t="s">
        <v>459</v>
      </c>
      <c r="D8559" t="e">
        <f>VLOOKUP(C8559,'lookup table'!$A$2:$B$19,2,FALSE)</f>
        <v>#N/A</v>
      </c>
      <c r="E8559" t="str">
        <f t="shared" si="133"/>
        <v/>
      </c>
    </row>
    <row r="8560" spans="1:5" x14ac:dyDescent="0.2">
      <c r="A8560" t="s">
        <v>1474</v>
      </c>
      <c r="B8560" t="s">
        <v>1475</v>
      </c>
      <c r="C8560" t="s">
        <v>460</v>
      </c>
      <c r="D8560" t="e">
        <f>VLOOKUP(C8560,'lookup table'!$A$2:$B$19,2,FALSE)</f>
        <v>#N/A</v>
      </c>
      <c r="E8560" t="str">
        <f t="shared" si="133"/>
        <v/>
      </c>
    </row>
    <row r="8561" spans="1:5" x14ac:dyDescent="0.2">
      <c r="A8561" t="s">
        <v>1474</v>
      </c>
      <c r="B8561" t="s">
        <v>1475</v>
      </c>
      <c r="C8561" t="s">
        <v>461</v>
      </c>
      <c r="D8561" t="str">
        <f>VLOOKUP(C8561,'lookup table'!$A$2:$B$19,2,FALSE)</f>
        <v>Posting Level</v>
      </c>
      <c r="E8561" t="str">
        <f t="shared" si="133"/>
        <v>DZ5VAR_00|Posting Level</v>
      </c>
    </row>
    <row r="8562" spans="1:5" x14ac:dyDescent="0.2">
      <c r="A8562" t="s">
        <v>1474</v>
      </c>
      <c r="B8562" t="s">
        <v>1475</v>
      </c>
      <c r="C8562" t="s">
        <v>462</v>
      </c>
      <c r="D8562" t="e">
        <f>VLOOKUP(C8562,'lookup table'!$A$2:$B$19,2,FALSE)</f>
        <v>#N/A</v>
      </c>
      <c r="E8562" t="str">
        <f t="shared" si="133"/>
        <v/>
      </c>
    </row>
    <row r="8563" spans="1:5" x14ac:dyDescent="0.2">
      <c r="A8563" t="s">
        <v>1474</v>
      </c>
      <c r="B8563" t="s">
        <v>1475</v>
      </c>
      <c r="C8563" t="s">
        <v>463</v>
      </c>
      <c r="D8563" t="e">
        <f>VLOOKUP(C8563,'lookup table'!$A$2:$B$19,2,FALSE)</f>
        <v>#N/A</v>
      </c>
      <c r="E8563" t="str">
        <f t="shared" si="133"/>
        <v/>
      </c>
    </row>
    <row r="8564" spans="1:5" x14ac:dyDescent="0.2">
      <c r="A8564" t="s">
        <v>1474</v>
      </c>
      <c r="B8564" t="s">
        <v>1475</v>
      </c>
      <c r="C8564" t="s">
        <v>464</v>
      </c>
      <c r="D8564" t="e">
        <f>VLOOKUP(C8564,'lookup table'!$A$2:$B$19,2,FALSE)</f>
        <v>#N/A</v>
      </c>
      <c r="E8564" t="str">
        <f t="shared" si="133"/>
        <v/>
      </c>
    </row>
    <row r="8565" spans="1:5" x14ac:dyDescent="0.2">
      <c r="A8565" t="s">
        <v>1474</v>
      </c>
      <c r="B8565" t="s">
        <v>1475</v>
      </c>
      <c r="C8565" t="s">
        <v>465</v>
      </c>
      <c r="D8565" t="e">
        <f>VLOOKUP(C8565,'lookup table'!$A$2:$B$19,2,FALSE)</f>
        <v>#N/A</v>
      </c>
      <c r="E8565" t="str">
        <f t="shared" si="133"/>
        <v/>
      </c>
    </row>
    <row r="8566" spans="1:5" x14ac:dyDescent="0.2">
      <c r="A8566" t="s">
        <v>1476</v>
      </c>
      <c r="B8566" t="s">
        <v>1477</v>
      </c>
      <c r="C8566" t="s">
        <v>2</v>
      </c>
      <c r="D8566" t="e">
        <f>VLOOKUP(C8566,'lookup table'!$A$2:$B$19,2,FALSE)</f>
        <v>#N/A</v>
      </c>
      <c r="E8566" t="str">
        <f t="shared" si="133"/>
        <v/>
      </c>
    </row>
    <row r="8567" spans="1:5" x14ac:dyDescent="0.2">
      <c r="A8567" t="s">
        <v>1476</v>
      </c>
      <c r="B8567" t="s">
        <v>1477</v>
      </c>
      <c r="C8567" t="s">
        <v>5</v>
      </c>
      <c r="D8567" t="e">
        <f>VLOOKUP(C8567,'lookup table'!$A$2:$B$19,2,FALSE)</f>
        <v>#N/A</v>
      </c>
      <c r="E8567" t="str">
        <f t="shared" si="133"/>
        <v/>
      </c>
    </row>
    <row r="8568" spans="1:5" x14ac:dyDescent="0.2">
      <c r="A8568" t="s">
        <v>1476</v>
      </c>
      <c r="B8568" t="s">
        <v>1477</v>
      </c>
      <c r="C8568" t="s">
        <v>6</v>
      </c>
      <c r="D8568" t="e">
        <f>VLOOKUP(C8568,'lookup table'!$A$2:$B$19,2,FALSE)</f>
        <v>#N/A</v>
      </c>
      <c r="E8568" t="str">
        <f t="shared" si="133"/>
        <v/>
      </c>
    </row>
    <row r="8569" spans="1:5" x14ac:dyDescent="0.2">
      <c r="A8569" t="s">
        <v>1476</v>
      </c>
      <c r="B8569" t="s">
        <v>1477</v>
      </c>
      <c r="C8569" t="s">
        <v>9</v>
      </c>
      <c r="D8569" t="e">
        <f>VLOOKUP(C8569,'lookup table'!$A$2:$B$19,2,FALSE)</f>
        <v>#N/A</v>
      </c>
      <c r="E8569" t="str">
        <f t="shared" si="133"/>
        <v/>
      </c>
    </row>
    <row r="8570" spans="1:5" x14ac:dyDescent="0.2">
      <c r="A8570" t="s">
        <v>1476</v>
      </c>
      <c r="B8570" t="s">
        <v>1477</v>
      </c>
      <c r="C8570" t="s">
        <v>10</v>
      </c>
      <c r="D8570" t="e">
        <f>VLOOKUP(C8570,'lookup table'!$A$2:$B$19,2,FALSE)</f>
        <v>#N/A</v>
      </c>
      <c r="E8570" t="str">
        <f t="shared" si="133"/>
        <v/>
      </c>
    </row>
    <row r="8571" spans="1:5" x14ac:dyDescent="0.2">
      <c r="A8571" t="s">
        <v>1476</v>
      </c>
      <c r="B8571" t="s">
        <v>1477</v>
      </c>
      <c r="C8571" t="s">
        <v>11</v>
      </c>
      <c r="D8571" t="e">
        <f>VLOOKUP(C8571,'lookup table'!$A$2:$B$19,2,FALSE)</f>
        <v>#N/A</v>
      </c>
      <c r="E8571" t="str">
        <f t="shared" si="133"/>
        <v/>
      </c>
    </row>
    <row r="8572" spans="1:5" x14ac:dyDescent="0.2">
      <c r="A8572" t="s">
        <v>1476</v>
      </c>
      <c r="B8572" t="s">
        <v>1477</v>
      </c>
      <c r="C8572" t="s">
        <v>12</v>
      </c>
      <c r="D8572" t="e">
        <f>VLOOKUP(C8572,'lookup table'!$A$2:$B$19,2,FALSE)</f>
        <v>#N/A</v>
      </c>
      <c r="E8572" t="str">
        <f t="shared" si="133"/>
        <v/>
      </c>
    </row>
    <row r="8573" spans="1:5" x14ac:dyDescent="0.2">
      <c r="A8573" t="s">
        <v>1476</v>
      </c>
      <c r="B8573" t="s">
        <v>1477</v>
      </c>
      <c r="C8573" t="s">
        <v>14</v>
      </c>
      <c r="D8573" t="str">
        <f>VLOOKUP(C8573,'lookup table'!$A$2:$B$19,2,FALSE)</f>
        <v>ALC</v>
      </c>
      <c r="E8573" t="str">
        <f t="shared" si="133"/>
        <v>DZ6ACA_00|ALC</v>
      </c>
    </row>
    <row r="8574" spans="1:5" x14ac:dyDescent="0.2">
      <c r="A8574" t="s">
        <v>1476</v>
      </c>
      <c r="B8574" t="s">
        <v>1477</v>
      </c>
      <c r="C8574" t="s">
        <v>20</v>
      </c>
      <c r="D8574" t="str">
        <f>VLOOKUP(C8574,'lookup table'!$A$2:$B$19,2,FALSE)</f>
        <v>AY</v>
      </c>
      <c r="E8574" t="str">
        <f t="shared" si="133"/>
        <v>DZ6ACA_00|AY</v>
      </c>
    </row>
    <row r="8575" spans="1:5" x14ac:dyDescent="0.2">
      <c r="A8575" t="s">
        <v>1476</v>
      </c>
      <c r="B8575" t="s">
        <v>1477</v>
      </c>
      <c r="C8575" t="s">
        <v>136</v>
      </c>
      <c r="D8575" t="str">
        <f>VLOOKUP(C8575,'lookup table'!$A$2:$B$19,2,FALSE)</f>
        <v>BBA Set</v>
      </c>
      <c r="E8575" t="str">
        <f t="shared" si="133"/>
        <v>DZ6ACA_00|BBA Set</v>
      </c>
    </row>
    <row r="8576" spans="1:5" x14ac:dyDescent="0.2">
      <c r="A8576" t="s">
        <v>1476</v>
      </c>
      <c r="B8576" t="s">
        <v>1477</v>
      </c>
      <c r="C8576" t="s">
        <v>324</v>
      </c>
      <c r="D8576" t="e">
        <f>VLOOKUP(C8576,'lookup table'!$A$2:$B$19,2,FALSE)</f>
        <v>#N/A</v>
      </c>
      <c r="E8576" t="str">
        <f t="shared" si="133"/>
        <v/>
      </c>
    </row>
    <row r="8577" spans="1:5" x14ac:dyDescent="0.2">
      <c r="A8577" t="s">
        <v>1476</v>
      </c>
      <c r="B8577" t="s">
        <v>1477</v>
      </c>
      <c r="C8577" t="s">
        <v>325</v>
      </c>
      <c r="D8577" t="e">
        <f>VLOOKUP(C8577,'lookup table'!$A$2:$B$19,2,FALSE)</f>
        <v>#N/A</v>
      </c>
      <c r="E8577" t="str">
        <f t="shared" si="133"/>
        <v/>
      </c>
    </row>
    <row r="8578" spans="1:5" x14ac:dyDescent="0.2">
      <c r="A8578" t="s">
        <v>1476</v>
      </c>
      <c r="B8578" t="s">
        <v>1477</v>
      </c>
      <c r="C8578" t="s">
        <v>326</v>
      </c>
      <c r="D8578" t="e">
        <f>VLOOKUP(C8578,'lookup table'!$A$2:$B$19,2,FALSE)</f>
        <v>#N/A</v>
      </c>
      <c r="E8578" t="str">
        <f t="shared" si="133"/>
        <v/>
      </c>
    </row>
    <row r="8579" spans="1:5" x14ac:dyDescent="0.2">
      <c r="A8579" t="s">
        <v>1476</v>
      </c>
      <c r="B8579" t="s">
        <v>1477</v>
      </c>
      <c r="C8579" t="s">
        <v>327</v>
      </c>
      <c r="D8579" t="e">
        <f>VLOOKUP(C8579,'lookup table'!$A$2:$B$19,2,FALSE)</f>
        <v>#N/A</v>
      </c>
      <c r="E8579" t="str">
        <f t="shared" ref="E8579:E8642" si="134">IF(ISNA(D8579),"",IF(A8579="","",A8579) &amp; "|" &amp; D8579)</f>
        <v/>
      </c>
    </row>
    <row r="8580" spans="1:5" x14ac:dyDescent="0.2">
      <c r="A8580" t="s">
        <v>1476</v>
      </c>
      <c r="B8580" t="s">
        <v>1477</v>
      </c>
      <c r="C8580" t="s">
        <v>328</v>
      </c>
      <c r="D8580" t="e">
        <f>VLOOKUP(C8580,'lookup table'!$A$2:$B$19,2,FALSE)</f>
        <v>#N/A</v>
      </c>
      <c r="E8580" t="str">
        <f t="shared" si="134"/>
        <v/>
      </c>
    </row>
    <row r="8581" spans="1:5" x14ac:dyDescent="0.2">
      <c r="A8581" t="s">
        <v>1476</v>
      </c>
      <c r="B8581" t="s">
        <v>1477</v>
      </c>
      <c r="C8581" t="s">
        <v>329</v>
      </c>
      <c r="D8581" t="e">
        <f>VLOOKUP(C8581,'lookup table'!$A$2:$B$19,2,FALSE)</f>
        <v>#N/A</v>
      </c>
      <c r="E8581" t="str">
        <f t="shared" si="134"/>
        <v/>
      </c>
    </row>
    <row r="8582" spans="1:5" x14ac:dyDescent="0.2">
      <c r="A8582" t="s">
        <v>1476</v>
      </c>
      <c r="B8582" t="s">
        <v>1477</v>
      </c>
      <c r="C8582" t="s">
        <v>331</v>
      </c>
      <c r="D8582" t="str">
        <f>VLOOKUP(C8582,'lookup table'!$A$2:$B$19,2,FALSE)</f>
        <v>FS Item</v>
      </c>
      <c r="E8582" t="str">
        <f t="shared" si="134"/>
        <v>DZ6ACA_00|FS Item</v>
      </c>
    </row>
    <row r="8583" spans="1:5" x14ac:dyDescent="0.2">
      <c r="A8583" t="s">
        <v>1476</v>
      </c>
      <c r="B8583" t="s">
        <v>1477</v>
      </c>
      <c r="C8583" t="s">
        <v>422</v>
      </c>
      <c r="D8583" t="e">
        <f>VLOOKUP(C8583,'lookup table'!$A$2:$B$19,2,FALSE)</f>
        <v>#N/A</v>
      </c>
      <c r="E8583" t="str">
        <f t="shared" si="134"/>
        <v/>
      </c>
    </row>
    <row r="8584" spans="1:5" x14ac:dyDescent="0.2">
      <c r="A8584" t="s">
        <v>1476</v>
      </c>
      <c r="B8584" t="s">
        <v>1477</v>
      </c>
      <c r="C8584" t="s">
        <v>423</v>
      </c>
      <c r="D8584" t="str">
        <f>VLOOKUP(C8584,'lookup table'!$A$2:$B$19,2,FALSE)</f>
        <v>ignore</v>
      </c>
      <c r="E8584" t="str">
        <f t="shared" si="134"/>
        <v>DZ6ACA_00|ignore</v>
      </c>
    </row>
    <row r="8585" spans="1:5" x14ac:dyDescent="0.2">
      <c r="A8585" t="s">
        <v>1476</v>
      </c>
      <c r="B8585" t="s">
        <v>1477</v>
      </c>
      <c r="C8585" t="s">
        <v>424</v>
      </c>
      <c r="D8585" t="str">
        <f>VLOOKUP(C8585,'lookup table'!$A$2:$B$19,2,FALSE)</f>
        <v>GRC</v>
      </c>
      <c r="E8585" t="str">
        <f t="shared" si="134"/>
        <v>DZ6ACA_00|GRC</v>
      </c>
    </row>
    <row r="8586" spans="1:5" x14ac:dyDescent="0.2">
      <c r="A8586" t="s">
        <v>1476</v>
      </c>
      <c r="B8586" t="s">
        <v>1477</v>
      </c>
      <c r="C8586" t="s">
        <v>425</v>
      </c>
      <c r="D8586" t="str">
        <f>VLOOKUP(C8586,'lookup table'!$A$2:$B$19,2,FALSE)</f>
        <v>Investee Segment</v>
      </c>
      <c r="E8586" t="str">
        <f t="shared" si="134"/>
        <v>DZ6ACA_00|Investee Segment</v>
      </c>
    </row>
    <row r="8587" spans="1:5" x14ac:dyDescent="0.2">
      <c r="A8587" t="s">
        <v>1476</v>
      </c>
      <c r="B8587" t="s">
        <v>1477</v>
      </c>
      <c r="C8587" t="s">
        <v>426</v>
      </c>
      <c r="D8587" t="str">
        <f>VLOOKUP(C8587,'lookup table'!$A$2:$B$19,2,FALSE)</f>
        <v>Investee Unit</v>
      </c>
      <c r="E8587" t="str">
        <f t="shared" si="134"/>
        <v>DZ6ACA_00|Investee Unit</v>
      </c>
    </row>
    <row r="8588" spans="1:5" x14ac:dyDescent="0.2">
      <c r="A8588" t="s">
        <v>1476</v>
      </c>
      <c r="B8588" t="s">
        <v>1477</v>
      </c>
      <c r="C8588" t="s">
        <v>428</v>
      </c>
      <c r="D8588" t="str">
        <f>VLOOKUP(C8588,'lookup table'!$A$2:$B$19,2,FALSE)</f>
        <v>LoB</v>
      </c>
      <c r="E8588" t="str">
        <f t="shared" si="134"/>
        <v>DZ6ACA_00|LoB</v>
      </c>
    </row>
    <row r="8589" spans="1:5" x14ac:dyDescent="0.2">
      <c r="A8589" t="s">
        <v>1476</v>
      </c>
      <c r="B8589" t="s">
        <v>1477</v>
      </c>
      <c r="C8589" t="s">
        <v>436</v>
      </c>
      <c r="D8589" t="str">
        <f>VLOOKUP(C8589,'lookup table'!$A$2:$B$19,2,FALSE)</f>
        <v>MAT</v>
      </c>
      <c r="E8589" t="str">
        <f t="shared" si="134"/>
        <v>DZ6ACA_00|MAT</v>
      </c>
    </row>
    <row r="8590" spans="1:5" x14ac:dyDescent="0.2">
      <c r="A8590" t="s">
        <v>1476</v>
      </c>
      <c r="B8590" t="s">
        <v>1477</v>
      </c>
      <c r="C8590" t="s">
        <v>441</v>
      </c>
      <c r="D8590" t="str">
        <f>VLOOKUP(C8590,'lookup table'!$A$2:$B$19,2,FALSE)</f>
        <v>Partner Segment</v>
      </c>
      <c r="E8590" t="str">
        <f t="shared" si="134"/>
        <v>DZ6ACA_00|Partner Segment</v>
      </c>
    </row>
    <row r="8591" spans="1:5" x14ac:dyDescent="0.2">
      <c r="A8591" t="s">
        <v>1476</v>
      </c>
      <c r="B8591" t="s">
        <v>1477</v>
      </c>
      <c r="C8591" t="s">
        <v>442</v>
      </c>
      <c r="D8591" t="str">
        <f>VLOOKUP(C8591,'lookup table'!$A$2:$B$19,2,FALSE)</f>
        <v>Partner Unit</v>
      </c>
      <c r="E8591" t="str">
        <f t="shared" si="134"/>
        <v>DZ6ACA_00|Partner Unit</v>
      </c>
    </row>
    <row r="8592" spans="1:5" x14ac:dyDescent="0.2">
      <c r="A8592" t="s">
        <v>1476</v>
      </c>
      <c r="B8592" t="s">
        <v>1477</v>
      </c>
      <c r="C8592" t="s">
        <v>447</v>
      </c>
      <c r="D8592" t="str">
        <f>VLOOKUP(C8592,'lookup table'!$A$2:$B$19,2,FALSE)</f>
        <v>REX</v>
      </c>
      <c r="E8592" t="str">
        <f t="shared" si="134"/>
        <v>DZ6ACA_00|REX</v>
      </c>
    </row>
    <row r="8593" spans="1:5" x14ac:dyDescent="0.2">
      <c r="A8593" t="s">
        <v>1476</v>
      </c>
      <c r="B8593" t="s">
        <v>1477</v>
      </c>
      <c r="C8593" t="s">
        <v>448</v>
      </c>
      <c r="D8593" t="e">
        <f>VLOOKUP(C8593,'lookup table'!$A$2:$B$19,2,FALSE)</f>
        <v>#N/A</v>
      </c>
      <c r="E8593" t="str">
        <f t="shared" si="134"/>
        <v/>
      </c>
    </row>
    <row r="8594" spans="1:5" x14ac:dyDescent="0.2">
      <c r="A8594" t="s">
        <v>1476</v>
      </c>
      <c r="B8594" t="s">
        <v>1477</v>
      </c>
      <c r="C8594" t="s">
        <v>449</v>
      </c>
      <c r="D8594" t="e">
        <f>VLOOKUP(C8594,'lookup table'!$A$2:$B$19,2,FALSE)</f>
        <v>#N/A</v>
      </c>
      <c r="E8594" t="str">
        <f t="shared" si="134"/>
        <v/>
      </c>
    </row>
    <row r="8595" spans="1:5" x14ac:dyDescent="0.2">
      <c r="A8595" t="s">
        <v>1476</v>
      </c>
      <c r="B8595" t="s">
        <v>1477</v>
      </c>
      <c r="C8595" t="s">
        <v>451</v>
      </c>
      <c r="D8595" t="str">
        <f>VLOOKUP(C8595,'lookup table'!$A$2:$B$19,2,FALSE)</f>
        <v>Segment</v>
      </c>
      <c r="E8595" t="str">
        <f t="shared" si="134"/>
        <v>DZ6ACA_00|Segment</v>
      </c>
    </row>
    <row r="8596" spans="1:5" x14ac:dyDescent="0.2">
      <c r="A8596" t="s">
        <v>1476</v>
      </c>
      <c r="B8596" t="s">
        <v>1477</v>
      </c>
      <c r="C8596" t="s">
        <v>455</v>
      </c>
      <c r="D8596" t="e">
        <f>VLOOKUP(C8596,'lookup table'!$A$2:$B$19,2,FALSE)</f>
        <v>#N/A</v>
      </c>
      <c r="E8596" t="str">
        <f t="shared" si="134"/>
        <v/>
      </c>
    </row>
    <row r="8597" spans="1:5" x14ac:dyDescent="0.2">
      <c r="A8597" t="s">
        <v>1476</v>
      </c>
      <c r="B8597" t="s">
        <v>1477</v>
      </c>
      <c r="C8597" t="s">
        <v>456</v>
      </c>
      <c r="D8597" t="e">
        <f>VLOOKUP(C8597,'lookup table'!$A$2:$B$19,2,FALSE)</f>
        <v>#N/A</v>
      </c>
      <c r="E8597" t="str">
        <f t="shared" si="134"/>
        <v/>
      </c>
    </row>
    <row r="8598" spans="1:5" x14ac:dyDescent="0.2">
      <c r="A8598" t="s">
        <v>1476</v>
      </c>
      <c r="B8598" t="s">
        <v>1477</v>
      </c>
      <c r="C8598" t="s">
        <v>457</v>
      </c>
      <c r="D8598" t="str">
        <f>VLOOKUP(C8598,'lookup table'!$A$2:$B$19,2,FALSE)</f>
        <v>VLT</v>
      </c>
      <c r="E8598" t="str">
        <f t="shared" si="134"/>
        <v>DZ6ACA_00|VLT</v>
      </c>
    </row>
    <row r="8599" spans="1:5" x14ac:dyDescent="0.2">
      <c r="A8599" t="s">
        <v>1476</v>
      </c>
      <c r="B8599" t="s">
        <v>1477</v>
      </c>
      <c r="C8599" t="s">
        <v>458</v>
      </c>
      <c r="D8599" t="str">
        <f>VLOOKUP(C8599,'lookup table'!$A$2:$B$19,2,FALSE)</f>
        <v>VAR</v>
      </c>
      <c r="E8599" t="str">
        <f t="shared" si="134"/>
        <v>DZ6ACA_00|VAR</v>
      </c>
    </row>
    <row r="8600" spans="1:5" x14ac:dyDescent="0.2">
      <c r="A8600" t="s">
        <v>1476</v>
      </c>
      <c r="B8600" t="s">
        <v>1477</v>
      </c>
      <c r="C8600" t="s">
        <v>459</v>
      </c>
      <c r="D8600" t="e">
        <f>VLOOKUP(C8600,'lookup table'!$A$2:$B$19,2,FALSE)</f>
        <v>#N/A</v>
      </c>
      <c r="E8600" t="str">
        <f t="shared" si="134"/>
        <v/>
      </c>
    </row>
    <row r="8601" spans="1:5" x14ac:dyDescent="0.2">
      <c r="A8601" t="s">
        <v>1476</v>
      </c>
      <c r="B8601" t="s">
        <v>1477</v>
      </c>
      <c r="C8601" t="s">
        <v>460</v>
      </c>
      <c r="D8601" t="e">
        <f>VLOOKUP(C8601,'lookup table'!$A$2:$B$19,2,FALSE)</f>
        <v>#N/A</v>
      </c>
      <c r="E8601" t="str">
        <f t="shared" si="134"/>
        <v/>
      </c>
    </row>
    <row r="8602" spans="1:5" x14ac:dyDescent="0.2">
      <c r="A8602" t="s">
        <v>1476</v>
      </c>
      <c r="B8602" t="s">
        <v>1477</v>
      </c>
      <c r="C8602" t="s">
        <v>461</v>
      </c>
      <c r="D8602" t="str">
        <f>VLOOKUP(C8602,'lookup table'!$A$2:$B$19,2,FALSE)</f>
        <v>Posting Level</v>
      </c>
      <c r="E8602" t="str">
        <f t="shared" si="134"/>
        <v>DZ6ACA_00|Posting Level</v>
      </c>
    </row>
    <row r="8603" spans="1:5" x14ac:dyDescent="0.2">
      <c r="A8603" t="s">
        <v>1476</v>
      </c>
      <c r="B8603" t="s">
        <v>1477</v>
      </c>
      <c r="C8603" t="s">
        <v>462</v>
      </c>
      <c r="D8603" t="e">
        <f>VLOOKUP(C8603,'lookup table'!$A$2:$B$19,2,FALSE)</f>
        <v>#N/A</v>
      </c>
      <c r="E8603" t="str">
        <f t="shared" si="134"/>
        <v/>
      </c>
    </row>
    <row r="8604" spans="1:5" x14ac:dyDescent="0.2">
      <c r="A8604" t="s">
        <v>1476</v>
      </c>
      <c r="B8604" t="s">
        <v>1477</v>
      </c>
      <c r="C8604" t="s">
        <v>463</v>
      </c>
      <c r="D8604" t="e">
        <f>VLOOKUP(C8604,'lookup table'!$A$2:$B$19,2,FALSE)</f>
        <v>#N/A</v>
      </c>
      <c r="E8604" t="str">
        <f t="shared" si="134"/>
        <v/>
      </c>
    </row>
    <row r="8605" spans="1:5" x14ac:dyDescent="0.2">
      <c r="A8605" t="s">
        <v>1476</v>
      </c>
      <c r="B8605" t="s">
        <v>1477</v>
      </c>
      <c r="C8605" t="s">
        <v>464</v>
      </c>
      <c r="D8605" t="e">
        <f>VLOOKUP(C8605,'lookup table'!$A$2:$B$19,2,FALSE)</f>
        <v>#N/A</v>
      </c>
      <c r="E8605" t="str">
        <f t="shared" si="134"/>
        <v/>
      </c>
    </row>
    <row r="8606" spans="1:5" x14ac:dyDescent="0.2">
      <c r="A8606" t="s">
        <v>1476</v>
      </c>
      <c r="B8606" t="s">
        <v>1477</v>
      </c>
      <c r="C8606" t="s">
        <v>465</v>
      </c>
      <c r="D8606" t="e">
        <f>VLOOKUP(C8606,'lookup table'!$A$2:$B$19,2,FALSE)</f>
        <v>#N/A</v>
      </c>
      <c r="E8606" t="str">
        <f t="shared" si="134"/>
        <v/>
      </c>
    </row>
    <row r="8607" spans="1:5" x14ac:dyDescent="0.2">
      <c r="A8607" t="s">
        <v>1478</v>
      </c>
      <c r="B8607" t="s">
        <v>1477</v>
      </c>
      <c r="C8607" t="s">
        <v>2</v>
      </c>
      <c r="D8607" t="e">
        <f>VLOOKUP(C8607,'lookup table'!$A$2:$B$19,2,FALSE)</f>
        <v>#N/A</v>
      </c>
      <c r="E8607" t="str">
        <f t="shared" si="134"/>
        <v/>
      </c>
    </row>
    <row r="8608" spans="1:5" x14ac:dyDescent="0.2">
      <c r="A8608" t="s">
        <v>1478</v>
      </c>
      <c r="B8608" t="s">
        <v>1477</v>
      </c>
      <c r="C8608" t="s">
        <v>5</v>
      </c>
      <c r="D8608" t="e">
        <f>VLOOKUP(C8608,'lookup table'!$A$2:$B$19,2,FALSE)</f>
        <v>#N/A</v>
      </c>
      <c r="E8608" t="str">
        <f t="shared" si="134"/>
        <v/>
      </c>
    </row>
    <row r="8609" spans="1:5" x14ac:dyDescent="0.2">
      <c r="A8609" t="s">
        <v>1478</v>
      </c>
      <c r="B8609" t="s">
        <v>1477</v>
      </c>
      <c r="C8609" t="s">
        <v>6</v>
      </c>
      <c r="D8609" t="e">
        <f>VLOOKUP(C8609,'lookup table'!$A$2:$B$19,2,FALSE)</f>
        <v>#N/A</v>
      </c>
      <c r="E8609" t="str">
        <f t="shared" si="134"/>
        <v/>
      </c>
    </row>
    <row r="8610" spans="1:5" x14ac:dyDescent="0.2">
      <c r="A8610" t="s">
        <v>1478</v>
      </c>
      <c r="B8610" t="s">
        <v>1477</v>
      </c>
      <c r="C8610" t="s">
        <v>9</v>
      </c>
      <c r="D8610" t="e">
        <f>VLOOKUP(C8610,'lookup table'!$A$2:$B$19,2,FALSE)</f>
        <v>#N/A</v>
      </c>
      <c r="E8610" t="str">
        <f t="shared" si="134"/>
        <v/>
      </c>
    </row>
    <row r="8611" spans="1:5" x14ac:dyDescent="0.2">
      <c r="A8611" t="s">
        <v>1478</v>
      </c>
      <c r="B8611" t="s">
        <v>1477</v>
      </c>
      <c r="C8611" t="s">
        <v>10</v>
      </c>
      <c r="D8611" t="e">
        <f>VLOOKUP(C8611,'lookup table'!$A$2:$B$19,2,FALSE)</f>
        <v>#N/A</v>
      </c>
      <c r="E8611" t="str">
        <f t="shared" si="134"/>
        <v/>
      </c>
    </row>
    <row r="8612" spans="1:5" x14ac:dyDescent="0.2">
      <c r="A8612" t="s">
        <v>1478</v>
      </c>
      <c r="B8612" t="s">
        <v>1477</v>
      </c>
      <c r="C8612" t="s">
        <v>11</v>
      </c>
      <c r="D8612" t="e">
        <f>VLOOKUP(C8612,'lookup table'!$A$2:$B$19,2,FALSE)</f>
        <v>#N/A</v>
      </c>
      <c r="E8612" t="str">
        <f t="shared" si="134"/>
        <v/>
      </c>
    </row>
    <row r="8613" spans="1:5" x14ac:dyDescent="0.2">
      <c r="A8613" t="s">
        <v>1478</v>
      </c>
      <c r="B8613" t="s">
        <v>1477</v>
      </c>
      <c r="C8613" t="s">
        <v>12</v>
      </c>
      <c r="D8613" t="e">
        <f>VLOOKUP(C8613,'lookup table'!$A$2:$B$19,2,FALSE)</f>
        <v>#N/A</v>
      </c>
      <c r="E8613" t="str">
        <f t="shared" si="134"/>
        <v/>
      </c>
    </row>
    <row r="8614" spans="1:5" x14ac:dyDescent="0.2">
      <c r="A8614" t="s">
        <v>1478</v>
      </c>
      <c r="B8614" t="s">
        <v>1477</v>
      </c>
      <c r="C8614" t="s">
        <v>14</v>
      </c>
      <c r="D8614" t="str">
        <f>VLOOKUP(C8614,'lookup table'!$A$2:$B$19,2,FALSE)</f>
        <v>ALC</v>
      </c>
      <c r="E8614" t="str">
        <f t="shared" si="134"/>
        <v>DZ6ACA_14|ALC</v>
      </c>
    </row>
    <row r="8615" spans="1:5" x14ac:dyDescent="0.2">
      <c r="A8615" t="s">
        <v>1478</v>
      </c>
      <c r="B8615" t="s">
        <v>1477</v>
      </c>
      <c r="C8615" t="s">
        <v>20</v>
      </c>
      <c r="D8615" t="str">
        <f>VLOOKUP(C8615,'lookup table'!$A$2:$B$19,2,FALSE)</f>
        <v>AY</v>
      </c>
      <c r="E8615" t="str">
        <f t="shared" si="134"/>
        <v>DZ6ACA_14|AY</v>
      </c>
    </row>
    <row r="8616" spans="1:5" x14ac:dyDescent="0.2">
      <c r="A8616" t="s">
        <v>1478</v>
      </c>
      <c r="B8616" t="s">
        <v>1477</v>
      </c>
      <c r="C8616" t="s">
        <v>136</v>
      </c>
      <c r="D8616" t="str">
        <f>VLOOKUP(C8616,'lookup table'!$A$2:$B$19,2,FALSE)</f>
        <v>BBA Set</v>
      </c>
      <c r="E8616" t="str">
        <f t="shared" si="134"/>
        <v>DZ6ACA_14|BBA Set</v>
      </c>
    </row>
    <row r="8617" spans="1:5" x14ac:dyDescent="0.2">
      <c r="A8617" t="s">
        <v>1478</v>
      </c>
      <c r="B8617" t="s">
        <v>1477</v>
      </c>
      <c r="C8617" t="s">
        <v>324</v>
      </c>
      <c r="D8617" t="e">
        <f>VLOOKUP(C8617,'lookup table'!$A$2:$B$19,2,FALSE)</f>
        <v>#N/A</v>
      </c>
      <c r="E8617" t="str">
        <f t="shared" si="134"/>
        <v/>
      </c>
    </row>
    <row r="8618" spans="1:5" x14ac:dyDescent="0.2">
      <c r="A8618" t="s">
        <v>1478</v>
      </c>
      <c r="B8618" t="s">
        <v>1477</v>
      </c>
      <c r="C8618" t="s">
        <v>325</v>
      </c>
      <c r="D8618" t="e">
        <f>VLOOKUP(C8618,'lookup table'!$A$2:$B$19,2,FALSE)</f>
        <v>#N/A</v>
      </c>
      <c r="E8618" t="str">
        <f t="shared" si="134"/>
        <v/>
      </c>
    </row>
    <row r="8619" spans="1:5" x14ac:dyDescent="0.2">
      <c r="A8619" t="s">
        <v>1478</v>
      </c>
      <c r="B8619" t="s">
        <v>1477</v>
      </c>
      <c r="C8619" t="s">
        <v>326</v>
      </c>
      <c r="D8619" t="e">
        <f>VLOOKUP(C8619,'lookup table'!$A$2:$B$19,2,FALSE)</f>
        <v>#N/A</v>
      </c>
      <c r="E8619" t="str">
        <f t="shared" si="134"/>
        <v/>
      </c>
    </row>
    <row r="8620" spans="1:5" x14ac:dyDescent="0.2">
      <c r="A8620" t="s">
        <v>1478</v>
      </c>
      <c r="B8620" t="s">
        <v>1477</v>
      </c>
      <c r="C8620" t="s">
        <v>327</v>
      </c>
      <c r="D8620" t="e">
        <f>VLOOKUP(C8620,'lookup table'!$A$2:$B$19,2,FALSE)</f>
        <v>#N/A</v>
      </c>
      <c r="E8620" t="str">
        <f t="shared" si="134"/>
        <v/>
      </c>
    </row>
    <row r="8621" spans="1:5" x14ac:dyDescent="0.2">
      <c r="A8621" t="s">
        <v>1478</v>
      </c>
      <c r="B8621" t="s">
        <v>1477</v>
      </c>
      <c r="C8621" t="s">
        <v>328</v>
      </c>
      <c r="D8621" t="e">
        <f>VLOOKUP(C8621,'lookup table'!$A$2:$B$19,2,FALSE)</f>
        <v>#N/A</v>
      </c>
      <c r="E8621" t="str">
        <f t="shared" si="134"/>
        <v/>
      </c>
    </row>
    <row r="8622" spans="1:5" x14ac:dyDescent="0.2">
      <c r="A8622" t="s">
        <v>1478</v>
      </c>
      <c r="B8622" t="s">
        <v>1477</v>
      </c>
      <c r="C8622" t="s">
        <v>329</v>
      </c>
      <c r="D8622" t="e">
        <f>VLOOKUP(C8622,'lookup table'!$A$2:$B$19,2,FALSE)</f>
        <v>#N/A</v>
      </c>
      <c r="E8622" t="str">
        <f t="shared" si="134"/>
        <v/>
      </c>
    </row>
    <row r="8623" spans="1:5" x14ac:dyDescent="0.2">
      <c r="A8623" t="s">
        <v>1478</v>
      </c>
      <c r="B8623" t="s">
        <v>1477</v>
      </c>
      <c r="C8623" t="s">
        <v>331</v>
      </c>
      <c r="D8623" t="str">
        <f>VLOOKUP(C8623,'lookup table'!$A$2:$B$19,2,FALSE)</f>
        <v>FS Item</v>
      </c>
      <c r="E8623" t="str">
        <f t="shared" si="134"/>
        <v>DZ6ACA_14|FS Item</v>
      </c>
    </row>
    <row r="8624" spans="1:5" x14ac:dyDescent="0.2">
      <c r="A8624" t="s">
        <v>1478</v>
      </c>
      <c r="B8624" t="s">
        <v>1477</v>
      </c>
      <c r="C8624" t="s">
        <v>422</v>
      </c>
      <c r="D8624" t="e">
        <f>VLOOKUP(C8624,'lookup table'!$A$2:$B$19,2,FALSE)</f>
        <v>#N/A</v>
      </c>
      <c r="E8624" t="str">
        <f t="shared" si="134"/>
        <v/>
      </c>
    </row>
    <row r="8625" spans="1:5" x14ac:dyDescent="0.2">
      <c r="A8625" t="s">
        <v>1478</v>
      </c>
      <c r="B8625" t="s">
        <v>1477</v>
      </c>
      <c r="C8625" t="s">
        <v>423</v>
      </c>
      <c r="D8625" t="str">
        <f>VLOOKUP(C8625,'lookup table'!$A$2:$B$19,2,FALSE)</f>
        <v>ignore</v>
      </c>
      <c r="E8625" t="str">
        <f t="shared" si="134"/>
        <v>DZ6ACA_14|ignore</v>
      </c>
    </row>
    <row r="8626" spans="1:5" x14ac:dyDescent="0.2">
      <c r="A8626" t="s">
        <v>1478</v>
      </c>
      <c r="B8626" t="s">
        <v>1477</v>
      </c>
      <c r="C8626" t="s">
        <v>424</v>
      </c>
      <c r="D8626" t="str">
        <f>VLOOKUP(C8626,'lookup table'!$A$2:$B$19,2,FALSE)</f>
        <v>GRC</v>
      </c>
      <c r="E8626" t="str">
        <f t="shared" si="134"/>
        <v>DZ6ACA_14|GRC</v>
      </c>
    </row>
    <row r="8627" spans="1:5" x14ac:dyDescent="0.2">
      <c r="A8627" t="s">
        <v>1478</v>
      </c>
      <c r="B8627" t="s">
        <v>1477</v>
      </c>
      <c r="C8627" t="s">
        <v>425</v>
      </c>
      <c r="D8627" t="str">
        <f>VLOOKUP(C8627,'lookup table'!$A$2:$B$19,2,FALSE)</f>
        <v>Investee Segment</v>
      </c>
      <c r="E8627" t="str">
        <f t="shared" si="134"/>
        <v>DZ6ACA_14|Investee Segment</v>
      </c>
    </row>
    <row r="8628" spans="1:5" x14ac:dyDescent="0.2">
      <c r="A8628" t="s">
        <v>1478</v>
      </c>
      <c r="B8628" t="s">
        <v>1477</v>
      </c>
      <c r="C8628" t="s">
        <v>426</v>
      </c>
      <c r="D8628" t="str">
        <f>VLOOKUP(C8628,'lookup table'!$A$2:$B$19,2,FALSE)</f>
        <v>Investee Unit</v>
      </c>
      <c r="E8628" t="str">
        <f t="shared" si="134"/>
        <v>DZ6ACA_14|Investee Unit</v>
      </c>
    </row>
    <row r="8629" spans="1:5" x14ac:dyDescent="0.2">
      <c r="A8629" t="s">
        <v>1478</v>
      </c>
      <c r="B8629" t="s">
        <v>1477</v>
      </c>
      <c r="C8629" t="s">
        <v>428</v>
      </c>
      <c r="D8629" t="str">
        <f>VLOOKUP(C8629,'lookup table'!$A$2:$B$19,2,FALSE)</f>
        <v>LoB</v>
      </c>
      <c r="E8629" t="str">
        <f t="shared" si="134"/>
        <v>DZ6ACA_14|LoB</v>
      </c>
    </row>
    <row r="8630" spans="1:5" x14ac:dyDescent="0.2">
      <c r="A8630" t="s">
        <v>1478</v>
      </c>
      <c r="B8630" t="s">
        <v>1477</v>
      </c>
      <c r="C8630" t="s">
        <v>436</v>
      </c>
      <c r="D8630" t="str">
        <f>VLOOKUP(C8630,'lookup table'!$A$2:$B$19,2,FALSE)</f>
        <v>MAT</v>
      </c>
      <c r="E8630" t="str">
        <f t="shared" si="134"/>
        <v>DZ6ACA_14|MAT</v>
      </c>
    </row>
    <row r="8631" spans="1:5" x14ac:dyDescent="0.2">
      <c r="A8631" t="s">
        <v>1478</v>
      </c>
      <c r="B8631" t="s">
        <v>1477</v>
      </c>
      <c r="C8631" t="s">
        <v>441</v>
      </c>
      <c r="D8631" t="str">
        <f>VLOOKUP(C8631,'lookup table'!$A$2:$B$19,2,FALSE)</f>
        <v>Partner Segment</v>
      </c>
      <c r="E8631" t="str">
        <f t="shared" si="134"/>
        <v>DZ6ACA_14|Partner Segment</v>
      </c>
    </row>
    <row r="8632" spans="1:5" x14ac:dyDescent="0.2">
      <c r="A8632" t="s">
        <v>1478</v>
      </c>
      <c r="B8632" t="s">
        <v>1477</v>
      </c>
      <c r="C8632" t="s">
        <v>442</v>
      </c>
      <c r="D8632" t="str">
        <f>VLOOKUP(C8632,'lookup table'!$A$2:$B$19,2,FALSE)</f>
        <v>Partner Unit</v>
      </c>
      <c r="E8632" t="str">
        <f t="shared" si="134"/>
        <v>DZ6ACA_14|Partner Unit</v>
      </c>
    </row>
    <row r="8633" spans="1:5" x14ac:dyDescent="0.2">
      <c r="A8633" t="s">
        <v>1478</v>
      </c>
      <c r="B8633" t="s">
        <v>1477</v>
      </c>
      <c r="C8633" t="s">
        <v>447</v>
      </c>
      <c r="D8633" t="str">
        <f>VLOOKUP(C8633,'lookup table'!$A$2:$B$19,2,FALSE)</f>
        <v>REX</v>
      </c>
      <c r="E8633" t="str">
        <f t="shared" si="134"/>
        <v>DZ6ACA_14|REX</v>
      </c>
    </row>
    <row r="8634" spans="1:5" x14ac:dyDescent="0.2">
      <c r="A8634" t="s">
        <v>1478</v>
      </c>
      <c r="B8634" t="s">
        <v>1477</v>
      </c>
      <c r="C8634" t="s">
        <v>448</v>
      </c>
      <c r="D8634" t="e">
        <f>VLOOKUP(C8634,'lookup table'!$A$2:$B$19,2,FALSE)</f>
        <v>#N/A</v>
      </c>
      <c r="E8634" t="str">
        <f t="shared" si="134"/>
        <v/>
      </c>
    </row>
    <row r="8635" spans="1:5" x14ac:dyDescent="0.2">
      <c r="A8635" t="s">
        <v>1478</v>
      </c>
      <c r="B8635" t="s">
        <v>1477</v>
      </c>
      <c r="C8635" t="s">
        <v>449</v>
      </c>
      <c r="D8635" t="e">
        <f>VLOOKUP(C8635,'lookup table'!$A$2:$B$19,2,FALSE)</f>
        <v>#N/A</v>
      </c>
      <c r="E8635" t="str">
        <f t="shared" si="134"/>
        <v/>
      </c>
    </row>
    <row r="8636" spans="1:5" x14ac:dyDescent="0.2">
      <c r="A8636" t="s">
        <v>1478</v>
      </c>
      <c r="B8636" t="s">
        <v>1477</v>
      </c>
      <c r="C8636" t="s">
        <v>451</v>
      </c>
      <c r="D8636" t="str">
        <f>VLOOKUP(C8636,'lookup table'!$A$2:$B$19,2,FALSE)</f>
        <v>Segment</v>
      </c>
      <c r="E8636" t="str">
        <f t="shared" si="134"/>
        <v>DZ6ACA_14|Segment</v>
      </c>
    </row>
    <row r="8637" spans="1:5" x14ac:dyDescent="0.2">
      <c r="A8637" t="s">
        <v>1478</v>
      </c>
      <c r="B8637" t="s">
        <v>1477</v>
      </c>
      <c r="C8637" t="s">
        <v>455</v>
      </c>
      <c r="D8637" t="e">
        <f>VLOOKUP(C8637,'lookup table'!$A$2:$B$19,2,FALSE)</f>
        <v>#N/A</v>
      </c>
      <c r="E8637" t="str">
        <f t="shared" si="134"/>
        <v/>
      </c>
    </row>
    <row r="8638" spans="1:5" x14ac:dyDescent="0.2">
      <c r="A8638" t="s">
        <v>1478</v>
      </c>
      <c r="B8638" t="s">
        <v>1477</v>
      </c>
      <c r="C8638" t="s">
        <v>456</v>
      </c>
      <c r="D8638" t="e">
        <f>VLOOKUP(C8638,'lookup table'!$A$2:$B$19,2,FALSE)</f>
        <v>#N/A</v>
      </c>
      <c r="E8638" t="str">
        <f t="shared" si="134"/>
        <v/>
      </c>
    </row>
    <row r="8639" spans="1:5" x14ac:dyDescent="0.2">
      <c r="A8639" t="s">
        <v>1478</v>
      </c>
      <c r="B8639" t="s">
        <v>1477</v>
      </c>
      <c r="C8639" t="s">
        <v>457</v>
      </c>
      <c r="D8639" t="str">
        <f>VLOOKUP(C8639,'lookup table'!$A$2:$B$19,2,FALSE)</f>
        <v>VLT</v>
      </c>
      <c r="E8639" t="str">
        <f t="shared" si="134"/>
        <v>DZ6ACA_14|VLT</v>
      </c>
    </row>
    <row r="8640" spans="1:5" x14ac:dyDescent="0.2">
      <c r="A8640" t="s">
        <v>1478</v>
      </c>
      <c r="B8640" t="s">
        <v>1477</v>
      </c>
      <c r="C8640" t="s">
        <v>458</v>
      </c>
      <c r="D8640" t="str">
        <f>VLOOKUP(C8640,'lookup table'!$A$2:$B$19,2,FALSE)</f>
        <v>VAR</v>
      </c>
      <c r="E8640" t="str">
        <f t="shared" si="134"/>
        <v>DZ6ACA_14|VAR</v>
      </c>
    </row>
    <row r="8641" spans="1:5" x14ac:dyDescent="0.2">
      <c r="A8641" t="s">
        <v>1478</v>
      </c>
      <c r="B8641" t="s">
        <v>1477</v>
      </c>
      <c r="C8641" t="s">
        <v>459</v>
      </c>
      <c r="D8641" t="e">
        <f>VLOOKUP(C8641,'lookup table'!$A$2:$B$19,2,FALSE)</f>
        <v>#N/A</v>
      </c>
      <c r="E8641" t="str">
        <f t="shared" si="134"/>
        <v/>
      </c>
    </row>
    <row r="8642" spans="1:5" x14ac:dyDescent="0.2">
      <c r="A8642" t="s">
        <v>1478</v>
      </c>
      <c r="B8642" t="s">
        <v>1477</v>
      </c>
      <c r="C8642" t="s">
        <v>460</v>
      </c>
      <c r="D8642" t="e">
        <f>VLOOKUP(C8642,'lookup table'!$A$2:$B$19,2,FALSE)</f>
        <v>#N/A</v>
      </c>
      <c r="E8642" t="str">
        <f t="shared" si="134"/>
        <v/>
      </c>
    </row>
    <row r="8643" spans="1:5" x14ac:dyDescent="0.2">
      <c r="A8643" t="s">
        <v>1478</v>
      </c>
      <c r="B8643" t="s">
        <v>1477</v>
      </c>
      <c r="C8643" t="s">
        <v>461</v>
      </c>
      <c r="D8643" t="str">
        <f>VLOOKUP(C8643,'lookup table'!$A$2:$B$19,2,FALSE)</f>
        <v>Posting Level</v>
      </c>
      <c r="E8643" t="str">
        <f t="shared" ref="E8643:E8706" si="135">IF(ISNA(D8643),"",IF(A8643="","",A8643) &amp; "|" &amp; D8643)</f>
        <v>DZ6ACA_14|Posting Level</v>
      </c>
    </row>
    <row r="8644" spans="1:5" x14ac:dyDescent="0.2">
      <c r="A8644" t="s">
        <v>1478</v>
      </c>
      <c r="B8644" t="s">
        <v>1477</v>
      </c>
      <c r="C8644" t="s">
        <v>462</v>
      </c>
      <c r="D8644" t="e">
        <f>VLOOKUP(C8644,'lookup table'!$A$2:$B$19,2,FALSE)</f>
        <v>#N/A</v>
      </c>
      <c r="E8644" t="str">
        <f t="shared" si="135"/>
        <v/>
      </c>
    </row>
    <row r="8645" spans="1:5" x14ac:dyDescent="0.2">
      <c r="A8645" t="s">
        <v>1478</v>
      </c>
      <c r="B8645" t="s">
        <v>1477</v>
      </c>
      <c r="C8645" t="s">
        <v>463</v>
      </c>
      <c r="D8645" t="e">
        <f>VLOOKUP(C8645,'lookup table'!$A$2:$B$19,2,FALSE)</f>
        <v>#N/A</v>
      </c>
      <c r="E8645" t="str">
        <f t="shared" si="135"/>
        <v/>
      </c>
    </row>
    <row r="8646" spans="1:5" x14ac:dyDescent="0.2">
      <c r="A8646" t="s">
        <v>1478</v>
      </c>
      <c r="B8646" t="s">
        <v>1477</v>
      </c>
      <c r="C8646" t="s">
        <v>464</v>
      </c>
      <c r="D8646" t="e">
        <f>VLOOKUP(C8646,'lookup table'!$A$2:$B$19,2,FALSE)</f>
        <v>#N/A</v>
      </c>
      <c r="E8646" t="str">
        <f t="shared" si="135"/>
        <v/>
      </c>
    </row>
    <row r="8647" spans="1:5" x14ac:dyDescent="0.2">
      <c r="A8647" t="s">
        <v>1478</v>
      </c>
      <c r="B8647" t="s">
        <v>1477</v>
      </c>
      <c r="C8647" t="s">
        <v>465</v>
      </c>
      <c r="D8647" t="e">
        <f>VLOOKUP(C8647,'lookup table'!$A$2:$B$19,2,FALSE)</f>
        <v>#N/A</v>
      </c>
      <c r="E8647" t="str">
        <f t="shared" si="135"/>
        <v/>
      </c>
    </row>
    <row r="8648" spans="1:5" x14ac:dyDescent="0.2">
      <c r="A8648" t="s">
        <v>1479</v>
      </c>
      <c r="B8648" t="s">
        <v>1480</v>
      </c>
      <c r="C8648" t="s">
        <v>2</v>
      </c>
      <c r="D8648" t="e">
        <f>VLOOKUP(C8648,'lookup table'!$A$2:$B$19,2,FALSE)</f>
        <v>#N/A</v>
      </c>
      <c r="E8648" t="str">
        <f t="shared" si="135"/>
        <v/>
      </c>
    </row>
    <row r="8649" spans="1:5" x14ac:dyDescent="0.2">
      <c r="A8649" t="s">
        <v>1479</v>
      </c>
      <c r="B8649" t="s">
        <v>1480</v>
      </c>
      <c r="C8649" t="s">
        <v>5</v>
      </c>
      <c r="D8649" t="e">
        <f>VLOOKUP(C8649,'lookup table'!$A$2:$B$19,2,FALSE)</f>
        <v>#N/A</v>
      </c>
      <c r="E8649" t="str">
        <f t="shared" si="135"/>
        <v/>
      </c>
    </row>
    <row r="8650" spans="1:5" x14ac:dyDescent="0.2">
      <c r="A8650" t="s">
        <v>1479</v>
      </c>
      <c r="B8650" t="s">
        <v>1480</v>
      </c>
      <c r="C8650" t="s">
        <v>6</v>
      </c>
      <c r="D8650" t="e">
        <f>VLOOKUP(C8650,'lookup table'!$A$2:$B$19,2,FALSE)</f>
        <v>#N/A</v>
      </c>
      <c r="E8650" t="str">
        <f t="shared" si="135"/>
        <v/>
      </c>
    </row>
    <row r="8651" spans="1:5" x14ac:dyDescent="0.2">
      <c r="A8651" t="s">
        <v>1479</v>
      </c>
      <c r="B8651" t="s">
        <v>1480</v>
      </c>
      <c r="C8651" t="s">
        <v>9</v>
      </c>
      <c r="D8651" t="e">
        <f>VLOOKUP(C8651,'lookup table'!$A$2:$B$19,2,FALSE)</f>
        <v>#N/A</v>
      </c>
      <c r="E8651" t="str">
        <f t="shared" si="135"/>
        <v/>
      </c>
    </row>
    <row r="8652" spans="1:5" x14ac:dyDescent="0.2">
      <c r="A8652" t="s">
        <v>1479</v>
      </c>
      <c r="B8652" t="s">
        <v>1480</v>
      </c>
      <c r="C8652" t="s">
        <v>10</v>
      </c>
      <c r="D8652" t="e">
        <f>VLOOKUP(C8652,'lookup table'!$A$2:$B$19,2,FALSE)</f>
        <v>#N/A</v>
      </c>
      <c r="E8652" t="str">
        <f t="shared" si="135"/>
        <v/>
      </c>
    </row>
    <row r="8653" spans="1:5" x14ac:dyDescent="0.2">
      <c r="A8653" t="s">
        <v>1479</v>
      </c>
      <c r="B8653" t="s">
        <v>1480</v>
      </c>
      <c r="C8653" t="s">
        <v>11</v>
      </c>
      <c r="D8653" t="e">
        <f>VLOOKUP(C8653,'lookup table'!$A$2:$B$19,2,FALSE)</f>
        <v>#N/A</v>
      </c>
      <c r="E8653" t="str">
        <f t="shared" si="135"/>
        <v/>
      </c>
    </row>
    <row r="8654" spans="1:5" x14ac:dyDescent="0.2">
      <c r="A8654" t="s">
        <v>1479</v>
      </c>
      <c r="B8654" t="s">
        <v>1480</v>
      </c>
      <c r="C8654" t="s">
        <v>12</v>
      </c>
      <c r="D8654" t="e">
        <f>VLOOKUP(C8654,'lookup table'!$A$2:$B$19,2,FALSE)</f>
        <v>#N/A</v>
      </c>
      <c r="E8654" t="str">
        <f t="shared" si="135"/>
        <v/>
      </c>
    </row>
    <row r="8655" spans="1:5" x14ac:dyDescent="0.2">
      <c r="A8655" t="s">
        <v>1479</v>
      </c>
      <c r="B8655" t="s">
        <v>1480</v>
      </c>
      <c r="C8655" t="s">
        <v>14</v>
      </c>
      <c r="D8655" t="str">
        <f>VLOOKUP(C8655,'lookup table'!$A$2:$B$19,2,FALSE)</f>
        <v>ALC</v>
      </c>
      <c r="E8655" t="str">
        <f t="shared" si="135"/>
        <v>DZ6ACY_00|ALC</v>
      </c>
    </row>
    <row r="8656" spans="1:5" x14ac:dyDescent="0.2">
      <c r="A8656" t="s">
        <v>1479</v>
      </c>
      <c r="B8656" t="s">
        <v>1480</v>
      </c>
      <c r="C8656" t="s">
        <v>20</v>
      </c>
      <c r="D8656" t="str">
        <f>VLOOKUP(C8656,'lookup table'!$A$2:$B$19,2,FALSE)</f>
        <v>AY</v>
      </c>
      <c r="E8656" t="str">
        <f t="shared" si="135"/>
        <v>DZ6ACY_00|AY</v>
      </c>
    </row>
    <row r="8657" spans="1:5" x14ac:dyDescent="0.2">
      <c r="A8657" t="s">
        <v>1479</v>
      </c>
      <c r="B8657" t="s">
        <v>1480</v>
      </c>
      <c r="C8657" t="s">
        <v>136</v>
      </c>
      <c r="D8657" t="str">
        <f>VLOOKUP(C8657,'lookup table'!$A$2:$B$19,2,FALSE)</f>
        <v>BBA Set</v>
      </c>
      <c r="E8657" t="str">
        <f t="shared" si="135"/>
        <v>DZ6ACY_00|BBA Set</v>
      </c>
    </row>
    <row r="8658" spans="1:5" x14ac:dyDescent="0.2">
      <c r="A8658" t="s">
        <v>1479</v>
      </c>
      <c r="B8658" t="s">
        <v>1480</v>
      </c>
      <c r="C8658" t="s">
        <v>324</v>
      </c>
      <c r="D8658" t="e">
        <f>VLOOKUP(C8658,'lookup table'!$A$2:$B$19,2,FALSE)</f>
        <v>#N/A</v>
      </c>
      <c r="E8658" t="str">
        <f t="shared" si="135"/>
        <v/>
      </c>
    </row>
    <row r="8659" spans="1:5" x14ac:dyDescent="0.2">
      <c r="A8659" t="s">
        <v>1479</v>
      </c>
      <c r="B8659" t="s">
        <v>1480</v>
      </c>
      <c r="C8659" t="s">
        <v>325</v>
      </c>
      <c r="D8659" t="e">
        <f>VLOOKUP(C8659,'lookup table'!$A$2:$B$19,2,FALSE)</f>
        <v>#N/A</v>
      </c>
      <c r="E8659" t="str">
        <f t="shared" si="135"/>
        <v/>
      </c>
    </row>
    <row r="8660" spans="1:5" x14ac:dyDescent="0.2">
      <c r="A8660" t="s">
        <v>1479</v>
      </c>
      <c r="B8660" t="s">
        <v>1480</v>
      </c>
      <c r="C8660" t="s">
        <v>326</v>
      </c>
      <c r="D8660" t="e">
        <f>VLOOKUP(C8660,'lookup table'!$A$2:$B$19,2,FALSE)</f>
        <v>#N/A</v>
      </c>
      <c r="E8660" t="str">
        <f t="shared" si="135"/>
        <v/>
      </c>
    </row>
    <row r="8661" spans="1:5" x14ac:dyDescent="0.2">
      <c r="A8661" t="s">
        <v>1479</v>
      </c>
      <c r="B8661" t="s">
        <v>1480</v>
      </c>
      <c r="C8661" t="s">
        <v>327</v>
      </c>
      <c r="D8661" t="e">
        <f>VLOOKUP(C8661,'lookup table'!$A$2:$B$19,2,FALSE)</f>
        <v>#N/A</v>
      </c>
      <c r="E8661" t="str">
        <f t="shared" si="135"/>
        <v/>
      </c>
    </row>
    <row r="8662" spans="1:5" x14ac:dyDescent="0.2">
      <c r="A8662" t="s">
        <v>1479</v>
      </c>
      <c r="B8662" t="s">
        <v>1480</v>
      </c>
      <c r="C8662" t="s">
        <v>328</v>
      </c>
      <c r="D8662" t="e">
        <f>VLOOKUP(C8662,'lookup table'!$A$2:$B$19,2,FALSE)</f>
        <v>#N/A</v>
      </c>
      <c r="E8662" t="str">
        <f t="shared" si="135"/>
        <v/>
      </c>
    </row>
    <row r="8663" spans="1:5" x14ac:dyDescent="0.2">
      <c r="A8663" t="s">
        <v>1479</v>
      </c>
      <c r="B8663" t="s">
        <v>1480</v>
      </c>
      <c r="C8663" t="s">
        <v>329</v>
      </c>
      <c r="D8663" t="e">
        <f>VLOOKUP(C8663,'lookup table'!$A$2:$B$19,2,FALSE)</f>
        <v>#N/A</v>
      </c>
      <c r="E8663" t="str">
        <f t="shared" si="135"/>
        <v/>
      </c>
    </row>
    <row r="8664" spans="1:5" x14ac:dyDescent="0.2">
      <c r="A8664" t="s">
        <v>1479</v>
      </c>
      <c r="B8664" t="s">
        <v>1480</v>
      </c>
      <c r="C8664" t="s">
        <v>331</v>
      </c>
      <c r="D8664" t="str">
        <f>VLOOKUP(C8664,'lookup table'!$A$2:$B$19,2,FALSE)</f>
        <v>FS Item</v>
      </c>
      <c r="E8664" t="str">
        <f t="shared" si="135"/>
        <v>DZ6ACY_00|FS Item</v>
      </c>
    </row>
    <row r="8665" spans="1:5" x14ac:dyDescent="0.2">
      <c r="A8665" t="s">
        <v>1479</v>
      </c>
      <c r="B8665" t="s">
        <v>1480</v>
      </c>
      <c r="C8665" t="s">
        <v>422</v>
      </c>
      <c r="D8665" t="e">
        <f>VLOOKUP(C8665,'lookup table'!$A$2:$B$19,2,FALSE)</f>
        <v>#N/A</v>
      </c>
      <c r="E8665" t="str">
        <f t="shared" si="135"/>
        <v/>
      </c>
    </row>
    <row r="8666" spans="1:5" x14ac:dyDescent="0.2">
      <c r="A8666" t="s">
        <v>1479</v>
      </c>
      <c r="B8666" t="s">
        <v>1480</v>
      </c>
      <c r="C8666" t="s">
        <v>423</v>
      </c>
      <c r="D8666" t="str">
        <f>VLOOKUP(C8666,'lookup table'!$A$2:$B$19,2,FALSE)</f>
        <v>ignore</v>
      </c>
      <c r="E8666" t="str">
        <f t="shared" si="135"/>
        <v>DZ6ACY_00|ignore</v>
      </c>
    </row>
    <row r="8667" spans="1:5" x14ac:dyDescent="0.2">
      <c r="A8667" t="s">
        <v>1479</v>
      </c>
      <c r="B8667" t="s">
        <v>1480</v>
      </c>
      <c r="C8667" t="s">
        <v>424</v>
      </c>
      <c r="D8667" t="str">
        <f>VLOOKUP(C8667,'lookup table'!$A$2:$B$19,2,FALSE)</f>
        <v>GRC</v>
      </c>
      <c r="E8667" t="str">
        <f t="shared" si="135"/>
        <v>DZ6ACY_00|GRC</v>
      </c>
    </row>
    <row r="8668" spans="1:5" x14ac:dyDescent="0.2">
      <c r="A8668" t="s">
        <v>1479</v>
      </c>
      <c r="B8668" t="s">
        <v>1480</v>
      </c>
      <c r="C8668" t="s">
        <v>425</v>
      </c>
      <c r="D8668" t="str">
        <f>VLOOKUP(C8668,'lookup table'!$A$2:$B$19,2,FALSE)</f>
        <v>Investee Segment</v>
      </c>
      <c r="E8668" t="str">
        <f t="shared" si="135"/>
        <v>DZ6ACY_00|Investee Segment</v>
      </c>
    </row>
    <row r="8669" spans="1:5" x14ac:dyDescent="0.2">
      <c r="A8669" t="s">
        <v>1479</v>
      </c>
      <c r="B8669" t="s">
        <v>1480</v>
      </c>
      <c r="C8669" t="s">
        <v>426</v>
      </c>
      <c r="D8669" t="str">
        <f>VLOOKUP(C8669,'lookup table'!$A$2:$B$19,2,FALSE)</f>
        <v>Investee Unit</v>
      </c>
      <c r="E8669" t="str">
        <f t="shared" si="135"/>
        <v>DZ6ACY_00|Investee Unit</v>
      </c>
    </row>
    <row r="8670" spans="1:5" x14ac:dyDescent="0.2">
      <c r="A8670" t="s">
        <v>1479</v>
      </c>
      <c r="B8670" t="s">
        <v>1480</v>
      </c>
      <c r="C8670" t="s">
        <v>428</v>
      </c>
      <c r="D8670" t="str">
        <f>VLOOKUP(C8670,'lookup table'!$A$2:$B$19,2,FALSE)</f>
        <v>LoB</v>
      </c>
      <c r="E8670" t="str">
        <f t="shared" si="135"/>
        <v>DZ6ACY_00|LoB</v>
      </c>
    </row>
    <row r="8671" spans="1:5" x14ac:dyDescent="0.2">
      <c r="A8671" t="s">
        <v>1479</v>
      </c>
      <c r="B8671" t="s">
        <v>1480</v>
      </c>
      <c r="C8671" t="s">
        <v>436</v>
      </c>
      <c r="D8671" t="str">
        <f>VLOOKUP(C8671,'lookup table'!$A$2:$B$19,2,FALSE)</f>
        <v>MAT</v>
      </c>
      <c r="E8671" t="str">
        <f t="shared" si="135"/>
        <v>DZ6ACY_00|MAT</v>
      </c>
    </row>
    <row r="8672" spans="1:5" x14ac:dyDescent="0.2">
      <c r="A8672" t="s">
        <v>1479</v>
      </c>
      <c r="B8672" t="s">
        <v>1480</v>
      </c>
      <c r="C8672" t="s">
        <v>441</v>
      </c>
      <c r="D8672" t="str">
        <f>VLOOKUP(C8672,'lookup table'!$A$2:$B$19,2,FALSE)</f>
        <v>Partner Segment</v>
      </c>
      <c r="E8672" t="str">
        <f t="shared" si="135"/>
        <v>DZ6ACY_00|Partner Segment</v>
      </c>
    </row>
    <row r="8673" spans="1:5" x14ac:dyDescent="0.2">
      <c r="A8673" t="s">
        <v>1479</v>
      </c>
      <c r="B8673" t="s">
        <v>1480</v>
      </c>
      <c r="C8673" t="s">
        <v>442</v>
      </c>
      <c r="D8673" t="str">
        <f>VLOOKUP(C8673,'lookup table'!$A$2:$B$19,2,FALSE)</f>
        <v>Partner Unit</v>
      </c>
      <c r="E8673" t="str">
        <f t="shared" si="135"/>
        <v>DZ6ACY_00|Partner Unit</v>
      </c>
    </row>
    <row r="8674" spans="1:5" x14ac:dyDescent="0.2">
      <c r="A8674" t="s">
        <v>1479</v>
      </c>
      <c r="B8674" t="s">
        <v>1480</v>
      </c>
      <c r="C8674" t="s">
        <v>447</v>
      </c>
      <c r="D8674" t="str">
        <f>VLOOKUP(C8674,'lookup table'!$A$2:$B$19,2,FALSE)</f>
        <v>REX</v>
      </c>
      <c r="E8674" t="str">
        <f t="shared" si="135"/>
        <v>DZ6ACY_00|REX</v>
      </c>
    </row>
    <row r="8675" spans="1:5" x14ac:dyDescent="0.2">
      <c r="A8675" t="s">
        <v>1479</v>
      </c>
      <c r="B8675" t="s">
        <v>1480</v>
      </c>
      <c r="C8675" t="s">
        <v>448</v>
      </c>
      <c r="D8675" t="e">
        <f>VLOOKUP(C8675,'lookup table'!$A$2:$B$19,2,FALSE)</f>
        <v>#N/A</v>
      </c>
      <c r="E8675" t="str">
        <f t="shared" si="135"/>
        <v/>
      </c>
    </row>
    <row r="8676" spans="1:5" x14ac:dyDescent="0.2">
      <c r="A8676" t="s">
        <v>1479</v>
      </c>
      <c r="B8676" t="s">
        <v>1480</v>
      </c>
      <c r="C8676" t="s">
        <v>449</v>
      </c>
      <c r="D8676" t="e">
        <f>VLOOKUP(C8676,'lookup table'!$A$2:$B$19,2,FALSE)</f>
        <v>#N/A</v>
      </c>
      <c r="E8676" t="str">
        <f t="shared" si="135"/>
        <v/>
      </c>
    </row>
    <row r="8677" spans="1:5" x14ac:dyDescent="0.2">
      <c r="A8677" t="s">
        <v>1479</v>
      </c>
      <c r="B8677" t="s">
        <v>1480</v>
      </c>
      <c r="C8677" t="s">
        <v>451</v>
      </c>
      <c r="D8677" t="str">
        <f>VLOOKUP(C8677,'lookup table'!$A$2:$B$19,2,FALSE)</f>
        <v>Segment</v>
      </c>
      <c r="E8677" t="str">
        <f t="shared" si="135"/>
        <v>DZ6ACY_00|Segment</v>
      </c>
    </row>
    <row r="8678" spans="1:5" x14ac:dyDescent="0.2">
      <c r="A8678" t="s">
        <v>1479</v>
      </c>
      <c r="B8678" t="s">
        <v>1480</v>
      </c>
      <c r="C8678" t="s">
        <v>455</v>
      </c>
      <c r="D8678" t="e">
        <f>VLOOKUP(C8678,'lookup table'!$A$2:$B$19,2,FALSE)</f>
        <v>#N/A</v>
      </c>
      <c r="E8678" t="str">
        <f t="shared" si="135"/>
        <v/>
      </c>
    </row>
    <row r="8679" spans="1:5" x14ac:dyDescent="0.2">
      <c r="A8679" t="s">
        <v>1479</v>
      </c>
      <c r="B8679" t="s">
        <v>1480</v>
      </c>
      <c r="C8679" t="s">
        <v>456</v>
      </c>
      <c r="D8679" t="e">
        <f>VLOOKUP(C8679,'lookup table'!$A$2:$B$19,2,FALSE)</f>
        <v>#N/A</v>
      </c>
      <c r="E8679" t="str">
        <f t="shared" si="135"/>
        <v/>
      </c>
    </row>
    <row r="8680" spans="1:5" x14ac:dyDescent="0.2">
      <c r="A8680" t="s">
        <v>1479</v>
      </c>
      <c r="B8680" t="s">
        <v>1480</v>
      </c>
      <c r="C8680" t="s">
        <v>457</v>
      </c>
      <c r="D8680" t="str">
        <f>VLOOKUP(C8680,'lookup table'!$A$2:$B$19,2,FALSE)</f>
        <v>VLT</v>
      </c>
      <c r="E8680" t="str">
        <f t="shared" si="135"/>
        <v>DZ6ACY_00|VLT</v>
      </c>
    </row>
    <row r="8681" spans="1:5" x14ac:dyDescent="0.2">
      <c r="A8681" t="s">
        <v>1479</v>
      </c>
      <c r="B8681" t="s">
        <v>1480</v>
      </c>
      <c r="C8681" t="s">
        <v>458</v>
      </c>
      <c r="D8681" t="str">
        <f>VLOOKUP(C8681,'lookup table'!$A$2:$B$19,2,FALSE)</f>
        <v>VAR</v>
      </c>
      <c r="E8681" t="str">
        <f t="shared" si="135"/>
        <v>DZ6ACY_00|VAR</v>
      </c>
    </row>
    <row r="8682" spans="1:5" x14ac:dyDescent="0.2">
      <c r="A8682" t="s">
        <v>1479</v>
      </c>
      <c r="B8682" t="s">
        <v>1480</v>
      </c>
      <c r="C8682" t="s">
        <v>459</v>
      </c>
      <c r="D8682" t="e">
        <f>VLOOKUP(C8682,'lookup table'!$A$2:$B$19,2,FALSE)</f>
        <v>#N/A</v>
      </c>
      <c r="E8682" t="str">
        <f t="shared" si="135"/>
        <v/>
      </c>
    </row>
    <row r="8683" spans="1:5" x14ac:dyDescent="0.2">
      <c r="A8683" t="s">
        <v>1479</v>
      </c>
      <c r="B8683" t="s">
        <v>1480</v>
      </c>
      <c r="C8683" t="s">
        <v>460</v>
      </c>
      <c r="D8683" t="e">
        <f>VLOOKUP(C8683,'lookup table'!$A$2:$B$19,2,FALSE)</f>
        <v>#N/A</v>
      </c>
      <c r="E8683" t="str">
        <f t="shared" si="135"/>
        <v/>
      </c>
    </row>
    <row r="8684" spans="1:5" x14ac:dyDescent="0.2">
      <c r="A8684" t="s">
        <v>1479</v>
      </c>
      <c r="B8684" t="s">
        <v>1480</v>
      </c>
      <c r="C8684" t="s">
        <v>461</v>
      </c>
      <c r="D8684" t="str">
        <f>VLOOKUP(C8684,'lookup table'!$A$2:$B$19,2,FALSE)</f>
        <v>Posting Level</v>
      </c>
      <c r="E8684" t="str">
        <f t="shared" si="135"/>
        <v>DZ6ACY_00|Posting Level</v>
      </c>
    </row>
    <row r="8685" spans="1:5" x14ac:dyDescent="0.2">
      <c r="A8685" t="s">
        <v>1479</v>
      </c>
      <c r="B8685" t="s">
        <v>1480</v>
      </c>
      <c r="C8685" t="s">
        <v>462</v>
      </c>
      <c r="D8685" t="e">
        <f>VLOOKUP(C8685,'lookup table'!$A$2:$B$19,2,FALSE)</f>
        <v>#N/A</v>
      </c>
      <c r="E8685" t="str">
        <f t="shared" si="135"/>
        <v/>
      </c>
    </row>
    <row r="8686" spans="1:5" x14ac:dyDescent="0.2">
      <c r="A8686" t="s">
        <v>1479</v>
      </c>
      <c r="B8686" t="s">
        <v>1480</v>
      </c>
      <c r="C8686" t="s">
        <v>463</v>
      </c>
      <c r="D8686" t="e">
        <f>VLOOKUP(C8686,'lookup table'!$A$2:$B$19,2,FALSE)</f>
        <v>#N/A</v>
      </c>
      <c r="E8686" t="str">
        <f t="shared" si="135"/>
        <v/>
      </c>
    </row>
    <row r="8687" spans="1:5" x14ac:dyDescent="0.2">
      <c r="A8687" t="s">
        <v>1479</v>
      </c>
      <c r="B8687" t="s">
        <v>1480</v>
      </c>
      <c r="C8687" t="s">
        <v>464</v>
      </c>
      <c r="D8687" t="e">
        <f>VLOOKUP(C8687,'lookup table'!$A$2:$B$19,2,FALSE)</f>
        <v>#N/A</v>
      </c>
      <c r="E8687" t="str">
        <f t="shared" si="135"/>
        <v/>
      </c>
    </row>
    <row r="8688" spans="1:5" x14ac:dyDescent="0.2">
      <c r="A8688" t="s">
        <v>1479</v>
      </c>
      <c r="B8688" t="s">
        <v>1480</v>
      </c>
      <c r="C8688" t="s">
        <v>465</v>
      </c>
      <c r="D8688" t="e">
        <f>VLOOKUP(C8688,'lookup table'!$A$2:$B$19,2,FALSE)</f>
        <v>#N/A</v>
      </c>
      <c r="E8688" t="str">
        <f t="shared" si="135"/>
        <v/>
      </c>
    </row>
    <row r="8689" spans="1:5" x14ac:dyDescent="0.2">
      <c r="A8689" t="s">
        <v>1481</v>
      </c>
      <c r="B8689" t="s">
        <v>1480</v>
      </c>
      <c r="C8689" t="s">
        <v>2</v>
      </c>
      <c r="D8689" t="e">
        <f>VLOOKUP(C8689,'lookup table'!$A$2:$B$19,2,FALSE)</f>
        <v>#N/A</v>
      </c>
      <c r="E8689" t="str">
        <f t="shared" si="135"/>
        <v/>
      </c>
    </row>
    <row r="8690" spans="1:5" x14ac:dyDescent="0.2">
      <c r="A8690" t="s">
        <v>1481</v>
      </c>
      <c r="B8690" t="s">
        <v>1480</v>
      </c>
      <c r="C8690" t="s">
        <v>5</v>
      </c>
      <c r="D8690" t="e">
        <f>VLOOKUP(C8690,'lookup table'!$A$2:$B$19,2,FALSE)</f>
        <v>#N/A</v>
      </c>
      <c r="E8690" t="str">
        <f t="shared" si="135"/>
        <v/>
      </c>
    </row>
    <row r="8691" spans="1:5" x14ac:dyDescent="0.2">
      <c r="A8691" t="s">
        <v>1481</v>
      </c>
      <c r="B8691" t="s">
        <v>1480</v>
      </c>
      <c r="C8691" t="s">
        <v>6</v>
      </c>
      <c r="D8691" t="e">
        <f>VLOOKUP(C8691,'lookup table'!$A$2:$B$19,2,FALSE)</f>
        <v>#N/A</v>
      </c>
      <c r="E8691" t="str">
        <f t="shared" si="135"/>
        <v/>
      </c>
    </row>
    <row r="8692" spans="1:5" x14ac:dyDescent="0.2">
      <c r="A8692" t="s">
        <v>1481</v>
      </c>
      <c r="B8692" t="s">
        <v>1480</v>
      </c>
      <c r="C8692" t="s">
        <v>9</v>
      </c>
      <c r="D8692" t="e">
        <f>VLOOKUP(C8692,'lookup table'!$A$2:$B$19,2,FALSE)</f>
        <v>#N/A</v>
      </c>
      <c r="E8692" t="str">
        <f t="shared" si="135"/>
        <v/>
      </c>
    </row>
    <row r="8693" spans="1:5" x14ac:dyDescent="0.2">
      <c r="A8693" t="s">
        <v>1481</v>
      </c>
      <c r="B8693" t="s">
        <v>1480</v>
      </c>
      <c r="C8693" t="s">
        <v>10</v>
      </c>
      <c r="D8693" t="e">
        <f>VLOOKUP(C8693,'lookup table'!$A$2:$B$19,2,FALSE)</f>
        <v>#N/A</v>
      </c>
      <c r="E8693" t="str">
        <f t="shared" si="135"/>
        <v/>
      </c>
    </row>
    <row r="8694" spans="1:5" x14ac:dyDescent="0.2">
      <c r="A8694" t="s">
        <v>1481</v>
      </c>
      <c r="B8694" t="s">
        <v>1480</v>
      </c>
      <c r="C8694" t="s">
        <v>11</v>
      </c>
      <c r="D8694" t="e">
        <f>VLOOKUP(C8694,'lookup table'!$A$2:$B$19,2,FALSE)</f>
        <v>#N/A</v>
      </c>
      <c r="E8694" t="str">
        <f t="shared" si="135"/>
        <v/>
      </c>
    </row>
    <row r="8695" spans="1:5" x14ac:dyDescent="0.2">
      <c r="A8695" t="s">
        <v>1481</v>
      </c>
      <c r="B8695" t="s">
        <v>1480</v>
      </c>
      <c r="C8695" t="s">
        <v>12</v>
      </c>
      <c r="D8695" t="e">
        <f>VLOOKUP(C8695,'lookup table'!$A$2:$B$19,2,FALSE)</f>
        <v>#N/A</v>
      </c>
      <c r="E8695" t="str">
        <f t="shared" si="135"/>
        <v/>
      </c>
    </row>
    <row r="8696" spans="1:5" x14ac:dyDescent="0.2">
      <c r="A8696" t="s">
        <v>1481</v>
      </c>
      <c r="B8696" t="s">
        <v>1480</v>
      </c>
      <c r="C8696" t="s">
        <v>14</v>
      </c>
      <c r="D8696" t="str">
        <f>VLOOKUP(C8696,'lookup table'!$A$2:$B$19,2,FALSE)</f>
        <v>ALC</v>
      </c>
      <c r="E8696" t="str">
        <f t="shared" si="135"/>
        <v>DZ6ACY_14|ALC</v>
      </c>
    </row>
    <row r="8697" spans="1:5" x14ac:dyDescent="0.2">
      <c r="A8697" t="s">
        <v>1481</v>
      </c>
      <c r="B8697" t="s">
        <v>1480</v>
      </c>
      <c r="C8697" t="s">
        <v>20</v>
      </c>
      <c r="D8697" t="str">
        <f>VLOOKUP(C8697,'lookup table'!$A$2:$B$19,2,FALSE)</f>
        <v>AY</v>
      </c>
      <c r="E8697" t="str">
        <f t="shared" si="135"/>
        <v>DZ6ACY_14|AY</v>
      </c>
    </row>
    <row r="8698" spans="1:5" x14ac:dyDescent="0.2">
      <c r="A8698" t="s">
        <v>1481</v>
      </c>
      <c r="B8698" t="s">
        <v>1480</v>
      </c>
      <c r="C8698" t="s">
        <v>136</v>
      </c>
      <c r="D8698" t="str">
        <f>VLOOKUP(C8698,'lookup table'!$A$2:$B$19,2,FALSE)</f>
        <v>BBA Set</v>
      </c>
      <c r="E8698" t="str">
        <f t="shared" si="135"/>
        <v>DZ6ACY_14|BBA Set</v>
      </c>
    </row>
    <row r="8699" spans="1:5" x14ac:dyDescent="0.2">
      <c r="A8699" t="s">
        <v>1481</v>
      </c>
      <c r="B8699" t="s">
        <v>1480</v>
      </c>
      <c r="C8699" t="s">
        <v>324</v>
      </c>
      <c r="D8699" t="e">
        <f>VLOOKUP(C8699,'lookup table'!$A$2:$B$19,2,FALSE)</f>
        <v>#N/A</v>
      </c>
      <c r="E8699" t="str">
        <f t="shared" si="135"/>
        <v/>
      </c>
    </row>
    <row r="8700" spans="1:5" x14ac:dyDescent="0.2">
      <c r="A8700" t="s">
        <v>1481</v>
      </c>
      <c r="B8700" t="s">
        <v>1480</v>
      </c>
      <c r="C8700" t="s">
        <v>325</v>
      </c>
      <c r="D8700" t="e">
        <f>VLOOKUP(C8700,'lookup table'!$A$2:$B$19,2,FALSE)</f>
        <v>#N/A</v>
      </c>
      <c r="E8700" t="str">
        <f t="shared" si="135"/>
        <v/>
      </c>
    </row>
    <row r="8701" spans="1:5" x14ac:dyDescent="0.2">
      <c r="A8701" t="s">
        <v>1481</v>
      </c>
      <c r="B8701" t="s">
        <v>1480</v>
      </c>
      <c r="C8701" t="s">
        <v>326</v>
      </c>
      <c r="D8701" t="e">
        <f>VLOOKUP(C8701,'lookup table'!$A$2:$B$19,2,FALSE)</f>
        <v>#N/A</v>
      </c>
      <c r="E8701" t="str">
        <f t="shared" si="135"/>
        <v/>
      </c>
    </row>
    <row r="8702" spans="1:5" x14ac:dyDescent="0.2">
      <c r="A8702" t="s">
        <v>1481</v>
      </c>
      <c r="B8702" t="s">
        <v>1480</v>
      </c>
      <c r="C8702" t="s">
        <v>327</v>
      </c>
      <c r="D8702" t="e">
        <f>VLOOKUP(C8702,'lookup table'!$A$2:$B$19,2,FALSE)</f>
        <v>#N/A</v>
      </c>
      <c r="E8702" t="str">
        <f t="shared" si="135"/>
        <v/>
      </c>
    </row>
    <row r="8703" spans="1:5" x14ac:dyDescent="0.2">
      <c r="A8703" t="s">
        <v>1481</v>
      </c>
      <c r="B8703" t="s">
        <v>1480</v>
      </c>
      <c r="C8703" t="s">
        <v>328</v>
      </c>
      <c r="D8703" t="e">
        <f>VLOOKUP(C8703,'lookup table'!$A$2:$B$19,2,FALSE)</f>
        <v>#N/A</v>
      </c>
      <c r="E8703" t="str">
        <f t="shared" si="135"/>
        <v/>
      </c>
    </row>
    <row r="8704" spans="1:5" x14ac:dyDescent="0.2">
      <c r="A8704" t="s">
        <v>1481</v>
      </c>
      <c r="B8704" t="s">
        <v>1480</v>
      </c>
      <c r="C8704" t="s">
        <v>329</v>
      </c>
      <c r="D8704" t="e">
        <f>VLOOKUP(C8704,'lookup table'!$A$2:$B$19,2,FALSE)</f>
        <v>#N/A</v>
      </c>
      <c r="E8704" t="str">
        <f t="shared" si="135"/>
        <v/>
      </c>
    </row>
    <row r="8705" spans="1:5" x14ac:dyDescent="0.2">
      <c r="A8705" t="s">
        <v>1481</v>
      </c>
      <c r="B8705" t="s">
        <v>1480</v>
      </c>
      <c r="C8705" t="s">
        <v>331</v>
      </c>
      <c r="D8705" t="str">
        <f>VLOOKUP(C8705,'lookup table'!$A$2:$B$19,2,FALSE)</f>
        <v>FS Item</v>
      </c>
      <c r="E8705" t="str">
        <f t="shared" si="135"/>
        <v>DZ6ACY_14|FS Item</v>
      </c>
    </row>
    <row r="8706" spans="1:5" x14ac:dyDescent="0.2">
      <c r="A8706" t="s">
        <v>1481</v>
      </c>
      <c r="B8706" t="s">
        <v>1480</v>
      </c>
      <c r="C8706" t="s">
        <v>422</v>
      </c>
      <c r="D8706" t="e">
        <f>VLOOKUP(C8706,'lookup table'!$A$2:$B$19,2,FALSE)</f>
        <v>#N/A</v>
      </c>
      <c r="E8706" t="str">
        <f t="shared" si="135"/>
        <v/>
      </c>
    </row>
    <row r="8707" spans="1:5" x14ac:dyDescent="0.2">
      <c r="A8707" t="s">
        <v>1481</v>
      </c>
      <c r="B8707" t="s">
        <v>1480</v>
      </c>
      <c r="C8707" t="s">
        <v>423</v>
      </c>
      <c r="D8707" t="str">
        <f>VLOOKUP(C8707,'lookup table'!$A$2:$B$19,2,FALSE)</f>
        <v>ignore</v>
      </c>
      <c r="E8707" t="str">
        <f t="shared" ref="E8707:E8770" si="136">IF(ISNA(D8707),"",IF(A8707="","",A8707) &amp; "|" &amp; D8707)</f>
        <v>DZ6ACY_14|ignore</v>
      </c>
    </row>
    <row r="8708" spans="1:5" x14ac:dyDescent="0.2">
      <c r="A8708" t="s">
        <v>1481</v>
      </c>
      <c r="B8708" t="s">
        <v>1480</v>
      </c>
      <c r="C8708" t="s">
        <v>424</v>
      </c>
      <c r="D8708" t="str">
        <f>VLOOKUP(C8708,'lookup table'!$A$2:$B$19,2,FALSE)</f>
        <v>GRC</v>
      </c>
      <c r="E8708" t="str">
        <f t="shared" si="136"/>
        <v>DZ6ACY_14|GRC</v>
      </c>
    </row>
    <row r="8709" spans="1:5" x14ac:dyDescent="0.2">
      <c r="A8709" t="s">
        <v>1481</v>
      </c>
      <c r="B8709" t="s">
        <v>1480</v>
      </c>
      <c r="C8709" t="s">
        <v>425</v>
      </c>
      <c r="D8709" t="str">
        <f>VLOOKUP(C8709,'lookup table'!$A$2:$B$19,2,FALSE)</f>
        <v>Investee Segment</v>
      </c>
      <c r="E8709" t="str">
        <f t="shared" si="136"/>
        <v>DZ6ACY_14|Investee Segment</v>
      </c>
    </row>
    <row r="8710" spans="1:5" x14ac:dyDescent="0.2">
      <c r="A8710" t="s">
        <v>1481</v>
      </c>
      <c r="B8710" t="s">
        <v>1480</v>
      </c>
      <c r="C8710" t="s">
        <v>426</v>
      </c>
      <c r="D8710" t="str">
        <f>VLOOKUP(C8710,'lookup table'!$A$2:$B$19,2,FALSE)</f>
        <v>Investee Unit</v>
      </c>
      <c r="E8710" t="str">
        <f t="shared" si="136"/>
        <v>DZ6ACY_14|Investee Unit</v>
      </c>
    </row>
    <row r="8711" spans="1:5" x14ac:dyDescent="0.2">
      <c r="A8711" t="s">
        <v>1481</v>
      </c>
      <c r="B8711" t="s">
        <v>1480</v>
      </c>
      <c r="C8711" t="s">
        <v>428</v>
      </c>
      <c r="D8711" t="str">
        <f>VLOOKUP(C8711,'lookup table'!$A$2:$B$19,2,FALSE)</f>
        <v>LoB</v>
      </c>
      <c r="E8711" t="str">
        <f t="shared" si="136"/>
        <v>DZ6ACY_14|LoB</v>
      </c>
    </row>
    <row r="8712" spans="1:5" x14ac:dyDescent="0.2">
      <c r="A8712" t="s">
        <v>1481</v>
      </c>
      <c r="B8712" t="s">
        <v>1480</v>
      </c>
      <c r="C8712" t="s">
        <v>436</v>
      </c>
      <c r="D8712" t="str">
        <f>VLOOKUP(C8712,'lookup table'!$A$2:$B$19,2,FALSE)</f>
        <v>MAT</v>
      </c>
      <c r="E8712" t="str">
        <f t="shared" si="136"/>
        <v>DZ6ACY_14|MAT</v>
      </c>
    </row>
    <row r="8713" spans="1:5" x14ac:dyDescent="0.2">
      <c r="A8713" t="s">
        <v>1481</v>
      </c>
      <c r="B8713" t="s">
        <v>1480</v>
      </c>
      <c r="C8713" t="s">
        <v>441</v>
      </c>
      <c r="D8713" t="str">
        <f>VLOOKUP(C8713,'lookup table'!$A$2:$B$19,2,FALSE)</f>
        <v>Partner Segment</v>
      </c>
      <c r="E8713" t="str">
        <f t="shared" si="136"/>
        <v>DZ6ACY_14|Partner Segment</v>
      </c>
    </row>
    <row r="8714" spans="1:5" x14ac:dyDescent="0.2">
      <c r="A8714" t="s">
        <v>1481</v>
      </c>
      <c r="B8714" t="s">
        <v>1480</v>
      </c>
      <c r="C8714" t="s">
        <v>442</v>
      </c>
      <c r="D8714" t="str">
        <f>VLOOKUP(C8714,'lookup table'!$A$2:$B$19,2,FALSE)</f>
        <v>Partner Unit</v>
      </c>
      <c r="E8714" t="str">
        <f t="shared" si="136"/>
        <v>DZ6ACY_14|Partner Unit</v>
      </c>
    </row>
    <row r="8715" spans="1:5" x14ac:dyDescent="0.2">
      <c r="A8715" t="s">
        <v>1481</v>
      </c>
      <c r="B8715" t="s">
        <v>1480</v>
      </c>
      <c r="C8715" t="s">
        <v>447</v>
      </c>
      <c r="D8715" t="str">
        <f>VLOOKUP(C8715,'lookup table'!$A$2:$B$19,2,FALSE)</f>
        <v>REX</v>
      </c>
      <c r="E8715" t="str">
        <f t="shared" si="136"/>
        <v>DZ6ACY_14|REX</v>
      </c>
    </row>
    <row r="8716" spans="1:5" x14ac:dyDescent="0.2">
      <c r="A8716" t="s">
        <v>1481</v>
      </c>
      <c r="B8716" t="s">
        <v>1480</v>
      </c>
      <c r="C8716" t="s">
        <v>448</v>
      </c>
      <c r="D8716" t="e">
        <f>VLOOKUP(C8716,'lookup table'!$A$2:$B$19,2,FALSE)</f>
        <v>#N/A</v>
      </c>
      <c r="E8716" t="str">
        <f t="shared" si="136"/>
        <v/>
      </c>
    </row>
    <row r="8717" spans="1:5" x14ac:dyDescent="0.2">
      <c r="A8717" t="s">
        <v>1481</v>
      </c>
      <c r="B8717" t="s">
        <v>1480</v>
      </c>
      <c r="C8717" t="s">
        <v>449</v>
      </c>
      <c r="D8717" t="e">
        <f>VLOOKUP(C8717,'lookup table'!$A$2:$B$19,2,FALSE)</f>
        <v>#N/A</v>
      </c>
      <c r="E8717" t="str">
        <f t="shared" si="136"/>
        <v/>
      </c>
    </row>
    <row r="8718" spans="1:5" x14ac:dyDescent="0.2">
      <c r="A8718" t="s">
        <v>1481</v>
      </c>
      <c r="B8718" t="s">
        <v>1480</v>
      </c>
      <c r="C8718" t="s">
        <v>451</v>
      </c>
      <c r="D8718" t="str">
        <f>VLOOKUP(C8718,'lookup table'!$A$2:$B$19,2,FALSE)</f>
        <v>Segment</v>
      </c>
      <c r="E8718" t="str">
        <f t="shared" si="136"/>
        <v>DZ6ACY_14|Segment</v>
      </c>
    </row>
    <row r="8719" spans="1:5" x14ac:dyDescent="0.2">
      <c r="A8719" t="s">
        <v>1481</v>
      </c>
      <c r="B8719" t="s">
        <v>1480</v>
      </c>
      <c r="C8719" t="s">
        <v>455</v>
      </c>
      <c r="D8719" t="e">
        <f>VLOOKUP(C8719,'lookup table'!$A$2:$B$19,2,FALSE)</f>
        <v>#N/A</v>
      </c>
      <c r="E8719" t="str">
        <f t="shared" si="136"/>
        <v/>
      </c>
    </row>
    <row r="8720" spans="1:5" x14ac:dyDescent="0.2">
      <c r="A8720" t="s">
        <v>1481</v>
      </c>
      <c r="B8720" t="s">
        <v>1480</v>
      </c>
      <c r="C8720" t="s">
        <v>456</v>
      </c>
      <c r="D8720" t="e">
        <f>VLOOKUP(C8720,'lookup table'!$A$2:$B$19,2,FALSE)</f>
        <v>#N/A</v>
      </c>
      <c r="E8720" t="str">
        <f t="shared" si="136"/>
        <v/>
      </c>
    </row>
    <row r="8721" spans="1:5" x14ac:dyDescent="0.2">
      <c r="A8721" t="s">
        <v>1481</v>
      </c>
      <c r="B8721" t="s">
        <v>1480</v>
      </c>
      <c r="C8721" t="s">
        <v>457</v>
      </c>
      <c r="D8721" t="str">
        <f>VLOOKUP(C8721,'lookup table'!$A$2:$B$19,2,FALSE)</f>
        <v>VLT</v>
      </c>
      <c r="E8721" t="str">
        <f t="shared" si="136"/>
        <v>DZ6ACY_14|VLT</v>
      </c>
    </row>
    <row r="8722" spans="1:5" x14ac:dyDescent="0.2">
      <c r="A8722" t="s">
        <v>1481</v>
      </c>
      <c r="B8722" t="s">
        <v>1480</v>
      </c>
      <c r="C8722" t="s">
        <v>458</v>
      </c>
      <c r="D8722" t="str">
        <f>VLOOKUP(C8722,'lookup table'!$A$2:$B$19,2,FALSE)</f>
        <v>VAR</v>
      </c>
      <c r="E8722" t="str">
        <f t="shared" si="136"/>
        <v>DZ6ACY_14|VAR</v>
      </c>
    </row>
    <row r="8723" spans="1:5" x14ac:dyDescent="0.2">
      <c r="A8723" t="s">
        <v>1481</v>
      </c>
      <c r="B8723" t="s">
        <v>1480</v>
      </c>
      <c r="C8723" t="s">
        <v>459</v>
      </c>
      <c r="D8723" t="e">
        <f>VLOOKUP(C8723,'lookup table'!$A$2:$B$19,2,FALSE)</f>
        <v>#N/A</v>
      </c>
      <c r="E8723" t="str">
        <f t="shared" si="136"/>
        <v/>
      </c>
    </row>
    <row r="8724" spans="1:5" x14ac:dyDescent="0.2">
      <c r="A8724" t="s">
        <v>1481</v>
      </c>
      <c r="B8724" t="s">
        <v>1480</v>
      </c>
      <c r="C8724" t="s">
        <v>460</v>
      </c>
      <c r="D8724" t="e">
        <f>VLOOKUP(C8724,'lookup table'!$A$2:$B$19,2,FALSE)</f>
        <v>#N/A</v>
      </c>
      <c r="E8724" t="str">
        <f t="shared" si="136"/>
        <v/>
      </c>
    </row>
    <row r="8725" spans="1:5" x14ac:dyDescent="0.2">
      <c r="A8725" t="s">
        <v>1481</v>
      </c>
      <c r="B8725" t="s">
        <v>1480</v>
      </c>
      <c r="C8725" t="s">
        <v>461</v>
      </c>
      <c r="D8725" t="str">
        <f>VLOOKUP(C8725,'lookup table'!$A$2:$B$19,2,FALSE)</f>
        <v>Posting Level</v>
      </c>
      <c r="E8725" t="str">
        <f t="shared" si="136"/>
        <v>DZ6ACY_14|Posting Level</v>
      </c>
    </row>
    <row r="8726" spans="1:5" x14ac:dyDescent="0.2">
      <c r="A8726" t="s">
        <v>1481</v>
      </c>
      <c r="B8726" t="s">
        <v>1480</v>
      </c>
      <c r="C8726" t="s">
        <v>462</v>
      </c>
      <c r="D8726" t="e">
        <f>VLOOKUP(C8726,'lookup table'!$A$2:$B$19,2,FALSE)</f>
        <v>#N/A</v>
      </c>
      <c r="E8726" t="str">
        <f t="shared" si="136"/>
        <v/>
      </c>
    </row>
    <row r="8727" spans="1:5" x14ac:dyDescent="0.2">
      <c r="A8727" t="s">
        <v>1481</v>
      </c>
      <c r="B8727" t="s">
        <v>1480</v>
      </c>
      <c r="C8727" t="s">
        <v>463</v>
      </c>
      <c r="D8727" t="e">
        <f>VLOOKUP(C8727,'lookup table'!$A$2:$B$19,2,FALSE)</f>
        <v>#N/A</v>
      </c>
      <c r="E8727" t="str">
        <f t="shared" si="136"/>
        <v/>
      </c>
    </row>
    <row r="8728" spans="1:5" x14ac:dyDescent="0.2">
      <c r="A8728" t="s">
        <v>1481</v>
      </c>
      <c r="B8728" t="s">
        <v>1480</v>
      </c>
      <c r="C8728" t="s">
        <v>464</v>
      </c>
      <c r="D8728" t="e">
        <f>VLOOKUP(C8728,'lookup table'!$A$2:$B$19,2,FALSE)</f>
        <v>#N/A</v>
      </c>
      <c r="E8728" t="str">
        <f t="shared" si="136"/>
        <v/>
      </c>
    </row>
    <row r="8729" spans="1:5" x14ac:dyDescent="0.2">
      <c r="A8729" t="s">
        <v>1481</v>
      </c>
      <c r="B8729" t="s">
        <v>1480</v>
      </c>
      <c r="C8729" t="s">
        <v>465</v>
      </c>
      <c r="D8729" t="e">
        <f>VLOOKUP(C8729,'lookup table'!$A$2:$B$19,2,FALSE)</f>
        <v>#N/A</v>
      </c>
      <c r="E8729" t="str">
        <f t="shared" si="136"/>
        <v/>
      </c>
    </row>
    <row r="8730" spans="1:5" x14ac:dyDescent="0.2">
      <c r="A8730" t="s">
        <v>1482</v>
      </c>
      <c r="B8730" t="s">
        <v>1483</v>
      </c>
      <c r="C8730" t="s">
        <v>2</v>
      </c>
      <c r="D8730" t="e">
        <f>VLOOKUP(C8730,'lookup table'!$A$2:$B$19,2,FALSE)</f>
        <v>#N/A</v>
      </c>
      <c r="E8730" t="str">
        <f t="shared" si="136"/>
        <v/>
      </c>
    </row>
    <row r="8731" spans="1:5" x14ac:dyDescent="0.2">
      <c r="A8731" t="s">
        <v>1482</v>
      </c>
      <c r="B8731" t="s">
        <v>1483</v>
      </c>
      <c r="C8731" t="s">
        <v>5</v>
      </c>
      <c r="D8731" t="e">
        <f>VLOOKUP(C8731,'lookup table'!$A$2:$B$19,2,FALSE)</f>
        <v>#N/A</v>
      </c>
      <c r="E8731" t="str">
        <f t="shared" si="136"/>
        <v/>
      </c>
    </row>
    <row r="8732" spans="1:5" x14ac:dyDescent="0.2">
      <c r="A8732" t="s">
        <v>1482</v>
      </c>
      <c r="B8732" t="s">
        <v>1483</v>
      </c>
      <c r="C8732" t="s">
        <v>6</v>
      </c>
      <c r="D8732" t="e">
        <f>VLOOKUP(C8732,'lookup table'!$A$2:$B$19,2,FALSE)</f>
        <v>#N/A</v>
      </c>
      <c r="E8732" t="str">
        <f t="shared" si="136"/>
        <v/>
      </c>
    </row>
    <row r="8733" spans="1:5" x14ac:dyDescent="0.2">
      <c r="A8733" t="s">
        <v>1482</v>
      </c>
      <c r="B8733" t="s">
        <v>1483</v>
      </c>
      <c r="C8733" t="s">
        <v>9</v>
      </c>
      <c r="D8733" t="e">
        <f>VLOOKUP(C8733,'lookup table'!$A$2:$B$19,2,FALSE)</f>
        <v>#N/A</v>
      </c>
      <c r="E8733" t="str">
        <f t="shared" si="136"/>
        <v/>
      </c>
    </row>
    <row r="8734" spans="1:5" x14ac:dyDescent="0.2">
      <c r="A8734" t="s">
        <v>1482</v>
      </c>
      <c r="B8734" t="s">
        <v>1483</v>
      </c>
      <c r="C8734" t="s">
        <v>10</v>
      </c>
      <c r="D8734" t="e">
        <f>VLOOKUP(C8734,'lookup table'!$A$2:$B$19,2,FALSE)</f>
        <v>#N/A</v>
      </c>
      <c r="E8734" t="str">
        <f t="shared" si="136"/>
        <v/>
      </c>
    </row>
    <row r="8735" spans="1:5" x14ac:dyDescent="0.2">
      <c r="A8735" t="s">
        <v>1482</v>
      </c>
      <c r="B8735" t="s">
        <v>1483</v>
      </c>
      <c r="C8735" t="s">
        <v>11</v>
      </c>
      <c r="D8735" t="e">
        <f>VLOOKUP(C8735,'lookup table'!$A$2:$B$19,2,FALSE)</f>
        <v>#N/A</v>
      </c>
      <c r="E8735" t="str">
        <f t="shared" si="136"/>
        <v/>
      </c>
    </row>
    <row r="8736" spans="1:5" x14ac:dyDescent="0.2">
      <c r="A8736" t="s">
        <v>1482</v>
      </c>
      <c r="B8736" t="s">
        <v>1483</v>
      </c>
      <c r="C8736" t="s">
        <v>12</v>
      </c>
      <c r="D8736" t="e">
        <f>VLOOKUP(C8736,'lookup table'!$A$2:$B$19,2,FALSE)</f>
        <v>#N/A</v>
      </c>
      <c r="E8736" t="str">
        <f t="shared" si="136"/>
        <v/>
      </c>
    </row>
    <row r="8737" spans="1:5" x14ac:dyDescent="0.2">
      <c r="A8737" t="s">
        <v>1482</v>
      </c>
      <c r="B8737" t="s">
        <v>1483</v>
      </c>
      <c r="C8737" t="s">
        <v>14</v>
      </c>
      <c r="D8737" t="str">
        <f>VLOOKUP(C8737,'lookup table'!$A$2:$B$19,2,FALSE)</f>
        <v>ALC</v>
      </c>
      <c r="E8737" t="str">
        <f t="shared" si="136"/>
        <v>DZ6ALC_00|ALC</v>
      </c>
    </row>
    <row r="8738" spans="1:5" x14ac:dyDescent="0.2">
      <c r="A8738" t="s">
        <v>1482</v>
      </c>
      <c r="B8738" t="s">
        <v>1483</v>
      </c>
      <c r="C8738" t="s">
        <v>20</v>
      </c>
      <c r="D8738" t="str">
        <f>VLOOKUP(C8738,'lookup table'!$A$2:$B$19,2,FALSE)</f>
        <v>AY</v>
      </c>
      <c r="E8738" t="str">
        <f t="shared" si="136"/>
        <v>DZ6ALC_00|AY</v>
      </c>
    </row>
    <row r="8739" spans="1:5" x14ac:dyDescent="0.2">
      <c r="A8739" t="s">
        <v>1482</v>
      </c>
      <c r="B8739" t="s">
        <v>1483</v>
      </c>
      <c r="C8739" t="s">
        <v>136</v>
      </c>
      <c r="D8739" t="str">
        <f>VLOOKUP(C8739,'lookup table'!$A$2:$B$19,2,FALSE)</f>
        <v>BBA Set</v>
      </c>
      <c r="E8739" t="str">
        <f t="shared" si="136"/>
        <v>DZ6ALC_00|BBA Set</v>
      </c>
    </row>
    <row r="8740" spans="1:5" x14ac:dyDescent="0.2">
      <c r="A8740" t="s">
        <v>1482</v>
      </c>
      <c r="B8740" t="s">
        <v>1483</v>
      </c>
      <c r="C8740" t="s">
        <v>324</v>
      </c>
      <c r="D8740" t="e">
        <f>VLOOKUP(C8740,'lookup table'!$A$2:$B$19,2,FALSE)</f>
        <v>#N/A</v>
      </c>
      <c r="E8740" t="str">
        <f t="shared" si="136"/>
        <v/>
      </c>
    </row>
    <row r="8741" spans="1:5" x14ac:dyDescent="0.2">
      <c r="A8741" t="s">
        <v>1482</v>
      </c>
      <c r="B8741" t="s">
        <v>1483</v>
      </c>
      <c r="C8741" t="s">
        <v>325</v>
      </c>
      <c r="D8741" t="e">
        <f>VLOOKUP(C8741,'lookup table'!$A$2:$B$19,2,FALSE)</f>
        <v>#N/A</v>
      </c>
      <c r="E8741" t="str">
        <f t="shared" si="136"/>
        <v/>
      </c>
    </row>
    <row r="8742" spans="1:5" x14ac:dyDescent="0.2">
      <c r="A8742" t="s">
        <v>1482</v>
      </c>
      <c r="B8742" t="s">
        <v>1483</v>
      </c>
      <c r="C8742" t="s">
        <v>326</v>
      </c>
      <c r="D8742" t="e">
        <f>VLOOKUP(C8742,'lookup table'!$A$2:$B$19,2,FALSE)</f>
        <v>#N/A</v>
      </c>
      <c r="E8742" t="str">
        <f t="shared" si="136"/>
        <v/>
      </c>
    </row>
    <row r="8743" spans="1:5" x14ac:dyDescent="0.2">
      <c r="A8743" t="s">
        <v>1482</v>
      </c>
      <c r="B8743" t="s">
        <v>1483</v>
      </c>
      <c r="C8743" t="s">
        <v>327</v>
      </c>
      <c r="D8743" t="e">
        <f>VLOOKUP(C8743,'lookup table'!$A$2:$B$19,2,FALSE)</f>
        <v>#N/A</v>
      </c>
      <c r="E8743" t="str">
        <f t="shared" si="136"/>
        <v/>
      </c>
    </row>
    <row r="8744" spans="1:5" x14ac:dyDescent="0.2">
      <c r="A8744" t="s">
        <v>1482</v>
      </c>
      <c r="B8744" t="s">
        <v>1483</v>
      </c>
      <c r="C8744" t="s">
        <v>328</v>
      </c>
      <c r="D8744" t="e">
        <f>VLOOKUP(C8744,'lookup table'!$A$2:$B$19,2,FALSE)</f>
        <v>#N/A</v>
      </c>
      <c r="E8744" t="str">
        <f t="shared" si="136"/>
        <v/>
      </c>
    </row>
    <row r="8745" spans="1:5" x14ac:dyDescent="0.2">
      <c r="A8745" t="s">
        <v>1482</v>
      </c>
      <c r="B8745" t="s">
        <v>1483</v>
      </c>
      <c r="C8745" t="s">
        <v>329</v>
      </c>
      <c r="D8745" t="e">
        <f>VLOOKUP(C8745,'lookup table'!$A$2:$B$19,2,FALSE)</f>
        <v>#N/A</v>
      </c>
      <c r="E8745" t="str">
        <f t="shared" si="136"/>
        <v/>
      </c>
    </row>
    <row r="8746" spans="1:5" x14ac:dyDescent="0.2">
      <c r="A8746" t="s">
        <v>1482</v>
      </c>
      <c r="B8746" t="s">
        <v>1483</v>
      </c>
      <c r="C8746" t="s">
        <v>331</v>
      </c>
      <c r="D8746" t="str">
        <f>VLOOKUP(C8746,'lookup table'!$A$2:$B$19,2,FALSE)</f>
        <v>FS Item</v>
      </c>
      <c r="E8746" t="str">
        <f t="shared" si="136"/>
        <v>DZ6ALC_00|FS Item</v>
      </c>
    </row>
    <row r="8747" spans="1:5" x14ac:dyDescent="0.2">
      <c r="A8747" t="s">
        <v>1482</v>
      </c>
      <c r="B8747" t="s">
        <v>1483</v>
      </c>
      <c r="C8747" t="s">
        <v>422</v>
      </c>
      <c r="D8747" t="e">
        <f>VLOOKUP(C8747,'lookup table'!$A$2:$B$19,2,FALSE)</f>
        <v>#N/A</v>
      </c>
      <c r="E8747" t="str">
        <f t="shared" si="136"/>
        <v/>
      </c>
    </row>
    <row r="8748" spans="1:5" x14ac:dyDescent="0.2">
      <c r="A8748" t="s">
        <v>1482</v>
      </c>
      <c r="B8748" t="s">
        <v>1483</v>
      </c>
      <c r="C8748" t="s">
        <v>423</v>
      </c>
      <c r="D8748" t="str">
        <f>VLOOKUP(C8748,'lookup table'!$A$2:$B$19,2,FALSE)</f>
        <v>ignore</v>
      </c>
      <c r="E8748" t="str">
        <f t="shared" si="136"/>
        <v>DZ6ALC_00|ignore</v>
      </c>
    </row>
    <row r="8749" spans="1:5" x14ac:dyDescent="0.2">
      <c r="A8749" t="s">
        <v>1482</v>
      </c>
      <c r="B8749" t="s">
        <v>1483</v>
      </c>
      <c r="C8749" t="s">
        <v>424</v>
      </c>
      <c r="D8749" t="str">
        <f>VLOOKUP(C8749,'lookup table'!$A$2:$B$19,2,FALSE)</f>
        <v>GRC</v>
      </c>
      <c r="E8749" t="str">
        <f t="shared" si="136"/>
        <v>DZ6ALC_00|GRC</v>
      </c>
    </row>
    <row r="8750" spans="1:5" x14ac:dyDescent="0.2">
      <c r="A8750" t="s">
        <v>1482</v>
      </c>
      <c r="B8750" t="s">
        <v>1483</v>
      </c>
      <c r="C8750" t="s">
        <v>425</v>
      </c>
      <c r="D8750" t="str">
        <f>VLOOKUP(C8750,'lookup table'!$A$2:$B$19,2,FALSE)</f>
        <v>Investee Segment</v>
      </c>
      <c r="E8750" t="str">
        <f t="shared" si="136"/>
        <v>DZ6ALC_00|Investee Segment</v>
      </c>
    </row>
    <row r="8751" spans="1:5" x14ac:dyDescent="0.2">
      <c r="A8751" t="s">
        <v>1482</v>
      </c>
      <c r="B8751" t="s">
        <v>1483</v>
      </c>
      <c r="C8751" t="s">
        <v>426</v>
      </c>
      <c r="D8751" t="str">
        <f>VLOOKUP(C8751,'lookup table'!$A$2:$B$19,2,FALSE)</f>
        <v>Investee Unit</v>
      </c>
      <c r="E8751" t="str">
        <f t="shared" si="136"/>
        <v>DZ6ALC_00|Investee Unit</v>
      </c>
    </row>
    <row r="8752" spans="1:5" x14ac:dyDescent="0.2">
      <c r="A8752" t="s">
        <v>1482</v>
      </c>
      <c r="B8752" t="s">
        <v>1483</v>
      </c>
      <c r="C8752" t="s">
        <v>428</v>
      </c>
      <c r="D8752" t="str">
        <f>VLOOKUP(C8752,'lookup table'!$A$2:$B$19,2,FALSE)</f>
        <v>LoB</v>
      </c>
      <c r="E8752" t="str">
        <f t="shared" si="136"/>
        <v>DZ6ALC_00|LoB</v>
      </c>
    </row>
    <row r="8753" spans="1:5" x14ac:dyDescent="0.2">
      <c r="A8753" t="s">
        <v>1482</v>
      </c>
      <c r="B8753" t="s">
        <v>1483</v>
      </c>
      <c r="C8753" t="s">
        <v>436</v>
      </c>
      <c r="D8753" t="str">
        <f>VLOOKUP(C8753,'lookup table'!$A$2:$B$19,2,FALSE)</f>
        <v>MAT</v>
      </c>
      <c r="E8753" t="str">
        <f t="shared" si="136"/>
        <v>DZ6ALC_00|MAT</v>
      </c>
    </row>
    <row r="8754" spans="1:5" x14ac:dyDescent="0.2">
      <c r="A8754" t="s">
        <v>1482</v>
      </c>
      <c r="B8754" t="s">
        <v>1483</v>
      </c>
      <c r="C8754" t="s">
        <v>438</v>
      </c>
      <c r="D8754" t="str">
        <f>VLOOKUP(C8754,'lookup table'!$A$2:$B$19,2,FALSE)</f>
        <v>ToM</v>
      </c>
      <c r="E8754" t="str">
        <f t="shared" si="136"/>
        <v>DZ6ALC_00|ToM</v>
      </c>
    </row>
    <row r="8755" spans="1:5" x14ac:dyDescent="0.2">
      <c r="A8755" t="s">
        <v>1482</v>
      </c>
      <c r="B8755" t="s">
        <v>1483</v>
      </c>
      <c r="C8755" t="s">
        <v>441</v>
      </c>
      <c r="D8755" t="str">
        <f>VLOOKUP(C8755,'lookup table'!$A$2:$B$19,2,FALSE)</f>
        <v>Partner Segment</v>
      </c>
      <c r="E8755" t="str">
        <f t="shared" si="136"/>
        <v>DZ6ALC_00|Partner Segment</v>
      </c>
    </row>
    <row r="8756" spans="1:5" x14ac:dyDescent="0.2">
      <c r="A8756" t="s">
        <v>1482</v>
      </c>
      <c r="B8756" t="s">
        <v>1483</v>
      </c>
      <c r="C8756" t="s">
        <v>442</v>
      </c>
      <c r="D8756" t="str">
        <f>VLOOKUP(C8756,'lookup table'!$A$2:$B$19,2,FALSE)</f>
        <v>Partner Unit</v>
      </c>
      <c r="E8756" t="str">
        <f t="shared" si="136"/>
        <v>DZ6ALC_00|Partner Unit</v>
      </c>
    </row>
    <row r="8757" spans="1:5" x14ac:dyDescent="0.2">
      <c r="A8757" t="s">
        <v>1482</v>
      </c>
      <c r="B8757" t="s">
        <v>1483</v>
      </c>
      <c r="C8757" t="s">
        <v>447</v>
      </c>
      <c r="D8757" t="str">
        <f>VLOOKUP(C8757,'lookup table'!$A$2:$B$19,2,FALSE)</f>
        <v>REX</v>
      </c>
      <c r="E8757" t="str">
        <f t="shared" si="136"/>
        <v>DZ6ALC_00|REX</v>
      </c>
    </row>
    <row r="8758" spans="1:5" x14ac:dyDescent="0.2">
      <c r="A8758" t="s">
        <v>1482</v>
      </c>
      <c r="B8758" t="s">
        <v>1483</v>
      </c>
      <c r="C8758" t="s">
        <v>448</v>
      </c>
      <c r="D8758" t="e">
        <f>VLOOKUP(C8758,'lookup table'!$A$2:$B$19,2,FALSE)</f>
        <v>#N/A</v>
      </c>
      <c r="E8758" t="str">
        <f t="shared" si="136"/>
        <v/>
      </c>
    </row>
    <row r="8759" spans="1:5" x14ac:dyDescent="0.2">
      <c r="A8759" t="s">
        <v>1482</v>
      </c>
      <c r="B8759" t="s">
        <v>1483</v>
      </c>
      <c r="C8759" t="s">
        <v>449</v>
      </c>
      <c r="D8759" t="e">
        <f>VLOOKUP(C8759,'lookup table'!$A$2:$B$19,2,FALSE)</f>
        <v>#N/A</v>
      </c>
      <c r="E8759" t="str">
        <f t="shared" si="136"/>
        <v/>
      </c>
    </row>
    <row r="8760" spans="1:5" x14ac:dyDescent="0.2">
      <c r="A8760" t="s">
        <v>1482</v>
      </c>
      <c r="B8760" t="s">
        <v>1483</v>
      </c>
      <c r="C8760" t="s">
        <v>451</v>
      </c>
      <c r="D8760" t="str">
        <f>VLOOKUP(C8760,'lookup table'!$A$2:$B$19,2,FALSE)</f>
        <v>Segment</v>
      </c>
      <c r="E8760" t="str">
        <f t="shared" si="136"/>
        <v>DZ6ALC_00|Segment</v>
      </c>
    </row>
    <row r="8761" spans="1:5" x14ac:dyDescent="0.2">
      <c r="A8761" t="s">
        <v>1482</v>
      </c>
      <c r="B8761" t="s">
        <v>1483</v>
      </c>
      <c r="C8761" t="s">
        <v>455</v>
      </c>
      <c r="D8761" t="e">
        <f>VLOOKUP(C8761,'lookup table'!$A$2:$B$19,2,FALSE)</f>
        <v>#N/A</v>
      </c>
      <c r="E8761" t="str">
        <f t="shared" si="136"/>
        <v/>
      </c>
    </row>
    <row r="8762" spans="1:5" x14ac:dyDescent="0.2">
      <c r="A8762" t="s">
        <v>1482</v>
      </c>
      <c r="B8762" t="s">
        <v>1483</v>
      </c>
      <c r="C8762" t="s">
        <v>456</v>
      </c>
      <c r="D8762" t="e">
        <f>VLOOKUP(C8762,'lookup table'!$A$2:$B$19,2,FALSE)</f>
        <v>#N/A</v>
      </c>
      <c r="E8762" t="str">
        <f t="shared" si="136"/>
        <v/>
      </c>
    </row>
    <row r="8763" spans="1:5" x14ac:dyDescent="0.2">
      <c r="A8763" t="s">
        <v>1482</v>
      </c>
      <c r="B8763" t="s">
        <v>1483</v>
      </c>
      <c r="C8763" t="s">
        <v>457</v>
      </c>
      <c r="D8763" t="str">
        <f>VLOOKUP(C8763,'lookup table'!$A$2:$B$19,2,FALSE)</f>
        <v>VLT</v>
      </c>
      <c r="E8763" t="str">
        <f t="shared" si="136"/>
        <v>DZ6ALC_00|VLT</v>
      </c>
    </row>
    <row r="8764" spans="1:5" x14ac:dyDescent="0.2">
      <c r="A8764" t="s">
        <v>1482</v>
      </c>
      <c r="B8764" t="s">
        <v>1483</v>
      </c>
      <c r="C8764" t="s">
        <v>458</v>
      </c>
      <c r="D8764" t="str">
        <f>VLOOKUP(C8764,'lookup table'!$A$2:$B$19,2,FALSE)</f>
        <v>VAR</v>
      </c>
      <c r="E8764" t="str">
        <f t="shared" si="136"/>
        <v>DZ6ALC_00|VAR</v>
      </c>
    </row>
    <row r="8765" spans="1:5" x14ac:dyDescent="0.2">
      <c r="A8765" t="s">
        <v>1482</v>
      </c>
      <c r="B8765" t="s">
        <v>1483</v>
      </c>
      <c r="C8765" t="s">
        <v>459</v>
      </c>
      <c r="D8765" t="e">
        <f>VLOOKUP(C8765,'lookup table'!$A$2:$B$19,2,FALSE)</f>
        <v>#N/A</v>
      </c>
      <c r="E8765" t="str">
        <f t="shared" si="136"/>
        <v/>
      </c>
    </row>
    <row r="8766" spans="1:5" x14ac:dyDescent="0.2">
      <c r="A8766" t="s">
        <v>1482</v>
      </c>
      <c r="B8766" t="s">
        <v>1483</v>
      </c>
      <c r="C8766" t="s">
        <v>460</v>
      </c>
      <c r="D8766" t="e">
        <f>VLOOKUP(C8766,'lookup table'!$A$2:$B$19,2,FALSE)</f>
        <v>#N/A</v>
      </c>
      <c r="E8766" t="str">
        <f t="shared" si="136"/>
        <v/>
      </c>
    </row>
    <row r="8767" spans="1:5" x14ac:dyDescent="0.2">
      <c r="A8767" t="s">
        <v>1482</v>
      </c>
      <c r="B8767" t="s">
        <v>1483</v>
      </c>
      <c r="C8767" t="s">
        <v>461</v>
      </c>
      <c r="D8767" t="str">
        <f>VLOOKUP(C8767,'lookup table'!$A$2:$B$19,2,FALSE)</f>
        <v>Posting Level</v>
      </c>
      <c r="E8767" t="str">
        <f t="shared" si="136"/>
        <v>DZ6ALC_00|Posting Level</v>
      </c>
    </row>
    <row r="8768" spans="1:5" x14ac:dyDescent="0.2">
      <c r="A8768" t="s">
        <v>1482</v>
      </c>
      <c r="B8768" t="s">
        <v>1483</v>
      </c>
      <c r="C8768" t="s">
        <v>462</v>
      </c>
      <c r="D8768" t="e">
        <f>VLOOKUP(C8768,'lookup table'!$A$2:$B$19,2,FALSE)</f>
        <v>#N/A</v>
      </c>
      <c r="E8768" t="str">
        <f t="shared" si="136"/>
        <v/>
      </c>
    </row>
    <row r="8769" spans="1:5" x14ac:dyDescent="0.2">
      <c r="A8769" t="s">
        <v>1482</v>
      </c>
      <c r="B8769" t="s">
        <v>1483</v>
      </c>
      <c r="C8769" t="s">
        <v>463</v>
      </c>
      <c r="D8769" t="e">
        <f>VLOOKUP(C8769,'lookup table'!$A$2:$B$19,2,FALSE)</f>
        <v>#N/A</v>
      </c>
      <c r="E8769" t="str">
        <f t="shared" si="136"/>
        <v/>
      </c>
    </row>
    <row r="8770" spans="1:5" x14ac:dyDescent="0.2">
      <c r="A8770" t="s">
        <v>1482</v>
      </c>
      <c r="B8770" t="s">
        <v>1483</v>
      </c>
      <c r="C8770" t="s">
        <v>464</v>
      </c>
      <c r="D8770" t="e">
        <f>VLOOKUP(C8770,'lookup table'!$A$2:$B$19,2,FALSE)</f>
        <v>#N/A</v>
      </c>
      <c r="E8770" t="str">
        <f t="shared" si="136"/>
        <v/>
      </c>
    </row>
    <row r="8771" spans="1:5" x14ac:dyDescent="0.2">
      <c r="A8771" t="s">
        <v>1482</v>
      </c>
      <c r="B8771" t="s">
        <v>1483</v>
      </c>
      <c r="C8771" t="s">
        <v>465</v>
      </c>
      <c r="D8771" t="e">
        <f>VLOOKUP(C8771,'lookup table'!$A$2:$B$19,2,FALSE)</f>
        <v>#N/A</v>
      </c>
      <c r="E8771" t="str">
        <f t="shared" ref="E8771:E8834" si="137">IF(ISNA(D8771),"",IF(A8771="","",A8771) &amp; "|" &amp; D8771)</f>
        <v/>
      </c>
    </row>
    <row r="8772" spans="1:5" x14ac:dyDescent="0.2">
      <c r="A8772" t="s">
        <v>1484</v>
      </c>
      <c r="B8772" t="s">
        <v>1485</v>
      </c>
      <c r="C8772" t="s">
        <v>2</v>
      </c>
      <c r="D8772" t="e">
        <f>VLOOKUP(C8772,'lookup table'!$A$2:$B$19,2,FALSE)</f>
        <v>#N/A</v>
      </c>
      <c r="E8772" t="str">
        <f t="shared" si="137"/>
        <v/>
      </c>
    </row>
    <row r="8773" spans="1:5" x14ac:dyDescent="0.2">
      <c r="A8773" t="s">
        <v>1484</v>
      </c>
      <c r="B8773" t="s">
        <v>1485</v>
      </c>
      <c r="C8773" t="s">
        <v>5</v>
      </c>
      <c r="D8773" t="e">
        <f>VLOOKUP(C8773,'lookup table'!$A$2:$B$19,2,FALSE)</f>
        <v>#N/A</v>
      </c>
      <c r="E8773" t="str">
        <f t="shared" si="137"/>
        <v/>
      </c>
    </row>
    <row r="8774" spans="1:5" x14ac:dyDescent="0.2">
      <c r="A8774" t="s">
        <v>1484</v>
      </c>
      <c r="B8774" t="s">
        <v>1485</v>
      </c>
      <c r="C8774" t="s">
        <v>6</v>
      </c>
      <c r="D8774" t="e">
        <f>VLOOKUP(C8774,'lookup table'!$A$2:$B$19,2,FALSE)</f>
        <v>#N/A</v>
      </c>
      <c r="E8774" t="str">
        <f t="shared" si="137"/>
        <v/>
      </c>
    </row>
    <row r="8775" spans="1:5" x14ac:dyDescent="0.2">
      <c r="A8775" t="s">
        <v>1484</v>
      </c>
      <c r="B8775" t="s">
        <v>1485</v>
      </c>
      <c r="C8775" t="s">
        <v>9</v>
      </c>
      <c r="D8775" t="e">
        <f>VLOOKUP(C8775,'lookup table'!$A$2:$B$19,2,FALSE)</f>
        <v>#N/A</v>
      </c>
      <c r="E8775" t="str">
        <f t="shared" si="137"/>
        <v/>
      </c>
    </row>
    <row r="8776" spans="1:5" x14ac:dyDescent="0.2">
      <c r="A8776" t="s">
        <v>1484</v>
      </c>
      <c r="B8776" t="s">
        <v>1485</v>
      </c>
      <c r="C8776" t="s">
        <v>10</v>
      </c>
      <c r="D8776" t="e">
        <f>VLOOKUP(C8776,'lookup table'!$A$2:$B$19,2,FALSE)</f>
        <v>#N/A</v>
      </c>
      <c r="E8776" t="str">
        <f t="shared" si="137"/>
        <v/>
      </c>
    </row>
    <row r="8777" spans="1:5" x14ac:dyDescent="0.2">
      <c r="A8777" t="s">
        <v>1484</v>
      </c>
      <c r="B8777" t="s">
        <v>1485</v>
      </c>
      <c r="C8777" t="s">
        <v>11</v>
      </c>
      <c r="D8777" t="e">
        <f>VLOOKUP(C8777,'lookup table'!$A$2:$B$19,2,FALSE)</f>
        <v>#N/A</v>
      </c>
      <c r="E8777" t="str">
        <f t="shared" si="137"/>
        <v/>
      </c>
    </row>
    <row r="8778" spans="1:5" x14ac:dyDescent="0.2">
      <c r="A8778" t="s">
        <v>1484</v>
      </c>
      <c r="B8778" t="s">
        <v>1485</v>
      </c>
      <c r="C8778" t="s">
        <v>12</v>
      </c>
      <c r="D8778" t="e">
        <f>VLOOKUP(C8778,'lookup table'!$A$2:$B$19,2,FALSE)</f>
        <v>#N/A</v>
      </c>
      <c r="E8778" t="str">
        <f t="shared" si="137"/>
        <v/>
      </c>
    </row>
    <row r="8779" spans="1:5" x14ac:dyDescent="0.2">
      <c r="A8779" t="s">
        <v>1484</v>
      </c>
      <c r="B8779" t="s">
        <v>1485</v>
      </c>
      <c r="C8779" t="s">
        <v>14</v>
      </c>
      <c r="D8779" t="str">
        <f>VLOOKUP(C8779,'lookup table'!$A$2:$B$19,2,FALSE)</f>
        <v>ALC</v>
      </c>
      <c r="E8779" t="str">
        <f t="shared" si="137"/>
        <v>DZ6LOB_00|ALC</v>
      </c>
    </row>
    <row r="8780" spans="1:5" x14ac:dyDescent="0.2">
      <c r="A8780" t="s">
        <v>1484</v>
      </c>
      <c r="B8780" t="s">
        <v>1485</v>
      </c>
      <c r="C8780" t="s">
        <v>20</v>
      </c>
      <c r="D8780" t="str">
        <f>VLOOKUP(C8780,'lookup table'!$A$2:$B$19,2,FALSE)</f>
        <v>AY</v>
      </c>
      <c r="E8780" t="str">
        <f t="shared" si="137"/>
        <v>DZ6LOB_00|AY</v>
      </c>
    </row>
    <row r="8781" spans="1:5" x14ac:dyDescent="0.2">
      <c r="A8781" t="s">
        <v>1484</v>
      </c>
      <c r="B8781" t="s">
        <v>1485</v>
      </c>
      <c r="C8781" t="s">
        <v>136</v>
      </c>
      <c r="D8781" t="str">
        <f>VLOOKUP(C8781,'lookup table'!$A$2:$B$19,2,FALSE)</f>
        <v>BBA Set</v>
      </c>
      <c r="E8781" t="str">
        <f t="shared" si="137"/>
        <v>DZ6LOB_00|BBA Set</v>
      </c>
    </row>
    <row r="8782" spans="1:5" x14ac:dyDescent="0.2">
      <c r="A8782" t="s">
        <v>1484</v>
      </c>
      <c r="B8782" t="s">
        <v>1485</v>
      </c>
      <c r="C8782" t="s">
        <v>324</v>
      </c>
      <c r="D8782" t="e">
        <f>VLOOKUP(C8782,'lookup table'!$A$2:$B$19,2,FALSE)</f>
        <v>#N/A</v>
      </c>
      <c r="E8782" t="str">
        <f t="shared" si="137"/>
        <v/>
      </c>
    </row>
    <row r="8783" spans="1:5" x14ac:dyDescent="0.2">
      <c r="A8783" t="s">
        <v>1484</v>
      </c>
      <c r="B8783" t="s">
        <v>1485</v>
      </c>
      <c r="C8783" t="s">
        <v>325</v>
      </c>
      <c r="D8783" t="e">
        <f>VLOOKUP(C8783,'lookup table'!$A$2:$B$19,2,FALSE)</f>
        <v>#N/A</v>
      </c>
      <c r="E8783" t="str">
        <f t="shared" si="137"/>
        <v/>
      </c>
    </row>
    <row r="8784" spans="1:5" x14ac:dyDescent="0.2">
      <c r="A8784" t="s">
        <v>1484</v>
      </c>
      <c r="B8784" t="s">
        <v>1485</v>
      </c>
      <c r="C8784" t="s">
        <v>326</v>
      </c>
      <c r="D8784" t="e">
        <f>VLOOKUP(C8784,'lookup table'!$A$2:$B$19,2,FALSE)</f>
        <v>#N/A</v>
      </c>
      <c r="E8784" t="str">
        <f t="shared" si="137"/>
        <v/>
      </c>
    </row>
    <row r="8785" spans="1:5" x14ac:dyDescent="0.2">
      <c r="A8785" t="s">
        <v>1484</v>
      </c>
      <c r="B8785" t="s">
        <v>1485</v>
      </c>
      <c r="C8785" t="s">
        <v>327</v>
      </c>
      <c r="D8785" t="e">
        <f>VLOOKUP(C8785,'lookup table'!$A$2:$B$19,2,FALSE)</f>
        <v>#N/A</v>
      </c>
      <c r="E8785" t="str">
        <f t="shared" si="137"/>
        <v/>
      </c>
    </row>
    <row r="8786" spans="1:5" x14ac:dyDescent="0.2">
      <c r="A8786" t="s">
        <v>1484</v>
      </c>
      <c r="B8786" t="s">
        <v>1485</v>
      </c>
      <c r="C8786" t="s">
        <v>328</v>
      </c>
      <c r="D8786" t="e">
        <f>VLOOKUP(C8786,'lookup table'!$A$2:$B$19,2,FALSE)</f>
        <v>#N/A</v>
      </c>
      <c r="E8786" t="str">
        <f t="shared" si="137"/>
        <v/>
      </c>
    </row>
    <row r="8787" spans="1:5" x14ac:dyDescent="0.2">
      <c r="A8787" t="s">
        <v>1484</v>
      </c>
      <c r="B8787" t="s">
        <v>1485</v>
      </c>
      <c r="C8787" t="s">
        <v>329</v>
      </c>
      <c r="D8787" t="e">
        <f>VLOOKUP(C8787,'lookup table'!$A$2:$B$19,2,FALSE)</f>
        <v>#N/A</v>
      </c>
      <c r="E8787" t="str">
        <f t="shared" si="137"/>
        <v/>
      </c>
    </row>
    <row r="8788" spans="1:5" x14ac:dyDescent="0.2">
      <c r="A8788" t="s">
        <v>1484</v>
      </c>
      <c r="B8788" t="s">
        <v>1485</v>
      </c>
      <c r="C8788" t="s">
        <v>331</v>
      </c>
      <c r="D8788" t="str">
        <f>VLOOKUP(C8788,'lookup table'!$A$2:$B$19,2,FALSE)</f>
        <v>FS Item</v>
      </c>
      <c r="E8788" t="str">
        <f t="shared" si="137"/>
        <v>DZ6LOB_00|FS Item</v>
      </c>
    </row>
    <row r="8789" spans="1:5" x14ac:dyDescent="0.2">
      <c r="A8789" t="s">
        <v>1484</v>
      </c>
      <c r="B8789" t="s">
        <v>1485</v>
      </c>
      <c r="C8789" t="s">
        <v>422</v>
      </c>
      <c r="D8789" t="e">
        <f>VLOOKUP(C8789,'lookup table'!$A$2:$B$19,2,FALSE)</f>
        <v>#N/A</v>
      </c>
      <c r="E8789" t="str">
        <f t="shared" si="137"/>
        <v/>
      </c>
    </row>
    <row r="8790" spans="1:5" x14ac:dyDescent="0.2">
      <c r="A8790" t="s">
        <v>1484</v>
      </c>
      <c r="B8790" t="s">
        <v>1485</v>
      </c>
      <c r="C8790" t="s">
        <v>423</v>
      </c>
      <c r="D8790" t="str">
        <f>VLOOKUP(C8790,'lookup table'!$A$2:$B$19,2,FALSE)</f>
        <v>ignore</v>
      </c>
      <c r="E8790" t="str">
        <f t="shared" si="137"/>
        <v>DZ6LOB_00|ignore</v>
      </c>
    </row>
    <row r="8791" spans="1:5" x14ac:dyDescent="0.2">
      <c r="A8791" t="s">
        <v>1484</v>
      </c>
      <c r="B8791" t="s">
        <v>1485</v>
      </c>
      <c r="C8791" t="s">
        <v>424</v>
      </c>
      <c r="D8791" t="str">
        <f>VLOOKUP(C8791,'lookup table'!$A$2:$B$19,2,FALSE)</f>
        <v>GRC</v>
      </c>
      <c r="E8791" t="str">
        <f t="shared" si="137"/>
        <v>DZ6LOB_00|GRC</v>
      </c>
    </row>
    <row r="8792" spans="1:5" x14ac:dyDescent="0.2">
      <c r="A8792" t="s">
        <v>1484</v>
      </c>
      <c r="B8792" t="s">
        <v>1485</v>
      </c>
      <c r="C8792" t="s">
        <v>425</v>
      </c>
      <c r="D8792" t="str">
        <f>VLOOKUP(C8792,'lookup table'!$A$2:$B$19,2,FALSE)</f>
        <v>Investee Segment</v>
      </c>
      <c r="E8792" t="str">
        <f t="shared" si="137"/>
        <v>DZ6LOB_00|Investee Segment</v>
      </c>
    </row>
    <row r="8793" spans="1:5" x14ac:dyDescent="0.2">
      <c r="A8793" t="s">
        <v>1484</v>
      </c>
      <c r="B8793" t="s">
        <v>1485</v>
      </c>
      <c r="C8793" t="s">
        <v>426</v>
      </c>
      <c r="D8793" t="str">
        <f>VLOOKUP(C8793,'lookup table'!$A$2:$B$19,2,FALSE)</f>
        <v>Investee Unit</v>
      </c>
      <c r="E8793" t="str">
        <f t="shared" si="137"/>
        <v>DZ6LOB_00|Investee Unit</v>
      </c>
    </row>
    <row r="8794" spans="1:5" x14ac:dyDescent="0.2">
      <c r="A8794" t="s">
        <v>1484</v>
      </c>
      <c r="B8794" t="s">
        <v>1485</v>
      </c>
      <c r="C8794" t="s">
        <v>428</v>
      </c>
      <c r="D8794" t="str">
        <f>VLOOKUP(C8794,'lookup table'!$A$2:$B$19,2,FALSE)</f>
        <v>LoB</v>
      </c>
      <c r="E8794" t="str">
        <f t="shared" si="137"/>
        <v>DZ6LOB_00|LoB</v>
      </c>
    </row>
    <row r="8795" spans="1:5" x14ac:dyDescent="0.2">
      <c r="A8795" t="s">
        <v>1484</v>
      </c>
      <c r="B8795" t="s">
        <v>1485</v>
      </c>
      <c r="C8795" t="s">
        <v>436</v>
      </c>
      <c r="D8795" t="str">
        <f>VLOOKUP(C8795,'lookup table'!$A$2:$B$19,2,FALSE)</f>
        <v>MAT</v>
      </c>
      <c r="E8795" t="str">
        <f t="shared" si="137"/>
        <v>DZ6LOB_00|MAT</v>
      </c>
    </row>
    <row r="8796" spans="1:5" x14ac:dyDescent="0.2">
      <c r="A8796" t="s">
        <v>1484</v>
      </c>
      <c r="B8796" t="s">
        <v>1485</v>
      </c>
      <c r="C8796" t="s">
        <v>441</v>
      </c>
      <c r="D8796" t="str">
        <f>VLOOKUP(C8796,'lookup table'!$A$2:$B$19,2,FALSE)</f>
        <v>Partner Segment</v>
      </c>
      <c r="E8796" t="str">
        <f t="shared" si="137"/>
        <v>DZ6LOB_00|Partner Segment</v>
      </c>
    </row>
    <row r="8797" spans="1:5" x14ac:dyDescent="0.2">
      <c r="A8797" t="s">
        <v>1484</v>
      </c>
      <c r="B8797" t="s">
        <v>1485</v>
      </c>
      <c r="C8797" t="s">
        <v>442</v>
      </c>
      <c r="D8797" t="str">
        <f>VLOOKUP(C8797,'lookup table'!$A$2:$B$19,2,FALSE)</f>
        <v>Partner Unit</v>
      </c>
      <c r="E8797" t="str">
        <f t="shared" si="137"/>
        <v>DZ6LOB_00|Partner Unit</v>
      </c>
    </row>
    <row r="8798" spans="1:5" x14ac:dyDescent="0.2">
      <c r="A8798" t="s">
        <v>1484</v>
      </c>
      <c r="B8798" t="s">
        <v>1485</v>
      </c>
      <c r="C8798" t="s">
        <v>447</v>
      </c>
      <c r="D8798" t="str">
        <f>VLOOKUP(C8798,'lookup table'!$A$2:$B$19,2,FALSE)</f>
        <v>REX</v>
      </c>
      <c r="E8798" t="str">
        <f t="shared" si="137"/>
        <v>DZ6LOB_00|REX</v>
      </c>
    </row>
    <row r="8799" spans="1:5" x14ac:dyDescent="0.2">
      <c r="A8799" t="s">
        <v>1484</v>
      </c>
      <c r="B8799" t="s">
        <v>1485</v>
      </c>
      <c r="C8799" t="s">
        <v>448</v>
      </c>
      <c r="D8799" t="e">
        <f>VLOOKUP(C8799,'lookup table'!$A$2:$B$19,2,FALSE)</f>
        <v>#N/A</v>
      </c>
      <c r="E8799" t="str">
        <f t="shared" si="137"/>
        <v/>
      </c>
    </row>
    <row r="8800" spans="1:5" x14ac:dyDescent="0.2">
      <c r="A8800" t="s">
        <v>1484</v>
      </c>
      <c r="B8800" t="s">
        <v>1485</v>
      </c>
      <c r="C8800" t="s">
        <v>449</v>
      </c>
      <c r="D8800" t="e">
        <f>VLOOKUP(C8800,'lookup table'!$A$2:$B$19,2,FALSE)</f>
        <v>#N/A</v>
      </c>
      <c r="E8800" t="str">
        <f t="shared" si="137"/>
        <v/>
      </c>
    </row>
    <row r="8801" spans="1:5" x14ac:dyDescent="0.2">
      <c r="A8801" t="s">
        <v>1484</v>
      </c>
      <c r="B8801" t="s">
        <v>1485</v>
      </c>
      <c r="C8801" t="s">
        <v>451</v>
      </c>
      <c r="D8801" t="str">
        <f>VLOOKUP(C8801,'lookup table'!$A$2:$B$19,2,FALSE)</f>
        <v>Segment</v>
      </c>
      <c r="E8801" t="str">
        <f t="shared" si="137"/>
        <v>DZ6LOB_00|Segment</v>
      </c>
    </row>
    <row r="8802" spans="1:5" x14ac:dyDescent="0.2">
      <c r="A8802" t="s">
        <v>1484</v>
      </c>
      <c r="B8802" t="s">
        <v>1485</v>
      </c>
      <c r="C8802" t="s">
        <v>455</v>
      </c>
      <c r="D8802" t="e">
        <f>VLOOKUP(C8802,'lookup table'!$A$2:$B$19,2,FALSE)</f>
        <v>#N/A</v>
      </c>
      <c r="E8802" t="str">
        <f t="shared" si="137"/>
        <v/>
      </c>
    </row>
    <row r="8803" spans="1:5" x14ac:dyDescent="0.2">
      <c r="A8803" t="s">
        <v>1484</v>
      </c>
      <c r="B8803" t="s">
        <v>1485</v>
      </c>
      <c r="C8803" t="s">
        <v>456</v>
      </c>
      <c r="D8803" t="e">
        <f>VLOOKUP(C8803,'lookup table'!$A$2:$B$19,2,FALSE)</f>
        <v>#N/A</v>
      </c>
      <c r="E8803" t="str">
        <f t="shared" si="137"/>
        <v/>
      </c>
    </row>
    <row r="8804" spans="1:5" x14ac:dyDescent="0.2">
      <c r="A8804" t="s">
        <v>1484</v>
      </c>
      <c r="B8804" t="s">
        <v>1485</v>
      </c>
      <c r="C8804" t="s">
        <v>457</v>
      </c>
      <c r="D8804" t="str">
        <f>VLOOKUP(C8804,'lookup table'!$A$2:$B$19,2,FALSE)</f>
        <v>VLT</v>
      </c>
      <c r="E8804" t="str">
        <f t="shared" si="137"/>
        <v>DZ6LOB_00|VLT</v>
      </c>
    </row>
    <row r="8805" spans="1:5" x14ac:dyDescent="0.2">
      <c r="A8805" t="s">
        <v>1484</v>
      </c>
      <c r="B8805" t="s">
        <v>1485</v>
      </c>
      <c r="C8805" t="s">
        <v>458</v>
      </c>
      <c r="D8805" t="str">
        <f>VLOOKUP(C8805,'lookup table'!$A$2:$B$19,2,FALSE)</f>
        <v>VAR</v>
      </c>
      <c r="E8805" t="str">
        <f t="shared" si="137"/>
        <v>DZ6LOB_00|VAR</v>
      </c>
    </row>
    <row r="8806" spans="1:5" x14ac:dyDescent="0.2">
      <c r="A8806" t="s">
        <v>1484</v>
      </c>
      <c r="B8806" t="s">
        <v>1485</v>
      </c>
      <c r="C8806" t="s">
        <v>459</v>
      </c>
      <c r="D8806" t="e">
        <f>VLOOKUP(C8806,'lookup table'!$A$2:$B$19,2,FALSE)</f>
        <v>#N/A</v>
      </c>
      <c r="E8806" t="str">
        <f t="shared" si="137"/>
        <v/>
      </c>
    </row>
    <row r="8807" spans="1:5" x14ac:dyDescent="0.2">
      <c r="A8807" t="s">
        <v>1484</v>
      </c>
      <c r="B8807" t="s">
        <v>1485</v>
      </c>
      <c r="C8807" t="s">
        <v>460</v>
      </c>
      <c r="D8807" t="e">
        <f>VLOOKUP(C8807,'lookup table'!$A$2:$B$19,2,FALSE)</f>
        <v>#N/A</v>
      </c>
      <c r="E8807" t="str">
        <f t="shared" si="137"/>
        <v/>
      </c>
    </row>
    <row r="8808" spans="1:5" x14ac:dyDescent="0.2">
      <c r="A8808" t="s">
        <v>1484</v>
      </c>
      <c r="B8808" t="s">
        <v>1485</v>
      </c>
      <c r="C8808" t="s">
        <v>461</v>
      </c>
      <c r="D8808" t="str">
        <f>VLOOKUP(C8808,'lookup table'!$A$2:$B$19,2,FALSE)</f>
        <v>Posting Level</v>
      </c>
      <c r="E8808" t="str">
        <f t="shared" si="137"/>
        <v>DZ6LOB_00|Posting Level</v>
      </c>
    </row>
    <row r="8809" spans="1:5" x14ac:dyDescent="0.2">
      <c r="A8809" t="s">
        <v>1484</v>
      </c>
      <c r="B8809" t="s">
        <v>1485</v>
      </c>
      <c r="C8809" t="s">
        <v>462</v>
      </c>
      <c r="D8809" t="e">
        <f>VLOOKUP(C8809,'lookup table'!$A$2:$B$19,2,FALSE)</f>
        <v>#N/A</v>
      </c>
      <c r="E8809" t="str">
        <f t="shared" si="137"/>
        <v/>
      </c>
    </row>
    <row r="8810" spans="1:5" x14ac:dyDescent="0.2">
      <c r="A8810" t="s">
        <v>1484</v>
      </c>
      <c r="B8810" t="s">
        <v>1485</v>
      </c>
      <c r="C8810" t="s">
        <v>463</v>
      </c>
      <c r="D8810" t="e">
        <f>VLOOKUP(C8810,'lookup table'!$A$2:$B$19,2,FALSE)</f>
        <v>#N/A</v>
      </c>
      <c r="E8810" t="str">
        <f t="shared" si="137"/>
        <v/>
      </c>
    </row>
    <row r="8811" spans="1:5" x14ac:dyDescent="0.2">
      <c r="A8811" t="s">
        <v>1484</v>
      </c>
      <c r="B8811" t="s">
        <v>1485</v>
      </c>
      <c r="C8811" t="s">
        <v>464</v>
      </c>
      <c r="D8811" t="e">
        <f>VLOOKUP(C8811,'lookup table'!$A$2:$B$19,2,FALSE)</f>
        <v>#N/A</v>
      </c>
      <c r="E8811" t="str">
        <f t="shared" si="137"/>
        <v/>
      </c>
    </row>
    <row r="8812" spans="1:5" x14ac:dyDescent="0.2">
      <c r="A8812" t="s">
        <v>1484</v>
      </c>
      <c r="B8812" t="s">
        <v>1485</v>
      </c>
      <c r="C8812" t="s">
        <v>465</v>
      </c>
      <c r="D8812" t="e">
        <f>VLOOKUP(C8812,'lookup table'!$A$2:$B$19,2,FALSE)</f>
        <v>#N/A</v>
      </c>
      <c r="E8812" t="str">
        <f t="shared" si="137"/>
        <v/>
      </c>
    </row>
    <row r="8813" spans="1:5" x14ac:dyDescent="0.2">
      <c r="A8813" t="s">
        <v>1486</v>
      </c>
      <c r="B8813" t="s">
        <v>1485</v>
      </c>
      <c r="C8813" t="s">
        <v>2</v>
      </c>
      <c r="D8813" t="e">
        <f>VLOOKUP(C8813,'lookup table'!$A$2:$B$19,2,FALSE)</f>
        <v>#N/A</v>
      </c>
      <c r="E8813" t="str">
        <f t="shared" si="137"/>
        <v/>
      </c>
    </row>
    <row r="8814" spans="1:5" x14ac:dyDescent="0.2">
      <c r="A8814" t="s">
        <v>1486</v>
      </c>
      <c r="B8814" t="s">
        <v>1485</v>
      </c>
      <c r="C8814" t="s">
        <v>5</v>
      </c>
      <c r="D8814" t="e">
        <f>VLOOKUP(C8814,'lookup table'!$A$2:$B$19,2,FALSE)</f>
        <v>#N/A</v>
      </c>
      <c r="E8814" t="str">
        <f t="shared" si="137"/>
        <v/>
      </c>
    </row>
    <row r="8815" spans="1:5" x14ac:dyDescent="0.2">
      <c r="A8815" t="s">
        <v>1486</v>
      </c>
      <c r="B8815" t="s">
        <v>1485</v>
      </c>
      <c r="C8815" t="s">
        <v>6</v>
      </c>
      <c r="D8815" t="e">
        <f>VLOOKUP(C8815,'lookup table'!$A$2:$B$19,2,FALSE)</f>
        <v>#N/A</v>
      </c>
      <c r="E8815" t="str">
        <f t="shared" si="137"/>
        <v/>
      </c>
    </row>
    <row r="8816" spans="1:5" x14ac:dyDescent="0.2">
      <c r="A8816" t="s">
        <v>1486</v>
      </c>
      <c r="B8816" t="s">
        <v>1485</v>
      </c>
      <c r="C8816" t="s">
        <v>9</v>
      </c>
      <c r="D8816" t="e">
        <f>VLOOKUP(C8816,'lookup table'!$A$2:$B$19,2,FALSE)</f>
        <v>#N/A</v>
      </c>
      <c r="E8816" t="str">
        <f t="shared" si="137"/>
        <v/>
      </c>
    </row>
    <row r="8817" spans="1:5" x14ac:dyDescent="0.2">
      <c r="A8817" t="s">
        <v>1486</v>
      </c>
      <c r="B8817" t="s">
        <v>1485</v>
      </c>
      <c r="C8817" t="s">
        <v>10</v>
      </c>
      <c r="D8817" t="e">
        <f>VLOOKUP(C8817,'lookup table'!$A$2:$B$19,2,FALSE)</f>
        <v>#N/A</v>
      </c>
      <c r="E8817" t="str">
        <f t="shared" si="137"/>
        <v/>
      </c>
    </row>
    <row r="8818" spans="1:5" x14ac:dyDescent="0.2">
      <c r="A8818" t="s">
        <v>1486</v>
      </c>
      <c r="B8818" t="s">
        <v>1485</v>
      </c>
      <c r="C8818" t="s">
        <v>11</v>
      </c>
      <c r="D8818" t="e">
        <f>VLOOKUP(C8818,'lookup table'!$A$2:$B$19,2,FALSE)</f>
        <v>#N/A</v>
      </c>
      <c r="E8818" t="str">
        <f t="shared" si="137"/>
        <v/>
      </c>
    </row>
    <row r="8819" spans="1:5" x14ac:dyDescent="0.2">
      <c r="A8819" t="s">
        <v>1486</v>
      </c>
      <c r="B8819" t="s">
        <v>1485</v>
      </c>
      <c r="C8819" t="s">
        <v>12</v>
      </c>
      <c r="D8819" t="e">
        <f>VLOOKUP(C8819,'lookup table'!$A$2:$B$19,2,FALSE)</f>
        <v>#N/A</v>
      </c>
      <c r="E8819" t="str">
        <f t="shared" si="137"/>
        <v/>
      </c>
    </row>
    <row r="8820" spans="1:5" x14ac:dyDescent="0.2">
      <c r="A8820" t="s">
        <v>1486</v>
      </c>
      <c r="B8820" t="s">
        <v>1485</v>
      </c>
      <c r="C8820" t="s">
        <v>14</v>
      </c>
      <c r="D8820" t="str">
        <f>VLOOKUP(C8820,'lookup table'!$A$2:$B$19,2,FALSE)</f>
        <v>ALC</v>
      </c>
      <c r="E8820" t="str">
        <f t="shared" si="137"/>
        <v>DZ6LOB_14|ALC</v>
      </c>
    </row>
    <row r="8821" spans="1:5" x14ac:dyDescent="0.2">
      <c r="A8821" t="s">
        <v>1486</v>
      </c>
      <c r="B8821" t="s">
        <v>1485</v>
      </c>
      <c r="C8821" t="s">
        <v>20</v>
      </c>
      <c r="D8821" t="str">
        <f>VLOOKUP(C8821,'lookup table'!$A$2:$B$19,2,FALSE)</f>
        <v>AY</v>
      </c>
      <c r="E8821" t="str">
        <f t="shared" si="137"/>
        <v>DZ6LOB_14|AY</v>
      </c>
    </row>
    <row r="8822" spans="1:5" x14ac:dyDescent="0.2">
      <c r="A8822" t="s">
        <v>1486</v>
      </c>
      <c r="B8822" t="s">
        <v>1485</v>
      </c>
      <c r="C8822" t="s">
        <v>136</v>
      </c>
      <c r="D8822" t="str">
        <f>VLOOKUP(C8822,'lookup table'!$A$2:$B$19,2,FALSE)</f>
        <v>BBA Set</v>
      </c>
      <c r="E8822" t="str">
        <f t="shared" si="137"/>
        <v>DZ6LOB_14|BBA Set</v>
      </c>
    </row>
    <row r="8823" spans="1:5" x14ac:dyDescent="0.2">
      <c r="A8823" t="s">
        <v>1486</v>
      </c>
      <c r="B8823" t="s">
        <v>1485</v>
      </c>
      <c r="C8823" t="s">
        <v>324</v>
      </c>
      <c r="D8823" t="e">
        <f>VLOOKUP(C8823,'lookup table'!$A$2:$B$19,2,FALSE)</f>
        <v>#N/A</v>
      </c>
      <c r="E8823" t="str">
        <f t="shared" si="137"/>
        <v/>
      </c>
    </row>
    <row r="8824" spans="1:5" x14ac:dyDescent="0.2">
      <c r="A8824" t="s">
        <v>1486</v>
      </c>
      <c r="B8824" t="s">
        <v>1485</v>
      </c>
      <c r="C8824" t="s">
        <v>325</v>
      </c>
      <c r="D8824" t="e">
        <f>VLOOKUP(C8824,'lookup table'!$A$2:$B$19,2,FALSE)</f>
        <v>#N/A</v>
      </c>
      <c r="E8824" t="str">
        <f t="shared" si="137"/>
        <v/>
      </c>
    </row>
    <row r="8825" spans="1:5" x14ac:dyDescent="0.2">
      <c r="A8825" t="s">
        <v>1486</v>
      </c>
      <c r="B8825" t="s">
        <v>1485</v>
      </c>
      <c r="C8825" t="s">
        <v>326</v>
      </c>
      <c r="D8825" t="e">
        <f>VLOOKUP(C8825,'lookup table'!$A$2:$B$19,2,FALSE)</f>
        <v>#N/A</v>
      </c>
      <c r="E8825" t="str">
        <f t="shared" si="137"/>
        <v/>
      </c>
    </row>
    <row r="8826" spans="1:5" x14ac:dyDescent="0.2">
      <c r="A8826" t="s">
        <v>1486</v>
      </c>
      <c r="B8826" t="s">
        <v>1485</v>
      </c>
      <c r="C8826" t="s">
        <v>327</v>
      </c>
      <c r="D8826" t="e">
        <f>VLOOKUP(C8826,'lookup table'!$A$2:$B$19,2,FALSE)</f>
        <v>#N/A</v>
      </c>
      <c r="E8826" t="str">
        <f t="shared" si="137"/>
        <v/>
      </c>
    </row>
    <row r="8827" spans="1:5" x14ac:dyDescent="0.2">
      <c r="A8827" t="s">
        <v>1486</v>
      </c>
      <c r="B8827" t="s">
        <v>1485</v>
      </c>
      <c r="C8827" t="s">
        <v>328</v>
      </c>
      <c r="D8827" t="e">
        <f>VLOOKUP(C8827,'lookup table'!$A$2:$B$19,2,FALSE)</f>
        <v>#N/A</v>
      </c>
      <c r="E8827" t="str">
        <f t="shared" si="137"/>
        <v/>
      </c>
    </row>
    <row r="8828" spans="1:5" x14ac:dyDescent="0.2">
      <c r="A8828" t="s">
        <v>1486</v>
      </c>
      <c r="B8828" t="s">
        <v>1485</v>
      </c>
      <c r="C8828" t="s">
        <v>329</v>
      </c>
      <c r="D8828" t="e">
        <f>VLOOKUP(C8828,'lookup table'!$A$2:$B$19,2,FALSE)</f>
        <v>#N/A</v>
      </c>
      <c r="E8828" t="str">
        <f t="shared" si="137"/>
        <v/>
      </c>
    </row>
    <row r="8829" spans="1:5" x14ac:dyDescent="0.2">
      <c r="A8829" t="s">
        <v>1486</v>
      </c>
      <c r="B8829" t="s">
        <v>1485</v>
      </c>
      <c r="C8829" t="s">
        <v>331</v>
      </c>
      <c r="D8829" t="str">
        <f>VLOOKUP(C8829,'lookup table'!$A$2:$B$19,2,FALSE)</f>
        <v>FS Item</v>
      </c>
      <c r="E8829" t="str">
        <f t="shared" si="137"/>
        <v>DZ6LOB_14|FS Item</v>
      </c>
    </row>
    <row r="8830" spans="1:5" x14ac:dyDescent="0.2">
      <c r="A8830" t="s">
        <v>1486</v>
      </c>
      <c r="B8830" t="s">
        <v>1485</v>
      </c>
      <c r="C8830" t="s">
        <v>422</v>
      </c>
      <c r="D8830" t="e">
        <f>VLOOKUP(C8830,'lookup table'!$A$2:$B$19,2,FALSE)</f>
        <v>#N/A</v>
      </c>
      <c r="E8830" t="str">
        <f t="shared" si="137"/>
        <v/>
      </c>
    </row>
    <row r="8831" spans="1:5" x14ac:dyDescent="0.2">
      <c r="A8831" t="s">
        <v>1486</v>
      </c>
      <c r="B8831" t="s">
        <v>1485</v>
      </c>
      <c r="C8831" t="s">
        <v>423</v>
      </c>
      <c r="D8831" t="str">
        <f>VLOOKUP(C8831,'lookup table'!$A$2:$B$19,2,FALSE)</f>
        <v>ignore</v>
      </c>
      <c r="E8831" t="str">
        <f t="shared" si="137"/>
        <v>DZ6LOB_14|ignore</v>
      </c>
    </row>
    <row r="8832" spans="1:5" x14ac:dyDescent="0.2">
      <c r="A8832" t="s">
        <v>1486</v>
      </c>
      <c r="B8832" t="s">
        <v>1485</v>
      </c>
      <c r="C8832" t="s">
        <v>424</v>
      </c>
      <c r="D8832" t="str">
        <f>VLOOKUP(C8832,'lookup table'!$A$2:$B$19,2,FALSE)</f>
        <v>GRC</v>
      </c>
      <c r="E8832" t="str">
        <f t="shared" si="137"/>
        <v>DZ6LOB_14|GRC</v>
      </c>
    </row>
    <row r="8833" spans="1:5" x14ac:dyDescent="0.2">
      <c r="A8833" t="s">
        <v>1486</v>
      </c>
      <c r="B8833" t="s">
        <v>1485</v>
      </c>
      <c r="C8833" t="s">
        <v>425</v>
      </c>
      <c r="D8833" t="str">
        <f>VLOOKUP(C8833,'lookup table'!$A$2:$B$19,2,FALSE)</f>
        <v>Investee Segment</v>
      </c>
      <c r="E8833" t="str">
        <f t="shared" si="137"/>
        <v>DZ6LOB_14|Investee Segment</v>
      </c>
    </row>
    <row r="8834" spans="1:5" x14ac:dyDescent="0.2">
      <c r="A8834" t="s">
        <v>1486</v>
      </c>
      <c r="B8834" t="s">
        <v>1485</v>
      </c>
      <c r="C8834" t="s">
        <v>426</v>
      </c>
      <c r="D8834" t="str">
        <f>VLOOKUP(C8834,'lookup table'!$A$2:$B$19,2,FALSE)</f>
        <v>Investee Unit</v>
      </c>
      <c r="E8834" t="str">
        <f t="shared" si="137"/>
        <v>DZ6LOB_14|Investee Unit</v>
      </c>
    </row>
    <row r="8835" spans="1:5" x14ac:dyDescent="0.2">
      <c r="A8835" t="s">
        <v>1486</v>
      </c>
      <c r="B8835" t="s">
        <v>1485</v>
      </c>
      <c r="C8835" t="s">
        <v>428</v>
      </c>
      <c r="D8835" t="str">
        <f>VLOOKUP(C8835,'lookup table'!$A$2:$B$19,2,FALSE)</f>
        <v>LoB</v>
      </c>
      <c r="E8835" t="str">
        <f t="shared" ref="E8835:E8898" si="138">IF(ISNA(D8835),"",IF(A8835="","",A8835) &amp; "|" &amp; D8835)</f>
        <v>DZ6LOB_14|LoB</v>
      </c>
    </row>
    <row r="8836" spans="1:5" x14ac:dyDescent="0.2">
      <c r="A8836" t="s">
        <v>1486</v>
      </c>
      <c r="B8836" t="s">
        <v>1485</v>
      </c>
      <c r="C8836" t="s">
        <v>436</v>
      </c>
      <c r="D8836" t="str">
        <f>VLOOKUP(C8836,'lookup table'!$A$2:$B$19,2,FALSE)</f>
        <v>MAT</v>
      </c>
      <c r="E8836" t="str">
        <f t="shared" si="138"/>
        <v>DZ6LOB_14|MAT</v>
      </c>
    </row>
    <row r="8837" spans="1:5" x14ac:dyDescent="0.2">
      <c r="A8837" t="s">
        <v>1486</v>
      </c>
      <c r="B8837" t="s">
        <v>1485</v>
      </c>
      <c r="C8837" t="s">
        <v>441</v>
      </c>
      <c r="D8837" t="str">
        <f>VLOOKUP(C8837,'lookup table'!$A$2:$B$19,2,FALSE)</f>
        <v>Partner Segment</v>
      </c>
      <c r="E8837" t="str">
        <f t="shared" si="138"/>
        <v>DZ6LOB_14|Partner Segment</v>
      </c>
    </row>
    <row r="8838" spans="1:5" x14ac:dyDescent="0.2">
      <c r="A8838" t="s">
        <v>1486</v>
      </c>
      <c r="B8838" t="s">
        <v>1485</v>
      </c>
      <c r="C8838" t="s">
        <v>442</v>
      </c>
      <c r="D8838" t="str">
        <f>VLOOKUP(C8838,'lookup table'!$A$2:$B$19,2,FALSE)</f>
        <v>Partner Unit</v>
      </c>
      <c r="E8838" t="str">
        <f t="shared" si="138"/>
        <v>DZ6LOB_14|Partner Unit</v>
      </c>
    </row>
    <row r="8839" spans="1:5" x14ac:dyDescent="0.2">
      <c r="A8839" t="s">
        <v>1486</v>
      </c>
      <c r="B8839" t="s">
        <v>1485</v>
      </c>
      <c r="C8839" t="s">
        <v>447</v>
      </c>
      <c r="D8839" t="str">
        <f>VLOOKUP(C8839,'lookup table'!$A$2:$B$19,2,FALSE)</f>
        <v>REX</v>
      </c>
      <c r="E8839" t="str">
        <f t="shared" si="138"/>
        <v>DZ6LOB_14|REX</v>
      </c>
    </row>
    <row r="8840" spans="1:5" x14ac:dyDescent="0.2">
      <c r="A8840" t="s">
        <v>1486</v>
      </c>
      <c r="B8840" t="s">
        <v>1485</v>
      </c>
      <c r="C8840" t="s">
        <v>448</v>
      </c>
      <c r="D8840" t="e">
        <f>VLOOKUP(C8840,'lookup table'!$A$2:$B$19,2,FALSE)</f>
        <v>#N/A</v>
      </c>
      <c r="E8840" t="str">
        <f t="shared" si="138"/>
        <v/>
      </c>
    </row>
    <row r="8841" spans="1:5" x14ac:dyDescent="0.2">
      <c r="A8841" t="s">
        <v>1486</v>
      </c>
      <c r="B8841" t="s">
        <v>1485</v>
      </c>
      <c r="C8841" t="s">
        <v>449</v>
      </c>
      <c r="D8841" t="e">
        <f>VLOOKUP(C8841,'lookup table'!$A$2:$B$19,2,FALSE)</f>
        <v>#N/A</v>
      </c>
      <c r="E8841" t="str">
        <f t="shared" si="138"/>
        <v/>
      </c>
    </row>
    <row r="8842" spans="1:5" x14ac:dyDescent="0.2">
      <c r="A8842" t="s">
        <v>1486</v>
      </c>
      <c r="B8842" t="s">
        <v>1485</v>
      </c>
      <c r="C8842" t="s">
        <v>451</v>
      </c>
      <c r="D8842" t="str">
        <f>VLOOKUP(C8842,'lookup table'!$A$2:$B$19,2,FALSE)</f>
        <v>Segment</v>
      </c>
      <c r="E8842" t="str">
        <f t="shared" si="138"/>
        <v>DZ6LOB_14|Segment</v>
      </c>
    </row>
    <row r="8843" spans="1:5" x14ac:dyDescent="0.2">
      <c r="A8843" t="s">
        <v>1486</v>
      </c>
      <c r="B8843" t="s">
        <v>1485</v>
      </c>
      <c r="C8843" t="s">
        <v>455</v>
      </c>
      <c r="D8843" t="e">
        <f>VLOOKUP(C8843,'lookup table'!$A$2:$B$19,2,FALSE)</f>
        <v>#N/A</v>
      </c>
      <c r="E8843" t="str">
        <f t="shared" si="138"/>
        <v/>
      </c>
    </row>
    <row r="8844" spans="1:5" x14ac:dyDescent="0.2">
      <c r="A8844" t="s">
        <v>1486</v>
      </c>
      <c r="B8844" t="s">
        <v>1485</v>
      </c>
      <c r="C8844" t="s">
        <v>456</v>
      </c>
      <c r="D8844" t="e">
        <f>VLOOKUP(C8844,'lookup table'!$A$2:$B$19,2,FALSE)</f>
        <v>#N/A</v>
      </c>
      <c r="E8844" t="str">
        <f t="shared" si="138"/>
        <v/>
      </c>
    </row>
    <row r="8845" spans="1:5" x14ac:dyDescent="0.2">
      <c r="A8845" t="s">
        <v>1486</v>
      </c>
      <c r="B8845" t="s">
        <v>1485</v>
      </c>
      <c r="C8845" t="s">
        <v>457</v>
      </c>
      <c r="D8845" t="str">
        <f>VLOOKUP(C8845,'lookup table'!$A$2:$B$19,2,FALSE)</f>
        <v>VLT</v>
      </c>
      <c r="E8845" t="str">
        <f t="shared" si="138"/>
        <v>DZ6LOB_14|VLT</v>
      </c>
    </row>
    <row r="8846" spans="1:5" x14ac:dyDescent="0.2">
      <c r="A8846" t="s">
        <v>1486</v>
      </c>
      <c r="B8846" t="s">
        <v>1485</v>
      </c>
      <c r="C8846" t="s">
        <v>458</v>
      </c>
      <c r="D8846" t="str">
        <f>VLOOKUP(C8846,'lookup table'!$A$2:$B$19,2,FALSE)</f>
        <v>VAR</v>
      </c>
      <c r="E8846" t="str">
        <f t="shared" si="138"/>
        <v>DZ6LOB_14|VAR</v>
      </c>
    </row>
    <row r="8847" spans="1:5" x14ac:dyDescent="0.2">
      <c r="A8847" t="s">
        <v>1486</v>
      </c>
      <c r="B8847" t="s">
        <v>1485</v>
      </c>
      <c r="C8847" t="s">
        <v>459</v>
      </c>
      <c r="D8847" t="e">
        <f>VLOOKUP(C8847,'lookup table'!$A$2:$B$19,2,FALSE)</f>
        <v>#N/A</v>
      </c>
      <c r="E8847" t="str">
        <f t="shared" si="138"/>
        <v/>
      </c>
    </row>
    <row r="8848" spans="1:5" x14ac:dyDescent="0.2">
      <c r="A8848" t="s">
        <v>1486</v>
      </c>
      <c r="B8848" t="s">
        <v>1485</v>
      </c>
      <c r="C8848" t="s">
        <v>460</v>
      </c>
      <c r="D8848" t="e">
        <f>VLOOKUP(C8848,'lookup table'!$A$2:$B$19,2,FALSE)</f>
        <v>#N/A</v>
      </c>
      <c r="E8848" t="str">
        <f t="shared" si="138"/>
        <v/>
      </c>
    </row>
    <row r="8849" spans="1:5" x14ac:dyDescent="0.2">
      <c r="A8849" t="s">
        <v>1486</v>
      </c>
      <c r="B8849" t="s">
        <v>1485</v>
      </c>
      <c r="C8849" t="s">
        <v>461</v>
      </c>
      <c r="D8849" t="str">
        <f>VLOOKUP(C8849,'lookup table'!$A$2:$B$19,2,FALSE)</f>
        <v>Posting Level</v>
      </c>
      <c r="E8849" t="str">
        <f t="shared" si="138"/>
        <v>DZ6LOB_14|Posting Level</v>
      </c>
    </row>
    <row r="8850" spans="1:5" x14ac:dyDescent="0.2">
      <c r="A8850" t="s">
        <v>1486</v>
      </c>
      <c r="B8850" t="s">
        <v>1485</v>
      </c>
      <c r="C8850" t="s">
        <v>462</v>
      </c>
      <c r="D8850" t="e">
        <f>VLOOKUP(C8850,'lookup table'!$A$2:$B$19,2,FALSE)</f>
        <v>#N/A</v>
      </c>
      <c r="E8850" t="str">
        <f t="shared" si="138"/>
        <v/>
      </c>
    </row>
    <row r="8851" spans="1:5" x14ac:dyDescent="0.2">
      <c r="A8851" t="s">
        <v>1486</v>
      </c>
      <c r="B8851" t="s">
        <v>1485</v>
      </c>
      <c r="C8851" t="s">
        <v>463</v>
      </c>
      <c r="D8851" t="e">
        <f>VLOOKUP(C8851,'lookup table'!$A$2:$B$19,2,FALSE)</f>
        <v>#N/A</v>
      </c>
      <c r="E8851" t="str">
        <f t="shared" si="138"/>
        <v/>
      </c>
    </row>
    <row r="8852" spans="1:5" x14ac:dyDescent="0.2">
      <c r="A8852" t="s">
        <v>1486</v>
      </c>
      <c r="B8852" t="s">
        <v>1485</v>
      </c>
      <c r="C8852" t="s">
        <v>464</v>
      </c>
      <c r="D8852" t="e">
        <f>VLOOKUP(C8852,'lookup table'!$A$2:$B$19,2,FALSE)</f>
        <v>#N/A</v>
      </c>
      <c r="E8852" t="str">
        <f t="shared" si="138"/>
        <v/>
      </c>
    </row>
    <row r="8853" spans="1:5" x14ac:dyDescent="0.2">
      <c r="A8853" t="s">
        <v>1486</v>
      </c>
      <c r="B8853" t="s">
        <v>1485</v>
      </c>
      <c r="C8853" t="s">
        <v>465</v>
      </c>
      <c r="D8853" t="e">
        <f>VLOOKUP(C8853,'lookup table'!$A$2:$B$19,2,FALSE)</f>
        <v>#N/A</v>
      </c>
      <c r="E8853" t="str">
        <f t="shared" si="138"/>
        <v/>
      </c>
    </row>
    <row r="8854" spans="1:5" x14ac:dyDescent="0.2">
      <c r="A8854" t="s">
        <v>1487</v>
      </c>
      <c r="B8854" t="s">
        <v>1488</v>
      </c>
      <c r="C8854" t="s">
        <v>2</v>
      </c>
      <c r="D8854" t="e">
        <f>VLOOKUP(C8854,'lookup table'!$A$2:$B$19,2,FALSE)</f>
        <v>#N/A</v>
      </c>
      <c r="E8854" t="str">
        <f t="shared" si="138"/>
        <v/>
      </c>
    </row>
    <row r="8855" spans="1:5" x14ac:dyDescent="0.2">
      <c r="A8855" t="s">
        <v>1487</v>
      </c>
      <c r="B8855" t="s">
        <v>1488</v>
      </c>
      <c r="C8855" t="s">
        <v>5</v>
      </c>
      <c r="D8855" t="e">
        <f>VLOOKUP(C8855,'lookup table'!$A$2:$B$19,2,FALSE)</f>
        <v>#N/A</v>
      </c>
      <c r="E8855" t="str">
        <f t="shared" si="138"/>
        <v/>
      </c>
    </row>
    <row r="8856" spans="1:5" x14ac:dyDescent="0.2">
      <c r="A8856" t="s">
        <v>1487</v>
      </c>
      <c r="B8856" t="s">
        <v>1488</v>
      </c>
      <c r="C8856" t="s">
        <v>6</v>
      </c>
      <c r="D8856" t="e">
        <f>VLOOKUP(C8856,'lookup table'!$A$2:$B$19,2,FALSE)</f>
        <v>#N/A</v>
      </c>
      <c r="E8856" t="str">
        <f t="shared" si="138"/>
        <v/>
      </c>
    </row>
    <row r="8857" spans="1:5" x14ac:dyDescent="0.2">
      <c r="A8857" t="s">
        <v>1487</v>
      </c>
      <c r="B8857" t="s">
        <v>1488</v>
      </c>
      <c r="C8857" t="s">
        <v>9</v>
      </c>
      <c r="D8857" t="e">
        <f>VLOOKUP(C8857,'lookup table'!$A$2:$B$19,2,FALSE)</f>
        <v>#N/A</v>
      </c>
      <c r="E8857" t="str">
        <f t="shared" si="138"/>
        <v/>
      </c>
    </row>
    <row r="8858" spans="1:5" x14ac:dyDescent="0.2">
      <c r="A8858" t="s">
        <v>1487</v>
      </c>
      <c r="B8858" t="s">
        <v>1488</v>
      </c>
      <c r="C8858" t="s">
        <v>10</v>
      </c>
      <c r="D8858" t="e">
        <f>VLOOKUP(C8858,'lookup table'!$A$2:$B$19,2,FALSE)</f>
        <v>#N/A</v>
      </c>
      <c r="E8858" t="str">
        <f t="shared" si="138"/>
        <v/>
      </c>
    </row>
    <row r="8859" spans="1:5" x14ac:dyDescent="0.2">
      <c r="A8859" t="s">
        <v>1487</v>
      </c>
      <c r="B8859" t="s">
        <v>1488</v>
      </c>
      <c r="C8859" t="s">
        <v>11</v>
      </c>
      <c r="D8859" t="e">
        <f>VLOOKUP(C8859,'lookup table'!$A$2:$B$19,2,FALSE)</f>
        <v>#N/A</v>
      </c>
      <c r="E8859" t="str">
        <f t="shared" si="138"/>
        <v/>
      </c>
    </row>
    <row r="8860" spans="1:5" x14ac:dyDescent="0.2">
      <c r="A8860" t="s">
        <v>1487</v>
      </c>
      <c r="B8860" t="s">
        <v>1488</v>
      </c>
      <c r="C8860" t="s">
        <v>12</v>
      </c>
      <c r="D8860" t="e">
        <f>VLOOKUP(C8860,'lookup table'!$A$2:$B$19,2,FALSE)</f>
        <v>#N/A</v>
      </c>
      <c r="E8860" t="str">
        <f t="shared" si="138"/>
        <v/>
      </c>
    </row>
    <row r="8861" spans="1:5" x14ac:dyDescent="0.2">
      <c r="A8861" t="s">
        <v>1487</v>
      </c>
      <c r="B8861" t="s">
        <v>1488</v>
      </c>
      <c r="C8861" t="s">
        <v>14</v>
      </c>
      <c r="D8861" t="str">
        <f>VLOOKUP(C8861,'lookup table'!$A$2:$B$19,2,FALSE)</f>
        <v>ALC</v>
      </c>
      <c r="E8861" t="str">
        <f t="shared" si="138"/>
        <v>DZ6MAT_00|ALC</v>
      </c>
    </row>
    <row r="8862" spans="1:5" x14ac:dyDescent="0.2">
      <c r="A8862" t="s">
        <v>1487</v>
      </c>
      <c r="B8862" t="s">
        <v>1488</v>
      </c>
      <c r="C8862" t="s">
        <v>20</v>
      </c>
      <c r="D8862" t="str">
        <f>VLOOKUP(C8862,'lookup table'!$A$2:$B$19,2,FALSE)</f>
        <v>AY</v>
      </c>
      <c r="E8862" t="str">
        <f t="shared" si="138"/>
        <v>DZ6MAT_00|AY</v>
      </c>
    </row>
    <row r="8863" spans="1:5" x14ac:dyDescent="0.2">
      <c r="A8863" t="s">
        <v>1487</v>
      </c>
      <c r="B8863" t="s">
        <v>1488</v>
      </c>
      <c r="C8863" t="s">
        <v>136</v>
      </c>
      <c r="D8863" t="str">
        <f>VLOOKUP(C8863,'lookup table'!$A$2:$B$19,2,FALSE)</f>
        <v>BBA Set</v>
      </c>
      <c r="E8863" t="str">
        <f t="shared" si="138"/>
        <v>DZ6MAT_00|BBA Set</v>
      </c>
    </row>
    <row r="8864" spans="1:5" x14ac:dyDescent="0.2">
      <c r="A8864" t="s">
        <v>1487</v>
      </c>
      <c r="B8864" t="s">
        <v>1488</v>
      </c>
      <c r="C8864" t="s">
        <v>324</v>
      </c>
      <c r="D8864" t="e">
        <f>VLOOKUP(C8864,'lookup table'!$A$2:$B$19,2,FALSE)</f>
        <v>#N/A</v>
      </c>
      <c r="E8864" t="str">
        <f t="shared" si="138"/>
        <v/>
      </c>
    </row>
    <row r="8865" spans="1:5" x14ac:dyDescent="0.2">
      <c r="A8865" t="s">
        <v>1487</v>
      </c>
      <c r="B8865" t="s">
        <v>1488</v>
      </c>
      <c r="C8865" t="s">
        <v>325</v>
      </c>
      <c r="D8865" t="e">
        <f>VLOOKUP(C8865,'lookup table'!$A$2:$B$19,2,FALSE)</f>
        <v>#N/A</v>
      </c>
      <c r="E8865" t="str">
        <f t="shared" si="138"/>
        <v/>
      </c>
    </row>
    <row r="8866" spans="1:5" x14ac:dyDescent="0.2">
      <c r="A8866" t="s">
        <v>1487</v>
      </c>
      <c r="B8866" t="s">
        <v>1488</v>
      </c>
      <c r="C8866" t="s">
        <v>326</v>
      </c>
      <c r="D8866" t="e">
        <f>VLOOKUP(C8866,'lookup table'!$A$2:$B$19,2,FALSE)</f>
        <v>#N/A</v>
      </c>
      <c r="E8866" t="str">
        <f t="shared" si="138"/>
        <v/>
      </c>
    </row>
    <row r="8867" spans="1:5" x14ac:dyDescent="0.2">
      <c r="A8867" t="s">
        <v>1487</v>
      </c>
      <c r="B8867" t="s">
        <v>1488</v>
      </c>
      <c r="C8867" t="s">
        <v>327</v>
      </c>
      <c r="D8867" t="e">
        <f>VLOOKUP(C8867,'lookup table'!$A$2:$B$19,2,FALSE)</f>
        <v>#N/A</v>
      </c>
      <c r="E8867" t="str">
        <f t="shared" si="138"/>
        <v/>
      </c>
    </row>
    <row r="8868" spans="1:5" x14ac:dyDescent="0.2">
      <c r="A8868" t="s">
        <v>1487</v>
      </c>
      <c r="B8868" t="s">
        <v>1488</v>
      </c>
      <c r="C8868" t="s">
        <v>328</v>
      </c>
      <c r="D8868" t="e">
        <f>VLOOKUP(C8868,'lookup table'!$A$2:$B$19,2,FALSE)</f>
        <v>#N/A</v>
      </c>
      <c r="E8868" t="str">
        <f t="shared" si="138"/>
        <v/>
      </c>
    </row>
    <row r="8869" spans="1:5" x14ac:dyDescent="0.2">
      <c r="A8869" t="s">
        <v>1487</v>
      </c>
      <c r="B8869" t="s">
        <v>1488</v>
      </c>
      <c r="C8869" t="s">
        <v>329</v>
      </c>
      <c r="D8869" t="e">
        <f>VLOOKUP(C8869,'lookup table'!$A$2:$B$19,2,FALSE)</f>
        <v>#N/A</v>
      </c>
      <c r="E8869" t="str">
        <f t="shared" si="138"/>
        <v/>
      </c>
    </row>
    <row r="8870" spans="1:5" x14ac:dyDescent="0.2">
      <c r="A8870" t="s">
        <v>1487</v>
      </c>
      <c r="B8870" t="s">
        <v>1488</v>
      </c>
      <c r="C8870" t="s">
        <v>331</v>
      </c>
      <c r="D8870" t="str">
        <f>VLOOKUP(C8870,'lookup table'!$A$2:$B$19,2,FALSE)</f>
        <v>FS Item</v>
      </c>
      <c r="E8870" t="str">
        <f t="shared" si="138"/>
        <v>DZ6MAT_00|FS Item</v>
      </c>
    </row>
    <row r="8871" spans="1:5" x14ac:dyDescent="0.2">
      <c r="A8871" t="s">
        <v>1487</v>
      </c>
      <c r="B8871" t="s">
        <v>1488</v>
      </c>
      <c r="C8871" t="s">
        <v>422</v>
      </c>
      <c r="D8871" t="e">
        <f>VLOOKUP(C8871,'lookup table'!$A$2:$B$19,2,FALSE)</f>
        <v>#N/A</v>
      </c>
      <c r="E8871" t="str">
        <f t="shared" si="138"/>
        <v/>
      </c>
    </row>
    <row r="8872" spans="1:5" x14ac:dyDescent="0.2">
      <c r="A8872" t="s">
        <v>1487</v>
      </c>
      <c r="B8872" t="s">
        <v>1488</v>
      </c>
      <c r="C8872" t="s">
        <v>423</v>
      </c>
      <c r="D8872" t="str">
        <f>VLOOKUP(C8872,'lookup table'!$A$2:$B$19,2,FALSE)</f>
        <v>ignore</v>
      </c>
      <c r="E8872" t="str">
        <f t="shared" si="138"/>
        <v>DZ6MAT_00|ignore</v>
      </c>
    </row>
    <row r="8873" spans="1:5" x14ac:dyDescent="0.2">
      <c r="A8873" t="s">
        <v>1487</v>
      </c>
      <c r="B8873" t="s">
        <v>1488</v>
      </c>
      <c r="C8873" t="s">
        <v>424</v>
      </c>
      <c r="D8873" t="str">
        <f>VLOOKUP(C8873,'lookup table'!$A$2:$B$19,2,FALSE)</f>
        <v>GRC</v>
      </c>
      <c r="E8873" t="str">
        <f t="shared" si="138"/>
        <v>DZ6MAT_00|GRC</v>
      </c>
    </row>
    <row r="8874" spans="1:5" x14ac:dyDescent="0.2">
      <c r="A8874" t="s">
        <v>1487</v>
      </c>
      <c r="B8874" t="s">
        <v>1488</v>
      </c>
      <c r="C8874" t="s">
        <v>425</v>
      </c>
      <c r="D8874" t="str">
        <f>VLOOKUP(C8874,'lookup table'!$A$2:$B$19,2,FALSE)</f>
        <v>Investee Segment</v>
      </c>
      <c r="E8874" t="str">
        <f t="shared" si="138"/>
        <v>DZ6MAT_00|Investee Segment</v>
      </c>
    </row>
    <row r="8875" spans="1:5" x14ac:dyDescent="0.2">
      <c r="A8875" t="s">
        <v>1487</v>
      </c>
      <c r="B8875" t="s">
        <v>1488</v>
      </c>
      <c r="C8875" t="s">
        <v>426</v>
      </c>
      <c r="D8875" t="str">
        <f>VLOOKUP(C8875,'lookup table'!$A$2:$B$19,2,FALSE)</f>
        <v>Investee Unit</v>
      </c>
      <c r="E8875" t="str">
        <f t="shared" si="138"/>
        <v>DZ6MAT_00|Investee Unit</v>
      </c>
    </row>
    <row r="8876" spans="1:5" x14ac:dyDescent="0.2">
      <c r="A8876" t="s">
        <v>1487</v>
      </c>
      <c r="B8876" t="s">
        <v>1488</v>
      </c>
      <c r="C8876" t="s">
        <v>428</v>
      </c>
      <c r="D8876" t="str">
        <f>VLOOKUP(C8876,'lookup table'!$A$2:$B$19,2,FALSE)</f>
        <v>LoB</v>
      </c>
      <c r="E8876" t="str">
        <f t="shared" si="138"/>
        <v>DZ6MAT_00|LoB</v>
      </c>
    </row>
    <row r="8877" spans="1:5" x14ac:dyDescent="0.2">
      <c r="A8877" t="s">
        <v>1487</v>
      </c>
      <c r="B8877" t="s">
        <v>1488</v>
      </c>
      <c r="C8877" t="s">
        <v>436</v>
      </c>
      <c r="D8877" t="str">
        <f>VLOOKUP(C8877,'lookup table'!$A$2:$B$19,2,FALSE)</f>
        <v>MAT</v>
      </c>
      <c r="E8877" t="str">
        <f t="shared" si="138"/>
        <v>DZ6MAT_00|MAT</v>
      </c>
    </row>
    <row r="8878" spans="1:5" x14ac:dyDescent="0.2">
      <c r="A8878" t="s">
        <v>1487</v>
      </c>
      <c r="B8878" t="s">
        <v>1488</v>
      </c>
      <c r="C8878" t="s">
        <v>438</v>
      </c>
      <c r="D8878" t="str">
        <f>VLOOKUP(C8878,'lookup table'!$A$2:$B$19,2,FALSE)</f>
        <v>ToM</v>
      </c>
      <c r="E8878" t="str">
        <f t="shared" si="138"/>
        <v>DZ6MAT_00|ToM</v>
      </c>
    </row>
    <row r="8879" spans="1:5" x14ac:dyDescent="0.2">
      <c r="A8879" t="s">
        <v>1487</v>
      </c>
      <c r="B8879" t="s">
        <v>1488</v>
      </c>
      <c r="C8879" t="s">
        <v>441</v>
      </c>
      <c r="D8879" t="str">
        <f>VLOOKUP(C8879,'lookup table'!$A$2:$B$19,2,FALSE)</f>
        <v>Partner Segment</v>
      </c>
      <c r="E8879" t="str">
        <f t="shared" si="138"/>
        <v>DZ6MAT_00|Partner Segment</v>
      </c>
    </row>
    <row r="8880" spans="1:5" x14ac:dyDescent="0.2">
      <c r="A8880" t="s">
        <v>1487</v>
      </c>
      <c r="B8880" t="s">
        <v>1488</v>
      </c>
      <c r="C8880" t="s">
        <v>442</v>
      </c>
      <c r="D8880" t="str">
        <f>VLOOKUP(C8880,'lookup table'!$A$2:$B$19,2,FALSE)</f>
        <v>Partner Unit</v>
      </c>
      <c r="E8880" t="str">
        <f t="shared" si="138"/>
        <v>DZ6MAT_00|Partner Unit</v>
      </c>
    </row>
    <row r="8881" spans="1:5" x14ac:dyDescent="0.2">
      <c r="A8881" t="s">
        <v>1487</v>
      </c>
      <c r="B8881" t="s">
        <v>1488</v>
      </c>
      <c r="C8881" t="s">
        <v>447</v>
      </c>
      <c r="D8881" t="str">
        <f>VLOOKUP(C8881,'lookup table'!$A$2:$B$19,2,FALSE)</f>
        <v>REX</v>
      </c>
      <c r="E8881" t="str">
        <f t="shared" si="138"/>
        <v>DZ6MAT_00|REX</v>
      </c>
    </row>
    <row r="8882" spans="1:5" x14ac:dyDescent="0.2">
      <c r="A8882" t="s">
        <v>1487</v>
      </c>
      <c r="B8882" t="s">
        <v>1488</v>
      </c>
      <c r="C8882" t="s">
        <v>448</v>
      </c>
      <c r="D8882" t="e">
        <f>VLOOKUP(C8882,'lookup table'!$A$2:$B$19,2,FALSE)</f>
        <v>#N/A</v>
      </c>
      <c r="E8882" t="str">
        <f t="shared" si="138"/>
        <v/>
      </c>
    </row>
    <row r="8883" spans="1:5" x14ac:dyDescent="0.2">
      <c r="A8883" t="s">
        <v>1487</v>
      </c>
      <c r="B8883" t="s">
        <v>1488</v>
      </c>
      <c r="C8883" t="s">
        <v>449</v>
      </c>
      <c r="D8883" t="e">
        <f>VLOOKUP(C8883,'lookup table'!$A$2:$B$19,2,FALSE)</f>
        <v>#N/A</v>
      </c>
      <c r="E8883" t="str">
        <f t="shared" si="138"/>
        <v/>
      </c>
    </row>
    <row r="8884" spans="1:5" x14ac:dyDescent="0.2">
      <c r="A8884" t="s">
        <v>1487</v>
      </c>
      <c r="B8884" t="s">
        <v>1488</v>
      </c>
      <c r="C8884" t="s">
        <v>451</v>
      </c>
      <c r="D8884" t="str">
        <f>VLOOKUP(C8884,'lookup table'!$A$2:$B$19,2,FALSE)</f>
        <v>Segment</v>
      </c>
      <c r="E8884" t="str">
        <f t="shared" si="138"/>
        <v>DZ6MAT_00|Segment</v>
      </c>
    </row>
    <row r="8885" spans="1:5" x14ac:dyDescent="0.2">
      <c r="A8885" t="s">
        <v>1487</v>
      </c>
      <c r="B8885" t="s">
        <v>1488</v>
      </c>
      <c r="C8885" t="s">
        <v>455</v>
      </c>
      <c r="D8885" t="e">
        <f>VLOOKUP(C8885,'lookup table'!$A$2:$B$19,2,FALSE)</f>
        <v>#N/A</v>
      </c>
      <c r="E8885" t="str">
        <f t="shared" si="138"/>
        <v/>
      </c>
    </row>
    <row r="8886" spans="1:5" x14ac:dyDescent="0.2">
      <c r="A8886" t="s">
        <v>1487</v>
      </c>
      <c r="B8886" t="s">
        <v>1488</v>
      </c>
      <c r="C8886" t="s">
        <v>456</v>
      </c>
      <c r="D8886" t="e">
        <f>VLOOKUP(C8886,'lookup table'!$A$2:$B$19,2,FALSE)</f>
        <v>#N/A</v>
      </c>
      <c r="E8886" t="str">
        <f t="shared" si="138"/>
        <v/>
      </c>
    </row>
    <row r="8887" spans="1:5" x14ac:dyDescent="0.2">
      <c r="A8887" t="s">
        <v>1487</v>
      </c>
      <c r="B8887" t="s">
        <v>1488</v>
      </c>
      <c r="C8887" t="s">
        <v>457</v>
      </c>
      <c r="D8887" t="str">
        <f>VLOOKUP(C8887,'lookup table'!$A$2:$B$19,2,FALSE)</f>
        <v>VLT</v>
      </c>
      <c r="E8887" t="str">
        <f t="shared" si="138"/>
        <v>DZ6MAT_00|VLT</v>
      </c>
    </row>
    <row r="8888" spans="1:5" x14ac:dyDescent="0.2">
      <c r="A8888" t="s">
        <v>1487</v>
      </c>
      <c r="B8888" t="s">
        <v>1488</v>
      </c>
      <c r="C8888" t="s">
        <v>458</v>
      </c>
      <c r="D8888" t="str">
        <f>VLOOKUP(C8888,'lookup table'!$A$2:$B$19,2,FALSE)</f>
        <v>VAR</v>
      </c>
      <c r="E8888" t="str">
        <f t="shared" si="138"/>
        <v>DZ6MAT_00|VAR</v>
      </c>
    </row>
    <row r="8889" spans="1:5" x14ac:dyDescent="0.2">
      <c r="A8889" t="s">
        <v>1487</v>
      </c>
      <c r="B8889" t="s">
        <v>1488</v>
      </c>
      <c r="C8889" t="s">
        <v>459</v>
      </c>
      <c r="D8889" t="e">
        <f>VLOOKUP(C8889,'lookup table'!$A$2:$B$19,2,FALSE)</f>
        <v>#N/A</v>
      </c>
      <c r="E8889" t="str">
        <f t="shared" si="138"/>
        <v/>
      </c>
    </row>
    <row r="8890" spans="1:5" x14ac:dyDescent="0.2">
      <c r="A8890" t="s">
        <v>1487</v>
      </c>
      <c r="B8890" t="s">
        <v>1488</v>
      </c>
      <c r="C8890" t="s">
        <v>460</v>
      </c>
      <c r="D8890" t="e">
        <f>VLOOKUP(C8890,'lookup table'!$A$2:$B$19,2,FALSE)</f>
        <v>#N/A</v>
      </c>
      <c r="E8890" t="str">
        <f t="shared" si="138"/>
        <v/>
      </c>
    </row>
    <row r="8891" spans="1:5" x14ac:dyDescent="0.2">
      <c r="A8891" t="s">
        <v>1487</v>
      </c>
      <c r="B8891" t="s">
        <v>1488</v>
      </c>
      <c r="C8891" t="s">
        <v>461</v>
      </c>
      <c r="D8891" t="str">
        <f>VLOOKUP(C8891,'lookup table'!$A$2:$B$19,2,FALSE)</f>
        <v>Posting Level</v>
      </c>
      <c r="E8891" t="str">
        <f t="shared" si="138"/>
        <v>DZ6MAT_00|Posting Level</v>
      </c>
    </row>
    <row r="8892" spans="1:5" x14ac:dyDescent="0.2">
      <c r="A8892" t="s">
        <v>1487</v>
      </c>
      <c r="B8892" t="s">
        <v>1488</v>
      </c>
      <c r="C8892" t="s">
        <v>462</v>
      </c>
      <c r="D8892" t="e">
        <f>VLOOKUP(C8892,'lookup table'!$A$2:$B$19,2,FALSE)</f>
        <v>#N/A</v>
      </c>
      <c r="E8892" t="str">
        <f t="shared" si="138"/>
        <v/>
      </c>
    </row>
    <row r="8893" spans="1:5" x14ac:dyDescent="0.2">
      <c r="A8893" t="s">
        <v>1487</v>
      </c>
      <c r="B8893" t="s">
        <v>1488</v>
      </c>
      <c r="C8893" t="s">
        <v>463</v>
      </c>
      <c r="D8893" t="e">
        <f>VLOOKUP(C8893,'lookup table'!$A$2:$B$19,2,FALSE)</f>
        <v>#N/A</v>
      </c>
      <c r="E8893" t="str">
        <f t="shared" si="138"/>
        <v/>
      </c>
    </row>
    <row r="8894" spans="1:5" x14ac:dyDescent="0.2">
      <c r="A8894" t="s">
        <v>1487</v>
      </c>
      <c r="B8894" t="s">
        <v>1488</v>
      </c>
      <c r="C8894" t="s">
        <v>464</v>
      </c>
      <c r="D8894" t="e">
        <f>VLOOKUP(C8894,'lookup table'!$A$2:$B$19,2,FALSE)</f>
        <v>#N/A</v>
      </c>
      <c r="E8894" t="str">
        <f t="shared" si="138"/>
        <v/>
      </c>
    </row>
    <row r="8895" spans="1:5" x14ac:dyDescent="0.2">
      <c r="A8895" t="s">
        <v>1487</v>
      </c>
      <c r="B8895" t="s">
        <v>1488</v>
      </c>
      <c r="C8895" t="s">
        <v>465</v>
      </c>
      <c r="D8895" t="e">
        <f>VLOOKUP(C8895,'lookup table'!$A$2:$B$19,2,FALSE)</f>
        <v>#N/A</v>
      </c>
      <c r="E8895" t="str">
        <f t="shared" si="138"/>
        <v/>
      </c>
    </row>
    <row r="8896" spans="1:5" x14ac:dyDescent="0.2">
      <c r="A8896" t="s">
        <v>1489</v>
      </c>
      <c r="B8896" t="s">
        <v>1490</v>
      </c>
      <c r="C8896" t="s">
        <v>2</v>
      </c>
      <c r="D8896" t="e">
        <f>VLOOKUP(C8896,'lookup table'!$A$2:$B$19,2,FALSE)</f>
        <v>#N/A</v>
      </c>
      <c r="E8896" t="str">
        <f t="shared" si="138"/>
        <v/>
      </c>
    </row>
    <row r="8897" spans="1:5" x14ac:dyDescent="0.2">
      <c r="A8897" t="s">
        <v>1489</v>
      </c>
      <c r="B8897" t="s">
        <v>1490</v>
      </c>
      <c r="C8897" t="s">
        <v>5</v>
      </c>
      <c r="D8897" t="e">
        <f>VLOOKUP(C8897,'lookup table'!$A$2:$B$19,2,FALSE)</f>
        <v>#N/A</v>
      </c>
      <c r="E8897" t="str">
        <f t="shared" si="138"/>
        <v/>
      </c>
    </row>
    <row r="8898" spans="1:5" x14ac:dyDescent="0.2">
      <c r="A8898" t="s">
        <v>1489</v>
      </c>
      <c r="B8898" t="s">
        <v>1490</v>
      </c>
      <c r="C8898" t="s">
        <v>6</v>
      </c>
      <c r="D8898" t="e">
        <f>VLOOKUP(C8898,'lookup table'!$A$2:$B$19,2,FALSE)</f>
        <v>#N/A</v>
      </c>
      <c r="E8898" t="str">
        <f t="shared" si="138"/>
        <v/>
      </c>
    </row>
    <row r="8899" spans="1:5" x14ac:dyDescent="0.2">
      <c r="A8899" t="s">
        <v>1489</v>
      </c>
      <c r="B8899" t="s">
        <v>1490</v>
      </c>
      <c r="C8899" t="s">
        <v>9</v>
      </c>
      <c r="D8899" t="e">
        <f>VLOOKUP(C8899,'lookup table'!$A$2:$B$19,2,FALSE)</f>
        <v>#N/A</v>
      </c>
      <c r="E8899" t="str">
        <f t="shared" ref="E8899:E8962" si="139">IF(ISNA(D8899),"",IF(A8899="","",A8899) &amp; "|" &amp; D8899)</f>
        <v/>
      </c>
    </row>
    <row r="8900" spans="1:5" x14ac:dyDescent="0.2">
      <c r="A8900" t="s">
        <v>1489</v>
      </c>
      <c r="B8900" t="s">
        <v>1490</v>
      </c>
      <c r="C8900" t="s">
        <v>10</v>
      </c>
      <c r="D8900" t="e">
        <f>VLOOKUP(C8900,'lookup table'!$A$2:$B$19,2,FALSE)</f>
        <v>#N/A</v>
      </c>
      <c r="E8900" t="str">
        <f t="shared" si="139"/>
        <v/>
      </c>
    </row>
    <row r="8901" spans="1:5" x14ac:dyDescent="0.2">
      <c r="A8901" t="s">
        <v>1489</v>
      </c>
      <c r="B8901" t="s">
        <v>1490</v>
      </c>
      <c r="C8901" t="s">
        <v>11</v>
      </c>
      <c r="D8901" t="e">
        <f>VLOOKUP(C8901,'lookup table'!$A$2:$B$19,2,FALSE)</f>
        <v>#N/A</v>
      </c>
      <c r="E8901" t="str">
        <f t="shared" si="139"/>
        <v/>
      </c>
    </row>
    <row r="8902" spans="1:5" x14ac:dyDescent="0.2">
      <c r="A8902" t="s">
        <v>1489</v>
      </c>
      <c r="B8902" t="s">
        <v>1490</v>
      </c>
      <c r="C8902" t="s">
        <v>12</v>
      </c>
      <c r="D8902" t="e">
        <f>VLOOKUP(C8902,'lookup table'!$A$2:$B$19,2,FALSE)</f>
        <v>#N/A</v>
      </c>
      <c r="E8902" t="str">
        <f t="shared" si="139"/>
        <v/>
      </c>
    </row>
    <row r="8903" spans="1:5" x14ac:dyDescent="0.2">
      <c r="A8903" t="s">
        <v>1489</v>
      </c>
      <c r="B8903" t="s">
        <v>1490</v>
      </c>
      <c r="C8903" t="s">
        <v>14</v>
      </c>
      <c r="D8903" t="str">
        <f>VLOOKUP(C8903,'lookup table'!$A$2:$B$19,2,FALSE)</f>
        <v>ALC</v>
      </c>
      <c r="E8903" t="str">
        <f t="shared" si="139"/>
        <v>DZ6REX_00|ALC</v>
      </c>
    </row>
    <row r="8904" spans="1:5" x14ac:dyDescent="0.2">
      <c r="A8904" t="s">
        <v>1489</v>
      </c>
      <c r="B8904" t="s">
        <v>1490</v>
      </c>
      <c r="C8904" t="s">
        <v>20</v>
      </c>
      <c r="D8904" t="str">
        <f>VLOOKUP(C8904,'lookup table'!$A$2:$B$19,2,FALSE)</f>
        <v>AY</v>
      </c>
      <c r="E8904" t="str">
        <f t="shared" si="139"/>
        <v>DZ6REX_00|AY</v>
      </c>
    </row>
    <row r="8905" spans="1:5" x14ac:dyDescent="0.2">
      <c r="A8905" t="s">
        <v>1489</v>
      </c>
      <c r="B8905" t="s">
        <v>1490</v>
      </c>
      <c r="C8905" t="s">
        <v>136</v>
      </c>
      <c r="D8905" t="str">
        <f>VLOOKUP(C8905,'lookup table'!$A$2:$B$19,2,FALSE)</f>
        <v>BBA Set</v>
      </c>
      <c r="E8905" t="str">
        <f t="shared" si="139"/>
        <v>DZ6REX_00|BBA Set</v>
      </c>
    </row>
    <row r="8906" spans="1:5" x14ac:dyDescent="0.2">
      <c r="A8906" t="s">
        <v>1489</v>
      </c>
      <c r="B8906" t="s">
        <v>1490</v>
      </c>
      <c r="C8906" t="s">
        <v>324</v>
      </c>
      <c r="D8906" t="e">
        <f>VLOOKUP(C8906,'lookup table'!$A$2:$B$19,2,FALSE)</f>
        <v>#N/A</v>
      </c>
      <c r="E8906" t="str">
        <f t="shared" si="139"/>
        <v/>
      </c>
    </row>
    <row r="8907" spans="1:5" x14ac:dyDescent="0.2">
      <c r="A8907" t="s">
        <v>1489</v>
      </c>
      <c r="B8907" t="s">
        <v>1490</v>
      </c>
      <c r="C8907" t="s">
        <v>325</v>
      </c>
      <c r="D8907" t="e">
        <f>VLOOKUP(C8907,'lookup table'!$A$2:$B$19,2,FALSE)</f>
        <v>#N/A</v>
      </c>
      <c r="E8907" t="str">
        <f t="shared" si="139"/>
        <v/>
      </c>
    </row>
    <row r="8908" spans="1:5" x14ac:dyDescent="0.2">
      <c r="A8908" t="s">
        <v>1489</v>
      </c>
      <c r="B8908" t="s">
        <v>1490</v>
      </c>
      <c r="C8908" t="s">
        <v>326</v>
      </c>
      <c r="D8908" t="e">
        <f>VLOOKUP(C8908,'lookup table'!$A$2:$B$19,2,FALSE)</f>
        <v>#N/A</v>
      </c>
      <c r="E8908" t="str">
        <f t="shared" si="139"/>
        <v/>
      </c>
    </row>
    <row r="8909" spans="1:5" x14ac:dyDescent="0.2">
      <c r="A8909" t="s">
        <v>1489</v>
      </c>
      <c r="B8909" t="s">
        <v>1490</v>
      </c>
      <c r="C8909" t="s">
        <v>327</v>
      </c>
      <c r="D8909" t="e">
        <f>VLOOKUP(C8909,'lookup table'!$A$2:$B$19,2,FALSE)</f>
        <v>#N/A</v>
      </c>
      <c r="E8909" t="str">
        <f t="shared" si="139"/>
        <v/>
      </c>
    </row>
    <row r="8910" spans="1:5" x14ac:dyDescent="0.2">
      <c r="A8910" t="s">
        <v>1489</v>
      </c>
      <c r="B8910" t="s">
        <v>1490</v>
      </c>
      <c r="C8910" t="s">
        <v>328</v>
      </c>
      <c r="D8910" t="e">
        <f>VLOOKUP(C8910,'lookup table'!$A$2:$B$19,2,FALSE)</f>
        <v>#N/A</v>
      </c>
      <c r="E8910" t="str">
        <f t="shared" si="139"/>
        <v/>
      </c>
    </row>
    <row r="8911" spans="1:5" x14ac:dyDescent="0.2">
      <c r="A8911" t="s">
        <v>1489</v>
      </c>
      <c r="B8911" t="s">
        <v>1490</v>
      </c>
      <c r="C8911" t="s">
        <v>329</v>
      </c>
      <c r="D8911" t="e">
        <f>VLOOKUP(C8911,'lookup table'!$A$2:$B$19,2,FALSE)</f>
        <v>#N/A</v>
      </c>
      <c r="E8911" t="str">
        <f t="shared" si="139"/>
        <v/>
      </c>
    </row>
    <row r="8912" spans="1:5" x14ac:dyDescent="0.2">
      <c r="A8912" t="s">
        <v>1489</v>
      </c>
      <c r="B8912" t="s">
        <v>1490</v>
      </c>
      <c r="C8912" t="s">
        <v>331</v>
      </c>
      <c r="D8912" t="str">
        <f>VLOOKUP(C8912,'lookup table'!$A$2:$B$19,2,FALSE)</f>
        <v>FS Item</v>
      </c>
      <c r="E8912" t="str">
        <f t="shared" si="139"/>
        <v>DZ6REX_00|FS Item</v>
      </c>
    </row>
    <row r="8913" spans="1:5" x14ac:dyDescent="0.2">
      <c r="A8913" t="s">
        <v>1489</v>
      </c>
      <c r="B8913" t="s">
        <v>1490</v>
      </c>
      <c r="C8913" t="s">
        <v>422</v>
      </c>
      <c r="D8913" t="e">
        <f>VLOOKUP(C8913,'lookup table'!$A$2:$B$19,2,FALSE)</f>
        <v>#N/A</v>
      </c>
      <c r="E8913" t="str">
        <f t="shared" si="139"/>
        <v/>
      </c>
    </row>
    <row r="8914" spans="1:5" x14ac:dyDescent="0.2">
      <c r="A8914" t="s">
        <v>1489</v>
      </c>
      <c r="B8914" t="s">
        <v>1490</v>
      </c>
      <c r="C8914" t="s">
        <v>423</v>
      </c>
      <c r="D8914" t="str">
        <f>VLOOKUP(C8914,'lookup table'!$A$2:$B$19,2,FALSE)</f>
        <v>ignore</v>
      </c>
      <c r="E8914" t="str">
        <f t="shared" si="139"/>
        <v>DZ6REX_00|ignore</v>
      </c>
    </row>
    <row r="8915" spans="1:5" x14ac:dyDescent="0.2">
      <c r="A8915" t="s">
        <v>1489</v>
      </c>
      <c r="B8915" t="s">
        <v>1490</v>
      </c>
      <c r="C8915" t="s">
        <v>424</v>
      </c>
      <c r="D8915" t="str">
        <f>VLOOKUP(C8915,'lookup table'!$A$2:$B$19,2,FALSE)</f>
        <v>GRC</v>
      </c>
      <c r="E8915" t="str">
        <f t="shared" si="139"/>
        <v>DZ6REX_00|GRC</v>
      </c>
    </row>
    <row r="8916" spans="1:5" x14ac:dyDescent="0.2">
      <c r="A8916" t="s">
        <v>1489</v>
      </c>
      <c r="B8916" t="s">
        <v>1490</v>
      </c>
      <c r="C8916" t="s">
        <v>425</v>
      </c>
      <c r="D8916" t="str">
        <f>VLOOKUP(C8916,'lookup table'!$A$2:$B$19,2,FALSE)</f>
        <v>Investee Segment</v>
      </c>
      <c r="E8916" t="str">
        <f t="shared" si="139"/>
        <v>DZ6REX_00|Investee Segment</v>
      </c>
    </row>
    <row r="8917" spans="1:5" x14ac:dyDescent="0.2">
      <c r="A8917" t="s">
        <v>1489</v>
      </c>
      <c r="B8917" t="s">
        <v>1490</v>
      </c>
      <c r="C8917" t="s">
        <v>426</v>
      </c>
      <c r="D8917" t="str">
        <f>VLOOKUP(C8917,'lookup table'!$A$2:$B$19,2,FALSE)</f>
        <v>Investee Unit</v>
      </c>
      <c r="E8917" t="str">
        <f t="shared" si="139"/>
        <v>DZ6REX_00|Investee Unit</v>
      </c>
    </row>
    <row r="8918" spans="1:5" x14ac:dyDescent="0.2">
      <c r="A8918" t="s">
        <v>1489</v>
      </c>
      <c r="B8918" t="s">
        <v>1490</v>
      </c>
      <c r="C8918" t="s">
        <v>428</v>
      </c>
      <c r="D8918" t="str">
        <f>VLOOKUP(C8918,'lookup table'!$A$2:$B$19,2,FALSE)</f>
        <v>LoB</v>
      </c>
      <c r="E8918" t="str">
        <f t="shared" si="139"/>
        <v>DZ6REX_00|LoB</v>
      </c>
    </row>
    <row r="8919" spans="1:5" x14ac:dyDescent="0.2">
      <c r="A8919" t="s">
        <v>1489</v>
      </c>
      <c r="B8919" t="s">
        <v>1490</v>
      </c>
      <c r="C8919" t="s">
        <v>436</v>
      </c>
      <c r="D8919" t="str">
        <f>VLOOKUP(C8919,'lookup table'!$A$2:$B$19,2,FALSE)</f>
        <v>MAT</v>
      </c>
      <c r="E8919" t="str">
        <f t="shared" si="139"/>
        <v>DZ6REX_00|MAT</v>
      </c>
    </row>
    <row r="8920" spans="1:5" x14ac:dyDescent="0.2">
      <c r="A8920" t="s">
        <v>1489</v>
      </c>
      <c r="B8920" t="s">
        <v>1490</v>
      </c>
      <c r="C8920" t="s">
        <v>438</v>
      </c>
      <c r="D8920" t="str">
        <f>VLOOKUP(C8920,'lookup table'!$A$2:$B$19,2,FALSE)</f>
        <v>ToM</v>
      </c>
      <c r="E8920" t="str">
        <f t="shared" si="139"/>
        <v>DZ6REX_00|ToM</v>
      </c>
    </row>
    <row r="8921" spans="1:5" x14ac:dyDescent="0.2">
      <c r="A8921" t="s">
        <v>1489</v>
      </c>
      <c r="B8921" t="s">
        <v>1490</v>
      </c>
      <c r="C8921" t="s">
        <v>441</v>
      </c>
      <c r="D8921" t="str">
        <f>VLOOKUP(C8921,'lookup table'!$A$2:$B$19,2,FALSE)</f>
        <v>Partner Segment</v>
      </c>
      <c r="E8921" t="str">
        <f t="shared" si="139"/>
        <v>DZ6REX_00|Partner Segment</v>
      </c>
    </row>
    <row r="8922" spans="1:5" x14ac:dyDescent="0.2">
      <c r="A8922" t="s">
        <v>1489</v>
      </c>
      <c r="B8922" t="s">
        <v>1490</v>
      </c>
      <c r="C8922" t="s">
        <v>442</v>
      </c>
      <c r="D8922" t="str">
        <f>VLOOKUP(C8922,'lookup table'!$A$2:$B$19,2,FALSE)</f>
        <v>Partner Unit</v>
      </c>
      <c r="E8922" t="str">
        <f t="shared" si="139"/>
        <v>DZ6REX_00|Partner Unit</v>
      </c>
    </row>
    <row r="8923" spans="1:5" x14ac:dyDescent="0.2">
      <c r="A8923" t="s">
        <v>1489</v>
      </c>
      <c r="B8923" t="s">
        <v>1490</v>
      </c>
      <c r="C8923" t="s">
        <v>447</v>
      </c>
      <c r="D8923" t="str">
        <f>VLOOKUP(C8923,'lookup table'!$A$2:$B$19,2,FALSE)</f>
        <v>REX</v>
      </c>
      <c r="E8923" t="str">
        <f t="shared" si="139"/>
        <v>DZ6REX_00|REX</v>
      </c>
    </row>
    <row r="8924" spans="1:5" x14ac:dyDescent="0.2">
      <c r="A8924" t="s">
        <v>1489</v>
      </c>
      <c r="B8924" t="s">
        <v>1490</v>
      </c>
      <c r="C8924" t="s">
        <v>448</v>
      </c>
      <c r="D8924" t="e">
        <f>VLOOKUP(C8924,'lookup table'!$A$2:$B$19,2,FALSE)</f>
        <v>#N/A</v>
      </c>
      <c r="E8924" t="str">
        <f t="shared" si="139"/>
        <v/>
      </c>
    </row>
    <row r="8925" spans="1:5" x14ac:dyDescent="0.2">
      <c r="A8925" t="s">
        <v>1489</v>
      </c>
      <c r="B8925" t="s">
        <v>1490</v>
      </c>
      <c r="C8925" t="s">
        <v>449</v>
      </c>
      <c r="D8925" t="e">
        <f>VLOOKUP(C8925,'lookup table'!$A$2:$B$19,2,FALSE)</f>
        <v>#N/A</v>
      </c>
      <c r="E8925" t="str">
        <f t="shared" si="139"/>
        <v/>
      </c>
    </row>
    <row r="8926" spans="1:5" x14ac:dyDescent="0.2">
      <c r="A8926" t="s">
        <v>1489</v>
      </c>
      <c r="B8926" t="s">
        <v>1490</v>
      </c>
      <c r="C8926" t="s">
        <v>451</v>
      </c>
      <c r="D8926" t="str">
        <f>VLOOKUP(C8926,'lookup table'!$A$2:$B$19,2,FALSE)</f>
        <v>Segment</v>
      </c>
      <c r="E8926" t="str">
        <f t="shared" si="139"/>
        <v>DZ6REX_00|Segment</v>
      </c>
    </row>
    <row r="8927" spans="1:5" x14ac:dyDescent="0.2">
      <c r="A8927" t="s">
        <v>1489</v>
      </c>
      <c r="B8927" t="s">
        <v>1490</v>
      </c>
      <c r="C8927" t="s">
        <v>455</v>
      </c>
      <c r="D8927" t="e">
        <f>VLOOKUP(C8927,'lookup table'!$A$2:$B$19,2,FALSE)</f>
        <v>#N/A</v>
      </c>
      <c r="E8927" t="str">
        <f t="shared" si="139"/>
        <v/>
      </c>
    </row>
    <row r="8928" spans="1:5" x14ac:dyDescent="0.2">
      <c r="A8928" t="s">
        <v>1489</v>
      </c>
      <c r="B8928" t="s">
        <v>1490</v>
      </c>
      <c r="C8928" t="s">
        <v>456</v>
      </c>
      <c r="D8928" t="e">
        <f>VLOOKUP(C8928,'lookup table'!$A$2:$B$19,2,FALSE)</f>
        <v>#N/A</v>
      </c>
      <c r="E8928" t="str">
        <f t="shared" si="139"/>
        <v/>
      </c>
    </row>
    <row r="8929" spans="1:5" x14ac:dyDescent="0.2">
      <c r="A8929" t="s">
        <v>1489</v>
      </c>
      <c r="B8929" t="s">
        <v>1490</v>
      </c>
      <c r="C8929" t="s">
        <v>457</v>
      </c>
      <c r="D8929" t="str">
        <f>VLOOKUP(C8929,'lookup table'!$A$2:$B$19,2,FALSE)</f>
        <v>VLT</v>
      </c>
      <c r="E8929" t="str">
        <f t="shared" si="139"/>
        <v>DZ6REX_00|VLT</v>
      </c>
    </row>
    <row r="8930" spans="1:5" x14ac:dyDescent="0.2">
      <c r="A8930" t="s">
        <v>1489</v>
      </c>
      <c r="B8930" t="s">
        <v>1490</v>
      </c>
      <c r="C8930" t="s">
        <v>458</v>
      </c>
      <c r="D8930" t="str">
        <f>VLOOKUP(C8930,'lookup table'!$A$2:$B$19,2,FALSE)</f>
        <v>VAR</v>
      </c>
      <c r="E8930" t="str">
        <f t="shared" si="139"/>
        <v>DZ6REX_00|VAR</v>
      </c>
    </row>
    <row r="8931" spans="1:5" x14ac:dyDescent="0.2">
      <c r="A8931" t="s">
        <v>1489</v>
      </c>
      <c r="B8931" t="s">
        <v>1490</v>
      </c>
      <c r="C8931" t="s">
        <v>459</v>
      </c>
      <c r="D8931" t="e">
        <f>VLOOKUP(C8931,'lookup table'!$A$2:$B$19,2,FALSE)</f>
        <v>#N/A</v>
      </c>
      <c r="E8931" t="str">
        <f t="shared" si="139"/>
        <v/>
      </c>
    </row>
    <row r="8932" spans="1:5" x14ac:dyDescent="0.2">
      <c r="A8932" t="s">
        <v>1489</v>
      </c>
      <c r="B8932" t="s">
        <v>1490</v>
      </c>
      <c r="C8932" t="s">
        <v>460</v>
      </c>
      <c r="D8932" t="e">
        <f>VLOOKUP(C8932,'lookup table'!$A$2:$B$19,2,FALSE)</f>
        <v>#N/A</v>
      </c>
      <c r="E8932" t="str">
        <f t="shared" si="139"/>
        <v/>
      </c>
    </row>
    <row r="8933" spans="1:5" x14ac:dyDescent="0.2">
      <c r="A8933" t="s">
        <v>1489</v>
      </c>
      <c r="B8933" t="s">
        <v>1490</v>
      </c>
      <c r="C8933" t="s">
        <v>461</v>
      </c>
      <c r="D8933" t="str">
        <f>VLOOKUP(C8933,'lookup table'!$A$2:$B$19,2,FALSE)</f>
        <v>Posting Level</v>
      </c>
      <c r="E8933" t="str">
        <f t="shared" si="139"/>
        <v>DZ6REX_00|Posting Level</v>
      </c>
    </row>
    <row r="8934" spans="1:5" x14ac:dyDescent="0.2">
      <c r="A8934" t="s">
        <v>1489</v>
      </c>
      <c r="B8934" t="s">
        <v>1490</v>
      </c>
      <c r="C8934" t="s">
        <v>462</v>
      </c>
      <c r="D8934" t="e">
        <f>VLOOKUP(C8934,'lookup table'!$A$2:$B$19,2,FALSE)</f>
        <v>#N/A</v>
      </c>
      <c r="E8934" t="str">
        <f t="shared" si="139"/>
        <v/>
      </c>
    </row>
    <row r="8935" spans="1:5" x14ac:dyDescent="0.2">
      <c r="A8935" t="s">
        <v>1489</v>
      </c>
      <c r="B8935" t="s">
        <v>1490</v>
      </c>
      <c r="C8935" t="s">
        <v>463</v>
      </c>
      <c r="D8935" t="e">
        <f>VLOOKUP(C8935,'lookup table'!$A$2:$B$19,2,FALSE)</f>
        <v>#N/A</v>
      </c>
      <c r="E8935" t="str">
        <f t="shared" si="139"/>
        <v/>
      </c>
    </row>
    <row r="8936" spans="1:5" x14ac:dyDescent="0.2">
      <c r="A8936" t="s">
        <v>1489</v>
      </c>
      <c r="B8936" t="s">
        <v>1490</v>
      </c>
      <c r="C8936" t="s">
        <v>464</v>
      </c>
      <c r="D8936" t="e">
        <f>VLOOKUP(C8936,'lookup table'!$A$2:$B$19,2,FALSE)</f>
        <v>#N/A</v>
      </c>
      <c r="E8936" t="str">
        <f t="shared" si="139"/>
        <v/>
      </c>
    </row>
    <row r="8937" spans="1:5" x14ac:dyDescent="0.2">
      <c r="A8937" t="s">
        <v>1489</v>
      </c>
      <c r="B8937" t="s">
        <v>1490</v>
      </c>
      <c r="C8937" t="s">
        <v>465</v>
      </c>
      <c r="D8937" t="e">
        <f>VLOOKUP(C8937,'lookup table'!$A$2:$B$19,2,FALSE)</f>
        <v>#N/A</v>
      </c>
      <c r="E8937" t="str">
        <f t="shared" si="139"/>
        <v/>
      </c>
    </row>
    <row r="8938" spans="1:5" x14ac:dyDescent="0.2">
      <c r="A8938" t="s">
        <v>1491</v>
      </c>
      <c r="B8938" t="s">
        <v>1492</v>
      </c>
      <c r="C8938" t="s">
        <v>2</v>
      </c>
      <c r="D8938" t="e">
        <f>VLOOKUP(C8938,'lookup table'!$A$2:$B$19,2,FALSE)</f>
        <v>#N/A</v>
      </c>
      <c r="E8938" t="str">
        <f t="shared" si="139"/>
        <v/>
      </c>
    </row>
    <row r="8939" spans="1:5" x14ac:dyDescent="0.2">
      <c r="A8939" t="s">
        <v>1491</v>
      </c>
      <c r="B8939" t="s">
        <v>1492</v>
      </c>
      <c r="C8939" t="s">
        <v>5</v>
      </c>
      <c r="D8939" t="e">
        <f>VLOOKUP(C8939,'lookup table'!$A$2:$B$19,2,FALSE)</f>
        <v>#N/A</v>
      </c>
      <c r="E8939" t="str">
        <f t="shared" si="139"/>
        <v/>
      </c>
    </row>
    <row r="8940" spans="1:5" x14ac:dyDescent="0.2">
      <c r="A8940" t="s">
        <v>1491</v>
      </c>
      <c r="B8940" t="s">
        <v>1492</v>
      </c>
      <c r="C8940" t="s">
        <v>6</v>
      </c>
      <c r="D8940" t="e">
        <f>VLOOKUP(C8940,'lookup table'!$A$2:$B$19,2,FALSE)</f>
        <v>#N/A</v>
      </c>
      <c r="E8940" t="str">
        <f t="shared" si="139"/>
        <v/>
      </c>
    </row>
    <row r="8941" spans="1:5" x14ac:dyDescent="0.2">
      <c r="A8941" t="s">
        <v>1491</v>
      </c>
      <c r="B8941" t="s">
        <v>1492</v>
      </c>
      <c r="C8941" t="s">
        <v>9</v>
      </c>
      <c r="D8941" t="e">
        <f>VLOOKUP(C8941,'lookup table'!$A$2:$B$19,2,FALSE)</f>
        <v>#N/A</v>
      </c>
      <c r="E8941" t="str">
        <f t="shared" si="139"/>
        <v/>
      </c>
    </row>
    <row r="8942" spans="1:5" x14ac:dyDescent="0.2">
      <c r="A8942" t="s">
        <v>1491</v>
      </c>
      <c r="B8942" t="s">
        <v>1492</v>
      </c>
      <c r="C8942" t="s">
        <v>10</v>
      </c>
      <c r="D8942" t="e">
        <f>VLOOKUP(C8942,'lookup table'!$A$2:$B$19,2,FALSE)</f>
        <v>#N/A</v>
      </c>
      <c r="E8942" t="str">
        <f t="shared" si="139"/>
        <v/>
      </c>
    </row>
    <row r="8943" spans="1:5" x14ac:dyDescent="0.2">
      <c r="A8943" t="s">
        <v>1491</v>
      </c>
      <c r="B8943" t="s">
        <v>1492</v>
      </c>
      <c r="C8943" t="s">
        <v>11</v>
      </c>
      <c r="D8943" t="e">
        <f>VLOOKUP(C8943,'lookup table'!$A$2:$B$19,2,FALSE)</f>
        <v>#N/A</v>
      </c>
      <c r="E8943" t="str">
        <f t="shared" si="139"/>
        <v/>
      </c>
    </row>
    <row r="8944" spans="1:5" x14ac:dyDescent="0.2">
      <c r="A8944" t="s">
        <v>1491</v>
      </c>
      <c r="B8944" t="s">
        <v>1492</v>
      </c>
      <c r="C8944" t="s">
        <v>12</v>
      </c>
      <c r="D8944" t="e">
        <f>VLOOKUP(C8944,'lookup table'!$A$2:$B$19,2,FALSE)</f>
        <v>#N/A</v>
      </c>
      <c r="E8944" t="str">
        <f t="shared" si="139"/>
        <v/>
      </c>
    </row>
    <row r="8945" spans="1:5" x14ac:dyDescent="0.2">
      <c r="A8945" t="s">
        <v>1491</v>
      </c>
      <c r="B8945" t="s">
        <v>1492</v>
      </c>
      <c r="C8945" t="s">
        <v>14</v>
      </c>
      <c r="D8945" t="str">
        <f>VLOOKUP(C8945,'lookup table'!$A$2:$B$19,2,FALSE)</f>
        <v>ALC</v>
      </c>
      <c r="E8945" t="str">
        <f t="shared" si="139"/>
        <v>DZ6TOM_00|ALC</v>
      </c>
    </row>
    <row r="8946" spans="1:5" x14ac:dyDescent="0.2">
      <c r="A8946" t="s">
        <v>1491</v>
      </c>
      <c r="B8946" t="s">
        <v>1492</v>
      </c>
      <c r="C8946" t="s">
        <v>20</v>
      </c>
      <c r="D8946" t="str">
        <f>VLOOKUP(C8946,'lookup table'!$A$2:$B$19,2,FALSE)</f>
        <v>AY</v>
      </c>
      <c r="E8946" t="str">
        <f t="shared" si="139"/>
        <v>DZ6TOM_00|AY</v>
      </c>
    </row>
    <row r="8947" spans="1:5" x14ac:dyDescent="0.2">
      <c r="A8947" t="s">
        <v>1491</v>
      </c>
      <c r="B8947" t="s">
        <v>1492</v>
      </c>
      <c r="C8947" t="s">
        <v>136</v>
      </c>
      <c r="D8947" t="str">
        <f>VLOOKUP(C8947,'lookup table'!$A$2:$B$19,2,FALSE)</f>
        <v>BBA Set</v>
      </c>
      <c r="E8947" t="str">
        <f t="shared" si="139"/>
        <v>DZ6TOM_00|BBA Set</v>
      </c>
    </row>
    <row r="8948" spans="1:5" x14ac:dyDescent="0.2">
      <c r="A8948" t="s">
        <v>1491</v>
      </c>
      <c r="B8948" t="s">
        <v>1492</v>
      </c>
      <c r="C8948" t="s">
        <v>324</v>
      </c>
      <c r="D8948" t="e">
        <f>VLOOKUP(C8948,'lookup table'!$A$2:$B$19,2,FALSE)</f>
        <v>#N/A</v>
      </c>
      <c r="E8948" t="str">
        <f t="shared" si="139"/>
        <v/>
      </c>
    </row>
    <row r="8949" spans="1:5" x14ac:dyDescent="0.2">
      <c r="A8949" t="s">
        <v>1491</v>
      </c>
      <c r="B8949" t="s">
        <v>1492</v>
      </c>
      <c r="C8949" t="s">
        <v>325</v>
      </c>
      <c r="D8949" t="e">
        <f>VLOOKUP(C8949,'lookup table'!$A$2:$B$19,2,FALSE)</f>
        <v>#N/A</v>
      </c>
      <c r="E8949" t="str">
        <f t="shared" si="139"/>
        <v/>
      </c>
    </row>
    <row r="8950" spans="1:5" x14ac:dyDescent="0.2">
      <c r="A8950" t="s">
        <v>1491</v>
      </c>
      <c r="B8950" t="s">
        <v>1492</v>
      </c>
      <c r="C8950" t="s">
        <v>326</v>
      </c>
      <c r="D8950" t="e">
        <f>VLOOKUP(C8950,'lookup table'!$A$2:$B$19,2,FALSE)</f>
        <v>#N/A</v>
      </c>
      <c r="E8950" t="str">
        <f t="shared" si="139"/>
        <v/>
      </c>
    </row>
    <row r="8951" spans="1:5" x14ac:dyDescent="0.2">
      <c r="A8951" t="s">
        <v>1491</v>
      </c>
      <c r="B8951" t="s">
        <v>1492</v>
      </c>
      <c r="C8951" t="s">
        <v>327</v>
      </c>
      <c r="D8951" t="e">
        <f>VLOOKUP(C8951,'lookup table'!$A$2:$B$19,2,FALSE)</f>
        <v>#N/A</v>
      </c>
      <c r="E8951" t="str">
        <f t="shared" si="139"/>
        <v/>
      </c>
    </row>
    <row r="8952" spans="1:5" x14ac:dyDescent="0.2">
      <c r="A8952" t="s">
        <v>1491</v>
      </c>
      <c r="B8952" t="s">
        <v>1492</v>
      </c>
      <c r="C8952" t="s">
        <v>328</v>
      </c>
      <c r="D8952" t="e">
        <f>VLOOKUP(C8952,'lookup table'!$A$2:$B$19,2,FALSE)</f>
        <v>#N/A</v>
      </c>
      <c r="E8952" t="str">
        <f t="shared" si="139"/>
        <v/>
      </c>
    </row>
    <row r="8953" spans="1:5" x14ac:dyDescent="0.2">
      <c r="A8953" t="s">
        <v>1491</v>
      </c>
      <c r="B8953" t="s">
        <v>1492</v>
      </c>
      <c r="C8953" t="s">
        <v>329</v>
      </c>
      <c r="D8953" t="e">
        <f>VLOOKUP(C8953,'lookup table'!$A$2:$B$19,2,FALSE)</f>
        <v>#N/A</v>
      </c>
      <c r="E8953" t="str">
        <f t="shared" si="139"/>
        <v/>
      </c>
    </row>
    <row r="8954" spans="1:5" x14ac:dyDescent="0.2">
      <c r="A8954" t="s">
        <v>1491</v>
      </c>
      <c r="B8954" t="s">
        <v>1492</v>
      </c>
      <c r="C8954" t="s">
        <v>331</v>
      </c>
      <c r="D8954" t="str">
        <f>VLOOKUP(C8954,'lookup table'!$A$2:$B$19,2,FALSE)</f>
        <v>FS Item</v>
      </c>
      <c r="E8954" t="str">
        <f t="shared" si="139"/>
        <v>DZ6TOM_00|FS Item</v>
      </c>
    </row>
    <row r="8955" spans="1:5" x14ac:dyDescent="0.2">
      <c r="A8955" t="s">
        <v>1491</v>
      </c>
      <c r="B8955" t="s">
        <v>1492</v>
      </c>
      <c r="C8955" t="s">
        <v>422</v>
      </c>
      <c r="D8955" t="e">
        <f>VLOOKUP(C8955,'lookup table'!$A$2:$B$19,2,FALSE)</f>
        <v>#N/A</v>
      </c>
      <c r="E8955" t="str">
        <f t="shared" si="139"/>
        <v/>
      </c>
    </row>
    <row r="8956" spans="1:5" x14ac:dyDescent="0.2">
      <c r="A8956" t="s">
        <v>1491</v>
      </c>
      <c r="B8956" t="s">
        <v>1492</v>
      </c>
      <c r="C8956" t="s">
        <v>423</v>
      </c>
      <c r="D8956" t="str">
        <f>VLOOKUP(C8956,'lookup table'!$A$2:$B$19,2,FALSE)</f>
        <v>ignore</v>
      </c>
      <c r="E8956" t="str">
        <f t="shared" si="139"/>
        <v>DZ6TOM_00|ignore</v>
      </c>
    </row>
    <row r="8957" spans="1:5" x14ac:dyDescent="0.2">
      <c r="A8957" t="s">
        <v>1491</v>
      </c>
      <c r="B8957" t="s">
        <v>1492</v>
      </c>
      <c r="C8957" t="s">
        <v>424</v>
      </c>
      <c r="D8957" t="str">
        <f>VLOOKUP(C8957,'lookup table'!$A$2:$B$19,2,FALSE)</f>
        <v>GRC</v>
      </c>
      <c r="E8957" t="str">
        <f t="shared" si="139"/>
        <v>DZ6TOM_00|GRC</v>
      </c>
    </row>
    <row r="8958" spans="1:5" x14ac:dyDescent="0.2">
      <c r="A8958" t="s">
        <v>1491</v>
      </c>
      <c r="B8958" t="s">
        <v>1492</v>
      </c>
      <c r="C8958" t="s">
        <v>425</v>
      </c>
      <c r="D8958" t="str">
        <f>VLOOKUP(C8958,'lookup table'!$A$2:$B$19,2,FALSE)</f>
        <v>Investee Segment</v>
      </c>
      <c r="E8958" t="str">
        <f t="shared" si="139"/>
        <v>DZ6TOM_00|Investee Segment</v>
      </c>
    </row>
    <row r="8959" spans="1:5" x14ac:dyDescent="0.2">
      <c r="A8959" t="s">
        <v>1491</v>
      </c>
      <c r="B8959" t="s">
        <v>1492</v>
      </c>
      <c r="C8959" t="s">
        <v>426</v>
      </c>
      <c r="D8959" t="str">
        <f>VLOOKUP(C8959,'lookup table'!$A$2:$B$19,2,FALSE)</f>
        <v>Investee Unit</v>
      </c>
      <c r="E8959" t="str">
        <f t="shared" si="139"/>
        <v>DZ6TOM_00|Investee Unit</v>
      </c>
    </row>
    <row r="8960" spans="1:5" x14ac:dyDescent="0.2">
      <c r="A8960" t="s">
        <v>1491</v>
      </c>
      <c r="B8960" t="s">
        <v>1492</v>
      </c>
      <c r="C8960" t="s">
        <v>428</v>
      </c>
      <c r="D8960" t="str">
        <f>VLOOKUP(C8960,'lookup table'!$A$2:$B$19,2,FALSE)</f>
        <v>LoB</v>
      </c>
      <c r="E8960" t="str">
        <f t="shared" si="139"/>
        <v>DZ6TOM_00|LoB</v>
      </c>
    </row>
    <row r="8961" spans="1:5" x14ac:dyDescent="0.2">
      <c r="A8961" t="s">
        <v>1491</v>
      </c>
      <c r="B8961" t="s">
        <v>1492</v>
      </c>
      <c r="C8961" t="s">
        <v>436</v>
      </c>
      <c r="D8961" t="str">
        <f>VLOOKUP(C8961,'lookup table'!$A$2:$B$19,2,FALSE)</f>
        <v>MAT</v>
      </c>
      <c r="E8961" t="str">
        <f t="shared" si="139"/>
        <v>DZ6TOM_00|MAT</v>
      </c>
    </row>
    <row r="8962" spans="1:5" x14ac:dyDescent="0.2">
      <c r="A8962" t="s">
        <v>1491</v>
      </c>
      <c r="B8962" t="s">
        <v>1492</v>
      </c>
      <c r="C8962" t="s">
        <v>438</v>
      </c>
      <c r="D8962" t="str">
        <f>VLOOKUP(C8962,'lookup table'!$A$2:$B$19,2,FALSE)</f>
        <v>ToM</v>
      </c>
      <c r="E8962" t="str">
        <f t="shared" si="139"/>
        <v>DZ6TOM_00|ToM</v>
      </c>
    </row>
    <row r="8963" spans="1:5" x14ac:dyDescent="0.2">
      <c r="A8963" t="s">
        <v>1491</v>
      </c>
      <c r="B8963" t="s">
        <v>1492</v>
      </c>
      <c r="C8963" t="s">
        <v>441</v>
      </c>
      <c r="D8963" t="str">
        <f>VLOOKUP(C8963,'lookup table'!$A$2:$B$19,2,FALSE)</f>
        <v>Partner Segment</v>
      </c>
      <c r="E8963" t="str">
        <f t="shared" ref="E8963:E9026" si="140">IF(ISNA(D8963),"",IF(A8963="","",A8963) &amp; "|" &amp; D8963)</f>
        <v>DZ6TOM_00|Partner Segment</v>
      </c>
    </row>
    <row r="8964" spans="1:5" x14ac:dyDescent="0.2">
      <c r="A8964" t="s">
        <v>1491</v>
      </c>
      <c r="B8964" t="s">
        <v>1492</v>
      </c>
      <c r="C8964" t="s">
        <v>442</v>
      </c>
      <c r="D8964" t="str">
        <f>VLOOKUP(C8964,'lookup table'!$A$2:$B$19,2,FALSE)</f>
        <v>Partner Unit</v>
      </c>
      <c r="E8964" t="str">
        <f t="shared" si="140"/>
        <v>DZ6TOM_00|Partner Unit</v>
      </c>
    </row>
    <row r="8965" spans="1:5" x14ac:dyDescent="0.2">
      <c r="A8965" t="s">
        <v>1491</v>
      </c>
      <c r="B8965" t="s">
        <v>1492</v>
      </c>
      <c r="C8965" t="s">
        <v>447</v>
      </c>
      <c r="D8965" t="str">
        <f>VLOOKUP(C8965,'lookup table'!$A$2:$B$19,2,FALSE)</f>
        <v>REX</v>
      </c>
      <c r="E8965" t="str">
        <f t="shared" si="140"/>
        <v>DZ6TOM_00|REX</v>
      </c>
    </row>
    <row r="8966" spans="1:5" x14ac:dyDescent="0.2">
      <c r="A8966" t="s">
        <v>1491</v>
      </c>
      <c r="B8966" t="s">
        <v>1492</v>
      </c>
      <c r="C8966" t="s">
        <v>448</v>
      </c>
      <c r="D8966" t="e">
        <f>VLOOKUP(C8966,'lookup table'!$A$2:$B$19,2,FALSE)</f>
        <v>#N/A</v>
      </c>
      <c r="E8966" t="str">
        <f t="shared" si="140"/>
        <v/>
      </c>
    </row>
    <row r="8967" spans="1:5" x14ac:dyDescent="0.2">
      <c r="A8967" t="s">
        <v>1491</v>
      </c>
      <c r="B8967" t="s">
        <v>1492</v>
      </c>
      <c r="C8967" t="s">
        <v>449</v>
      </c>
      <c r="D8967" t="e">
        <f>VLOOKUP(C8967,'lookup table'!$A$2:$B$19,2,FALSE)</f>
        <v>#N/A</v>
      </c>
      <c r="E8967" t="str">
        <f t="shared" si="140"/>
        <v/>
      </c>
    </row>
    <row r="8968" spans="1:5" x14ac:dyDescent="0.2">
      <c r="A8968" t="s">
        <v>1491</v>
      </c>
      <c r="B8968" t="s">
        <v>1492</v>
      </c>
      <c r="C8968" t="s">
        <v>451</v>
      </c>
      <c r="D8968" t="str">
        <f>VLOOKUP(C8968,'lookup table'!$A$2:$B$19,2,FALSE)</f>
        <v>Segment</v>
      </c>
      <c r="E8968" t="str">
        <f t="shared" si="140"/>
        <v>DZ6TOM_00|Segment</v>
      </c>
    </row>
    <row r="8969" spans="1:5" x14ac:dyDescent="0.2">
      <c r="A8969" t="s">
        <v>1491</v>
      </c>
      <c r="B8969" t="s">
        <v>1492</v>
      </c>
      <c r="C8969" t="s">
        <v>455</v>
      </c>
      <c r="D8969" t="e">
        <f>VLOOKUP(C8969,'lookup table'!$A$2:$B$19,2,FALSE)</f>
        <v>#N/A</v>
      </c>
      <c r="E8969" t="str">
        <f t="shared" si="140"/>
        <v/>
      </c>
    </row>
    <row r="8970" spans="1:5" x14ac:dyDescent="0.2">
      <c r="A8970" t="s">
        <v>1491</v>
      </c>
      <c r="B8970" t="s">
        <v>1492</v>
      </c>
      <c r="C8970" t="s">
        <v>456</v>
      </c>
      <c r="D8970" t="e">
        <f>VLOOKUP(C8970,'lookup table'!$A$2:$B$19,2,FALSE)</f>
        <v>#N/A</v>
      </c>
      <c r="E8970" t="str">
        <f t="shared" si="140"/>
        <v/>
      </c>
    </row>
    <row r="8971" spans="1:5" x14ac:dyDescent="0.2">
      <c r="A8971" t="s">
        <v>1491</v>
      </c>
      <c r="B8971" t="s">
        <v>1492</v>
      </c>
      <c r="C8971" t="s">
        <v>457</v>
      </c>
      <c r="D8971" t="str">
        <f>VLOOKUP(C8971,'lookup table'!$A$2:$B$19,2,FALSE)</f>
        <v>VLT</v>
      </c>
      <c r="E8971" t="str">
        <f t="shared" si="140"/>
        <v>DZ6TOM_00|VLT</v>
      </c>
    </row>
    <row r="8972" spans="1:5" x14ac:dyDescent="0.2">
      <c r="A8972" t="s">
        <v>1491</v>
      </c>
      <c r="B8972" t="s">
        <v>1492</v>
      </c>
      <c r="C8972" t="s">
        <v>458</v>
      </c>
      <c r="D8972" t="str">
        <f>VLOOKUP(C8972,'lookup table'!$A$2:$B$19,2,FALSE)</f>
        <v>VAR</v>
      </c>
      <c r="E8972" t="str">
        <f t="shared" si="140"/>
        <v>DZ6TOM_00|VAR</v>
      </c>
    </row>
    <row r="8973" spans="1:5" x14ac:dyDescent="0.2">
      <c r="A8973" t="s">
        <v>1491</v>
      </c>
      <c r="B8973" t="s">
        <v>1492</v>
      </c>
      <c r="C8973" t="s">
        <v>459</v>
      </c>
      <c r="D8973" t="e">
        <f>VLOOKUP(C8973,'lookup table'!$A$2:$B$19,2,FALSE)</f>
        <v>#N/A</v>
      </c>
      <c r="E8973" t="str">
        <f t="shared" si="140"/>
        <v/>
      </c>
    </row>
    <row r="8974" spans="1:5" x14ac:dyDescent="0.2">
      <c r="A8974" t="s">
        <v>1491</v>
      </c>
      <c r="B8974" t="s">
        <v>1492</v>
      </c>
      <c r="C8974" t="s">
        <v>460</v>
      </c>
      <c r="D8974" t="e">
        <f>VLOOKUP(C8974,'lookup table'!$A$2:$B$19,2,FALSE)</f>
        <v>#N/A</v>
      </c>
      <c r="E8974" t="str">
        <f t="shared" si="140"/>
        <v/>
      </c>
    </row>
    <row r="8975" spans="1:5" x14ac:dyDescent="0.2">
      <c r="A8975" t="s">
        <v>1491</v>
      </c>
      <c r="B8975" t="s">
        <v>1492</v>
      </c>
      <c r="C8975" t="s">
        <v>461</v>
      </c>
      <c r="D8975" t="str">
        <f>VLOOKUP(C8975,'lookup table'!$A$2:$B$19,2,FALSE)</f>
        <v>Posting Level</v>
      </c>
      <c r="E8975" t="str">
        <f t="shared" si="140"/>
        <v>DZ6TOM_00|Posting Level</v>
      </c>
    </row>
    <row r="8976" spans="1:5" x14ac:dyDescent="0.2">
      <c r="A8976" t="s">
        <v>1491</v>
      </c>
      <c r="B8976" t="s">
        <v>1492</v>
      </c>
      <c r="C8976" t="s">
        <v>462</v>
      </c>
      <c r="D8976" t="e">
        <f>VLOOKUP(C8976,'lookup table'!$A$2:$B$19,2,FALSE)</f>
        <v>#N/A</v>
      </c>
      <c r="E8976" t="str">
        <f t="shared" si="140"/>
        <v/>
      </c>
    </row>
    <row r="8977" spans="1:5" x14ac:dyDescent="0.2">
      <c r="A8977" t="s">
        <v>1491</v>
      </c>
      <c r="B8977" t="s">
        <v>1492</v>
      </c>
      <c r="C8977" t="s">
        <v>463</v>
      </c>
      <c r="D8977" t="e">
        <f>VLOOKUP(C8977,'lookup table'!$A$2:$B$19,2,FALSE)</f>
        <v>#N/A</v>
      </c>
      <c r="E8977" t="str">
        <f t="shared" si="140"/>
        <v/>
      </c>
    </row>
    <row r="8978" spans="1:5" x14ac:dyDescent="0.2">
      <c r="A8978" t="s">
        <v>1491</v>
      </c>
      <c r="B8978" t="s">
        <v>1492</v>
      </c>
      <c r="C8978" t="s">
        <v>464</v>
      </c>
      <c r="D8978" t="e">
        <f>VLOOKUP(C8978,'lookup table'!$A$2:$B$19,2,FALSE)</f>
        <v>#N/A</v>
      </c>
      <c r="E8978" t="str">
        <f t="shared" si="140"/>
        <v/>
      </c>
    </row>
    <row r="8979" spans="1:5" x14ac:dyDescent="0.2">
      <c r="A8979" t="s">
        <v>1491</v>
      </c>
      <c r="B8979" t="s">
        <v>1492</v>
      </c>
      <c r="C8979" t="s">
        <v>465</v>
      </c>
      <c r="D8979" t="e">
        <f>VLOOKUP(C8979,'lookup table'!$A$2:$B$19,2,FALSE)</f>
        <v>#N/A</v>
      </c>
      <c r="E8979" t="str">
        <f t="shared" si="140"/>
        <v/>
      </c>
    </row>
    <row r="8980" spans="1:5" x14ac:dyDescent="0.2">
      <c r="A8980" t="s">
        <v>1493</v>
      </c>
      <c r="B8980" t="s">
        <v>1494</v>
      </c>
      <c r="C8980" t="s">
        <v>2</v>
      </c>
      <c r="D8980" t="e">
        <f>VLOOKUP(C8980,'lookup table'!$A$2:$B$19,2,FALSE)</f>
        <v>#N/A</v>
      </c>
      <c r="E8980" t="str">
        <f t="shared" si="140"/>
        <v/>
      </c>
    </row>
    <row r="8981" spans="1:5" x14ac:dyDescent="0.2">
      <c r="A8981" t="s">
        <v>1493</v>
      </c>
      <c r="B8981" t="s">
        <v>1494</v>
      </c>
      <c r="C8981" t="s">
        <v>5</v>
      </c>
      <c r="D8981" t="e">
        <f>VLOOKUP(C8981,'lookup table'!$A$2:$B$19,2,FALSE)</f>
        <v>#N/A</v>
      </c>
      <c r="E8981" t="str">
        <f t="shared" si="140"/>
        <v/>
      </c>
    </row>
    <row r="8982" spans="1:5" x14ac:dyDescent="0.2">
      <c r="A8982" t="s">
        <v>1493</v>
      </c>
      <c r="B8982" t="s">
        <v>1494</v>
      </c>
      <c r="C8982" t="s">
        <v>6</v>
      </c>
      <c r="D8982" t="e">
        <f>VLOOKUP(C8982,'lookup table'!$A$2:$B$19,2,FALSE)</f>
        <v>#N/A</v>
      </c>
      <c r="E8982" t="str">
        <f t="shared" si="140"/>
        <v/>
      </c>
    </row>
    <row r="8983" spans="1:5" x14ac:dyDescent="0.2">
      <c r="A8983" t="s">
        <v>1493</v>
      </c>
      <c r="B8983" t="s">
        <v>1494</v>
      </c>
      <c r="C8983" t="s">
        <v>9</v>
      </c>
      <c r="D8983" t="e">
        <f>VLOOKUP(C8983,'lookup table'!$A$2:$B$19,2,FALSE)</f>
        <v>#N/A</v>
      </c>
      <c r="E8983" t="str">
        <f t="shared" si="140"/>
        <v/>
      </c>
    </row>
    <row r="8984" spans="1:5" x14ac:dyDescent="0.2">
      <c r="A8984" t="s">
        <v>1493</v>
      </c>
      <c r="B8984" t="s">
        <v>1494</v>
      </c>
      <c r="C8984" t="s">
        <v>10</v>
      </c>
      <c r="D8984" t="e">
        <f>VLOOKUP(C8984,'lookup table'!$A$2:$B$19,2,FALSE)</f>
        <v>#N/A</v>
      </c>
      <c r="E8984" t="str">
        <f t="shared" si="140"/>
        <v/>
      </c>
    </row>
    <row r="8985" spans="1:5" x14ac:dyDescent="0.2">
      <c r="A8985" t="s">
        <v>1493</v>
      </c>
      <c r="B8985" t="s">
        <v>1494</v>
      </c>
      <c r="C8985" t="s">
        <v>11</v>
      </c>
      <c r="D8985" t="e">
        <f>VLOOKUP(C8985,'lookup table'!$A$2:$B$19,2,FALSE)</f>
        <v>#N/A</v>
      </c>
      <c r="E8985" t="str">
        <f t="shared" si="140"/>
        <v/>
      </c>
    </row>
    <row r="8986" spans="1:5" x14ac:dyDescent="0.2">
      <c r="A8986" t="s">
        <v>1493</v>
      </c>
      <c r="B8986" t="s">
        <v>1494</v>
      </c>
      <c r="C8986" t="s">
        <v>12</v>
      </c>
      <c r="D8986" t="e">
        <f>VLOOKUP(C8986,'lookup table'!$A$2:$B$19,2,FALSE)</f>
        <v>#N/A</v>
      </c>
      <c r="E8986" t="str">
        <f t="shared" si="140"/>
        <v/>
      </c>
    </row>
    <row r="8987" spans="1:5" x14ac:dyDescent="0.2">
      <c r="A8987" t="s">
        <v>1493</v>
      </c>
      <c r="B8987" t="s">
        <v>1494</v>
      </c>
      <c r="C8987" t="s">
        <v>14</v>
      </c>
      <c r="D8987" t="str">
        <f>VLOOKUP(C8987,'lookup table'!$A$2:$B$19,2,FALSE)</f>
        <v>ALC</v>
      </c>
      <c r="E8987" t="str">
        <f t="shared" si="140"/>
        <v>DZ6VAR_00|ALC</v>
      </c>
    </row>
    <row r="8988" spans="1:5" x14ac:dyDescent="0.2">
      <c r="A8988" t="s">
        <v>1493</v>
      </c>
      <c r="B8988" t="s">
        <v>1494</v>
      </c>
      <c r="C8988" t="s">
        <v>20</v>
      </c>
      <c r="D8988" t="str">
        <f>VLOOKUP(C8988,'lookup table'!$A$2:$B$19,2,FALSE)</f>
        <v>AY</v>
      </c>
      <c r="E8988" t="str">
        <f t="shared" si="140"/>
        <v>DZ6VAR_00|AY</v>
      </c>
    </row>
    <row r="8989" spans="1:5" x14ac:dyDescent="0.2">
      <c r="A8989" t="s">
        <v>1493</v>
      </c>
      <c r="B8989" t="s">
        <v>1494</v>
      </c>
      <c r="C8989" t="s">
        <v>136</v>
      </c>
      <c r="D8989" t="str">
        <f>VLOOKUP(C8989,'lookup table'!$A$2:$B$19,2,FALSE)</f>
        <v>BBA Set</v>
      </c>
      <c r="E8989" t="str">
        <f t="shared" si="140"/>
        <v>DZ6VAR_00|BBA Set</v>
      </c>
    </row>
    <row r="8990" spans="1:5" x14ac:dyDescent="0.2">
      <c r="A8990" t="s">
        <v>1493</v>
      </c>
      <c r="B8990" t="s">
        <v>1494</v>
      </c>
      <c r="C8990" t="s">
        <v>324</v>
      </c>
      <c r="D8990" t="e">
        <f>VLOOKUP(C8990,'lookup table'!$A$2:$B$19,2,FALSE)</f>
        <v>#N/A</v>
      </c>
      <c r="E8990" t="str">
        <f t="shared" si="140"/>
        <v/>
      </c>
    </row>
    <row r="8991" spans="1:5" x14ac:dyDescent="0.2">
      <c r="A8991" t="s">
        <v>1493</v>
      </c>
      <c r="B8991" t="s">
        <v>1494</v>
      </c>
      <c r="C8991" t="s">
        <v>325</v>
      </c>
      <c r="D8991" t="e">
        <f>VLOOKUP(C8991,'lookup table'!$A$2:$B$19,2,FALSE)</f>
        <v>#N/A</v>
      </c>
      <c r="E8991" t="str">
        <f t="shared" si="140"/>
        <v/>
      </c>
    </row>
    <row r="8992" spans="1:5" x14ac:dyDescent="0.2">
      <c r="A8992" t="s">
        <v>1493</v>
      </c>
      <c r="B8992" t="s">
        <v>1494</v>
      </c>
      <c r="C8992" t="s">
        <v>326</v>
      </c>
      <c r="D8992" t="e">
        <f>VLOOKUP(C8992,'lookup table'!$A$2:$B$19,2,FALSE)</f>
        <v>#N/A</v>
      </c>
      <c r="E8992" t="str">
        <f t="shared" si="140"/>
        <v/>
      </c>
    </row>
    <row r="8993" spans="1:5" x14ac:dyDescent="0.2">
      <c r="A8993" t="s">
        <v>1493</v>
      </c>
      <c r="B8993" t="s">
        <v>1494</v>
      </c>
      <c r="C8993" t="s">
        <v>327</v>
      </c>
      <c r="D8993" t="e">
        <f>VLOOKUP(C8993,'lookup table'!$A$2:$B$19,2,FALSE)</f>
        <v>#N/A</v>
      </c>
      <c r="E8993" t="str">
        <f t="shared" si="140"/>
        <v/>
      </c>
    </row>
    <row r="8994" spans="1:5" x14ac:dyDescent="0.2">
      <c r="A8994" t="s">
        <v>1493</v>
      </c>
      <c r="B8994" t="s">
        <v>1494</v>
      </c>
      <c r="C8994" t="s">
        <v>328</v>
      </c>
      <c r="D8994" t="e">
        <f>VLOOKUP(C8994,'lookup table'!$A$2:$B$19,2,FALSE)</f>
        <v>#N/A</v>
      </c>
      <c r="E8994" t="str">
        <f t="shared" si="140"/>
        <v/>
      </c>
    </row>
    <row r="8995" spans="1:5" x14ac:dyDescent="0.2">
      <c r="A8995" t="s">
        <v>1493</v>
      </c>
      <c r="B8995" t="s">
        <v>1494</v>
      </c>
      <c r="C8995" t="s">
        <v>329</v>
      </c>
      <c r="D8995" t="e">
        <f>VLOOKUP(C8995,'lookup table'!$A$2:$B$19,2,FALSE)</f>
        <v>#N/A</v>
      </c>
      <c r="E8995" t="str">
        <f t="shared" si="140"/>
        <v/>
      </c>
    </row>
    <row r="8996" spans="1:5" x14ac:dyDescent="0.2">
      <c r="A8996" t="s">
        <v>1493</v>
      </c>
      <c r="B8996" t="s">
        <v>1494</v>
      </c>
      <c r="C8996" t="s">
        <v>331</v>
      </c>
      <c r="D8996" t="str">
        <f>VLOOKUP(C8996,'lookup table'!$A$2:$B$19,2,FALSE)</f>
        <v>FS Item</v>
      </c>
      <c r="E8996" t="str">
        <f t="shared" si="140"/>
        <v>DZ6VAR_00|FS Item</v>
      </c>
    </row>
    <row r="8997" spans="1:5" x14ac:dyDescent="0.2">
      <c r="A8997" t="s">
        <v>1493</v>
      </c>
      <c r="B8997" t="s">
        <v>1494</v>
      </c>
      <c r="C8997" t="s">
        <v>422</v>
      </c>
      <c r="D8997" t="e">
        <f>VLOOKUP(C8997,'lookup table'!$A$2:$B$19,2,FALSE)</f>
        <v>#N/A</v>
      </c>
      <c r="E8997" t="str">
        <f t="shared" si="140"/>
        <v/>
      </c>
    </row>
    <row r="8998" spans="1:5" x14ac:dyDescent="0.2">
      <c r="A8998" t="s">
        <v>1493</v>
      </c>
      <c r="B8998" t="s">
        <v>1494</v>
      </c>
      <c r="C8998" t="s">
        <v>423</v>
      </c>
      <c r="D8998" t="str">
        <f>VLOOKUP(C8998,'lookup table'!$A$2:$B$19,2,FALSE)</f>
        <v>ignore</v>
      </c>
      <c r="E8998" t="str">
        <f t="shared" si="140"/>
        <v>DZ6VAR_00|ignore</v>
      </c>
    </row>
    <row r="8999" spans="1:5" x14ac:dyDescent="0.2">
      <c r="A8999" t="s">
        <v>1493</v>
      </c>
      <c r="B8999" t="s">
        <v>1494</v>
      </c>
      <c r="C8999" t="s">
        <v>424</v>
      </c>
      <c r="D8999" t="str">
        <f>VLOOKUP(C8999,'lookup table'!$A$2:$B$19,2,FALSE)</f>
        <v>GRC</v>
      </c>
      <c r="E8999" t="str">
        <f t="shared" si="140"/>
        <v>DZ6VAR_00|GRC</v>
      </c>
    </row>
    <row r="9000" spans="1:5" x14ac:dyDescent="0.2">
      <c r="A9000" t="s">
        <v>1493</v>
      </c>
      <c r="B9000" t="s">
        <v>1494</v>
      </c>
      <c r="C9000" t="s">
        <v>425</v>
      </c>
      <c r="D9000" t="str">
        <f>VLOOKUP(C9000,'lookup table'!$A$2:$B$19,2,FALSE)</f>
        <v>Investee Segment</v>
      </c>
      <c r="E9000" t="str">
        <f t="shared" si="140"/>
        <v>DZ6VAR_00|Investee Segment</v>
      </c>
    </row>
    <row r="9001" spans="1:5" x14ac:dyDescent="0.2">
      <c r="A9001" t="s">
        <v>1493</v>
      </c>
      <c r="B9001" t="s">
        <v>1494</v>
      </c>
      <c r="C9001" t="s">
        <v>426</v>
      </c>
      <c r="D9001" t="str">
        <f>VLOOKUP(C9001,'lookup table'!$A$2:$B$19,2,FALSE)</f>
        <v>Investee Unit</v>
      </c>
      <c r="E9001" t="str">
        <f t="shared" si="140"/>
        <v>DZ6VAR_00|Investee Unit</v>
      </c>
    </row>
    <row r="9002" spans="1:5" x14ac:dyDescent="0.2">
      <c r="A9002" t="s">
        <v>1493</v>
      </c>
      <c r="B9002" t="s">
        <v>1494</v>
      </c>
      <c r="C9002" t="s">
        <v>428</v>
      </c>
      <c r="D9002" t="str">
        <f>VLOOKUP(C9002,'lookup table'!$A$2:$B$19,2,FALSE)</f>
        <v>LoB</v>
      </c>
      <c r="E9002" t="str">
        <f t="shared" si="140"/>
        <v>DZ6VAR_00|LoB</v>
      </c>
    </row>
    <row r="9003" spans="1:5" x14ac:dyDescent="0.2">
      <c r="A9003" t="s">
        <v>1493</v>
      </c>
      <c r="B9003" t="s">
        <v>1494</v>
      </c>
      <c r="C9003" t="s">
        <v>436</v>
      </c>
      <c r="D9003" t="str">
        <f>VLOOKUP(C9003,'lookup table'!$A$2:$B$19,2,FALSE)</f>
        <v>MAT</v>
      </c>
      <c r="E9003" t="str">
        <f t="shared" si="140"/>
        <v>DZ6VAR_00|MAT</v>
      </c>
    </row>
    <row r="9004" spans="1:5" x14ac:dyDescent="0.2">
      <c r="A9004" t="s">
        <v>1493</v>
      </c>
      <c r="B9004" t="s">
        <v>1494</v>
      </c>
      <c r="C9004" t="s">
        <v>438</v>
      </c>
      <c r="D9004" t="str">
        <f>VLOOKUP(C9004,'lookup table'!$A$2:$B$19,2,FALSE)</f>
        <v>ToM</v>
      </c>
      <c r="E9004" t="str">
        <f t="shared" si="140"/>
        <v>DZ6VAR_00|ToM</v>
      </c>
    </row>
    <row r="9005" spans="1:5" x14ac:dyDescent="0.2">
      <c r="A9005" t="s">
        <v>1493</v>
      </c>
      <c r="B9005" t="s">
        <v>1494</v>
      </c>
      <c r="C9005" t="s">
        <v>441</v>
      </c>
      <c r="D9005" t="str">
        <f>VLOOKUP(C9005,'lookup table'!$A$2:$B$19,2,FALSE)</f>
        <v>Partner Segment</v>
      </c>
      <c r="E9005" t="str">
        <f t="shared" si="140"/>
        <v>DZ6VAR_00|Partner Segment</v>
      </c>
    </row>
    <row r="9006" spans="1:5" x14ac:dyDescent="0.2">
      <c r="A9006" t="s">
        <v>1493</v>
      </c>
      <c r="B9006" t="s">
        <v>1494</v>
      </c>
      <c r="C9006" t="s">
        <v>442</v>
      </c>
      <c r="D9006" t="str">
        <f>VLOOKUP(C9006,'lookup table'!$A$2:$B$19,2,FALSE)</f>
        <v>Partner Unit</v>
      </c>
      <c r="E9006" t="str">
        <f t="shared" si="140"/>
        <v>DZ6VAR_00|Partner Unit</v>
      </c>
    </row>
    <row r="9007" spans="1:5" x14ac:dyDescent="0.2">
      <c r="A9007" t="s">
        <v>1493</v>
      </c>
      <c r="B9007" t="s">
        <v>1494</v>
      </c>
      <c r="C9007" t="s">
        <v>447</v>
      </c>
      <c r="D9007" t="str">
        <f>VLOOKUP(C9007,'lookup table'!$A$2:$B$19,2,FALSE)</f>
        <v>REX</v>
      </c>
      <c r="E9007" t="str">
        <f t="shared" si="140"/>
        <v>DZ6VAR_00|REX</v>
      </c>
    </row>
    <row r="9008" spans="1:5" x14ac:dyDescent="0.2">
      <c r="A9008" t="s">
        <v>1493</v>
      </c>
      <c r="B9008" t="s">
        <v>1494</v>
      </c>
      <c r="C9008" t="s">
        <v>448</v>
      </c>
      <c r="D9008" t="e">
        <f>VLOOKUP(C9008,'lookup table'!$A$2:$B$19,2,FALSE)</f>
        <v>#N/A</v>
      </c>
      <c r="E9008" t="str">
        <f t="shared" si="140"/>
        <v/>
      </c>
    </row>
    <row r="9009" spans="1:5" x14ac:dyDescent="0.2">
      <c r="A9009" t="s">
        <v>1493</v>
      </c>
      <c r="B9009" t="s">
        <v>1494</v>
      </c>
      <c r="C9009" t="s">
        <v>449</v>
      </c>
      <c r="D9009" t="e">
        <f>VLOOKUP(C9009,'lookup table'!$A$2:$B$19,2,FALSE)</f>
        <v>#N/A</v>
      </c>
      <c r="E9009" t="str">
        <f t="shared" si="140"/>
        <v/>
      </c>
    </row>
    <row r="9010" spans="1:5" x14ac:dyDescent="0.2">
      <c r="A9010" t="s">
        <v>1493</v>
      </c>
      <c r="B9010" t="s">
        <v>1494</v>
      </c>
      <c r="C9010" t="s">
        <v>451</v>
      </c>
      <c r="D9010" t="str">
        <f>VLOOKUP(C9010,'lookup table'!$A$2:$B$19,2,FALSE)</f>
        <v>Segment</v>
      </c>
      <c r="E9010" t="str">
        <f t="shared" si="140"/>
        <v>DZ6VAR_00|Segment</v>
      </c>
    </row>
    <row r="9011" spans="1:5" x14ac:dyDescent="0.2">
      <c r="A9011" t="s">
        <v>1493</v>
      </c>
      <c r="B9011" t="s">
        <v>1494</v>
      </c>
      <c r="C9011" t="s">
        <v>455</v>
      </c>
      <c r="D9011" t="e">
        <f>VLOOKUP(C9011,'lookup table'!$A$2:$B$19,2,FALSE)</f>
        <v>#N/A</v>
      </c>
      <c r="E9011" t="str">
        <f t="shared" si="140"/>
        <v/>
      </c>
    </row>
    <row r="9012" spans="1:5" x14ac:dyDescent="0.2">
      <c r="A9012" t="s">
        <v>1493</v>
      </c>
      <c r="B9012" t="s">
        <v>1494</v>
      </c>
      <c r="C9012" t="s">
        <v>456</v>
      </c>
      <c r="D9012" t="e">
        <f>VLOOKUP(C9012,'lookup table'!$A$2:$B$19,2,FALSE)</f>
        <v>#N/A</v>
      </c>
      <c r="E9012" t="str">
        <f t="shared" si="140"/>
        <v/>
      </c>
    </row>
    <row r="9013" spans="1:5" x14ac:dyDescent="0.2">
      <c r="A9013" t="s">
        <v>1493</v>
      </c>
      <c r="B9013" t="s">
        <v>1494</v>
      </c>
      <c r="C9013" t="s">
        <v>457</v>
      </c>
      <c r="D9013" t="str">
        <f>VLOOKUP(C9013,'lookup table'!$A$2:$B$19,2,FALSE)</f>
        <v>VLT</v>
      </c>
      <c r="E9013" t="str">
        <f t="shared" si="140"/>
        <v>DZ6VAR_00|VLT</v>
      </c>
    </row>
    <row r="9014" spans="1:5" x14ac:dyDescent="0.2">
      <c r="A9014" t="s">
        <v>1493</v>
      </c>
      <c r="B9014" t="s">
        <v>1494</v>
      </c>
      <c r="C9014" t="s">
        <v>458</v>
      </c>
      <c r="D9014" t="str">
        <f>VLOOKUP(C9014,'lookup table'!$A$2:$B$19,2,FALSE)</f>
        <v>VAR</v>
      </c>
      <c r="E9014" t="str">
        <f t="shared" si="140"/>
        <v>DZ6VAR_00|VAR</v>
      </c>
    </row>
    <row r="9015" spans="1:5" x14ac:dyDescent="0.2">
      <c r="A9015" t="s">
        <v>1493</v>
      </c>
      <c r="B9015" t="s">
        <v>1494</v>
      </c>
      <c r="C9015" t="s">
        <v>459</v>
      </c>
      <c r="D9015" t="e">
        <f>VLOOKUP(C9015,'lookup table'!$A$2:$B$19,2,FALSE)</f>
        <v>#N/A</v>
      </c>
      <c r="E9015" t="str">
        <f t="shared" si="140"/>
        <v/>
      </c>
    </row>
    <row r="9016" spans="1:5" x14ac:dyDescent="0.2">
      <c r="A9016" t="s">
        <v>1493</v>
      </c>
      <c r="B9016" t="s">
        <v>1494</v>
      </c>
      <c r="C9016" t="s">
        <v>460</v>
      </c>
      <c r="D9016" t="e">
        <f>VLOOKUP(C9016,'lookup table'!$A$2:$B$19,2,FALSE)</f>
        <v>#N/A</v>
      </c>
      <c r="E9016" t="str">
        <f t="shared" si="140"/>
        <v/>
      </c>
    </row>
    <row r="9017" spans="1:5" x14ac:dyDescent="0.2">
      <c r="A9017" t="s">
        <v>1493</v>
      </c>
      <c r="B9017" t="s">
        <v>1494</v>
      </c>
      <c r="C9017" t="s">
        <v>461</v>
      </c>
      <c r="D9017" t="str">
        <f>VLOOKUP(C9017,'lookup table'!$A$2:$B$19,2,FALSE)</f>
        <v>Posting Level</v>
      </c>
      <c r="E9017" t="str">
        <f t="shared" si="140"/>
        <v>DZ6VAR_00|Posting Level</v>
      </c>
    </row>
    <row r="9018" spans="1:5" x14ac:dyDescent="0.2">
      <c r="A9018" t="s">
        <v>1493</v>
      </c>
      <c r="B9018" t="s">
        <v>1494</v>
      </c>
      <c r="C9018" t="s">
        <v>462</v>
      </c>
      <c r="D9018" t="e">
        <f>VLOOKUP(C9018,'lookup table'!$A$2:$B$19,2,FALSE)</f>
        <v>#N/A</v>
      </c>
      <c r="E9018" t="str">
        <f t="shared" si="140"/>
        <v/>
      </c>
    </row>
    <row r="9019" spans="1:5" x14ac:dyDescent="0.2">
      <c r="A9019" t="s">
        <v>1493</v>
      </c>
      <c r="B9019" t="s">
        <v>1494</v>
      </c>
      <c r="C9019" t="s">
        <v>463</v>
      </c>
      <c r="D9019" t="e">
        <f>VLOOKUP(C9019,'lookup table'!$A$2:$B$19,2,FALSE)</f>
        <v>#N/A</v>
      </c>
      <c r="E9019" t="str">
        <f t="shared" si="140"/>
        <v/>
      </c>
    </row>
    <row r="9020" spans="1:5" x14ac:dyDescent="0.2">
      <c r="A9020" t="s">
        <v>1493</v>
      </c>
      <c r="B9020" t="s">
        <v>1494</v>
      </c>
      <c r="C9020" t="s">
        <v>464</v>
      </c>
      <c r="D9020" t="e">
        <f>VLOOKUP(C9020,'lookup table'!$A$2:$B$19,2,FALSE)</f>
        <v>#N/A</v>
      </c>
      <c r="E9020" t="str">
        <f t="shared" si="140"/>
        <v/>
      </c>
    </row>
    <row r="9021" spans="1:5" x14ac:dyDescent="0.2">
      <c r="A9021" t="s">
        <v>1493</v>
      </c>
      <c r="B9021" t="s">
        <v>1494</v>
      </c>
      <c r="C9021" t="s">
        <v>465</v>
      </c>
      <c r="D9021" t="e">
        <f>VLOOKUP(C9021,'lookup table'!$A$2:$B$19,2,FALSE)</f>
        <v>#N/A</v>
      </c>
      <c r="E9021" t="str">
        <f t="shared" si="140"/>
        <v/>
      </c>
    </row>
    <row r="9022" spans="1:5" x14ac:dyDescent="0.2">
      <c r="A9022" t="s">
        <v>1495</v>
      </c>
      <c r="B9022" t="s">
        <v>1496</v>
      </c>
      <c r="C9022" t="s">
        <v>2</v>
      </c>
      <c r="D9022" t="e">
        <f>VLOOKUP(C9022,'lookup table'!$A$2:$B$19,2,FALSE)</f>
        <v>#N/A</v>
      </c>
      <c r="E9022" t="str">
        <f t="shared" si="140"/>
        <v/>
      </c>
    </row>
    <row r="9023" spans="1:5" x14ac:dyDescent="0.2">
      <c r="A9023" t="s">
        <v>1495</v>
      </c>
      <c r="B9023" t="s">
        <v>1496</v>
      </c>
      <c r="C9023" t="s">
        <v>5</v>
      </c>
      <c r="D9023" t="e">
        <f>VLOOKUP(C9023,'lookup table'!$A$2:$B$19,2,FALSE)</f>
        <v>#N/A</v>
      </c>
      <c r="E9023" t="str">
        <f t="shared" si="140"/>
        <v/>
      </c>
    </row>
    <row r="9024" spans="1:5" x14ac:dyDescent="0.2">
      <c r="A9024" t="s">
        <v>1495</v>
      </c>
      <c r="B9024" t="s">
        <v>1496</v>
      </c>
      <c r="C9024" t="s">
        <v>6</v>
      </c>
      <c r="D9024" t="e">
        <f>VLOOKUP(C9024,'lookup table'!$A$2:$B$19,2,FALSE)</f>
        <v>#N/A</v>
      </c>
      <c r="E9024" t="str">
        <f t="shared" si="140"/>
        <v/>
      </c>
    </row>
    <row r="9025" spans="1:5" x14ac:dyDescent="0.2">
      <c r="A9025" t="s">
        <v>1495</v>
      </c>
      <c r="B9025" t="s">
        <v>1496</v>
      </c>
      <c r="C9025" t="s">
        <v>9</v>
      </c>
      <c r="D9025" t="e">
        <f>VLOOKUP(C9025,'lookup table'!$A$2:$B$19,2,FALSE)</f>
        <v>#N/A</v>
      </c>
      <c r="E9025" t="str">
        <f t="shared" si="140"/>
        <v/>
      </c>
    </row>
    <row r="9026" spans="1:5" x14ac:dyDescent="0.2">
      <c r="A9026" t="s">
        <v>1495</v>
      </c>
      <c r="B9026" t="s">
        <v>1496</v>
      </c>
      <c r="C9026" t="s">
        <v>10</v>
      </c>
      <c r="D9026" t="e">
        <f>VLOOKUP(C9026,'lookup table'!$A$2:$B$19,2,FALSE)</f>
        <v>#N/A</v>
      </c>
      <c r="E9026" t="str">
        <f t="shared" si="140"/>
        <v/>
      </c>
    </row>
    <row r="9027" spans="1:5" x14ac:dyDescent="0.2">
      <c r="A9027" t="s">
        <v>1495</v>
      </c>
      <c r="B9027" t="s">
        <v>1496</v>
      </c>
      <c r="C9027" t="s">
        <v>11</v>
      </c>
      <c r="D9027" t="e">
        <f>VLOOKUP(C9027,'lookup table'!$A$2:$B$19,2,FALSE)</f>
        <v>#N/A</v>
      </c>
      <c r="E9027" t="str">
        <f t="shared" ref="E9027:E9090" si="141">IF(ISNA(D9027),"",IF(A9027="","",A9027) &amp; "|" &amp; D9027)</f>
        <v/>
      </c>
    </row>
    <row r="9028" spans="1:5" x14ac:dyDescent="0.2">
      <c r="A9028" t="s">
        <v>1495</v>
      </c>
      <c r="B9028" t="s">
        <v>1496</v>
      </c>
      <c r="C9028" t="s">
        <v>12</v>
      </c>
      <c r="D9028" t="e">
        <f>VLOOKUP(C9028,'lookup table'!$A$2:$B$19,2,FALSE)</f>
        <v>#N/A</v>
      </c>
      <c r="E9028" t="str">
        <f t="shared" si="141"/>
        <v/>
      </c>
    </row>
    <row r="9029" spans="1:5" x14ac:dyDescent="0.2">
      <c r="A9029" t="s">
        <v>1495</v>
      </c>
      <c r="B9029" t="s">
        <v>1496</v>
      </c>
      <c r="C9029" t="s">
        <v>14</v>
      </c>
      <c r="D9029" t="str">
        <f>VLOOKUP(C9029,'lookup table'!$A$2:$B$19,2,FALSE)</f>
        <v>ALC</v>
      </c>
      <c r="E9029" t="str">
        <f t="shared" si="141"/>
        <v>DZ7ACY_00|ALC</v>
      </c>
    </row>
    <row r="9030" spans="1:5" x14ac:dyDescent="0.2">
      <c r="A9030" t="s">
        <v>1495</v>
      </c>
      <c r="B9030" t="s">
        <v>1496</v>
      </c>
      <c r="C9030" t="s">
        <v>20</v>
      </c>
      <c r="D9030" t="str">
        <f>VLOOKUP(C9030,'lookup table'!$A$2:$B$19,2,FALSE)</f>
        <v>AY</v>
      </c>
      <c r="E9030" t="str">
        <f t="shared" si="141"/>
        <v>DZ7ACY_00|AY</v>
      </c>
    </row>
    <row r="9031" spans="1:5" x14ac:dyDescent="0.2">
      <c r="A9031" t="s">
        <v>1495</v>
      </c>
      <c r="B9031" t="s">
        <v>1496</v>
      </c>
      <c r="C9031" t="s">
        <v>324</v>
      </c>
      <c r="D9031" t="e">
        <f>VLOOKUP(C9031,'lookup table'!$A$2:$B$19,2,FALSE)</f>
        <v>#N/A</v>
      </c>
      <c r="E9031" t="str">
        <f t="shared" si="141"/>
        <v/>
      </c>
    </row>
    <row r="9032" spans="1:5" x14ac:dyDescent="0.2">
      <c r="A9032" t="s">
        <v>1495</v>
      </c>
      <c r="B9032" t="s">
        <v>1496</v>
      </c>
      <c r="C9032" t="s">
        <v>325</v>
      </c>
      <c r="D9032" t="e">
        <f>VLOOKUP(C9032,'lookup table'!$A$2:$B$19,2,FALSE)</f>
        <v>#N/A</v>
      </c>
      <c r="E9032" t="str">
        <f t="shared" si="141"/>
        <v/>
      </c>
    </row>
    <row r="9033" spans="1:5" x14ac:dyDescent="0.2">
      <c r="A9033" t="s">
        <v>1495</v>
      </c>
      <c r="B9033" t="s">
        <v>1496</v>
      </c>
      <c r="C9033" t="s">
        <v>326</v>
      </c>
      <c r="D9033" t="e">
        <f>VLOOKUP(C9033,'lookup table'!$A$2:$B$19,2,FALSE)</f>
        <v>#N/A</v>
      </c>
      <c r="E9033" t="str">
        <f t="shared" si="141"/>
        <v/>
      </c>
    </row>
    <row r="9034" spans="1:5" x14ac:dyDescent="0.2">
      <c r="A9034" t="s">
        <v>1495</v>
      </c>
      <c r="B9034" t="s">
        <v>1496</v>
      </c>
      <c r="C9034" t="s">
        <v>327</v>
      </c>
      <c r="D9034" t="e">
        <f>VLOOKUP(C9034,'lookup table'!$A$2:$B$19,2,FALSE)</f>
        <v>#N/A</v>
      </c>
      <c r="E9034" t="str">
        <f t="shared" si="141"/>
        <v/>
      </c>
    </row>
    <row r="9035" spans="1:5" x14ac:dyDescent="0.2">
      <c r="A9035" t="s">
        <v>1495</v>
      </c>
      <c r="B9035" t="s">
        <v>1496</v>
      </c>
      <c r="C9035" t="s">
        <v>328</v>
      </c>
      <c r="D9035" t="e">
        <f>VLOOKUP(C9035,'lookup table'!$A$2:$B$19,2,FALSE)</f>
        <v>#N/A</v>
      </c>
      <c r="E9035" t="str">
        <f t="shared" si="141"/>
        <v/>
      </c>
    </row>
    <row r="9036" spans="1:5" x14ac:dyDescent="0.2">
      <c r="A9036" t="s">
        <v>1495</v>
      </c>
      <c r="B9036" t="s">
        <v>1496</v>
      </c>
      <c r="C9036" t="s">
        <v>329</v>
      </c>
      <c r="D9036" t="e">
        <f>VLOOKUP(C9036,'lookup table'!$A$2:$B$19,2,FALSE)</f>
        <v>#N/A</v>
      </c>
      <c r="E9036" t="str">
        <f t="shared" si="141"/>
        <v/>
      </c>
    </row>
    <row r="9037" spans="1:5" x14ac:dyDescent="0.2">
      <c r="A9037" t="s">
        <v>1495</v>
      </c>
      <c r="B9037" t="s">
        <v>1496</v>
      </c>
      <c r="C9037" t="s">
        <v>331</v>
      </c>
      <c r="D9037" t="str">
        <f>VLOOKUP(C9037,'lookup table'!$A$2:$B$19,2,FALSE)</f>
        <v>FS Item</v>
      </c>
      <c r="E9037" t="str">
        <f t="shared" si="141"/>
        <v>DZ7ACY_00|FS Item</v>
      </c>
    </row>
    <row r="9038" spans="1:5" x14ac:dyDescent="0.2">
      <c r="A9038" t="s">
        <v>1495</v>
      </c>
      <c r="B9038" t="s">
        <v>1496</v>
      </c>
      <c r="C9038" t="s">
        <v>422</v>
      </c>
      <c r="D9038" t="e">
        <f>VLOOKUP(C9038,'lookup table'!$A$2:$B$19,2,FALSE)</f>
        <v>#N/A</v>
      </c>
      <c r="E9038" t="str">
        <f t="shared" si="141"/>
        <v/>
      </c>
    </row>
    <row r="9039" spans="1:5" x14ac:dyDescent="0.2">
      <c r="A9039" t="s">
        <v>1495</v>
      </c>
      <c r="B9039" t="s">
        <v>1496</v>
      </c>
      <c r="C9039" t="s">
        <v>423</v>
      </c>
      <c r="D9039" t="str">
        <f>VLOOKUP(C9039,'lookup table'!$A$2:$B$19,2,FALSE)</f>
        <v>ignore</v>
      </c>
      <c r="E9039" t="str">
        <f t="shared" si="141"/>
        <v>DZ7ACY_00|ignore</v>
      </c>
    </row>
    <row r="9040" spans="1:5" x14ac:dyDescent="0.2">
      <c r="A9040" t="s">
        <v>1495</v>
      </c>
      <c r="B9040" t="s">
        <v>1496</v>
      </c>
      <c r="C9040" t="s">
        <v>424</v>
      </c>
      <c r="D9040" t="str">
        <f>VLOOKUP(C9040,'lookup table'!$A$2:$B$19,2,FALSE)</f>
        <v>GRC</v>
      </c>
      <c r="E9040" t="str">
        <f t="shared" si="141"/>
        <v>DZ7ACY_00|GRC</v>
      </c>
    </row>
    <row r="9041" spans="1:5" x14ac:dyDescent="0.2">
      <c r="A9041" t="s">
        <v>1495</v>
      </c>
      <c r="B9041" t="s">
        <v>1496</v>
      </c>
      <c r="C9041" t="s">
        <v>425</v>
      </c>
      <c r="D9041" t="str">
        <f>VLOOKUP(C9041,'lookup table'!$A$2:$B$19,2,FALSE)</f>
        <v>Investee Segment</v>
      </c>
      <c r="E9041" t="str">
        <f t="shared" si="141"/>
        <v>DZ7ACY_00|Investee Segment</v>
      </c>
    </row>
    <row r="9042" spans="1:5" x14ac:dyDescent="0.2">
      <c r="A9042" t="s">
        <v>1495</v>
      </c>
      <c r="B9042" t="s">
        <v>1496</v>
      </c>
      <c r="C9042" t="s">
        <v>426</v>
      </c>
      <c r="D9042" t="str">
        <f>VLOOKUP(C9042,'lookup table'!$A$2:$B$19,2,FALSE)</f>
        <v>Investee Unit</v>
      </c>
      <c r="E9042" t="str">
        <f t="shared" si="141"/>
        <v>DZ7ACY_00|Investee Unit</v>
      </c>
    </row>
    <row r="9043" spans="1:5" x14ac:dyDescent="0.2">
      <c r="A9043" t="s">
        <v>1495</v>
      </c>
      <c r="B9043" t="s">
        <v>1496</v>
      </c>
      <c r="C9043" t="s">
        <v>428</v>
      </c>
      <c r="D9043" t="str">
        <f>VLOOKUP(C9043,'lookup table'!$A$2:$B$19,2,FALSE)</f>
        <v>LoB</v>
      </c>
      <c r="E9043" t="str">
        <f t="shared" si="141"/>
        <v>DZ7ACY_00|LoB</v>
      </c>
    </row>
    <row r="9044" spans="1:5" x14ac:dyDescent="0.2">
      <c r="A9044" t="s">
        <v>1495</v>
      </c>
      <c r="B9044" t="s">
        <v>1496</v>
      </c>
      <c r="C9044" t="s">
        <v>436</v>
      </c>
      <c r="D9044" t="str">
        <f>VLOOKUP(C9044,'lookup table'!$A$2:$B$19,2,FALSE)</f>
        <v>MAT</v>
      </c>
      <c r="E9044" t="str">
        <f t="shared" si="141"/>
        <v>DZ7ACY_00|MAT</v>
      </c>
    </row>
    <row r="9045" spans="1:5" x14ac:dyDescent="0.2">
      <c r="A9045" t="s">
        <v>1495</v>
      </c>
      <c r="B9045" t="s">
        <v>1496</v>
      </c>
      <c r="C9045" t="s">
        <v>441</v>
      </c>
      <c r="D9045" t="str">
        <f>VLOOKUP(C9045,'lookup table'!$A$2:$B$19,2,FALSE)</f>
        <v>Partner Segment</v>
      </c>
      <c r="E9045" t="str">
        <f t="shared" si="141"/>
        <v>DZ7ACY_00|Partner Segment</v>
      </c>
    </row>
    <row r="9046" spans="1:5" x14ac:dyDescent="0.2">
      <c r="A9046" t="s">
        <v>1495</v>
      </c>
      <c r="B9046" t="s">
        <v>1496</v>
      </c>
      <c r="C9046" t="s">
        <v>442</v>
      </c>
      <c r="D9046" t="str">
        <f>VLOOKUP(C9046,'lookup table'!$A$2:$B$19,2,FALSE)</f>
        <v>Partner Unit</v>
      </c>
      <c r="E9046" t="str">
        <f t="shared" si="141"/>
        <v>DZ7ACY_00|Partner Unit</v>
      </c>
    </row>
    <row r="9047" spans="1:5" x14ac:dyDescent="0.2">
      <c r="A9047" t="s">
        <v>1495</v>
      </c>
      <c r="B9047" t="s">
        <v>1496</v>
      </c>
      <c r="C9047" t="s">
        <v>447</v>
      </c>
      <c r="D9047" t="str">
        <f>VLOOKUP(C9047,'lookup table'!$A$2:$B$19,2,FALSE)</f>
        <v>REX</v>
      </c>
      <c r="E9047" t="str">
        <f t="shared" si="141"/>
        <v>DZ7ACY_00|REX</v>
      </c>
    </row>
    <row r="9048" spans="1:5" x14ac:dyDescent="0.2">
      <c r="A9048" t="s">
        <v>1495</v>
      </c>
      <c r="B9048" t="s">
        <v>1496</v>
      </c>
      <c r="C9048" t="s">
        <v>448</v>
      </c>
      <c r="D9048" t="e">
        <f>VLOOKUP(C9048,'lookup table'!$A$2:$B$19,2,FALSE)</f>
        <v>#N/A</v>
      </c>
      <c r="E9048" t="str">
        <f t="shared" si="141"/>
        <v/>
      </c>
    </row>
    <row r="9049" spans="1:5" x14ac:dyDescent="0.2">
      <c r="A9049" t="s">
        <v>1495</v>
      </c>
      <c r="B9049" t="s">
        <v>1496</v>
      </c>
      <c r="C9049" t="s">
        <v>449</v>
      </c>
      <c r="D9049" t="e">
        <f>VLOOKUP(C9049,'lookup table'!$A$2:$B$19,2,FALSE)</f>
        <v>#N/A</v>
      </c>
      <c r="E9049" t="str">
        <f t="shared" si="141"/>
        <v/>
      </c>
    </row>
    <row r="9050" spans="1:5" x14ac:dyDescent="0.2">
      <c r="A9050" t="s">
        <v>1495</v>
      </c>
      <c r="B9050" t="s">
        <v>1496</v>
      </c>
      <c r="C9050" t="s">
        <v>451</v>
      </c>
      <c r="D9050" t="str">
        <f>VLOOKUP(C9050,'lookup table'!$A$2:$B$19,2,FALSE)</f>
        <v>Segment</v>
      </c>
      <c r="E9050" t="str">
        <f t="shared" si="141"/>
        <v>DZ7ACY_00|Segment</v>
      </c>
    </row>
    <row r="9051" spans="1:5" x14ac:dyDescent="0.2">
      <c r="A9051" t="s">
        <v>1495</v>
      </c>
      <c r="B9051" t="s">
        <v>1496</v>
      </c>
      <c r="C9051" t="s">
        <v>455</v>
      </c>
      <c r="D9051" t="e">
        <f>VLOOKUP(C9051,'lookup table'!$A$2:$B$19,2,FALSE)</f>
        <v>#N/A</v>
      </c>
      <c r="E9051" t="str">
        <f t="shared" si="141"/>
        <v/>
      </c>
    </row>
    <row r="9052" spans="1:5" x14ac:dyDescent="0.2">
      <c r="A9052" t="s">
        <v>1495</v>
      </c>
      <c r="B9052" t="s">
        <v>1496</v>
      </c>
      <c r="C9052" t="s">
        <v>456</v>
      </c>
      <c r="D9052" t="e">
        <f>VLOOKUP(C9052,'lookup table'!$A$2:$B$19,2,FALSE)</f>
        <v>#N/A</v>
      </c>
      <c r="E9052" t="str">
        <f t="shared" si="141"/>
        <v/>
      </c>
    </row>
    <row r="9053" spans="1:5" x14ac:dyDescent="0.2">
      <c r="A9053" t="s">
        <v>1495</v>
      </c>
      <c r="B9053" t="s">
        <v>1496</v>
      </c>
      <c r="C9053" t="s">
        <v>457</v>
      </c>
      <c r="D9053" t="str">
        <f>VLOOKUP(C9053,'lookup table'!$A$2:$B$19,2,FALSE)</f>
        <v>VLT</v>
      </c>
      <c r="E9053" t="str">
        <f t="shared" si="141"/>
        <v>DZ7ACY_00|VLT</v>
      </c>
    </row>
    <row r="9054" spans="1:5" x14ac:dyDescent="0.2">
      <c r="A9054" t="s">
        <v>1495</v>
      </c>
      <c r="B9054" t="s">
        <v>1496</v>
      </c>
      <c r="C9054" t="s">
        <v>458</v>
      </c>
      <c r="D9054" t="str">
        <f>VLOOKUP(C9054,'lookup table'!$A$2:$B$19,2,FALSE)</f>
        <v>VAR</v>
      </c>
      <c r="E9054" t="str">
        <f t="shared" si="141"/>
        <v>DZ7ACY_00|VAR</v>
      </c>
    </row>
    <row r="9055" spans="1:5" x14ac:dyDescent="0.2">
      <c r="A9055" t="s">
        <v>1495</v>
      </c>
      <c r="B9055" t="s">
        <v>1496</v>
      </c>
      <c r="C9055" t="s">
        <v>459</v>
      </c>
      <c r="D9055" t="e">
        <f>VLOOKUP(C9055,'lookup table'!$A$2:$B$19,2,FALSE)</f>
        <v>#N/A</v>
      </c>
      <c r="E9055" t="str">
        <f t="shared" si="141"/>
        <v/>
      </c>
    </row>
    <row r="9056" spans="1:5" x14ac:dyDescent="0.2">
      <c r="A9056" t="s">
        <v>1495</v>
      </c>
      <c r="B9056" t="s">
        <v>1496</v>
      </c>
      <c r="C9056" t="s">
        <v>460</v>
      </c>
      <c r="D9056" t="e">
        <f>VLOOKUP(C9056,'lookup table'!$A$2:$B$19,2,FALSE)</f>
        <v>#N/A</v>
      </c>
      <c r="E9056" t="str">
        <f t="shared" si="141"/>
        <v/>
      </c>
    </row>
    <row r="9057" spans="1:5" x14ac:dyDescent="0.2">
      <c r="A9057" t="s">
        <v>1495</v>
      </c>
      <c r="B9057" t="s">
        <v>1496</v>
      </c>
      <c r="C9057" t="s">
        <v>461</v>
      </c>
      <c r="D9057" t="str">
        <f>VLOOKUP(C9057,'lookup table'!$A$2:$B$19,2,FALSE)</f>
        <v>Posting Level</v>
      </c>
      <c r="E9057" t="str">
        <f t="shared" si="141"/>
        <v>DZ7ACY_00|Posting Level</v>
      </c>
    </row>
    <row r="9058" spans="1:5" x14ac:dyDescent="0.2">
      <c r="A9058" t="s">
        <v>1495</v>
      </c>
      <c r="B9058" t="s">
        <v>1496</v>
      </c>
      <c r="C9058" t="s">
        <v>462</v>
      </c>
      <c r="D9058" t="e">
        <f>VLOOKUP(C9058,'lookup table'!$A$2:$B$19,2,FALSE)</f>
        <v>#N/A</v>
      </c>
      <c r="E9058" t="str">
        <f t="shared" si="141"/>
        <v/>
      </c>
    </row>
    <row r="9059" spans="1:5" x14ac:dyDescent="0.2">
      <c r="A9059" t="s">
        <v>1495</v>
      </c>
      <c r="B9059" t="s">
        <v>1496</v>
      </c>
      <c r="C9059" t="s">
        <v>463</v>
      </c>
      <c r="D9059" t="e">
        <f>VLOOKUP(C9059,'lookup table'!$A$2:$B$19,2,FALSE)</f>
        <v>#N/A</v>
      </c>
      <c r="E9059" t="str">
        <f t="shared" si="141"/>
        <v/>
      </c>
    </row>
    <row r="9060" spans="1:5" x14ac:dyDescent="0.2">
      <c r="A9060" t="s">
        <v>1495</v>
      </c>
      <c r="B9060" t="s">
        <v>1496</v>
      </c>
      <c r="C9060" t="s">
        <v>464</v>
      </c>
      <c r="D9060" t="e">
        <f>VLOOKUP(C9060,'lookup table'!$A$2:$B$19,2,FALSE)</f>
        <v>#N/A</v>
      </c>
      <c r="E9060" t="str">
        <f t="shared" si="141"/>
        <v/>
      </c>
    </row>
    <row r="9061" spans="1:5" x14ac:dyDescent="0.2">
      <c r="A9061" t="s">
        <v>1495</v>
      </c>
      <c r="B9061" t="s">
        <v>1496</v>
      </c>
      <c r="C9061" t="s">
        <v>465</v>
      </c>
      <c r="D9061" t="e">
        <f>VLOOKUP(C9061,'lookup table'!$A$2:$B$19,2,FALSE)</f>
        <v>#N/A</v>
      </c>
      <c r="E9061" t="str">
        <f t="shared" si="141"/>
        <v/>
      </c>
    </row>
    <row r="9062" spans="1:5" x14ac:dyDescent="0.2">
      <c r="A9062" t="s">
        <v>1497</v>
      </c>
      <c r="B9062" t="s">
        <v>1498</v>
      </c>
      <c r="C9062" t="s">
        <v>2</v>
      </c>
      <c r="D9062" t="e">
        <f>VLOOKUP(C9062,'lookup table'!$A$2:$B$19,2,FALSE)</f>
        <v>#N/A</v>
      </c>
      <c r="E9062" t="str">
        <f t="shared" si="141"/>
        <v/>
      </c>
    </row>
    <row r="9063" spans="1:5" x14ac:dyDescent="0.2">
      <c r="A9063" t="s">
        <v>1497</v>
      </c>
      <c r="B9063" t="s">
        <v>1498</v>
      </c>
      <c r="C9063" t="s">
        <v>5</v>
      </c>
      <c r="D9063" t="e">
        <f>VLOOKUP(C9063,'lookup table'!$A$2:$B$19,2,FALSE)</f>
        <v>#N/A</v>
      </c>
      <c r="E9063" t="str">
        <f t="shared" si="141"/>
        <v/>
      </c>
    </row>
    <row r="9064" spans="1:5" x14ac:dyDescent="0.2">
      <c r="A9064" t="s">
        <v>1497</v>
      </c>
      <c r="B9064" t="s">
        <v>1498</v>
      </c>
      <c r="C9064" t="s">
        <v>6</v>
      </c>
      <c r="D9064" t="e">
        <f>VLOOKUP(C9064,'lookup table'!$A$2:$B$19,2,FALSE)</f>
        <v>#N/A</v>
      </c>
      <c r="E9064" t="str">
        <f t="shared" si="141"/>
        <v/>
      </c>
    </row>
    <row r="9065" spans="1:5" x14ac:dyDescent="0.2">
      <c r="A9065" t="s">
        <v>1497</v>
      </c>
      <c r="B9065" t="s">
        <v>1498</v>
      </c>
      <c r="C9065" t="s">
        <v>9</v>
      </c>
      <c r="D9065" t="e">
        <f>VLOOKUP(C9065,'lookup table'!$A$2:$B$19,2,FALSE)</f>
        <v>#N/A</v>
      </c>
      <c r="E9065" t="str">
        <f t="shared" si="141"/>
        <v/>
      </c>
    </row>
    <row r="9066" spans="1:5" x14ac:dyDescent="0.2">
      <c r="A9066" t="s">
        <v>1497</v>
      </c>
      <c r="B9066" t="s">
        <v>1498</v>
      </c>
      <c r="C9066" t="s">
        <v>10</v>
      </c>
      <c r="D9066" t="e">
        <f>VLOOKUP(C9066,'lookup table'!$A$2:$B$19,2,FALSE)</f>
        <v>#N/A</v>
      </c>
      <c r="E9066" t="str">
        <f t="shared" si="141"/>
        <v/>
      </c>
    </row>
    <row r="9067" spans="1:5" x14ac:dyDescent="0.2">
      <c r="A9067" t="s">
        <v>1497</v>
      </c>
      <c r="B9067" t="s">
        <v>1498</v>
      </c>
      <c r="C9067" t="s">
        <v>11</v>
      </c>
      <c r="D9067" t="e">
        <f>VLOOKUP(C9067,'lookup table'!$A$2:$B$19,2,FALSE)</f>
        <v>#N/A</v>
      </c>
      <c r="E9067" t="str">
        <f t="shared" si="141"/>
        <v/>
      </c>
    </row>
    <row r="9068" spans="1:5" x14ac:dyDescent="0.2">
      <c r="A9068" t="s">
        <v>1497</v>
      </c>
      <c r="B9068" t="s">
        <v>1498</v>
      </c>
      <c r="C9068" t="s">
        <v>12</v>
      </c>
      <c r="D9068" t="e">
        <f>VLOOKUP(C9068,'lookup table'!$A$2:$B$19,2,FALSE)</f>
        <v>#N/A</v>
      </c>
      <c r="E9068" t="str">
        <f t="shared" si="141"/>
        <v/>
      </c>
    </row>
    <row r="9069" spans="1:5" x14ac:dyDescent="0.2">
      <c r="A9069" t="s">
        <v>1497</v>
      </c>
      <c r="B9069" t="s">
        <v>1498</v>
      </c>
      <c r="C9069" t="s">
        <v>14</v>
      </c>
      <c r="D9069" t="str">
        <f>VLOOKUP(C9069,'lookup table'!$A$2:$B$19,2,FALSE)</f>
        <v>ALC</v>
      </c>
      <c r="E9069" t="str">
        <f t="shared" si="141"/>
        <v>DZ7LOB_00|ALC</v>
      </c>
    </row>
    <row r="9070" spans="1:5" x14ac:dyDescent="0.2">
      <c r="A9070" t="s">
        <v>1497</v>
      </c>
      <c r="B9070" t="s">
        <v>1498</v>
      </c>
      <c r="C9070" t="s">
        <v>20</v>
      </c>
      <c r="D9070" t="str">
        <f>VLOOKUP(C9070,'lookup table'!$A$2:$B$19,2,FALSE)</f>
        <v>AY</v>
      </c>
      <c r="E9070" t="str">
        <f t="shared" si="141"/>
        <v>DZ7LOB_00|AY</v>
      </c>
    </row>
    <row r="9071" spans="1:5" x14ac:dyDescent="0.2">
      <c r="A9071" t="s">
        <v>1497</v>
      </c>
      <c r="B9071" t="s">
        <v>1498</v>
      </c>
      <c r="C9071" t="s">
        <v>324</v>
      </c>
      <c r="D9071" t="e">
        <f>VLOOKUP(C9071,'lookup table'!$A$2:$B$19,2,FALSE)</f>
        <v>#N/A</v>
      </c>
      <c r="E9071" t="str">
        <f t="shared" si="141"/>
        <v/>
      </c>
    </row>
    <row r="9072" spans="1:5" x14ac:dyDescent="0.2">
      <c r="A9072" t="s">
        <v>1497</v>
      </c>
      <c r="B9072" t="s">
        <v>1498</v>
      </c>
      <c r="C9072" t="s">
        <v>325</v>
      </c>
      <c r="D9072" t="e">
        <f>VLOOKUP(C9072,'lookup table'!$A$2:$B$19,2,FALSE)</f>
        <v>#N/A</v>
      </c>
      <c r="E9072" t="str">
        <f t="shared" si="141"/>
        <v/>
      </c>
    </row>
    <row r="9073" spans="1:5" x14ac:dyDescent="0.2">
      <c r="A9073" t="s">
        <v>1497</v>
      </c>
      <c r="B9073" t="s">
        <v>1498</v>
      </c>
      <c r="C9073" t="s">
        <v>326</v>
      </c>
      <c r="D9073" t="e">
        <f>VLOOKUP(C9073,'lookup table'!$A$2:$B$19,2,FALSE)</f>
        <v>#N/A</v>
      </c>
      <c r="E9073" t="str">
        <f t="shared" si="141"/>
        <v/>
      </c>
    </row>
    <row r="9074" spans="1:5" x14ac:dyDescent="0.2">
      <c r="A9074" t="s">
        <v>1497</v>
      </c>
      <c r="B9074" t="s">
        <v>1498</v>
      </c>
      <c r="C9074" t="s">
        <v>327</v>
      </c>
      <c r="D9074" t="e">
        <f>VLOOKUP(C9074,'lookup table'!$A$2:$B$19,2,FALSE)</f>
        <v>#N/A</v>
      </c>
      <c r="E9074" t="str">
        <f t="shared" si="141"/>
        <v/>
      </c>
    </row>
    <row r="9075" spans="1:5" x14ac:dyDescent="0.2">
      <c r="A9075" t="s">
        <v>1497</v>
      </c>
      <c r="B9075" t="s">
        <v>1498</v>
      </c>
      <c r="C9075" t="s">
        <v>328</v>
      </c>
      <c r="D9075" t="e">
        <f>VLOOKUP(C9075,'lookup table'!$A$2:$B$19,2,FALSE)</f>
        <v>#N/A</v>
      </c>
      <c r="E9075" t="str">
        <f t="shared" si="141"/>
        <v/>
      </c>
    </row>
    <row r="9076" spans="1:5" x14ac:dyDescent="0.2">
      <c r="A9076" t="s">
        <v>1497</v>
      </c>
      <c r="B9076" t="s">
        <v>1498</v>
      </c>
      <c r="C9076" t="s">
        <v>329</v>
      </c>
      <c r="D9076" t="e">
        <f>VLOOKUP(C9076,'lookup table'!$A$2:$B$19,2,FALSE)</f>
        <v>#N/A</v>
      </c>
      <c r="E9076" t="str">
        <f t="shared" si="141"/>
        <v/>
      </c>
    </row>
    <row r="9077" spans="1:5" x14ac:dyDescent="0.2">
      <c r="A9077" t="s">
        <v>1497</v>
      </c>
      <c r="B9077" t="s">
        <v>1498</v>
      </c>
      <c r="C9077" t="s">
        <v>331</v>
      </c>
      <c r="D9077" t="str">
        <f>VLOOKUP(C9077,'lookup table'!$A$2:$B$19,2,FALSE)</f>
        <v>FS Item</v>
      </c>
      <c r="E9077" t="str">
        <f t="shared" si="141"/>
        <v>DZ7LOB_00|FS Item</v>
      </c>
    </row>
    <row r="9078" spans="1:5" x14ac:dyDescent="0.2">
      <c r="A9078" t="s">
        <v>1497</v>
      </c>
      <c r="B9078" t="s">
        <v>1498</v>
      </c>
      <c r="C9078" t="s">
        <v>422</v>
      </c>
      <c r="D9078" t="e">
        <f>VLOOKUP(C9078,'lookup table'!$A$2:$B$19,2,FALSE)</f>
        <v>#N/A</v>
      </c>
      <c r="E9078" t="str">
        <f t="shared" si="141"/>
        <v/>
      </c>
    </row>
    <row r="9079" spans="1:5" x14ac:dyDescent="0.2">
      <c r="A9079" t="s">
        <v>1497</v>
      </c>
      <c r="B9079" t="s">
        <v>1498</v>
      </c>
      <c r="C9079" t="s">
        <v>423</v>
      </c>
      <c r="D9079" t="str">
        <f>VLOOKUP(C9079,'lookup table'!$A$2:$B$19,2,FALSE)</f>
        <v>ignore</v>
      </c>
      <c r="E9079" t="str">
        <f t="shared" si="141"/>
        <v>DZ7LOB_00|ignore</v>
      </c>
    </row>
    <row r="9080" spans="1:5" x14ac:dyDescent="0.2">
      <c r="A9080" t="s">
        <v>1497</v>
      </c>
      <c r="B9080" t="s">
        <v>1498</v>
      </c>
      <c r="C9080" t="s">
        <v>424</v>
      </c>
      <c r="D9080" t="str">
        <f>VLOOKUP(C9080,'lookup table'!$A$2:$B$19,2,FALSE)</f>
        <v>GRC</v>
      </c>
      <c r="E9080" t="str">
        <f t="shared" si="141"/>
        <v>DZ7LOB_00|GRC</v>
      </c>
    </row>
    <row r="9081" spans="1:5" x14ac:dyDescent="0.2">
      <c r="A9081" t="s">
        <v>1497</v>
      </c>
      <c r="B9081" t="s">
        <v>1498</v>
      </c>
      <c r="C9081" t="s">
        <v>425</v>
      </c>
      <c r="D9081" t="str">
        <f>VLOOKUP(C9081,'lookup table'!$A$2:$B$19,2,FALSE)</f>
        <v>Investee Segment</v>
      </c>
      <c r="E9081" t="str">
        <f t="shared" si="141"/>
        <v>DZ7LOB_00|Investee Segment</v>
      </c>
    </row>
    <row r="9082" spans="1:5" x14ac:dyDescent="0.2">
      <c r="A9082" t="s">
        <v>1497</v>
      </c>
      <c r="B9082" t="s">
        <v>1498</v>
      </c>
      <c r="C9082" t="s">
        <v>426</v>
      </c>
      <c r="D9082" t="str">
        <f>VLOOKUP(C9082,'lookup table'!$A$2:$B$19,2,FALSE)</f>
        <v>Investee Unit</v>
      </c>
      <c r="E9082" t="str">
        <f t="shared" si="141"/>
        <v>DZ7LOB_00|Investee Unit</v>
      </c>
    </row>
    <row r="9083" spans="1:5" x14ac:dyDescent="0.2">
      <c r="A9083" t="s">
        <v>1497</v>
      </c>
      <c r="B9083" t="s">
        <v>1498</v>
      </c>
      <c r="C9083" t="s">
        <v>428</v>
      </c>
      <c r="D9083" t="str">
        <f>VLOOKUP(C9083,'lookup table'!$A$2:$B$19,2,FALSE)</f>
        <v>LoB</v>
      </c>
      <c r="E9083" t="str">
        <f t="shared" si="141"/>
        <v>DZ7LOB_00|LoB</v>
      </c>
    </row>
    <row r="9084" spans="1:5" x14ac:dyDescent="0.2">
      <c r="A9084" t="s">
        <v>1497</v>
      </c>
      <c r="B9084" t="s">
        <v>1498</v>
      </c>
      <c r="C9084" t="s">
        <v>436</v>
      </c>
      <c r="D9084" t="str">
        <f>VLOOKUP(C9084,'lookup table'!$A$2:$B$19,2,FALSE)</f>
        <v>MAT</v>
      </c>
      <c r="E9084" t="str">
        <f t="shared" si="141"/>
        <v>DZ7LOB_00|MAT</v>
      </c>
    </row>
    <row r="9085" spans="1:5" x14ac:dyDescent="0.2">
      <c r="A9085" t="s">
        <v>1497</v>
      </c>
      <c r="B9085" t="s">
        <v>1498</v>
      </c>
      <c r="C9085" t="s">
        <v>441</v>
      </c>
      <c r="D9085" t="str">
        <f>VLOOKUP(C9085,'lookup table'!$A$2:$B$19,2,FALSE)</f>
        <v>Partner Segment</v>
      </c>
      <c r="E9085" t="str">
        <f t="shared" si="141"/>
        <v>DZ7LOB_00|Partner Segment</v>
      </c>
    </row>
    <row r="9086" spans="1:5" x14ac:dyDescent="0.2">
      <c r="A9086" t="s">
        <v>1497</v>
      </c>
      <c r="B9086" t="s">
        <v>1498</v>
      </c>
      <c r="C9086" t="s">
        <v>442</v>
      </c>
      <c r="D9086" t="str">
        <f>VLOOKUP(C9086,'lookup table'!$A$2:$B$19,2,FALSE)</f>
        <v>Partner Unit</v>
      </c>
      <c r="E9086" t="str">
        <f t="shared" si="141"/>
        <v>DZ7LOB_00|Partner Unit</v>
      </c>
    </row>
    <row r="9087" spans="1:5" x14ac:dyDescent="0.2">
      <c r="A9087" t="s">
        <v>1497</v>
      </c>
      <c r="B9087" t="s">
        <v>1498</v>
      </c>
      <c r="C9087" t="s">
        <v>447</v>
      </c>
      <c r="D9087" t="str">
        <f>VLOOKUP(C9087,'lookup table'!$A$2:$B$19,2,FALSE)</f>
        <v>REX</v>
      </c>
      <c r="E9087" t="str">
        <f t="shared" si="141"/>
        <v>DZ7LOB_00|REX</v>
      </c>
    </row>
    <row r="9088" spans="1:5" x14ac:dyDescent="0.2">
      <c r="A9088" t="s">
        <v>1497</v>
      </c>
      <c r="B9088" t="s">
        <v>1498</v>
      </c>
      <c r="C9088" t="s">
        <v>448</v>
      </c>
      <c r="D9088" t="e">
        <f>VLOOKUP(C9088,'lookup table'!$A$2:$B$19,2,FALSE)</f>
        <v>#N/A</v>
      </c>
      <c r="E9088" t="str">
        <f t="shared" si="141"/>
        <v/>
      </c>
    </row>
    <row r="9089" spans="1:5" x14ac:dyDescent="0.2">
      <c r="A9089" t="s">
        <v>1497</v>
      </c>
      <c r="B9089" t="s">
        <v>1498</v>
      </c>
      <c r="C9089" t="s">
        <v>449</v>
      </c>
      <c r="D9089" t="e">
        <f>VLOOKUP(C9089,'lookup table'!$A$2:$B$19,2,FALSE)</f>
        <v>#N/A</v>
      </c>
      <c r="E9089" t="str">
        <f t="shared" si="141"/>
        <v/>
      </c>
    </row>
    <row r="9090" spans="1:5" x14ac:dyDescent="0.2">
      <c r="A9090" t="s">
        <v>1497</v>
      </c>
      <c r="B9090" t="s">
        <v>1498</v>
      </c>
      <c r="C9090" t="s">
        <v>451</v>
      </c>
      <c r="D9090" t="str">
        <f>VLOOKUP(C9090,'lookup table'!$A$2:$B$19,2,FALSE)</f>
        <v>Segment</v>
      </c>
      <c r="E9090" t="str">
        <f t="shared" si="141"/>
        <v>DZ7LOB_00|Segment</v>
      </c>
    </row>
    <row r="9091" spans="1:5" x14ac:dyDescent="0.2">
      <c r="A9091" t="s">
        <v>1497</v>
      </c>
      <c r="B9091" t="s">
        <v>1498</v>
      </c>
      <c r="C9091" t="s">
        <v>455</v>
      </c>
      <c r="D9091" t="e">
        <f>VLOOKUP(C9091,'lookup table'!$A$2:$B$19,2,FALSE)</f>
        <v>#N/A</v>
      </c>
      <c r="E9091" t="str">
        <f t="shared" ref="E9091:E9154" si="142">IF(ISNA(D9091),"",IF(A9091="","",A9091) &amp; "|" &amp; D9091)</f>
        <v/>
      </c>
    </row>
    <row r="9092" spans="1:5" x14ac:dyDescent="0.2">
      <c r="A9092" t="s">
        <v>1497</v>
      </c>
      <c r="B9092" t="s">
        <v>1498</v>
      </c>
      <c r="C9092" t="s">
        <v>456</v>
      </c>
      <c r="D9092" t="e">
        <f>VLOOKUP(C9092,'lookup table'!$A$2:$B$19,2,FALSE)</f>
        <v>#N/A</v>
      </c>
      <c r="E9092" t="str">
        <f t="shared" si="142"/>
        <v/>
      </c>
    </row>
    <row r="9093" spans="1:5" x14ac:dyDescent="0.2">
      <c r="A9093" t="s">
        <v>1497</v>
      </c>
      <c r="B9093" t="s">
        <v>1498</v>
      </c>
      <c r="C9093" t="s">
        <v>457</v>
      </c>
      <c r="D9093" t="str">
        <f>VLOOKUP(C9093,'lookup table'!$A$2:$B$19,2,FALSE)</f>
        <v>VLT</v>
      </c>
      <c r="E9093" t="str">
        <f t="shared" si="142"/>
        <v>DZ7LOB_00|VLT</v>
      </c>
    </row>
    <row r="9094" spans="1:5" x14ac:dyDescent="0.2">
      <c r="A9094" t="s">
        <v>1497</v>
      </c>
      <c r="B9094" t="s">
        <v>1498</v>
      </c>
      <c r="C9094" t="s">
        <v>458</v>
      </c>
      <c r="D9094" t="str">
        <f>VLOOKUP(C9094,'lookup table'!$A$2:$B$19,2,FALSE)</f>
        <v>VAR</v>
      </c>
      <c r="E9094" t="str">
        <f t="shared" si="142"/>
        <v>DZ7LOB_00|VAR</v>
      </c>
    </row>
    <row r="9095" spans="1:5" x14ac:dyDescent="0.2">
      <c r="A9095" t="s">
        <v>1497</v>
      </c>
      <c r="B9095" t="s">
        <v>1498</v>
      </c>
      <c r="C9095" t="s">
        <v>459</v>
      </c>
      <c r="D9095" t="e">
        <f>VLOOKUP(C9095,'lookup table'!$A$2:$B$19,2,FALSE)</f>
        <v>#N/A</v>
      </c>
      <c r="E9095" t="str">
        <f t="shared" si="142"/>
        <v/>
      </c>
    </row>
    <row r="9096" spans="1:5" x14ac:dyDescent="0.2">
      <c r="A9096" t="s">
        <v>1497</v>
      </c>
      <c r="B9096" t="s">
        <v>1498</v>
      </c>
      <c r="C9096" t="s">
        <v>460</v>
      </c>
      <c r="D9096" t="e">
        <f>VLOOKUP(C9096,'lookup table'!$A$2:$B$19,2,FALSE)</f>
        <v>#N/A</v>
      </c>
      <c r="E9096" t="str">
        <f t="shared" si="142"/>
        <v/>
      </c>
    </row>
    <row r="9097" spans="1:5" x14ac:dyDescent="0.2">
      <c r="A9097" t="s">
        <v>1497</v>
      </c>
      <c r="B9097" t="s">
        <v>1498</v>
      </c>
      <c r="C9097" t="s">
        <v>461</v>
      </c>
      <c r="D9097" t="str">
        <f>VLOOKUP(C9097,'lookup table'!$A$2:$B$19,2,FALSE)</f>
        <v>Posting Level</v>
      </c>
      <c r="E9097" t="str">
        <f t="shared" si="142"/>
        <v>DZ7LOB_00|Posting Level</v>
      </c>
    </row>
    <row r="9098" spans="1:5" x14ac:dyDescent="0.2">
      <c r="A9098" t="s">
        <v>1497</v>
      </c>
      <c r="B9098" t="s">
        <v>1498</v>
      </c>
      <c r="C9098" t="s">
        <v>462</v>
      </c>
      <c r="D9098" t="e">
        <f>VLOOKUP(C9098,'lookup table'!$A$2:$B$19,2,FALSE)</f>
        <v>#N/A</v>
      </c>
      <c r="E9098" t="str">
        <f t="shared" si="142"/>
        <v/>
      </c>
    </row>
    <row r="9099" spans="1:5" x14ac:dyDescent="0.2">
      <c r="A9099" t="s">
        <v>1497</v>
      </c>
      <c r="B9099" t="s">
        <v>1498</v>
      </c>
      <c r="C9099" t="s">
        <v>463</v>
      </c>
      <c r="D9099" t="e">
        <f>VLOOKUP(C9099,'lookup table'!$A$2:$B$19,2,FALSE)</f>
        <v>#N/A</v>
      </c>
      <c r="E9099" t="str">
        <f t="shared" si="142"/>
        <v/>
      </c>
    </row>
    <row r="9100" spans="1:5" x14ac:dyDescent="0.2">
      <c r="A9100" t="s">
        <v>1497</v>
      </c>
      <c r="B9100" t="s">
        <v>1498</v>
      </c>
      <c r="C9100" t="s">
        <v>464</v>
      </c>
      <c r="D9100" t="e">
        <f>VLOOKUP(C9100,'lookup table'!$A$2:$B$19,2,FALSE)</f>
        <v>#N/A</v>
      </c>
      <c r="E9100" t="str">
        <f t="shared" si="142"/>
        <v/>
      </c>
    </row>
    <row r="9101" spans="1:5" x14ac:dyDescent="0.2">
      <c r="A9101" t="s">
        <v>1497</v>
      </c>
      <c r="B9101" t="s">
        <v>1498</v>
      </c>
      <c r="C9101" t="s">
        <v>465</v>
      </c>
      <c r="D9101" t="e">
        <f>VLOOKUP(C9101,'lookup table'!$A$2:$B$19,2,FALSE)</f>
        <v>#N/A</v>
      </c>
      <c r="E9101" t="str">
        <f t="shared" si="142"/>
        <v/>
      </c>
    </row>
    <row r="9102" spans="1:5" x14ac:dyDescent="0.2">
      <c r="A9102" t="s">
        <v>1499</v>
      </c>
      <c r="B9102" t="s">
        <v>1500</v>
      </c>
      <c r="C9102" t="s">
        <v>2</v>
      </c>
      <c r="D9102" t="e">
        <f>VLOOKUP(C9102,'lookup table'!$A$2:$B$19,2,FALSE)</f>
        <v>#N/A</v>
      </c>
      <c r="E9102" t="str">
        <f t="shared" si="142"/>
        <v/>
      </c>
    </row>
    <row r="9103" spans="1:5" x14ac:dyDescent="0.2">
      <c r="A9103" t="s">
        <v>1499</v>
      </c>
      <c r="B9103" t="s">
        <v>1500</v>
      </c>
      <c r="C9103" t="s">
        <v>5</v>
      </c>
      <c r="D9103" t="e">
        <f>VLOOKUP(C9103,'lookup table'!$A$2:$B$19,2,FALSE)</f>
        <v>#N/A</v>
      </c>
      <c r="E9103" t="str">
        <f t="shared" si="142"/>
        <v/>
      </c>
    </row>
    <row r="9104" spans="1:5" x14ac:dyDescent="0.2">
      <c r="A9104" t="s">
        <v>1499</v>
      </c>
      <c r="B9104" t="s">
        <v>1500</v>
      </c>
      <c r="C9104" t="s">
        <v>6</v>
      </c>
      <c r="D9104" t="e">
        <f>VLOOKUP(C9104,'lookup table'!$A$2:$B$19,2,FALSE)</f>
        <v>#N/A</v>
      </c>
      <c r="E9104" t="str">
        <f t="shared" si="142"/>
        <v/>
      </c>
    </row>
    <row r="9105" spans="1:5" x14ac:dyDescent="0.2">
      <c r="A9105" t="s">
        <v>1499</v>
      </c>
      <c r="B9105" t="s">
        <v>1500</v>
      </c>
      <c r="C9105" t="s">
        <v>9</v>
      </c>
      <c r="D9105" t="e">
        <f>VLOOKUP(C9105,'lookup table'!$A$2:$B$19,2,FALSE)</f>
        <v>#N/A</v>
      </c>
      <c r="E9105" t="str">
        <f t="shared" si="142"/>
        <v/>
      </c>
    </row>
    <row r="9106" spans="1:5" x14ac:dyDescent="0.2">
      <c r="A9106" t="s">
        <v>1499</v>
      </c>
      <c r="B9106" t="s">
        <v>1500</v>
      </c>
      <c r="C9106" t="s">
        <v>10</v>
      </c>
      <c r="D9106" t="e">
        <f>VLOOKUP(C9106,'lookup table'!$A$2:$B$19,2,FALSE)</f>
        <v>#N/A</v>
      </c>
      <c r="E9106" t="str">
        <f t="shared" si="142"/>
        <v/>
      </c>
    </row>
    <row r="9107" spans="1:5" x14ac:dyDescent="0.2">
      <c r="A9107" t="s">
        <v>1499</v>
      </c>
      <c r="B9107" t="s">
        <v>1500</v>
      </c>
      <c r="C9107" t="s">
        <v>11</v>
      </c>
      <c r="D9107" t="e">
        <f>VLOOKUP(C9107,'lookup table'!$A$2:$B$19,2,FALSE)</f>
        <v>#N/A</v>
      </c>
      <c r="E9107" t="str">
        <f t="shared" si="142"/>
        <v/>
      </c>
    </row>
    <row r="9108" spans="1:5" x14ac:dyDescent="0.2">
      <c r="A9108" t="s">
        <v>1499</v>
      </c>
      <c r="B9108" t="s">
        <v>1500</v>
      </c>
      <c r="C9108" t="s">
        <v>12</v>
      </c>
      <c r="D9108" t="e">
        <f>VLOOKUP(C9108,'lookup table'!$A$2:$B$19,2,FALSE)</f>
        <v>#N/A</v>
      </c>
      <c r="E9108" t="str">
        <f t="shared" si="142"/>
        <v/>
      </c>
    </row>
    <row r="9109" spans="1:5" x14ac:dyDescent="0.2">
      <c r="A9109" t="s">
        <v>1499</v>
      </c>
      <c r="B9109" t="s">
        <v>1500</v>
      </c>
      <c r="C9109" t="s">
        <v>14</v>
      </c>
      <c r="D9109" t="str">
        <f>VLOOKUP(C9109,'lookup table'!$A$2:$B$19,2,FALSE)</f>
        <v>ALC</v>
      </c>
      <c r="E9109" t="str">
        <f t="shared" si="142"/>
        <v>DZ7REX_00|ALC</v>
      </c>
    </row>
    <row r="9110" spans="1:5" x14ac:dyDescent="0.2">
      <c r="A9110" t="s">
        <v>1499</v>
      </c>
      <c r="B9110" t="s">
        <v>1500</v>
      </c>
      <c r="C9110" t="s">
        <v>20</v>
      </c>
      <c r="D9110" t="str">
        <f>VLOOKUP(C9110,'lookup table'!$A$2:$B$19,2,FALSE)</f>
        <v>AY</v>
      </c>
      <c r="E9110" t="str">
        <f t="shared" si="142"/>
        <v>DZ7REX_00|AY</v>
      </c>
    </row>
    <row r="9111" spans="1:5" x14ac:dyDescent="0.2">
      <c r="A9111" t="s">
        <v>1499</v>
      </c>
      <c r="B9111" t="s">
        <v>1500</v>
      </c>
      <c r="C9111" t="s">
        <v>324</v>
      </c>
      <c r="D9111" t="e">
        <f>VLOOKUP(C9111,'lookup table'!$A$2:$B$19,2,FALSE)</f>
        <v>#N/A</v>
      </c>
      <c r="E9111" t="str">
        <f t="shared" si="142"/>
        <v/>
      </c>
    </row>
    <row r="9112" spans="1:5" x14ac:dyDescent="0.2">
      <c r="A9112" t="s">
        <v>1499</v>
      </c>
      <c r="B9112" t="s">
        <v>1500</v>
      </c>
      <c r="C9112" t="s">
        <v>325</v>
      </c>
      <c r="D9112" t="e">
        <f>VLOOKUP(C9112,'lookup table'!$A$2:$B$19,2,FALSE)</f>
        <v>#N/A</v>
      </c>
      <c r="E9112" t="str">
        <f t="shared" si="142"/>
        <v/>
      </c>
    </row>
    <row r="9113" spans="1:5" x14ac:dyDescent="0.2">
      <c r="A9113" t="s">
        <v>1499</v>
      </c>
      <c r="B9113" t="s">
        <v>1500</v>
      </c>
      <c r="C9113" t="s">
        <v>326</v>
      </c>
      <c r="D9113" t="e">
        <f>VLOOKUP(C9113,'lookup table'!$A$2:$B$19,2,FALSE)</f>
        <v>#N/A</v>
      </c>
      <c r="E9113" t="str">
        <f t="shared" si="142"/>
        <v/>
      </c>
    </row>
    <row r="9114" spans="1:5" x14ac:dyDescent="0.2">
      <c r="A9114" t="s">
        <v>1499</v>
      </c>
      <c r="B9114" t="s">
        <v>1500</v>
      </c>
      <c r="C9114" t="s">
        <v>327</v>
      </c>
      <c r="D9114" t="e">
        <f>VLOOKUP(C9114,'lookup table'!$A$2:$B$19,2,FALSE)</f>
        <v>#N/A</v>
      </c>
      <c r="E9114" t="str">
        <f t="shared" si="142"/>
        <v/>
      </c>
    </row>
    <row r="9115" spans="1:5" x14ac:dyDescent="0.2">
      <c r="A9115" t="s">
        <v>1499</v>
      </c>
      <c r="B9115" t="s">
        <v>1500</v>
      </c>
      <c r="C9115" t="s">
        <v>328</v>
      </c>
      <c r="D9115" t="e">
        <f>VLOOKUP(C9115,'lookup table'!$A$2:$B$19,2,FALSE)</f>
        <v>#N/A</v>
      </c>
      <c r="E9115" t="str">
        <f t="shared" si="142"/>
        <v/>
      </c>
    </row>
    <row r="9116" spans="1:5" x14ac:dyDescent="0.2">
      <c r="A9116" t="s">
        <v>1499</v>
      </c>
      <c r="B9116" t="s">
        <v>1500</v>
      </c>
      <c r="C9116" t="s">
        <v>329</v>
      </c>
      <c r="D9116" t="e">
        <f>VLOOKUP(C9116,'lookup table'!$A$2:$B$19,2,FALSE)</f>
        <v>#N/A</v>
      </c>
      <c r="E9116" t="str">
        <f t="shared" si="142"/>
        <v/>
      </c>
    </row>
    <row r="9117" spans="1:5" x14ac:dyDescent="0.2">
      <c r="A9117" t="s">
        <v>1499</v>
      </c>
      <c r="B9117" t="s">
        <v>1500</v>
      </c>
      <c r="C9117" t="s">
        <v>331</v>
      </c>
      <c r="D9117" t="str">
        <f>VLOOKUP(C9117,'lookup table'!$A$2:$B$19,2,FALSE)</f>
        <v>FS Item</v>
      </c>
      <c r="E9117" t="str">
        <f t="shared" si="142"/>
        <v>DZ7REX_00|FS Item</v>
      </c>
    </row>
    <row r="9118" spans="1:5" x14ac:dyDescent="0.2">
      <c r="A9118" t="s">
        <v>1499</v>
      </c>
      <c r="B9118" t="s">
        <v>1500</v>
      </c>
      <c r="C9118" t="s">
        <v>422</v>
      </c>
      <c r="D9118" t="e">
        <f>VLOOKUP(C9118,'lookup table'!$A$2:$B$19,2,FALSE)</f>
        <v>#N/A</v>
      </c>
      <c r="E9118" t="str">
        <f t="shared" si="142"/>
        <v/>
      </c>
    </row>
    <row r="9119" spans="1:5" x14ac:dyDescent="0.2">
      <c r="A9119" t="s">
        <v>1499</v>
      </c>
      <c r="B9119" t="s">
        <v>1500</v>
      </c>
      <c r="C9119" t="s">
        <v>423</v>
      </c>
      <c r="D9119" t="str">
        <f>VLOOKUP(C9119,'lookup table'!$A$2:$B$19,2,FALSE)</f>
        <v>ignore</v>
      </c>
      <c r="E9119" t="str">
        <f t="shared" si="142"/>
        <v>DZ7REX_00|ignore</v>
      </c>
    </row>
    <row r="9120" spans="1:5" x14ac:dyDescent="0.2">
      <c r="A9120" t="s">
        <v>1499</v>
      </c>
      <c r="B9120" t="s">
        <v>1500</v>
      </c>
      <c r="C9120" t="s">
        <v>424</v>
      </c>
      <c r="D9120" t="str">
        <f>VLOOKUP(C9120,'lookup table'!$A$2:$B$19,2,FALSE)</f>
        <v>GRC</v>
      </c>
      <c r="E9120" t="str">
        <f t="shared" si="142"/>
        <v>DZ7REX_00|GRC</v>
      </c>
    </row>
    <row r="9121" spans="1:5" x14ac:dyDescent="0.2">
      <c r="A9121" t="s">
        <v>1499</v>
      </c>
      <c r="B9121" t="s">
        <v>1500</v>
      </c>
      <c r="C9121" t="s">
        <v>425</v>
      </c>
      <c r="D9121" t="str">
        <f>VLOOKUP(C9121,'lookup table'!$A$2:$B$19,2,FALSE)</f>
        <v>Investee Segment</v>
      </c>
      <c r="E9121" t="str">
        <f t="shared" si="142"/>
        <v>DZ7REX_00|Investee Segment</v>
      </c>
    </row>
    <row r="9122" spans="1:5" x14ac:dyDescent="0.2">
      <c r="A9122" t="s">
        <v>1499</v>
      </c>
      <c r="B9122" t="s">
        <v>1500</v>
      </c>
      <c r="C9122" t="s">
        <v>426</v>
      </c>
      <c r="D9122" t="str">
        <f>VLOOKUP(C9122,'lookup table'!$A$2:$B$19,2,FALSE)</f>
        <v>Investee Unit</v>
      </c>
      <c r="E9122" t="str">
        <f t="shared" si="142"/>
        <v>DZ7REX_00|Investee Unit</v>
      </c>
    </row>
    <row r="9123" spans="1:5" x14ac:dyDescent="0.2">
      <c r="A9123" t="s">
        <v>1499</v>
      </c>
      <c r="B9123" t="s">
        <v>1500</v>
      </c>
      <c r="C9123" t="s">
        <v>428</v>
      </c>
      <c r="D9123" t="str">
        <f>VLOOKUP(C9123,'lookup table'!$A$2:$B$19,2,FALSE)</f>
        <v>LoB</v>
      </c>
      <c r="E9123" t="str">
        <f t="shared" si="142"/>
        <v>DZ7REX_00|LoB</v>
      </c>
    </row>
    <row r="9124" spans="1:5" x14ac:dyDescent="0.2">
      <c r="A9124" t="s">
        <v>1499</v>
      </c>
      <c r="B9124" t="s">
        <v>1500</v>
      </c>
      <c r="C9124" t="s">
        <v>436</v>
      </c>
      <c r="D9124" t="str">
        <f>VLOOKUP(C9124,'lookup table'!$A$2:$B$19,2,FALSE)</f>
        <v>MAT</v>
      </c>
      <c r="E9124" t="str">
        <f t="shared" si="142"/>
        <v>DZ7REX_00|MAT</v>
      </c>
    </row>
    <row r="9125" spans="1:5" x14ac:dyDescent="0.2">
      <c r="A9125" t="s">
        <v>1499</v>
      </c>
      <c r="B9125" t="s">
        <v>1500</v>
      </c>
      <c r="C9125" t="s">
        <v>438</v>
      </c>
      <c r="D9125" t="str">
        <f>VLOOKUP(C9125,'lookup table'!$A$2:$B$19,2,FALSE)</f>
        <v>ToM</v>
      </c>
      <c r="E9125" t="str">
        <f t="shared" si="142"/>
        <v>DZ7REX_00|ToM</v>
      </c>
    </row>
    <row r="9126" spans="1:5" x14ac:dyDescent="0.2">
      <c r="A9126" t="s">
        <v>1499</v>
      </c>
      <c r="B9126" t="s">
        <v>1500</v>
      </c>
      <c r="C9126" t="s">
        <v>441</v>
      </c>
      <c r="D9126" t="str">
        <f>VLOOKUP(C9126,'lookup table'!$A$2:$B$19,2,FALSE)</f>
        <v>Partner Segment</v>
      </c>
      <c r="E9126" t="str">
        <f t="shared" si="142"/>
        <v>DZ7REX_00|Partner Segment</v>
      </c>
    </row>
    <row r="9127" spans="1:5" x14ac:dyDescent="0.2">
      <c r="A9127" t="s">
        <v>1499</v>
      </c>
      <c r="B9127" t="s">
        <v>1500</v>
      </c>
      <c r="C9127" t="s">
        <v>442</v>
      </c>
      <c r="D9127" t="str">
        <f>VLOOKUP(C9127,'lookup table'!$A$2:$B$19,2,FALSE)</f>
        <v>Partner Unit</v>
      </c>
      <c r="E9127" t="str">
        <f t="shared" si="142"/>
        <v>DZ7REX_00|Partner Unit</v>
      </c>
    </row>
    <row r="9128" spans="1:5" x14ac:dyDescent="0.2">
      <c r="A9128" t="s">
        <v>1499</v>
      </c>
      <c r="B9128" t="s">
        <v>1500</v>
      </c>
      <c r="C9128" t="s">
        <v>447</v>
      </c>
      <c r="D9128" t="str">
        <f>VLOOKUP(C9128,'lookup table'!$A$2:$B$19,2,FALSE)</f>
        <v>REX</v>
      </c>
      <c r="E9128" t="str">
        <f t="shared" si="142"/>
        <v>DZ7REX_00|REX</v>
      </c>
    </row>
    <row r="9129" spans="1:5" x14ac:dyDescent="0.2">
      <c r="A9129" t="s">
        <v>1499</v>
      </c>
      <c r="B9129" t="s">
        <v>1500</v>
      </c>
      <c r="C9129" t="s">
        <v>448</v>
      </c>
      <c r="D9129" t="e">
        <f>VLOOKUP(C9129,'lookup table'!$A$2:$B$19,2,FALSE)</f>
        <v>#N/A</v>
      </c>
      <c r="E9129" t="str">
        <f t="shared" si="142"/>
        <v/>
      </c>
    </row>
    <row r="9130" spans="1:5" x14ac:dyDescent="0.2">
      <c r="A9130" t="s">
        <v>1499</v>
      </c>
      <c r="B9130" t="s">
        <v>1500</v>
      </c>
      <c r="C9130" t="s">
        <v>449</v>
      </c>
      <c r="D9130" t="e">
        <f>VLOOKUP(C9130,'lookup table'!$A$2:$B$19,2,FALSE)</f>
        <v>#N/A</v>
      </c>
      <c r="E9130" t="str">
        <f t="shared" si="142"/>
        <v/>
      </c>
    </row>
    <row r="9131" spans="1:5" x14ac:dyDescent="0.2">
      <c r="A9131" t="s">
        <v>1499</v>
      </c>
      <c r="B9131" t="s">
        <v>1500</v>
      </c>
      <c r="C9131" t="s">
        <v>451</v>
      </c>
      <c r="D9131" t="str">
        <f>VLOOKUP(C9131,'lookup table'!$A$2:$B$19,2,FALSE)</f>
        <v>Segment</v>
      </c>
      <c r="E9131" t="str">
        <f t="shared" si="142"/>
        <v>DZ7REX_00|Segment</v>
      </c>
    </row>
    <row r="9132" spans="1:5" x14ac:dyDescent="0.2">
      <c r="A9132" t="s">
        <v>1499</v>
      </c>
      <c r="B9132" t="s">
        <v>1500</v>
      </c>
      <c r="C9132" t="s">
        <v>455</v>
      </c>
      <c r="D9132" t="e">
        <f>VLOOKUP(C9132,'lookup table'!$A$2:$B$19,2,FALSE)</f>
        <v>#N/A</v>
      </c>
      <c r="E9132" t="str">
        <f t="shared" si="142"/>
        <v/>
      </c>
    </row>
    <row r="9133" spans="1:5" x14ac:dyDescent="0.2">
      <c r="A9133" t="s">
        <v>1499</v>
      </c>
      <c r="B9133" t="s">
        <v>1500</v>
      </c>
      <c r="C9133" t="s">
        <v>456</v>
      </c>
      <c r="D9133" t="e">
        <f>VLOOKUP(C9133,'lookup table'!$A$2:$B$19,2,FALSE)</f>
        <v>#N/A</v>
      </c>
      <c r="E9133" t="str">
        <f t="shared" si="142"/>
        <v/>
      </c>
    </row>
    <row r="9134" spans="1:5" x14ac:dyDescent="0.2">
      <c r="A9134" t="s">
        <v>1499</v>
      </c>
      <c r="B9134" t="s">
        <v>1500</v>
      </c>
      <c r="C9134" t="s">
        <v>457</v>
      </c>
      <c r="D9134" t="str">
        <f>VLOOKUP(C9134,'lookup table'!$A$2:$B$19,2,FALSE)</f>
        <v>VLT</v>
      </c>
      <c r="E9134" t="str">
        <f t="shared" si="142"/>
        <v>DZ7REX_00|VLT</v>
      </c>
    </row>
    <row r="9135" spans="1:5" x14ac:dyDescent="0.2">
      <c r="A9135" t="s">
        <v>1499</v>
      </c>
      <c r="B9135" t="s">
        <v>1500</v>
      </c>
      <c r="C9135" t="s">
        <v>458</v>
      </c>
      <c r="D9135" t="str">
        <f>VLOOKUP(C9135,'lookup table'!$A$2:$B$19,2,FALSE)</f>
        <v>VAR</v>
      </c>
      <c r="E9135" t="str">
        <f t="shared" si="142"/>
        <v>DZ7REX_00|VAR</v>
      </c>
    </row>
    <row r="9136" spans="1:5" x14ac:dyDescent="0.2">
      <c r="A9136" t="s">
        <v>1499</v>
      </c>
      <c r="B9136" t="s">
        <v>1500</v>
      </c>
      <c r="C9136" t="s">
        <v>459</v>
      </c>
      <c r="D9136" t="e">
        <f>VLOOKUP(C9136,'lookup table'!$A$2:$B$19,2,FALSE)</f>
        <v>#N/A</v>
      </c>
      <c r="E9136" t="str">
        <f t="shared" si="142"/>
        <v/>
      </c>
    </row>
    <row r="9137" spans="1:5" x14ac:dyDescent="0.2">
      <c r="A9137" t="s">
        <v>1499</v>
      </c>
      <c r="B9137" t="s">
        <v>1500</v>
      </c>
      <c r="C9137" t="s">
        <v>460</v>
      </c>
      <c r="D9137" t="e">
        <f>VLOOKUP(C9137,'lookup table'!$A$2:$B$19,2,FALSE)</f>
        <v>#N/A</v>
      </c>
      <c r="E9137" t="str">
        <f t="shared" si="142"/>
        <v/>
      </c>
    </row>
    <row r="9138" spans="1:5" x14ac:dyDescent="0.2">
      <c r="A9138" t="s">
        <v>1499</v>
      </c>
      <c r="B9138" t="s">
        <v>1500</v>
      </c>
      <c r="C9138" t="s">
        <v>461</v>
      </c>
      <c r="D9138" t="str">
        <f>VLOOKUP(C9138,'lookup table'!$A$2:$B$19,2,FALSE)</f>
        <v>Posting Level</v>
      </c>
      <c r="E9138" t="str">
        <f t="shared" si="142"/>
        <v>DZ7REX_00|Posting Level</v>
      </c>
    </row>
    <row r="9139" spans="1:5" x14ac:dyDescent="0.2">
      <c r="A9139" t="s">
        <v>1499</v>
      </c>
      <c r="B9139" t="s">
        <v>1500</v>
      </c>
      <c r="C9139" t="s">
        <v>462</v>
      </c>
      <c r="D9139" t="e">
        <f>VLOOKUP(C9139,'lookup table'!$A$2:$B$19,2,FALSE)</f>
        <v>#N/A</v>
      </c>
      <c r="E9139" t="str">
        <f t="shared" si="142"/>
        <v/>
      </c>
    </row>
    <row r="9140" spans="1:5" x14ac:dyDescent="0.2">
      <c r="A9140" t="s">
        <v>1499</v>
      </c>
      <c r="B9140" t="s">
        <v>1500</v>
      </c>
      <c r="C9140" t="s">
        <v>463</v>
      </c>
      <c r="D9140" t="e">
        <f>VLOOKUP(C9140,'lookup table'!$A$2:$B$19,2,FALSE)</f>
        <v>#N/A</v>
      </c>
      <c r="E9140" t="str">
        <f t="shared" si="142"/>
        <v/>
      </c>
    </row>
    <row r="9141" spans="1:5" x14ac:dyDescent="0.2">
      <c r="A9141" t="s">
        <v>1499</v>
      </c>
      <c r="B9141" t="s">
        <v>1500</v>
      </c>
      <c r="C9141" t="s">
        <v>464</v>
      </c>
      <c r="D9141" t="e">
        <f>VLOOKUP(C9141,'lookup table'!$A$2:$B$19,2,FALSE)</f>
        <v>#N/A</v>
      </c>
      <c r="E9141" t="str">
        <f t="shared" si="142"/>
        <v/>
      </c>
    </row>
    <row r="9142" spans="1:5" x14ac:dyDescent="0.2">
      <c r="A9142" t="s">
        <v>1499</v>
      </c>
      <c r="B9142" t="s">
        <v>1500</v>
      </c>
      <c r="C9142" t="s">
        <v>465</v>
      </c>
      <c r="D9142" t="e">
        <f>VLOOKUP(C9142,'lookup table'!$A$2:$B$19,2,FALSE)</f>
        <v>#N/A</v>
      </c>
      <c r="E9142" t="str">
        <f t="shared" si="142"/>
        <v/>
      </c>
    </row>
    <row r="9143" spans="1:5" x14ac:dyDescent="0.2">
      <c r="A9143" t="s">
        <v>1501</v>
      </c>
      <c r="B9143" t="s">
        <v>1502</v>
      </c>
      <c r="C9143" t="s">
        <v>2</v>
      </c>
      <c r="D9143" t="e">
        <f>VLOOKUP(C9143,'lookup table'!$A$2:$B$19,2,FALSE)</f>
        <v>#N/A</v>
      </c>
      <c r="E9143" t="str">
        <f t="shared" si="142"/>
        <v/>
      </c>
    </row>
    <row r="9144" spans="1:5" x14ac:dyDescent="0.2">
      <c r="A9144" t="s">
        <v>1501</v>
      </c>
      <c r="B9144" t="s">
        <v>1502</v>
      </c>
      <c r="C9144" t="s">
        <v>5</v>
      </c>
      <c r="D9144" t="e">
        <f>VLOOKUP(C9144,'lookup table'!$A$2:$B$19,2,FALSE)</f>
        <v>#N/A</v>
      </c>
      <c r="E9144" t="str">
        <f t="shared" si="142"/>
        <v/>
      </c>
    </row>
    <row r="9145" spans="1:5" x14ac:dyDescent="0.2">
      <c r="A9145" t="s">
        <v>1501</v>
      </c>
      <c r="B9145" t="s">
        <v>1502</v>
      </c>
      <c r="C9145" t="s">
        <v>6</v>
      </c>
      <c r="D9145" t="e">
        <f>VLOOKUP(C9145,'lookup table'!$A$2:$B$19,2,FALSE)</f>
        <v>#N/A</v>
      </c>
      <c r="E9145" t="str">
        <f t="shared" si="142"/>
        <v/>
      </c>
    </row>
    <row r="9146" spans="1:5" x14ac:dyDescent="0.2">
      <c r="A9146" t="s">
        <v>1501</v>
      </c>
      <c r="B9146" t="s">
        <v>1502</v>
      </c>
      <c r="C9146" t="s">
        <v>9</v>
      </c>
      <c r="D9146" t="e">
        <f>VLOOKUP(C9146,'lookup table'!$A$2:$B$19,2,FALSE)</f>
        <v>#N/A</v>
      </c>
      <c r="E9146" t="str">
        <f t="shared" si="142"/>
        <v/>
      </c>
    </row>
    <row r="9147" spans="1:5" x14ac:dyDescent="0.2">
      <c r="A9147" t="s">
        <v>1501</v>
      </c>
      <c r="B9147" t="s">
        <v>1502</v>
      </c>
      <c r="C9147" t="s">
        <v>10</v>
      </c>
      <c r="D9147" t="e">
        <f>VLOOKUP(C9147,'lookup table'!$A$2:$B$19,2,FALSE)</f>
        <v>#N/A</v>
      </c>
      <c r="E9147" t="str">
        <f t="shared" si="142"/>
        <v/>
      </c>
    </row>
    <row r="9148" spans="1:5" x14ac:dyDescent="0.2">
      <c r="A9148" t="s">
        <v>1501</v>
      </c>
      <c r="B9148" t="s">
        <v>1502</v>
      </c>
      <c r="C9148" t="s">
        <v>11</v>
      </c>
      <c r="D9148" t="e">
        <f>VLOOKUP(C9148,'lookup table'!$A$2:$B$19,2,FALSE)</f>
        <v>#N/A</v>
      </c>
      <c r="E9148" t="str">
        <f t="shared" si="142"/>
        <v/>
      </c>
    </row>
    <row r="9149" spans="1:5" x14ac:dyDescent="0.2">
      <c r="A9149" t="s">
        <v>1501</v>
      </c>
      <c r="B9149" t="s">
        <v>1502</v>
      </c>
      <c r="C9149" t="s">
        <v>12</v>
      </c>
      <c r="D9149" t="e">
        <f>VLOOKUP(C9149,'lookup table'!$A$2:$B$19,2,FALSE)</f>
        <v>#N/A</v>
      </c>
      <c r="E9149" t="str">
        <f t="shared" si="142"/>
        <v/>
      </c>
    </row>
    <row r="9150" spans="1:5" x14ac:dyDescent="0.2">
      <c r="A9150" t="s">
        <v>1501</v>
      </c>
      <c r="B9150" t="s">
        <v>1502</v>
      </c>
      <c r="C9150" t="s">
        <v>14</v>
      </c>
      <c r="D9150" t="str">
        <f>VLOOKUP(C9150,'lookup table'!$A$2:$B$19,2,FALSE)</f>
        <v>ALC</v>
      </c>
      <c r="E9150" t="str">
        <f t="shared" si="142"/>
        <v>DZ7TOM_00|ALC</v>
      </c>
    </row>
    <row r="9151" spans="1:5" x14ac:dyDescent="0.2">
      <c r="A9151" t="s">
        <v>1501</v>
      </c>
      <c r="B9151" t="s">
        <v>1502</v>
      </c>
      <c r="C9151" t="s">
        <v>20</v>
      </c>
      <c r="D9151" t="str">
        <f>VLOOKUP(C9151,'lookup table'!$A$2:$B$19,2,FALSE)</f>
        <v>AY</v>
      </c>
      <c r="E9151" t="str">
        <f t="shared" si="142"/>
        <v>DZ7TOM_00|AY</v>
      </c>
    </row>
    <row r="9152" spans="1:5" x14ac:dyDescent="0.2">
      <c r="A9152" t="s">
        <v>1501</v>
      </c>
      <c r="B9152" t="s">
        <v>1502</v>
      </c>
      <c r="C9152" t="s">
        <v>324</v>
      </c>
      <c r="D9152" t="e">
        <f>VLOOKUP(C9152,'lookup table'!$A$2:$B$19,2,FALSE)</f>
        <v>#N/A</v>
      </c>
      <c r="E9152" t="str">
        <f t="shared" si="142"/>
        <v/>
      </c>
    </row>
    <row r="9153" spans="1:5" x14ac:dyDescent="0.2">
      <c r="A9153" t="s">
        <v>1501</v>
      </c>
      <c r="B9153" t="s">
        <v>1502</v>
      </c>
      <c r="C9153" t="s">
        <v>325</v>
      </c>
      <c r="D9153" t="e">
        <f>VLOOKUP(C9153,'lookup table'!$A$2:$B$19,2,FALSE)</f>
        <v>#N/A</v>
      </c>
      <c r="E9153" t="str">
        <f t="shared" si="142"/>
        <v/>
      </c>
    </row>
    <row r="9154" spans="1:5" x14ac:dyDescent="0.2">
      <c r="A9154" t="s">
        <v>1501</v>
      </c>
      <c r="B9154" t="s">
        <v>1502</v>
      </c>
      <c r="C9154" t="s">
        <v>326</v>
      </c>
      <c r="D9154" t="e">
        <f>VLOOKUP(C9154,'lookup table'!$A$2:$B$19,2,FALSE)</f>
        <v>#N/A</v>
      </c>
      <c r="E9154" t="str">
        <f t="shared" si="142"/>
        <v/>
      </c>
    </row>
    <row r="9155" spans="1:5" x14ac:dyDescent="0.2">
      <c r="A9155" t="s">
        <v>1501</v>
      </c>
      <c r="B9155" t="s">
        <v>1502</v>
      </c>
      <c r="C9155" t="s">
        <v>327</v>
      </c>
      <c r="D9155" t="e">
        <f>VLOOKUP(C9155,'lookup table'!$A$2:$B$19,2,FALSE)</f>
        <v>#N/A</v>
      </c>
      <c r="E9155" t="str">
        <f t="shared" ref="E9155:E9218" si="143">IF(ISNA(D9155),"",IF(A9155="","",A9155) &amp; "|" &amp; D9155)</f>
        <v/>
      </c>
    </row>
    <row r="9156" spans="1:5" x14ac:dyDescent="0.2">
      <c r="A9156" t="s">
        <v>1501</v>
      </c>
      <c r="B9156" t="s">
        <v>1502</v>
      </c>
      <c r="C9156" t="s">
        <v>328</v>
      </c>
      <c r="D9156" t="e">
        <f>VLOOKUP(C9156,'lookup table'!$A$2:$B$19,2,FALSE)</f>
        <v>#N/A</v>
      </c>
      <c r="E9156" t="str">
        <f t="shared" si="143"/>
        <v/>
      </c>
    </row>
    <row r="9157" spans="1:5" x14ac:dyDescent="0.2">
      <c r="A9157" t="s">
        <v>1501</v>
      </c>
      <c r="B9157" t="s">
        <v>1502</v>
      </c>
      <c r="C9157" t="s">
        <v>329</v>
      </c>
      <c r="D9157" t="e">
        <f>VLOOKUP(C9157,'lookup table'!$A$2:$B$19,2,FALSE)</f>
        <v>#N/A</v>
      </c>
      <c r="E9157" t="str">
        <f t="shared" si="143"/>
        <v/>
      </c>
    </row>
    <row r="9158" spans="1:5" x14ac:dyDescent="0.2">
      <c r="A9158" t="s">
        <v>1501</v>
      </c>
      <c r="B9158" t="s">
        <v>1502</v>
      </c>
      <c r="C9158" t="s">
        <v>331</v>
      </c>
      <c r="D9158" t="str">
        <f>VLOOKUP(C9158,'lookup table'!$A$2:$B$19,2,FALSE)</f>
        <v>FS Item</v>
      </c>
      <c r="E9158" t="str">
        <f t="shared" si="143"/>
        <v>DZ7TOM_00|FS Item</v>
      </c>
    </row>
    <row r="9159" spans="1:5" x14ac:dyDescent="0.2">
      <c r="A9159" t="s">
        <v>1501</v>
      </c>
      <c r="B9159" t="s">
        <v>1502</v>
      </c>
      <c r="C9159" t="s">
        <v>422</v>
      </c>
      <c r="D9159" t="e">
        <f>VLOOKUP(C9159,'lookup table'!$A$2:$B$19,2,FALSE)</f>
        <v>#N/A</v>
      </c>
      <c r="E9159" t="str">
        <f t="shared" si="143"/>
        <v/>
      </c>
    </row>
    <row r="9160" spans="1:5" x14ac:dyDescent="0.2">
      <c r="A9160" t="s">
        <v>1501</v>
      </c>
      <c r="B9160" t="s">
        <v>1502</v>
      </c>
      <c r="C9160" t="s">
        <v>423</v>
      </c>
      <c r="D9160" t="str">
        <f>VLOOKUP(C9160,'lookup table'!$A$2:$B$19,2,FALSE)</f>
        <v>ignore</v>
      </c>
      <c r="E9160" t="str">
        <f t="shared" si="143"/>
        <v>DZ7TOM_00|ignore</v>
      </c>
    </row>
    <row r="9161" spans="1:5" x14ac:dyDescent="0.2">
      <c r="A9161" t="s">
        <v>1501</v>
      </c>
      <c r="B9161" t="s">
        <v>1502</v>
      </c>
      <c r="C9161" t="s">
        <v>424</v>
      </c>
      <c r="D9161" t="str">
        <f>VLOOKUP(C9161,'lookup table'!$A$2:$B$19,2,FALSE)</f>
        <v>GRC</v>
      </c>
      <c r="E9161" t="str">
        <f t="shared" si="143"/>
        <v>DZ7TOM_00|GRC</v>
      </c>
    </row>
    <row r="9162" spans="1:5" x14ac:dyDescent="0.2">
      <c r="A9162" t="s">
        <v>1501</v>
      </c>
      <c r="B9162" t="s">
        <v>1502</v>
      </c>
      <c r="C9162" t="s">
        <v>425</v>
      </c>
      <c r="D9162" t="str">
        <f>VLOOKUP(C9162,'lookup table'!$A$2:$B$19,2,FALSE)</f>
        <v>Investee Segment</v>
      </c>
      <c r="E9162" t="str">
        <f t="shared" si="143"/>
        <v>DZ7TOM_00|Investee Segment</v>
      </c>
    </row>
    <row r="9163" spans="1:5" x14ac:dyDescent="0.2">
      <c r="A9163" t="s">
        <v>1501</v>
      </c>
      <c r="B9163" t="s">
        <v>1502</v>
      </c>
      <c r="C9163" t="s">
        <v>426</v>
      </c>
      <c r="D9163" t="str">
        <f>VLOOKUP(C9163,'lookup table'!$A$2:$B$19,2,FALSE)</f>
        <v>Investee Unit</v>
      </c>
      <c r="E9163" t="str">
        <f t="shared" si="143"/>
        <v>DZ7TOM_00|Investee Unit</v>
      </c>
    </row>
    <row r="9164" spans="1:5" x14ac:dyDescent="0.2">
      <c r="A9164" t="s">
        <v>1501</v>
      </c>
      <c r="B9164" t="s">
        <v>1502</v>
      </c>
      <c r="C9164" t="s">
        <v>428</v>
      </c>
      <c r="D9164" t="str">
        <f>VLOOKUP(C9164,'lookup table'!$A$2:$B$19,2,FALSE)</f>
        <v>LoB</v>
      </c>
      <c r="E9164" t="str">
        <f t="shared" si="143"/>
        <v>DZ7TOM_00|LoB</v>
      </c>
    </row>
    <row r="9165" spans="1:5" x14ac:dyDescent="0.2">
      <c r="A9165" t="s">
        <v>1501</v>
      </c>
      <c r="B9165" t="s">
        <v>1502</v>
      </c>
      <c r="C9165" t="s">
        <v>436</v>
      </c>
      <c r="D9165" t="str">
        <f>VLOOKUP(C9165,'lookup table'!$A$2:$B$19,2,FALSE)</f>
        <v>MAT</v>
      </c>
      <c r="E9165" t="str">
        <f t="shared" si="143"/>
        <v>DZ7TOM_00|MAT</v>
      </c>
    </row>
    <row r="9166" spans="1:5" x14ac:dyDescent="0.2">
      <c r="A9166" t="s">
        <v>1501</v>
      </c>
      <c r="B9166" t="s">
        <v>1502</v>
      </c>
      <c r="C9166" t="s">
        <v>438</v>
      </c>
      <c r="D9166" t="str">
        <f>VLOOKUP(C9166,'lookup table'!$A$2:$B$19,2,FALSE)</f>
        <v>ToM</v>
      </c>
      <c r="E9166" t="str">
        <f t="shared" si="143"/>
        <v>DZ7TOM_00|ToM</v>
      </c>
    </row>
    <row r="9167" spans="1:5" x14ac:dyDescent="0.2">
      <c r="A9167" t="s">
        <v>1501</v>
      </c>
      <c r="B9167" t="s">
        <v>1502</v>
      </c>
      <c r="C9167" t="s">
        <v>441</v>
      </c>
      <c r="D9167" t="str">
        <f>VLOOKUP(C9167,'lookup table'!$A$2:$B$19,2,FALSE)</f>
        <v>Partner Segment</v>
      </c>
      <c r="E9167" t="str">
        <f t="shared" si="143"/>
        <v>DZ7TOM_00|Partner Segment</v>
      </c>
    </row>
    <row r="9168" spans="1:5" x14ac:dyDescent="0.2">
      <c r="A9168" t="s">
        <v>1501</v>
      </c>
      <c r="B9168" t="s">
        <v>1502</v>
      </c>
      <c r="C9168" t="s">
        <v>442</v>
      </c>
      <c r="D9168" t="str">
        <f>VLOOKUP(C9168,'lookup table'!$A$2:$B$19,2,FALSE)</f>
        <v>Partner Unit</v>
      </c>
      <c r="E9168" t="str">
        <f t="shared" si="143"/>
        <v>DZ7TOM_00|Partner Unit</v>
      </c>
    </row>
    <row r="9169" spans="1:5" x14ac:dyDescent="0.2">
      <c r="A9169" t="s">
        <v>1501</v>
      </c>
      <c r="B9169" t="s">
        <v>1502</v>
      </c>
      <c r="C9169" t="s">
        <v>447</v>
      </c>
      <c r="D9169" t="str">
        <f>VLOOKUP(C9169,'lookup table'!$A$2:$B$19,2,FALSE)</f>
        <v>REX</v>
      </c>
      <c r="E9169" t="str">
        <f t="shared" si="143"/>
        <v>DZ7TOM_00|REX</v>
      </c>
    </row>
    <row r="9170" spans="1:5" x14ac:dyDescent="0.2">
      <c r="A9170" t="s">
        <v>1501</v>
      </c>
      <c r="B9170" t="s">
        <v>1502</v>
      </c>
      <c r="C9170" t="s">
        <v>448</v>
      </c>
      <c r="D9170" t="e">
        <f>VLOOKUP(C9170,'lookup table'!$A$2:$B$19,2,FALSE)</f>
        <v>#N/A</v>
      </c>
      <c r="E9170" t="str">
        <f t="shared" si="143"/>
        <v/>
      </c>
    </row>
    <row r="9171" spans="1:5" x14ac:dyDescent="0.2">
      <c r="A9171" t="s">
        <v>1501</v>
      </c>
      <c r="B9171" t="s">
        <v>1502</v>
      </c>
      <c r="C9171" t="s">
        <v>449</v>
      </c>
      <c r="D9171" t="e">
        <f>VLOOKUP(C9171,'lookup table'!$A$2:$B$19,2,FALSE)</f>
        <v>#N/A</v>
      </c>
      <c r="E9171" t="str">
        <f t="shared" si="143"/>
        <v/>
      </c>
    </row>
    <row r="9172" spans="1:5" x14ac:dyDescent="0.2">
      <c r="A9172" t="s">
        <v>1501</v>
      </c>
      <c r="B9172" t="s">
        <v>1502</v>
      </c>
      <c r="C9172" t="s">
        <v>451</v>
      </c>
      <c r="D9172" t="str">
        <f>VLOOKUP(C9172,'lookup table'!$A$2:$B$19,2,FALSE)</f>
        <v>Segment</v>
      </c>
      <c r="E9172" t="str">
        <f t="shared" si="143"/>
        <v>DZ7TOM_00|Segment</v>
      </c>
    </row>
    <row r="9173" spans="1:5" x14ac:dyDescent="0.2">
      <c r="A9173" t="s">
        <v>1501</v>
      </c>
      <c r="B9173" t="s">
        <v>1502</v>
      </c>
      <c r="C9173" t="s">
        <v>455</v>
      </c>
      <c r="D9173" t="e">
        <f>VLOOKUP(C9173,'lookup table'!$A$2:$B$19,2,FALSE)</f>
        <v>#N/A</v>
      </c>
      <c r="E9173" t="str">
        <f t="shared" si="143"/>
        <v/>
      </c>
    </row>
    <row r="9174" spans="1:5" x14ac:dyDescent="0.2">
      <c r="A9174" t="s">
        <v>1501</v>
      </c>
      <c r="B9174" t="s">
        <v>1502</v>
      </c>
      <c r="C9174" t="s">
        <v>456</v>
      </c>
      <c r="D9174" t="e">
        <f>VLOOKUP(C9174,'lookup table'!$A$2:$B$19,2,FALSE)</f>
        <v>#N/A</v>
      </c>
      <c r="E9174" t="str">
        <f t="shared" si="143"/>
        <v/>
      </c>
    </row>
    <row r="9175" spans="1:5" x14ac:dyDescent="0.2">
      <c r="A9175" t="s">
        <v>1501</v>
      </c>
      <c r="B9175" t="s">
        <v>1502</v>
      </c>
      <c r="C9175" t="s">
        <v>457</v>
      </c>
      <c r="D9175" t="str">
        <f>VLOOKUP(C9175,'lookup table'!$A$2:$B$19,2,FALSE)</f>
        <v>VLT</v>
      </c>
      <c r="E9175" t="str">
        <f t="shared" si="143"/>
        <v>DZ7TOM_00|VLT</v>
      </c>
    </row>
    <row r="9176" spans="1:5" x14ac:dyDescent="0.2">
      <c r="A9176" t="s">
        <v>1501</v>
      </c>
      <c r="B9176" t="s">
        <v>1502</v>
      </c>
      <c r="C9176" t="s">
        <v>458</v>
      </c>
      <c r="D9176" t="str">
        <f>VLOOKUP(C9176,'lookup table'!$A$2:$B$19,2,FALSE)</f>
        <v>VAR</v>
      </c>
      <c r="E9176" t="str">
        <f t="shared" si="143"/>
        <v>DZ7TOM_00|VAR</v>
      </c>
    </row>
    <row r="9177" spans="1:5" x14ac:dyDescent="0.2">
      <c r="A9177" t="s">
        <v>1501</v>
      </c>
      <c r="B9177" t="s">
        <v>1502</v>
      </c>
      <c r="C9177" t="s">
        <v>459</v>
      </c>
      <c r="D9177" t="e">
        <f>VLOOKUP(C9177,'lookup table'!$A$2:$B$19,2,FALSE)</f>
        <v>#N/A</v>
      </c>
      <c r="E9177" t="str">
        <f t="shared" si="143"/>
        <v/>
      </c>
    </row>
    <row r="9178" spans="1:5" x14ac:dyDescent="0.2">
      <c r="A9178" t="s">
        <v>1501</v>
      </c>
      <c r="B9178" t="s">
        <v>1502</v>
      </c>
      <c r="C9178" t="s">
        <v>460</v>
      </c>
      <c r="D9178" t="e">
        <f>VLOOKUP(C9178,'lookup table'!$A$2:$B$19,2,FALSE)</f>
        <v>#N/A</v>
      </c>
      <c r="E9178" t="str">
        <f t="shared" si="143"/>
        <v/>
      </c>
    </row>
    <row r="9179" spans="1:5" x14ac:dyDescent="0.2">
      <c r="A9179" t="s">
        <v>1501</v>
      </c>
      <c r="B9179" t="s">
        <v>1502</v>
      </c>
      <c r="C9179" t="s">
        <v>461</v>
      </c>
      <c r="D9179" t="str">
        <f>VLOOKUP(C9179,'lookup table'!$A$2:$B$19,2,FALSE)</f>
        <v>Posting Level</v>
      </c>
      <c r="E9179" t="str">
        <f t="shared" si="143"/>
        <v>DZ7TOM_00|Posting Level</v>
      </c>
    </row>
    <row r="9180" spans="1:5" x14ac:dyDescent="0.2">
      <c r="A9180" t="s">
        <v>1501</v>
      </c>
      <c r="B9180" t="s">
        <v>1502</v>
      </c>
      <c r="C9180" t="s">
        <v>462</v>
      </c>
      <c r="D9180" t="e">
        <f>VLOOKUP(C9180,'lookup table'!$A$2:$B$19,2,FALSE)</f>
        <v>#N/A</v>
      </c>
      <c r="E9180" t="str">
        <f t="shared" si="143"/>
        <v/>
      </c>
    </row>
    <row r="9181" spans="1:5" x14ac:dyDescent="0.2">
      <c r="A9181" t="s">
        <v>1501</v>
      </c>
      <c r="B9181" t="s">
        <v>1502</v>
      </c>
      <c r="C9181" t="s">
        <v>463</v>
      </c>
      <c r="D9181" t="e">
        <f>VLOOKUP(C9181,'lookup table'!$A$2:$B$19,2,FALSE)</f>
        <v>#N/A</v>
      </c>
      <c r="E9181" t="str">
        <f t="shared" si="143"/>
        <v/>
      </c>
    </row>
    <row r="9182" spans="1:5" x14ac:dyDescent="0.2">
      <c r="A9182" t="s">
        <v>1501</v>
      </c>
      <c r="B9182" t="s">
        <v>1502</v>
      </c>
      <c r="C9182" t="s">
        <v>464</v>
      </c>
      <c r="D9182" t="e">
        <f>VLOOKUP(C9182,'lookup table'!$A$2:$B$19,2,FALSE)</f>
        <v>#N/A</v>
      </c>
      <c r="E9182" t="str">
        <f t="shared" si="143"/>
        <v/>
      </c>
    </row>
    <row r="9183" spans="1:5" x14ac:dyDescent="0.2">
      <c r="A9183" t="s">
        <v>1501</v>
      </c>
      <c r="B9183" t="s">
        <v>1502</v>
      </c>
      <c r="C9183" t="s">
        <v>465</v>
      </c>
      <c r="D9183" t="e">
        <f>VLOOKUP(C9183,'lookup table'!$A$2:$B$19,2,FALSE)</f>
        <v>#N/A</v>
      </c>
      <c r="E9183" t="str">
        <f t="shared" si="143"/>
        <v/>
      </c>
    </row>
    <row r="9184" spans="1:5" x14ac:dyDescent="0.2">
      <c r="A9184" t="s">
        <v>1503</v>
      </c>
      <c r="B9184" t="s">
        <v>1504</v>
      </c>
      <c r="C9184" t="s">
        <v>2</v>
      </c>
      <c r="D9184" t="e">
        <f>VLOOKUP(C9184,'lookup table'!$A$2:$B$19,2,FALSE)</f>
        <v>#N/A</v>
      </c>
      <c r="E9184" t="str">
        <f t="shared" si="143"/>
        <v/>
      </c>
    </row>
    <row r="9185" spans="1:5" x14ac:dyDescent="0.2">
      <c r="A9185" t="s">
        <v>1503</v>
      </c>
      <c r="B9185" t="s">
        <v>1504</v>
      </c>
      <c r="C9185" t="s">
        <v>5</v>
      </c>
      <c r="D9185" t="e">
        <f>VLOOKUP(C9185,'lookup table'!$A$2:$B$19,2,FALSE)</f>
        <v>#N/A</v>
      </c>
      <c r="E9185" t="str">
        <f t="shared" si="143"/>
        <v/>
      </c>
    </row>
    <row r="9186" spans="1:5" x14ac:dyDescent="0.2">
      <c r="A9186" t="s">
        <v>1503</v>
      </c>
      <c r="B9186" t="s">
        <v>1504</v>
      </c>
      <c r="C9186" t="s">
        <v>6</v>
      </c>
      <c r="D9186" t="e">
        <f>VLOOKUP(C9186,'lookup table'!$A$2:$B$19,2,FALSE)</f>
        <v>#N/A</v>
      </c>
      <c r="E9186" t="str">
        <f t="shared" si="143"/>
        <v/>
      </c>
    </row>
    <row r="9187" spans="1:5" x14ac:dyDescent="0.2">
      <c r="A9187" t="s">
        <v>1503</v>
      </c>
      <c r="B9187" t="s">
        <v>1504</v>
      </c>
      <c r="C9187" t="s">
        <v>9</v>
      </c>
      <c r="D9187" t="e">
        <f>VLOOKUP(C9187,'lookup table'!$A$2:$B$19,2,FALSE)</f>
        <v>#N/A</v>
      </c>
      <c r="E9187" t="str">
        <f t="shared" si="143"/>
        <v/>
      </c>
    </row>
    <row r="9188" spans="1:5" x14ac:dyDescent="0.2">
      <c r="A9188" t="s">
        <v>1503</v>
      </c>
      <c r="B9188" t="s">
        <v>1504</v>
      </c>
      <c r="C9188" t="s">
        <v>10</v>
      </c>
      <c r="D9188" t="e">
        <f>VLOOKUP(C9188,'lookup table'!$A$2:$B$19,2,FALSE)</f>
        <v>#N/A</v>
      </c>
      <c r="E9188" t="str">
        <f t="shared" si="143"/>
        <v/>
      </c>
    </row>
    <row r="9189" spans="1:5" x14ac:dyDescent="0.2">
      <c r="A9189" t="s">
        <v>1503</v>
      </c>
      <c r="B9189" t="s">
        <v>1504</v>
      </c>
      <c r="C9189" t="s">
        <v>11</v>
      </c>
      <c r="D9189" t="e">
        <f>VLOOKUP(C9189,'lookup table'!$A$2:$B$19,2,FALSE)</f>
        <v>#N/A</v>
      </c>
      <c r="E9189" t="str">
        <f t="shared" si="143"/>
        <v/>
      </c>
    </row>
    <row r="9190" spans="1:5" x14ac:dyDescent="0.2">
      <c r="A9190" t="s">
        <v>1503</v>
      </c>
      <c r="B9190" t="s">
        <v>1504</v>
      </c>
      <c r="C9190" t="s">
        <v>12</v>
      </c>
      <c r="D9190" t="e">
        <f>VLOOKUP(C9190,'lookup table'!$A$2:$B$19,2,FALSE)</f>
        <v>#N/A</v>
      </c>
      <c r="E9190" t="str">
        <f t="shared" si="143"/>
        <v/>
      </c>
    </row>
    <row r="9191" spans="1:5" x14ac:dyDescent="0.2">
      <c r="A9191" t="s">
        <v>1503</v>
      </c>
      <c r="B9191" t="s">
        <v>1504</v>
      </c>
      <c r="C9191" t="s">
        <v>14</v>
      </c>
      <c r="D9191" t="str">
        <f>VLOOKUP(C9191,'lookup table'!$A$2:$B$19,2,FALSE)</f>
        <v>ALC</v>
      </c>
      <c r="E9191" t="str">
        <f t="shared" si="143"/>
        <v>DZ7VAR_00|ALC</v>
      </c>
    </row>
    <row r="9192" spans="1:5" x14ac:dyDescent="0.2">
      <c r="A9192" t="s">
        <v>1503</v>
      </c>
      <c r="B9192" t="s">
        <v>1504</v>
      </c>
      <c r="C9192" t="s">
        <v>20</v>
      </c>
      <c r="D9192" t="str">
        <f>VLOOKUP(C9192,'lookup table'!$A$2:$B$19,2,FALSE)</f>
        <v>AY</v>
      </c>
      <c r="E9192" t="str">
        <f t="shared" si="143"/>
        <v>DZ7VAR_00|AY</v>
      </c>
    </row>
    <row r="9193" spans="1:5" x14ac:dyDescent="0.2">
      <c r="A9193" t="s">
        <v>1503</v>
      </c>
      <c r="B9193" t="s">
        <v>1504</v>
      </c>
      <c r="C9193" t="s">
        <v>324</v>
      </c>
      <c r="D9193" t="e">
        <f>VLOOKUP(C9193,'lookup table'!$A$2:$B$19,2,FALSE)</f>
        <v>#N/A</v>
      </c>
      <c r="E9193" t="str">
        <f t="shared" si="143"/>
        <v/>
      </c>
    </row>
    <row r="9194" spans="1:5" x14ac:dyDescent="0.2">
      <c r="A9194" t="s">
        <v>1503</v>
      </c>
      <c r="B9194" t="s">
        <v>1504</v>
      </c>
      <c r="C9194" t="s">
        <v>325</v>
      </c>
      <c r="D9194" t="e">
        <f>VLOOKUP(C9194,'lookup table'!$A$2:$B$19,2,FALSE)</f>
        <v>#N/A</v>
      </c>
      <c r="E9194" t="str">
        <f t="shared" si="143"/>
        <v/>
      </c>
    </row>
    <row r="9195" spans="1:5" x14ac:dyDescent="0.2">
      <c r="A9195" t="s">
        <v>1503</v>
      </c>
      <c r="B9195" t="s">
        <v>1504</v>
      </c>
      <c r="C9195" t="s">
        <v>326</v>
      </c>
      <c r="D9195" t="e">
        <f>VLOOKUP(C9195,'lookup table'!$A$2:$B$19,2,FALSE)</f>
        <v>#N/A</v>
      </c>
      <c r="E9195" t="str">
        <f t="shared" si="143"/>
        <v/>
      </c>
    </row>
    <row r="9196" spans="1:5" x14ac:dyDescent="0.2">
      <c r="A9196" t="s">
        <v>1503</v>
      </c>
      <c r="B9196" t="s">
        <v>1504</v>
      </c>
      <c r="C9196" t="s">
        <v>327</v>
      </c>
      <c r="D9196" t="e">
        <f>VLOOKUP(C9196,'lookup table'!$A$2:$B$19,2,FALSE)</f>
        <v>#N/A</v>
      </c>
      <c r="E9196" t="str">
        <f t="shared" si="143"/>
        <v/>
      </c>
    </row>
    <row r="9197" spans="1:5" x14ac:dyDescent="0.2">
      <c r="A9197" t="s">
        <v>1503</v>
      </c>
      <c r="B9197" t="s">
        <v>1504</v>
      </c>
      <c r="C9197" t="s">
        <v>328</v>
      </c>
      <c r="D9197" t="e">
        <f>VLOOKUP(C9197,'lookup table'!$A$2:$B$19,2,FALSE)</f>
        <v>#N/A</v>
      </c>
      <c r="E9197" t="str">
        <f t="shared" si="143"/>
        <v/>
      </c>
    </row>
    <row r="9198" spans="1:5" x14ac:dyDescent="0.2">
      <c r="A9198" t="s">
        <v>1503</v>
      </c>
      <c r="B9198" t="s">
        <v>1504</v>
      </c>
      <c r="C9198" t="s">
        <v>329</v>
      </c>
      <c r="D9198" t="e">
        <f>VLOOKUP(C9198,'lookup table'!$A$2:$B$19,2,FALSE)</f>
        <v>#N/A</v>
      </c>
      <c r="E9198" t="str">
        <f t="shared" si="143"/>
        <v/>
      </c>
    </row>
    <row r="9199" spans="1:5" x14ac:dyDescent="0.2">
      <c r="A9199" t="s">
        <v>1503</v>
      </c>
      <c r="B9199" t="s">
        <v>1504</v>
      </c>
      <c r="C9199" t="s">
        <v>331</v>
      </c>
      <c r="D9199" t="str">
        <f>VLOOKUP(C9199,'lookup table'!$A$2:$B$19,2,FALSE)</f>
        <v>FS Item</v>
      </c>
      <c r="E9199" t="str">
        <f t="shared" si="143"/>
        <v>DZ7VAR_00|FS Item</v>
      </c>
    </row>
    <row r="9200" spans="1:5" x14ac:dyDescent="0.2">
      <c r="A9200" t="s">
        <v>1503</v>
      </c>
      <c r="B9200" t="s">
        <v>1504</v>
      </c>
      <c r="C9200" t="s">
        <v>422</v>
      </c>
      <c r="D9200" t="e">
        <f>VLOOKUP(C9200,'lookup table'!$A$2:$B$19,2,FALSE)</f>
        <v>#N/A</v>
      </c>
      <c r="E9200" t="str">
        <f t="shared" si="143"/>
        <v/>
      </c>
    </row>
    <row r="9201" spans="1:5" x14ac:dyDescent="0.2">
      <c r="A9201" t="s">
        <v>1503</v>
      </c>
      <c r="B9201" t="s">
        <v>1504</v>
      </c>
      <c r="C9201" t="s">
        <v>423</v>
      </c>
      <c r="D9201" t="str">
        <f>VLOOKUP(C9201,'lookup table'!$A$2:$B$19,2,FALSE)</f>
        <v>ignore</v>
      </c>
      <c r="E9201" t="str">
        <f t="shared" si="143"/>
        <v>DZ7VAR_00|ignore</v>
      </c>
    </row>
    <row r="9202" spans="1:5" x14ac:dyDescent="0.2">
      <c r="A9202" t="s">
        <v>1503</v>
      </c>
      <c r="B9202" t="s">
        <v>1504</v>
      </c>
      <c r="C9202" t="s">
        <v>424</v>
      </c>
      <c r="D9202" t="str">
        <f>VLOOKUP(C9202,'lookup table'!$A$2:$B$19,2,FALSE)</f>
        <v>GRC</v>
      </c>
      <c r="E9202" t="str">
        <f t="shared" si="143"/>
        <v>DZ7VAR_00|GRC</v>
      </c>
    </row>
    <row r="9203" spans="1:5" x14ac:dyDescent="0.2">
      <c r="A9203" t="s">
        <v>1503</v>
      </c>
      <c r="B9203" t="s">
        <v>1504</v>
      </c>
      <c r="C9203" t="s">
        <v>425</v>
      </c>
      <c r="D9203" t="str">
        <f>VLOOKUP(C9203,'lookup table'!$A$2:$B$19,2,FALSE)</f>
        <v>Investee Segment</v>
      </c>
      <c r="E9203" t="str">
        <f t="shared" si="143"/>
        <v>DZ7VAR_00|Investee Segment</v>
      </c>
    </row>
    <row r="9204" spans="1:5" x14ac:dyDescent="0.2">
      <c r="A9204" t="s">
        <v>1503</v>
      </c>
      <c r="B9204" t="s">
        <v>1504</v>
      </c>
      <c r="C9204" t="s">
        <v>426</v>
      </c>
      <c r="D9204" t="str">
        <f>VLOOKUP(C9204,'lookup table'!$A$2:$B$19,2,FALSE)</f>
        <v>Investee Unit</v>
      </c>
      <c r="E9204" t="str">
        <f t="shared" si="143"/>
        <v>DZ7VAR_00|Investee Unit</v>
      </c>
    </row>
    <row r="9205" spans="1:5" x14ac:dyDescent="0.2">
      <c r="A9205" t="s">
        <v>1503</v>
      </c>
      <c r="B9205" t="s">
        <v>1504</v>
      </c>
      <c r="C9205" t="s">
        <v>428</v>
      </c>
      <c r="D9205" t="str">
        <f>VLOOKUP(C9205,'lookup table'!$A$2:$B$19,2,FALSE)</f>
        <v>LoB</v>
      </c>
      <c r="E9205" t="str">
        <f t="shared" si="143"/>
        <v>DZ7VAR_00|LoB</v>
      </c>
    </row>
    <row r="9206" spans="1:5" x14ac:dyDescent="0.2">
      <c r="A9206" t="s">
        <v>1503</v>
      </c>
      <c r="B9206" t="s">
        <v>1504</v>
      </c>
      <c r="C9206" t="s">
        <v>436</v>
      </c>
      <c r="D9206" t="str">
        <f>VLOOKUP(C9206,'lookup table'!$A$2:$B$19,2,FALSE)</f>
        <v>MAT</v>
      </c>
      <c r="E9206" t="str">
        <f t="shared" si="143"/>
        <v>DZ7VAR_00|MAT</v>
      </c>
    </row>
    <row r="9207" spans="1:5" x14ac:dyDescent="0.2">
      <c r="A9207" t="s">
        <v>1503</v>
      </c>
      <c r="B9207" t="s">
        <v>1504</v>
      </c>
      <c r="C9207" t="s">
        <v>438</v>
      </c>
      <c r="D9207" t="str">
        <f>VLOOKUP(C9207,'lookup table'!$A$2:$B$19,2,FALSE)</f>
        <v>ToM</v>
      </c>
      <c r="E9207" t="str">
        <f t="shared" si="143"/>
        <v>DZ7VAR_00|ToM</v>
      </c>
    </row>
    <row r="9208" spans="1:5" x14ac:dyDescent="0.2">
      <c r="A9208" t="s">
        <v>1503</v>
      </c>
      <c r="B9208" t="s">
        <v>1504</v>
      </c>
      <c r="C9208" t="s">
        <v>441</v>
      </c>
      <c r="D9208" t="str">
        <f>VLOOKUP(C9208,'lookup table'!$A$2:$B$19,2,FALSE)</f>
        <v>Partner Segment</v>
      </c>
      <c r="E9208" t="str">
        <f t="shared" si="143"/>
        <v>DZ7VAR_00|Partner Segment</v>
      </c>
    </row>
    <row r="9209" spans="1:5" x14ac:dyDescent="0.2">
      <c r="A9209" t="s">
        <v>1503</v>
      </c>
      <c r="B9209" t="s">
        <v>1504</v>
      </c>
      <c r="C9209" t="s">
        <v>442</v>
      </c>
      <c r="D9209" t="str">
        <f>VLOOKUP(C9209,'lookup table'!$A$2:$B$19,2,FALSE)</f>
        <v>Partner Unit</v>
      </c>
      <c r="E9209" t="str">
        <f t="shared" si="143"/>
        <v>DZ7VAR_00|Partner Unit</v>
      </c>
    </row>
    <row r="9210" spans="1:5" x14ac:dyDescent="0.2">
      <c r="A9210" t="s">
        <v>1503</v>
      </c>
      <c r="B9210" t="s">
        <v>1504</v>
      </c>
      <c r="C9210" t="s">
        <v>447</v>
      </c>
      <c r="D9210" t="str">
        <f>VLOOKUP(C9210,'lookup table'!$A$2:$B$19,2,FALSE)</f>
        <v>REX</v>
      </c>
      <c r="E9210" t="str">
        <f t="shared" si="143"/>
        <v>DZ7VAR_00|REX</v>
      </c>
    </row>
    <row r="9211" spans="1:5" x14ac:dyDescent="0.2">
      <c r="A9211" t="s">
        <v>1503</v>
      </c>
      <c r="B9211" t="s">
        <v>1504</v>
      </c>
      <c r="C9211" t="s">
        <v>448</v>
      </c>
      <c r="D9211" t="e">
        <f>VLOOKUP(C9211,'lookup table'!$A$2:$B$19,2,FALSE)</f>
        <v>#N/A</v>
      </c>
      <c r="E9211" t="str">
        <f t="shared" si="143"/>
        <v/>
      </c>
    </row>
    <row r="9212" spans="1:5" x14ac:dyDescent="0.2">
      <c r="A9212" t="s">
        <v>1503</v>
      </c>
      <c r="B9212" t="s">
        <v>1504</v>
      </c>
      <c r="C9212" t="s">
        <v>449</v>
      </c>
      <c r="D9212" t="e">
        <f>VLOOKUP(C9212,'lookup table'!$A$2:$B$19,2,FALSE)</f>
        <v>#N/A</v>
      </c>
      <c r="E9212" t="str">
        <f t="shared" si="143"/>
        <v/>
      </c>
    </row>
    <row r="9213" spans="1:5" x14ac:dyDescent="0.2">
      <c r="A9213" t="s">
        <v>1503</v>
      </c>
      <c r="B9213" t="s">
        <v>1504</v>
      </c>
      <c r="C9213" t="s">
        <v>451</v>
      </c>
      <c r="D9213" t="str">
        <f>VLOOKUP(C9213,'lookup table'!$A$2:$B$19,2,FALSE)</f>
        <v>Segment</v>
      </c>
      <c r="E9213" t="str">
        <f t="shared" si="143"/>
        <v>DZ7VAR_00|Segment</v>
      </c>
    </row>
    <row r="9214" spans="1:5" x14ac:dyDescent="0.2">
      <c r="A9214" t="s">
        <v>1503</v>
      </c>
      <c r="B9214" t="s">
        <v>1504</v>
      </c>
      <c r="C9214" t="s">
        <v>455</v>
      </c>
      <c r="D9214" t="e">
        <f>VLOOKUP(C9214,'lookup table'!$A$2:$B$19,2,FALSE)</f>
        <v>#N/A</v>
      </c>
      <c r="E9214" t="str">
        <f t="shared" si="143"/>
        <v/>
      </c>
    </row>
    <row r="9215" spans="1:5" x14ac:dyDescent="0.2">
      <c r="A9215" t="s">
        <v>1503</v>
      </c>
      <c r="B9215" t="s">
        <v>1504</v>
      </c>
      <c r="C9215" t="s">
        <v>456</v>
      </c>
      <c r="D9215" t="e">
        <f>VLOOKUP(C9215,'lookup table'!$A$2:$B$19,2,FALSE)</f>
        <v>#N/A</v>
      </c>
      <c r="E9215" t="str">
        <f t="shared" si="143"/>
        <v/>
      </c>
    </row>
    <row r="9216" spans="1:5" x14ac:dyDescent="0.2">
      <c r="A9216" t="s">
        <v>1503</v>
      </c>
      <c r="B9216" t="s">
        <v>1504</v>
      </c>
      <c r="C9216" t="s">
        <v>457</v>
      </c>
      <c r="D9216" t="str">
        <f>VLOOKUP(C9216,'lookup table'!$A$2:$B$19,2,FALSE)</f>
        <v>VLT</v>
      </c>
      <c r="E9216" t="str">
        <f t="shared" si="143"/>
        <v>DZ7VAR_00|VLT</v>
      </c>
    </row>
    <row r="9217" spans="1:5" x14ac:dyDescent="0.2">
      <c r="A9217" t="s">
        <v>1503</v>
      </c>
      <c r="B9217" t="s">
        <v>1504</v>
      </c>
      <c r="C9217" t="s">
        <v>458</v>
      </c>
      <c r="D9217" t="str">
        <f>VLOOKUP(C9217,'lookup table'!$A$2:$B$19,2,FALSE)</f>
        <v>VAR</v>
      </c>
      <c r="E9217" t="str">
        <f t="shared" si="143"/>
        <v>DZ7VAR_00|VAR</v>
      </c>
    </row>
    <row r="9218" spans="1:5" x14ac:dyDescent="0.2">
      <c r="A9218" t="s">
        <v>1503</v>
      </c>
      <c r="B9218" t="s">
        <v>1504</v>
      </c>
      <c r="C9218" t="s">
        <v>459</v>
      </c>
      <c r="D9218" t="e">
        <f>VLOOKUP(C9218,'lookup table'!$A$2:$B$19,2,FALSE)</f>
        <v>#N/A</v>
      </c>
      <c r="E9218" t="str">
        <f t="shared" si="143"/>
        <v/>
      </c>
    </row>
    <row r="9219" spans="1:5" x14ac:dyDescent="0.2">
      <c r="A9219" t="s">
        <v>1503</v>
      </c>
      <c r="B9219" t="s">
        <v>1504</v>
      </c>
      <c r="C9219" t="s">
        <v>460</v>
      </c>
      <c r="D9219" t="e">
        <f>VLOOKUP(C9219,'lookup table'!$A$2:$B$19,2,FALSE)</f>
        <v>#N/A</v>
      </c>
      <c r="E9219" t="str">
        <f t="shared" ref="E9219:E9282" si="144">IF(ISNA(D9219),"",IF(A9219="","",A9219) &amp; "|" &amp; D9219)</f>
        <v/>
      </c>
    </row>
    <row r="9220" spans="1:5" x14ac:dyDescent="0.2">
      <c r="A9220" t="s">
        <v>1503</v>
      </c>
      <c r="B9220" t="s">
        <v>1504</v>
      </c>
      <c r="C9220" t="s">
        <v>461</v>
      </c>
      <c r="D9220" t="str">
        <f>VLOOKUP(C9220,'lookup table'!$A$2:$B$19,2,FALSE)</f>
        <v>Posting Level</v>
      </c>
      <c r="E9220" t="str">
        <f t="shared" si="144"/>
        <v>DZ7VAR_00|Posting Level</v>
      </c>
    </row>
    <row r="9221" spans="1:5" x14ac:dyDescent="0.2">
      <c r="A9221" t="s">
        <v>1503</v>
      </c>
      <c r="B9221" t="s">
        <v>1504</v>
      </c>
      <c r="C9221" t="s">
        <v>462</v>
      </c>
      <c r="D9221" t="e">
        <f>VLOOKUP(C9221,'lookup table'!$A$2:$B$19,2,FALSE)</f>
        <v>#N/A</v>
      </c>
      <c r="E9221" t="str">
        <f t="shared" si="144"/>
        <v/>
      </c>
    </row>
    <row r="9222" spans="1:5" x14ac:dyDescent="0.2">
      <c r="A9222" t="s">
        <v>1503</v>
      </c>
      <c r="B9222" t="s">
        <v>1504</v>
      </c>
      <c r="C9222" t="s">
        <v>463</v>
      </c>
      <c r="D9222" t="e">
        <f>VLOOKUP(C9222,'lookup table'!$A$2:$B$19,2,FALSE)</f>
        <v>#N/A</v>
      </c>
      <c r="E9222" t="str">
        <f t="shared" si="144"/>
        <v/>
      </c>
    </row>
    <row r="9223" spans="1:5" x14ac:dyDescent="0.2">
      <c r="A9223" t="s">
        <v>1503</v>
      </c>
      <c r="B9223" t="s">
        <v>1504</v>
      </c>
      <c r="C9223" t="s">
        <v>464</v>
      </c>
      <c r="D9223" t="e">
        <f>VLOOKUP(C9223,'lookup table'!$A$2:$B$19,2,FALSE)</f>
        <v>#N/A</v>
      </c>
      <c r="E9223" t="str">
        <f t="shared" si="144"/>
        <v/>
      </c>
    </row>
    <row r="9224" spans="1:5" x14ac:dyDescent="0.2">
      <c r="A9224" t="s">
        <v>1503</v>
      </c>
      <c r="B9224" t="s">
        <v>1504</v>
      </c>
      <c r="C9224" t="s">
        <v>465</v>
      </c>
      <c r="D9224" t="e">
        <f>VLOOKUP(C9224,'lookup table'!$A$2:$B$19,2,FALSE)</f>
        <v>#N/A</v>
      </c>
      <c r="E9224" t="str">
        <f t="shared" si="144"/>
        <v/>
      </c>
    </row>
    <row r="9225" spans="1:5" x14ac:dyDescent="0.2">
      <c r="A9225" t="s">
        <v>1505</v>
      </c>
      <c r="B9225" t="s">
        <v>1506</v>
      </c>
      <c r="C9225" t="s">
        <v>331</v>
      </c>
      <c r="D9225" t="str">
        <f>VLOOKUP(C9225,'lookup table'!$A$2:$B$19,2,FALSE)</f>
        <v>FS Item</v>
      </c>
      <c r="E9225" t="str">
        <f t="shared" si="144"/>
        <v>E001_17|FS Item</v>
      </c>
    </row>
    <row r="9226" spans="1:5" x14ac:dyDescent="0.2">
      <c r="A9226" t="s">
        <v>1505</v>
      </c>
      <c r="B9226" t="s">
        <v>1506</v>
      </c>
      <c r="C9226" t="s">
        <v>423</v>
      </c>
      <c r="D9226" t="str">
        <f>VLOOKUP(C9226,'lookup table'!$A$2:$B$19,2,FALSE)</f>
        <v>ignore</v>
      </c>
      <c r="E9226" t="str">
        <f t="shared" si="144"/>
        <v>E001_17|ignore</v>
      </c>
    </row>
    <row r="9227" spans="1:5" x14ac:dyDescent="0.2">
      <c r="A9227" t="s">
        <v>1507</v>
      </c>
      <c r="B9227" t="s">
        <v>1508</v>
      </c>
      <c r="C9227" t="s">
        <v>331</v>
      </c>
      <c r="D9227" t="str">
        <f>VLOOKUP(C9227,'lookup table'!$A$2:$B$19,2,FALSE)</f>
        <v>FS Item</v>
      </c>
      <c r="E9227" t="str">
        <f t="shared" si="144"/>
        <v>E001_60|FS Item</v>
      </c>
    </row>
    <row r="9228" spans="1:5" x14ac:dyDescent="0.2">
      <c r="A9228" t="s">
        <v>1507</v>
      </c>
      <c r="B9228" t="s">
        <v>1508</v>
      </c>
      <c r="C9228" t="s">
        <v>423</v>
      </c>
      <c r="D9228" t="str">
        <f>VLOOKUP(C9228,'lookup table'!$A$2:$B$19,2,FALSE)</f>
        <v>ignore</v>
      </c>
      <c r="E9228" t="str">
        <f t="shared" si="144"/>
        <v>E001_60|ignore</v>
      </c>
    </row>
    <row r="9229" spans="1:5" x14ac:dyDescent="0.2">
      <c r="A9229" t="s">
        <v>1509</v>
      </c>
      <c r="B9229" t="s">
        <v>379</v>
      </c>
      <c r="C9229" t="s">
        <v>331</v>
      </c>
      <c r="D9229" t="str">
        <f>VLOOKUP(C9229,'lookup table'!$A$2:$B$19,2,FALSE)</f>
        <v>FS Item</v>
      </c>
      <c r="E9229" t="str">
        <f t="shared" si="144"/>
        <v>E002_17|FS Item</v>
      </c>
    </row>
    <row r="9230" spans="1:5" x14ac:dyDescent="0.2">
      <c r="A9230" t="s">
        <v>1509</v>
      </c>
      <c r="B9230" t="s">
        <v>379</v>
      </c>
      <c r="C9230" t="s">
        <v>423</v>
      </c>
      <c r="D9230" t="str">
        <f>VLOOKUP(C9230,'lookup table'!$A$2:$B$19,2,FALSE)</f>
        <v>ignore</v>
      </c>
      <c r="E9230" t="str">
        <f t="shared" si="144"/>
        <v>E002_17|ignore</v>
      </c>
    </row>
    <row r="9231" spans="1:5" x14ac:dyDescent="0.2">
      <c r="A9231" t="s">
        <v>1509</v>
      </c>
      <c r="B9231" t="s">
        <v>379</v>
      </c>
      <c r="C9231" t="s">
        <v>438</v>
      </c>
      <c r="D9231" t="str">
        <f>VLOOKUP(C9231,'lookup table'!$A$2:$B$19,2,FALSE)</f>
        <v>ToM</v>
      </c>
      <c r="E9231" t="str">
        <f t="shared" si="144"/>
        <v>E002_17|ToM</v>
      </c>
    </row>
    <row r="9232" spans="1:5" x14ac:dyDescent="0.2">
      <c r="A9232" t="s">
        <v>1510</v>
      </c>
      <c r="B9232" t="s">
        <v>1511</v>
      </c>
      <c r="C9232" t="s">
        <v>331</v>
      </c>
      <c r="D9232" t="str">
        <f>VLOOKUP(C9232,'lookup table'!$A$2:$B$19,2,FALSE)</f>
        <v>FS Item</v>
      </c>
      <c r="E9232" t="str">
        <f t="shared" si="144"/>
        <v>E014_00|FS Item</v>
      </c>
    </row>
    <row r="9233" spans="1:5" x14ac:dyDescent="0.2">
      <c r="A9233" t="s">
        <v>1510</v>
      </c>
      <c r="B9233" t="s">
        <v>1511</v>
      </c>
      <c r="C9233" t="s">
        <v>423</v>
      </c>
      <c r="D9233" t="str">
        <f>VLOOKUP(C9233,'lookup table'!$A$2:$B$19,2,FALSE)</f>
        <v>ignore</v>
      </c>
      <c r="E9233" t="str">
        <f t="shared" si="144"/>
        <v>E014_00|ignore</v>
      </c>
    </row>
    <row r="9234" spans="1:5" x14ac:dyDescent="0.2">
      <c r="A9234" t="s">
        <v>1512</v>
      </c>
      <c r="B9234" t="s">
        <v>1513</v>
      </c>
      <c r="C9234" t="s">
        <v>331</v>
      </c>
      <c r="D9234" t="str">
        <f>VLOOKUP(C9234,'lookup table'!$A$2:$B$19,2,FALSE)</f>
        <v>FS Item</v>
      </c>
      <c r="E9234" t="str">
        <f t="shared" si="144"/>
        <v>E015_00|FS Item</v>
      </c>
    </row>
    <row r="9235" spans="1:5" x14ac:dyDescent="0.2">
      <c r="A9235" t="s">
        <v>1512</v>
      </c>
      <c r="B9235" t="s">
        <v>1513</v>
      </c>
      <c r="C9235" t="s">
        <v>423</v>
      </c>
      <c r="D9235" t="str">
        <f>VLOOKUP(C9235,'lookup table'!$A$2:$B$19,2,FALSE)</f>
        <v>ignore</v>
      </c>
      <c r="E9235" t="str">
        <f t="shared" si="144"/>
        <v>E015_00|ignore</v>
      </c>
    </row>
    <row r="9236" spans="1:5" x14ac:dyDescent="0.2">
      <c r="A9236" t="s">
        <v>1512</v>
      </c>
      <c r="B9236" t="s">
        <v>1513</v>
      </c>
      <c r="C9236" t="s">
        <v>438</v>
      </c>
      <c r="D9236" t="str">
        <f>VLOOKUP(C9236,'lookup table'!$A$2:$B$19,2,FALSE)</f>
        <v>ToM</v>
      </c>
      <c r="E9236" t="str">
        <f t="shared" si="144"/>
        <v>E015_00|ToM</v>
      </c>
    </row>
    <row r="9237" spans="1:5" x14ac:dyDescent="0.2">
      <c r="A9237" t="s">
        <v>1514</v>
      </c>
      <c r="B9237" t="s">
        <v>1515</v>
      </c>
      <c r="C9237" t="s">
        <v>20</v>
      </c>
      <c r="D9237" t="str">
        <f>VLOOKUP(C9237,'lookup table'!$A$2:$B$19,2,FALSE)</f>
        <v>AY</v>
      </c>
      <c r="E9237" t="str">
        <f t="shared" si="144"/>
        <v>E021_00|AY</v>
      </c>
    </row>
    <row r="9238" spans="1:5" x14ac:dyDescent="0.2">
      <c r="A9238" t="s">
        <v>1514</v>
      </c>
      <c r="B9238" t="s">
        <v>1515</v>
      </c>
      <c r="C9238" t="s">
        <v>331</v>
      </c>
      <c r="D9238" t="str">
        <f>VLOOKUP(C9238,'lookup table'!$A$2:$B$19,2,FALSE)</f>
        <v>FS Item</v>
      </c>
      <c r="E9238" t="str">
        <f t="shared" si="144"/>
        <v>E021_00|FS Item</v>
      </c>
    </row>
    <row r="9239" spans="1:5" x14ac:dyDescent="0.2">
      <c r="A9239" t="s">
        <v>1514</v>
      </c>
      <c r="B9239" t="s">
        <v>1515</v>
      </c>
      <c r="C9239" t="s">
        <v>423</v>
      </c>
      <c r="D9239" t="str">
        <f>VLOOKUP(C9239,'lookup table'!$A$2:$B$19,2,FALSE)</f>
        <v>ignore</v>
      </c>
      <c r="E9239" t="str">
        <f t="shared" si="144"/>
        <v>E021_00|ignore</v>
      </c>
    </row>
    <row r="9240" spans="1:5" x14ac:dyDescent="0.2">
      <c r="A9240" t="s">
        <v>1514</v>
      </c>
      <c r="B9240" t="s">
        <v>1515</v>
      </c>
      <c r="C9240" t="s">
        <v>428</v>
      </c>
      <c r="D9240" t="str">
        <f>VLOOKUP(C9240,'lookup table'!$A$2:$B$19,2,FALSE)</f>
        <v>LoB</v>
      </c>
      <c r="E9240" t="str">
        <f t="shared" si="144"/>
        <v>E021_00|LoB</v>
      </c>
    </row>
    <row r="9241" spans="1:5" x14ac:dyDescent="0.2">
      <c r="A9241" t="s">
        <v>1514</v>
      </c>
      <c r="B9241" t="s">
        <v>1515</v>
      </c>
      <c r="C9241" t="s">
        <v>441</v>
      </c>
      <c r="D9241" t="str">
        <f>VLOOKUP(C9241,'lookup table'!$A$2:$B$19,2,FALSE)</f>
        <v>Partner Segment</v>
      </c>
      <c r="E9241" t="str">
        <f t="shared" si="144"/>
        <v>E021_00|Partner Segment</v>
      </c>
    </row>
    <row r="9242" spans="1:5" x14ac:dyDescent="0.2">
      <c r="A9242" t="s">
        <v>1514</v>
      </c>
      <c r="B9242" t="s">
        <v>1515</v>
      </c>
      <c r="C9242" t="s">
        <v>442</v>
      </c>
      <c r="D9242" t="str">
        <f>VLOOKUP(C9242,'lookup table'!$A$2:$B$19,2,FALSE)</f>
        <v>Partner Unit</v>
      </c>
      <c r="E9242" t="str">
        <f t="shared" si="144"/>
        <v>E021_00|Partner Unit</v>
      </c>
    </row>
    <row r="9243" spans="1:5" x14ac:dyDescent="0.2">
      <c r="A9243" t="s">
        <v>1516</v>
      </c>
      <c r="B9243" t="s">
        <v>1517</v>
      </c>
      <c r="C9243" t="s">
        <v>20</v>
      </c>
      <c r="D9243" t="str">
        <f>VLOOKUP(C9243,'lookup table'!$A$2:$B$19,2,FALSE)</f>
        <v>AY</v>
      </c>
      <c r="E9243" t="str">
        <f t="shared" si="144"/>
        <v>E024_00|AY</v>
      </c>
    </row>
    <row r="9244" spans="1:5" x14ac:dyDescent="0.2">
      <c r="A9244" t="s">
        <v>1516</v>
      </c>
      <c r="B9244" t="s">
        <v>1517</v>
      </c>
      <c r="C9244" t="s">
        <v>331</v>
      </c>
      <c r="D9244" t="str">
        <f>VLOOKUP(C9244,'lookup table'!$A$2:$B$19,2,FALSE)</f>
        <v>FS Item</v>
      </c>
      <c r="E9244" t="str">
        <f t="shared" si="144"/>
        <v>E024_00|FS Item</v>
      </c>
    </row>
    <row r="9245" spans="1:5" x14ac:dyDescent="0.2">
      <c r="A9245" t="s">
        <v>1516</v>
      </c>
      <c r="B9245" t="s">
        <v>1517</v>
      </c>
      <c r="C9245" t="s">
        <v>423</v>
      </c>
      <c r="D9245" t="str">
        <f>VLOOKUP(C9245,'lookup table'!$A$2:$B$19,2,FALSE)</f>
        <v>ignore</v>
      </c>
      <c r="E9245" t="str">
        <f t="shared" si="144"/>
        <v>E024_00|ignore</v>
      </c>
    </row>
    <row r="9246" spans="1:5" x14ac:dyDescent="0.2">
      <c r="A9246" t="s">
        <v>1516</v>
      </c>
      <c r="B9246" t="s">
        <v>1517</v>
      </c>
      <c r="C9246" t="s">
        <v>428</v>
      </c>
      <c r="D9246" t="str">
        <f>VLOOKUP(C9246,'lookup table'!$A$2:$B$19,2,FALSE)</f>
        <v>LoB</v>
      </c>
      <c r="E9246" t="str">
        <f t="shared" si="144"/>
        <v>E024_00|LoB</v>
      </c>
    </row>
    <row r="9247" spans="1:5" x14ac:dyDescent="0.2">
      <c r="A9247" t="s">
        <v>1516</v>
      </c>
      <c r="B9247" t="s">
        <v>1517</v>
      </c>
      <c r="C9247" t="s">
        <v>441</v>
      </c>
      <c r="D9247" t="str">
        <f>VLOOKUP(C9247,'lookup table'!$A$2:$B$19,2,FALSE)</f>
        <v>Partner Segment</v>
      </c>
      <c r="E9247" t="str">
        <f t="shared" si="144"/>
        <v>E024_00|Partner Segment</v>
      </c>
    </row>
    <row r="9248" spans="1:5" x14ac:dyDescent="0.2">
      <c r="A9248" t="s">
        <v>1516</v>
      </c>
      <c r="B9248" t="s">
        <v>1517</v>
      </c>
      <c r="C9248" t="s">
        <v>442</v>
      </c>
      <c r="D9248" t="str">
        <f>VLOOKUP(C9248,'lookup table'!$A$2:$B$19,2,FALSE)</f>
        <v>Partner Unit</v>
      </c>
      <c r="E9248" t="str">
        <f t="shared" si="144"/>
        <v>E024_00|Partner Unit</v>
      </c>
    </row>
    <row r="9249" spans="1:5" x14ac:dyDescent="0.2">
      <c r="A9249" t="s">
        <v>1518</v>
      </c>
      <c r="B9249" t="s">
        <v>1519</v>
      </c>
      <c r="C9249" t="s">
        <v>20</v>
      </c>
      <c r="D9249" t="str">
        <f>VLOOKUP(C9249,'lookup table'!$A$2:$B$19,2,FALSE)</f>
        <v>AY</v>
      </c>
      <c r="E9249" t="str">
        <f t="shared" si="144"/>
        <v>E025_00|AY</v>
      </c>
    </row>
    <row r="9250" spans="1:5" x14ac:dyDescent="0.2">
      <c r="A9250" t="s">
        <v>1518</v>
      </c>
      <c r="B9250" t="s">
        <v>1519</v>
      </c>
      <c r="C9250" t="s">
        <v>331</v>
      </c>
      <c r="D9250" t="str">
        <f>VLOOKUP(C9250,'lookup table'!$A$2:$B$19,2,FALSE)</f>
        <v>FS Item</v>
      </c>
      <c r="E9250" t="str">
        <f t="shared" si="144"/>
        <v>E025_00|FS Item</v>
      </c>
    </row>
    <row r="9251" spans="1:5" x14ac:dyDescent="0.2">
      <c r="A9251" t="s">
        <v>1518</v>
      </c>
      <c r="B9251" t="s">
        <v>1519</v>
      </c>
      <c r="C9251" t="s">
        <v>423</v>
      </c>
      <c r="D9251" t="str">
        <f>VLOOKUP(C9251,'lookup table'!$A$2:$B$19,2,FALSE)</f>
        <v>ignore</v>
      </c>
      <c r="E9251" t="str">
        <f t="shared" si="144"/>
        <v>E025_00|ignore</v>
      </c>
    </row>
    <row r="9252" spans="1:5" x14ac:dyDescent="0.2">
      <c r="A9252" t="s">
        <v>1518</v>
      </c>
      <c r="B9252" t="s">
        <v>1519</v>
      </c>
      <c r="C9252" t="s">
        <v>428</v>
      </c>
      <c r="D9252" t="str">
        <f>VLOOKUP(C9252,'lookup table'!$A$2:$B$19,2,FALSE)</f>
        <v>LoB</v>
      </c>
      <c r="E9252" t="str">
        <f t="shared" si="144"/>
        <v>E025_00|LoB</v>
      </c>
    </row>
    <row r="9253" spans="1:5" x14ac:dyDescent="0.2">
      <c r="A9253" t="s">
        <v>1518</v>
      </c>
      <c r="B9253" t="s">
        <v>1519</v>
      </c>
      <c r="C9253" t="s">
        <v>441</v>
      </c>
      <c r="D9253" t="str">
        <f>VLOOKUP(C9253,'lookup table'!$A$2:$B$19,2,FALSE)</f>
        <v>Partner Segment</v>
      </c>
      <c r="E9253" t="str">
        <f t="shared" si="144"/>
        <v>E025_00|Partner Segment</v>
      </c>
    </row>
    <row r="9254" spans="1:5" x14ac:dyDescent="0.2">
      <c r="A9254" t="s">
        <v>1518</v>
      </c>
      <c r="B9254" t="s">
        <v>1519</v>
      </c>
      <c r="C9254" t="s">
        <v>442</v>
      </c>
      <c r="D9254" t="str">
        <f>VLOOKUP(C9254,'lookup table'!$A$2:$B$19,2,FALSE)</f>
        <v>Partner Unit</v>
      </c>
      <c r="E9254" t="str">
        <f t="shared" si="144"/>
        <v>E025_00|Partner Unit</v>
      </c>
    </row>
    <row r="9255" spans="1:5" x14ac:dyDescent="0.2">
      <c r="A9255" t="s">
        <v>1520</v>
      </c>
      <c r="B9255" t="s">
        <v>1521</v>
      </c>
      <c r="C9255" t="s">
        <v>331</v>
      </c>
      <c r="D9255" t="str">
        <f>VLOOKUP(C9255,'lookup table'!$A$2:$B$19,2,FALSE)</f>
        <v>FS Item</v>
      </c>
      <c r="E9255" t="str">
        <f t="shared" si="144"/>
        <v>E028_00|FS Item</v>
      </c>
    </row>
    <row r="9256" spans="1:5" x14ac:dyDescent="0.2">
      <c r="A9256" t="s">
        <v>1520</v>
      </c>
      <c r="B9256" t="s">
        <v>1521</v>
      </c>
      <c r="C9256" t="s">
        <v>423</v>
      </c>
      <c r="D9256" t="str">
        <f>VLOOKUP(C9256,'lookup table'!$A$2:$B$19,2,FALSE)</f>
        <v>ignore</v>
      </c>
      <c r="E9256" t="str">
        <f t="shared" si="144"/>
        <v>E028_00|ignore</v>
      </c>
    </row>
    <row r="9257" spans="1:5" x14ac:dyDescent="0.2">
      <c r="A9257" t="s">
        <v>1522</v>
      </c>
      <c r="B9257" t="s">
        <v>1523</v>
      </c>
      <c r="C9257" t="s">
        <v>20</v>
      </c>
      <c r="D9257" t="str">
        <f>VLOOKUP(C9257,'lookup table'!$A$2:$B$19,2,FALSE)</f>
        <v>AY</v>
      </c>
      <c r="E9257" t="str">
        <f t="shared" si="144"/>
        <v>E036_00|AY</v>
      </c>
    </row>
    <row r="9258" spans="1:5" x14ac:dyDescent="0.2">
      <c r="A9258" t="s">
        <v>1524</v>
      </c>
      <c r="B9258" t="s">
        <v>1525</v>
      </c>
      <c r="C9258" t="s">
        <v>20</v>
      </c>
      <c r="D9258" t="str">
        <f>VLOOKUP(C9258,'lookup table'!$A$2:$B$19,2,FALSE)</f>
        <v>AY</v>
      </c>
      <c r="E9258" t="str">
        <f t="shared" si="144"/>
        <v>E037_00|AY</v>
      </c>
    </row>
    <row r="9259" spans="1:5" x14ac:dyDescent="0.2">
      <c r="A9259" t="s">
        <v>1526</v>
      </c>
      <c r="B9259" t="s">
        <v>409</v>
      </c>
      <c r="C9259" t="s">
        <v>331</v>
      </c>
      <c r="D9259" t="str">
        <f>VLOOKUP(C9259,'lookup table'!$A$2:$B$19,2,FALSE)</f>
        <v>FS Item</v>
      </c>
      <c r="E9259" t="str">
        <f t="shared" si="144"/>
        <v>E038_00|FS Item</v>
      </c>
    </row>
    <row r="9260" spans="1:5" x14ac:dyDescent="0.2">
      <c r="A9260" t="s">
        <v>1526</v>
      </c>
      <c r="B9260" t="s">
        <v>409</v>
      </c>
      <c r="C9260" t="s">
        <v>423</v>
      </c>
      <c r="D9260" t="str">
        <f>VLOOKUP(C9260,'lookup table'!$A$2:$B$19,2,FALSE)</f>
        <v>ignore</v>
      </c>
      <c r="E9260" t="str">
        <f t="shared" si="144"/>
        <v>E038_00|ignore</v>
      </c>
    </row>
    <row r="9261" spans="1:5" x14ac:dyDescent="0.2">
      <c r="A9261" t="s">
        <v>1527</v>
      </c>
      <c r="B9261" t="s">
        <v>454</v>
      </c>
      <c r="C9261" t="s">
        <v>451</v>
      </c>
      <c r="D9261" t="str">
        <f>VLOOKUP(C9261,'lookup table'!$A$2:$B$19,2,FALSE)</f>
        <v>Segment</v>
      </c>
      <c r="E9261" t="str">
        <f t="shared" si="144"/>
        <v>E039_00|Segment</v>
      </c>
    </row>
    <row r="9262" spans="1:5" x14ac:dyDescent="0.2">
      <c r="A9262" t="s">
        <v>1528</v>
      </c>
      <c r="B9262" t="s">
        <v>1529</v>
      </c>
      <c r="C9262" t="s">
        <v>451</v>
      </c>
      <c r="D9262" t="str">
        <f>VLOOKUP(C9262,'lookup table'!$A$2:$B$19,2,FALSE)</f>
        <v>Segment</v>
      </c>
      <c r="E9262" t="str">
        <f t="shared" si="144"/>
        <v>E039_17|Segment</v>
      </c>
    </row>
    <row r="9263" spans="1:5" x14ac:dyDescent="0.2">
      <c r="A9263" t="s">
        <v>1530</v>
      </c>
      <c r="B9263" t="s">
        <v>1531</v>
      </c>
      <c r="C9263" t="s">
        <v>451</v>
      </c>
      <c r="D9263" t="str">
        <f>VLOOKUP(C9263,'lookup table'!$A$2:$B$19,2,FALSE)</f>
        <v>Segment</v>
      </c>
      <c r="E9263" t="str">
        <f t="shared" si="144"/>
        <v>E039_60|Segment</v>
      </c>
    </row>
    <row r="9264" spans="1:5" x14ac:dyDescent="0.2">
      <c r="A9264" t="s">
        <v>1532</v>
      </c>
      <c r="B9264" t="s">
        <v>1533</v>
      </c>
      <c r="C9264" t="s">
        <v>331</v>
      </c>
      <c r="D9264" t="str">
        <f>VLOOKUP(C9264,'lookup table'!$A$2:$B$19,2,FALSE)</f>
        <v>FS Item</v>
      </c>
      <c r="E9264" t="str">
        <f t="shared" si="144"/>
        <v>E041_60|FS Item</v>
      </c>
    </row>
    <row r="9265" spans="1:5" x14ac:dyDescent="0.2">
      <c r="A9265" t="s">
        <v>1532</v>
      </c>
      <c r="B9265" t="s">
        <v>1533</v>
      </c>
      <c r="C9265" t="s">
        <v>423</v>
      </c>
      <c r="D9265" t="str">
        <f>VLOOKUP(C9265,'lookup table'!$A$2:$B$19,2,FALSE)</f>
        <v>ignore</v>
      </c>
      <c r="E9265" t="str">
        <f t="shared" si="144"/>
        <v>E041_60|ignore</v>
      </c>
    </row>
    <row r="9266" spans="1:5" x14ac:dyDescent="0.2">
      <c r="A9266" t="s">
        <v>1532</v>
      </c>
      <c r="B9266" t="s">
        <v>1533</v>
      </c>
      <c r="C9266" t="s">
        <v>438</v>
      </c>
      <c r="D9266" t="str">
        <f>VLOOKUP(C9266,'lookup table'!$A$2:$B$19,2,FALSE)</f>
        <v>ToM</v>
      </c>
      <c r="E9266" t="str">
        <f t="shared" si="144"/>
        <v>E041_60|ToM</v>
      </c>
    </row>
    <row r="9267" spans="1:5" x14ac:dyDescent="0.2">
      <c r="A9267" t="s">
        <v>1534</v>
      </c>
      <c r="B9267" t="s">
        <v>1535</v>
      </c>
      <c r="C9267" t="s">
        <v>331</v>
      </c>
      <c r="D9267" t="str">
        <f>VLOOKUP(C9267,'lookup table'!$A$2:$B$19,2,FALSE)</f>
        <v>FS Item</v>
      </c>
      <c r="E9267" t="str">
        <f t="shared" si="144"/>
        <v>E043_00|FS Item</v>
      </c>
    </row>
    <row r="9268" spans="1:5" x14ac:dyDescent="0.2">
      <c r="A9268" t="s">
        <v>1534</v>
      </c>
      <c r="B9268" t="s">
        <v>1535</v>
      </c>
      <c r="C9268" t="s">
        <v>423</v>
      </c>
      <c r="D9268" t="str">
        <f>VLOOKUP(C9268,'lookup table'!$A$2:$B$19,2,FALSE)</f>
        <v>ignore</v>
      </c>
      <c r="E9268" t="str">
        <f t="shared" si="144"/>
        <v>E043_00|ignore</v>
      </c>
    </row>
    <row r="9269" spans="1:5" x14ac:dyDescent="0.2">
      <c r="A9269" t="s">
        <v>1534</v>
      </c>
      <c r="B9269" t="s">
        <v>1535</v>
      </c>
      <c r="C9269" t="s">
        <v>428</v>
      </c>
      <c r="D9269" t="str">
        <f>VLOOKUP(C9269,'lookup table'!$A$2:$B$19,2,FALSE)</f>
        <v>LoB</v>
      </c>
      <c r="E9269" t="str">
        <f t="shared" si="144"/>
        <v>E043_00|LoB</v>
      </c>
    </row>
    <row r="9270" spans="1:5" x14ac:dyDescent="0.2">
      <c r="A9270" t="s">
        <v>1534</v>
      </c>
      <c r="B9270" t="s">
        <v>1535</v>
      </c>
      <c r="C9270" t="s">
        <v>441</v>
      </c>
      <c r="D9270" t="str">
        <f>VLOOKUP(C9270,'lookup table'!$A$2:$B$19,2,FALSE)</f>
        <v>Partner Segment</v>
      </c>
      <c r="E9270" t="str">
        <f t="shared" si="144"/>
        <v>E043_00|Partner Segment</v>
      </c>
    </row>
    <row r="9271" spans="1:5" x14ac:dyDescent="0.2">
      <c r="A9271" t="s">
        <v>1534</v>
      </c>
      <c r="B9271" t="s">
        <v>1535</v>
      </c>
      <c r="C9271" t="s">
        <v>442</v>
      </c>
      <c r="D9271" t="str">
        <f>VLOOKUP(C9271,'lookup table'!$A$2:$B$19,2,FALSE)</f>
        <v>Partner Unit</v>
      </c>
      <c r="E9271" t="str">
        <f t="shared" si="144"/>
        <v>E043_00|Partner Unit</v>
      </c>
    </row>
    <row r="9272" spans="1:5" x14ac:dyDescent="0.2">
      <c r="A9272" t="s">
        <v>1534</v>
      </c>
      <c r="B9272" t="s">
        <v>1535</v>
      </c>
      <c r="C9272" t="s">
        <v>451</v>
      </c>
      <c r="D9272" t="str">
        <f>VLOOKUP(C9272,'lookup table'!$A$2:$B$19,2,FALSE)</f>
        <v>Segment</v>
      </c>
      <c r="E9272" t="str">
        <f t="shared" si="144"/>
        <v>E043_00|Segment</v>
      </c>
    </row>
    <row r="9273" spans="1:5" x14ac:dyDescent="0.2">
      <c r="A9273" t="s">
        <v>1536</v>
      </c>
      <c r="B9273" t="s">
        <v>1537</v>
      </c>
      <c r="C9273" t="s">
        <v>331</v>
      </c>
      <c r="D9273" t="str">
        <f>VLOOKUP(C9273,'lookup table'!$A$2:$B$19,2,FALSE)</f>
        <v>FS Item</v>
      </c>
      <c r="E9273" t="str">
        <f t="shared" si="144"/>
        <v>E044_00|FS Item</v>
      </c>
    </row>
    <row r="9274" spans="1:5" x14ac:dyDescent="0.2">
      <c r="A9274" t="s">
        <v>1536</v>
      </c>
      <c r="B9274" t="s">
        <v>1537</v>
      </c>
      <c r="C9274" t="s">
        <v>423</v>
      </c>
      <c r="D9274" t="str">
        <f>VLOOKUP(C9274,'lookup table'!$A$2:$B$19,2,FALSE)</f>
        <v>ignore</v>
      </c>
      <c r="E9274" t="str">
        <f t="shared" si="144"/>
        <v>E044_00|ignore</v>
      </c>
    </row>
    <row r="9275" spans="1:5" x14ac:dyDescent="0.2">
      <c r="A9275" t="s">
        <v>1536</v>
      </c>
      <c r="B9275" t="s">
        <v>1537</v>
      </c>
      <c r="C9275" t="s">
        <v>428</v>
      </c>
      <c r="D9275" t="str">
        <f>VLOOKUP(C9275,'lookup table'!$A$2:$B$19,2,FALSE)</f>
        <v>LoB</v>
      </c>
      <c r="E9275" t="str">
        <f t="shared" si="144"/>
        <v>E044_00|LoB</v>
      </c>
    </row>
    <row r="9276" spans="1:5" x14ac:dyDescent="0.2">
      <c r="A9276" t="s">
        <v>1536</v>
      </c>
      <c r="B9276" t="s">
        <v>1537</v>
      </c>
      <c r="C9276" t="s">
        <v>441</v>
      </c>
      <c r="D9276" t="str">
        <f>VLOOKUP(C9276,'lookup table'!$A$2:$B$19,2,FALSE)</f>
        <v>Partner Segment</v>
      </c>
      <c r="E9276" t="str">
        <f t="shared" si="144"/>
        <v>E044_00|Partner Segment</v>
      </c>
    </row>
    <row r="9277" spans="1:5" x14ac:dyDescent="0.2">
      <c r="A9277" t="s">
        <v>1536</v>
      </c>
      <c r="B9277" t="s">
        <v>1537</v>
      </c>
      <c r="C9277" t="s">
        <v>442</v>
      </c>
      <c r="D9277" t="str">
        <f>VLOOKUP(C9277,'lookup table'!$A$2:$B$19,2,FALSE)</f>
        <v>Partner Unit</v>
      </c>
      <c r="E9277" t="str">
        <f t="shared" si="144"/>
        <v>E044_00|Partner Unit</v>
      </c>
    </row>
    <row r="9278" spans="1:5" x14ac:dyDescent="0.2">
      <c r="A9278" t="s">
        <v>1536</v>
      </c>
      <c r="B9278" t="s">
        <v>1537</v>
      </c>
      <c r="C9278" t="s">
        <v>451</v>
      </c>
      <c r="D9278" t="str">
        <f>VLOOKUP(C9278,'lookup table'!$A$2:$B$19,2,FALSE)</f>
        <v>Segment</v>
      </c>
      <c r="E9278" t="str">
        <f t="shared" si="144"/>
        <v>E044_00|Segment</v>
      </c>
    </row>
    <row r="9279" spans="1:5" x14ac:dyDescent="0.2">
      <c r="A9279" t="s">
        <v>1538</v>
      </c>
      <c r="B9279" t="s">
        <v>379</v>
      </c>
      <c r="C9279" t="s">
        <v>331</v>
      </c>
      <c r="D9279" t="str">
        <f>VLOOKUP(C9279,'lookup table'!$A$2:$B$19,2,FALSE)</f>
        <v>FS Item</v>
      </c>
      <c r="E9279" t="str">
        <f t="shared" si="144"/>
        <v>E046_17|FS Item</v>
      </c>
    </row>
    <row r="9280" spans="1:5" x14ac:dyDescent="0.2">
      <c r="A9280" t="s">
        <v>1538</v>
      </c>
      <c r="B9280" t="s">
        <v>379</v>
      </c>
      <c r="C9280" t="s">
        <v>423</v>
      </c>
      <c r="D9280" t="str">
        <f>VLOOKUP(C9280,'lookup table'!$A$2:$B$19,2,FALSE)</f>
        <v>ignore</v>
      </c>
      <c r="E9280" t="str">
        <f t="shared" si="144"/>
        <v>E046_17|ignore</v>
      </c>
    </row>
    <row r="9281" spans="1:5" x14ac:dyDescent="0.2">
      <c r="A9281" t="s">
        <v>1538</v>
      </c>
      <c r="B9281" t="s">
        <v>379</v>
      </c>
      <c r="C9281" t="s">
        <v>438</v>
      </c>
      <c r="D9281" t="str">
        <f>VLOOKUP(C9281,'lookup table'!$A$2:$B$19,2,FALSE)</f>
        <v>ToM</v>
      </c>
      <c r="E9281" t="str">
        <f t="shared" si="144"/>
        <v>E046_17|ToM</v>
      </c>
    </row>
    <row r="9282" spans="1:5" x14ac:dyDescent="0.2">
      <c r="A9282" t="s">
        <v>1539</v>
      </c>
      <c r="B9282" t="s">
        <v>1540</v>
      </c>
      <c r="C9282" t="s">
        <v>331</v>
      </c>
      <c r="D9282" t="str">
        <f>VLOOKUP(C9282,'lookup table'!$A$2:$B$19,2,FALSE)</f>
        <v>FS Item</v>
      </c>
      <c r="E9282" t="str">
        <f t="shared" si="144"/>
        <v>E048_17|FS Item</v>
      </c>
    </row>
    <row r="9283" spans="1:5" x14ac:dyDescent="0.2">
      <c r="A9283" t="s">
        <v>1539</v>
      </c>
      <c r="B9283" t="s">
        <v>1540</v>
      </c>
      <c r="C9283" t="s">
        <v>423</v>
      </c>
      <c r="D9283" t="str">
        <f>VLOOKUP(C9283,'lookup table'!$A$2:$B$19,2,FALSE)</f>
        <v>ignore</v>
      </c>
      <c r="E9283" t="str">
        <f t="shared" ref="E9283:E9346" si="145">IF(ISNA(D9283),"",IF(A9283="","",A9283) &amp; "|" &amp; D9283)</f>
        <v>E048_17|ignore</v>
      </c>
    </row>
    <row r="9284" spans="1:5" x14ac:dyDescent="0.2">
      <c r="A9284" t="s">
        <v>1539</v>
      </c>
      <c r="B9284" t="s">
        <v>1540</v>
      </c>
      <c r="C9284" t="s">
        <v>438</v>
      </c>
      <c r="D9284" t="str">
        <f>VLOOKUP(C9284,'lookup table'!$A$2:$B$19,2,FALSE)</f>
        <v>ToM</v>
      </c>
      <c r="E9284" t="str">
        <f t="shared" si="145"/>
        <v>E048_17|ToM</v>
      </c>
    </row>
    <row r="9285" spans="1:5" x14ac:dyDescent="0.2">
      <c r="A9285" t="s">
        <v>1541</v>
      </c>
      <c r="B9285" t="s">
        <v>1542</v>
      </c>
      <c r="C9285" t="s">
        <v>331</v>
      </c>
      <c r="D9285" t="str">
        <f>VLOOKUP(C9285,'lookup table'!$A$2:$B$19,2,FALSE)</f>
        <v>FS Item</v>
      </c>
      <c r="E9285" t="str">
        <f t="shared" si="145"/>
        <v>E049_00|FS Item</v>
      </c>
    </row>
    <row r="9286" spans="1:5" x14ac:dyDescent="0.2">
      <c r="A9286" t="s">
        <v>1541</v>
      </c>
      <c r="B9286" t="s">
        <v>1542</v>
      </c>
      <c r="C9286" t="s">
        <v>423</v>
      </c>
      <c r="D9286" t="str">
        <f>VLOOKUP(C9286,'lookup table'!$A$2:$B$19,2,FALSE)</f>
        <v>ignore</v>
      </c>
      <c r="E9286" t="str">
        <f t="shared" si="145"/>
        <v>E049_00|ignore</v>
      </c>
    </row>
    <row r="9287" spans="1:5" x14ac:dyDescent="0.2">
      <c r="A9287" t="s">
        <v>1543</v>
      </c>
      <c r="B9287" t="s">
        <v>1544</v>
      </c>
      <c r="C9287" t="s">
        <v>331</v>
      </c>
      <c r="D9287" t="str">
        <f>VLOOKUP(C9287,'lookup table'!$A$2:$B$19,2,FALSE)</f>
        <v>FS Item</v>
      </c>
      <c r="E9287" t="str">
        <f t="shared" si="145"/>
        <v>E050_00|FS Item</v>
      </c>
    </row>
    <row r="9288" spans="1:5" x14ac:dyDescent="0.2">
      <c r="A9288" t="s">
        <v>1543</v>
      </c>
      <c r="B9288" t="s">
        <v>1544</v>
      </c>
      <c r="C9288" t="s">
        <v>423</v>
      </c>
      <c r="D9288" t="str">
        <f>VLOOKUP(C9288,'lookup table'!$A$2:$B$19,2,FALSE)</f>
        <v>ignore</v>
      </c>
      <c r="E9288" t="str">
        <f t="shared" si="145"/>
        <v>E050_00|ignore</v>
      </c>
    </row>
    <row r="9289" spans="1:5" x14ac:dyDescent="0.2">
      <c r="A9289" t="s">
        <v>1543</v>
      </c>
      <c r="B9289" t="s">
        <v>1544</v>
      </c>
      <c r="C9289" t="s">
        <v>438</v>
      </c>
      <c r="D9289" t="str">
        <f>VLOOKUP(C9289,'lookup table'!$A$2:$B$19,2,FALSE)</f>
        <v>ToM</v>
      </c>
      <c r="E9289" t="str">
        <f t="shared" si="145"/>
        <v>E050_00|ToM</v>
      </c>
    </row>
    <row r="9290" spans="1:5" x14ac:dyDescent="0.2">
      <c r="A9290" t="s">
        <v>1545</v>
      </c>
      <c r="B9290" t="s">
        <v>1546</v>
      </c>
      <c r="C9290" t="s">
        <v>438</v>
      </c>
      <c r="D9290" t="str">
        <f>VLOOKUP(C9290,'lookup table'!$A$2:$B$19,2,FALSE)</f>
        <v>ToM</v>
      </c>
      <c r="E9290" t="str">
        <f t="shared" si="145"/>
        <v>E050_17|ToM</v>
      </c>
    </row>
    <row r="9291" spans="1:5" x14ac:dyDescent="0.2">
      <c r="A9291" t="s">
        <v>1547</v>
      </c>
      <c r="B9291" t="s">
        <v>1548</v>
      </c>
      <c r="C9291" t="s">
        <v>20</v>
      </c>
      <c r="D9291" t="str">
        <f>VLOOKUP(C9291,'lookup table'!$A$2:$B$19,2,FALSE)</f>
        <v>AY</v>
      </c>
      <c r="E9291" t="str">
        <f t="shared" si="145"/>
        <v>E057_17|AY</v>
      </c>
    </row>
    <row r="9292" spans="1:5" x14ac:dyDescent="0.2">
      <c r="A9292" t="s">
        <v>1547</v>
      </c>
      <c r="B9292" t="s">
        <v>1548</v>
      </c>
      <c r="C9292" t="s">
        <v>331</v>
      </c>
      <c r="D9292" t="str">
        <f>VLOOKUP(C9292,'lookup table'!$A$2:$B$19,2,FALSE)</f>
        <v>FS Item</v>
      </c>
      <c r="E9292" t="str">
        <f t="shared" si="145"/>
        <v>E057_17|FS Item</v>
      </c>
    </row>
    <row r="9293" spans="1:5" x14ac:dyDescent="0.2">
      <c r="A9293" t="s">
        <v>1547</v>
      </c>
      <c r="B9293" t="s">
        <v>1548</v>
      </c>
      <c r="C9293" t="s">
        <v>423</v>
      </c>
      <c r="D9293" t="str">
        <f>VLOOKUP(C9293,'lookup table'!$A$2:$B$19,2,FALSE)</f>
        <v>ignore</v>
      </c>
      <c r="E9293" t="str">
        <f t="shared" si="145"/>
        <v>E057_17|ignore</v>
      </c>
    </row>
    <row r="9294" spans="1:5" x14ac:dyDescent="0.2">
      <c r="A9294" t="s">
        <v>1547</v>
      </c>
      <c r="B9294" t="s">
        <v>1548</v>
      </c>
      <c r="C9294" t="s">
        <v>428</v>
      </c>
      <c r="D9294" t="str">
        <f>VLOOKUP(C9294,'lookup table'!$A$2:$B$19,2,FALSE)</f>
        <v>LoB</v>
      </c>
      <c r="E9294" t="str">
        <f t="shared" si="145"/>
        <v>E057_17|LoB</v>
      </c>
    </row>
    <row r="9295" spans="1:5" x14ac:dyDescent="0.2">
      <c r="A9295" t="s">
        <v>1547</v>
      </c>
      <c r="B9295" t="s">
        <v>1548</v>
      </c>
      <c r="C9295" t="s">
        <v>441</v>
      </c>
      <c r="D9295" t="str">
        <f>VLOOKUP(C9295,'lookup table'!$A$2:$B$19,2,FALSE)</f>
        <v>Partner Segment</v>
      </c>
      <c r="E9295" t="str">
        <f t="shared" si="145"/>
        <v>E057_17|Partner Segment</v>
      </c>
    </row>
    <row r="9296" spans="1:5" x14ac:dyDescent="0.2">
      <c r="A9296" t="s">
        <v>1547</v>
      </c>
      <c r="B9296" t="s">
        <v>1548</v>
      </c>
      <c r="C9296" t="s">
        <v>442</v>
      </c>
      <c r="D9296" t="str">
        <f>VLOOKUP(C9296,'lookup table'!$A$2:$B$19,2,FALSE)</f>
        <v>Partner Unit</v>
      </c>
      <c r="E9296" t="str">
        <f t="shared" si="145"/>
        <v>E057_17|Partner Unit</v>
      </c>
    </row>
    <row r="9297" spans="1:5" x14ac:dyDescent="0.2">
      <c r="A9297" t="s">
        <v>1547</v>
      </c>
      <c r="B9297" t="s">
        <v>1548</v>
      </c>
      <c r="C9297" t="s">
        <v>451</v>
      </c>
      <c r="D9297" t="str">
        <f>VLOOKUP(C9297,'lookup table'!$A$2:$B$19,2,FALSE)</f>
        <v>Segment</v>
      </c>
      <c r="E9297" t="str">
        <f t="shared" si="145"/>
        <v>E057_17|Segment</v>
      </c>
    </row>
    <row r="9298" spans="1:5" x14ac:dyDescent="0.2">
      <c r="A9298" t="s">
        <v>1549</v>
      </c>
      <c r="B9298" t="s">
        <v>1550</v>
      </c>
      <c r="C9298" t="s">
        <v>20</v>
      </c>
      <c r="D9298" t="str">
        <f>VLOOKUP(C9298,'lookup table'!$A$2:$B$19,2,FALSE)</f>
        <v>AY</v>
      </c>
      <c r="E9298" t="str">
        <f t="shared" si="145"/>
        <v>E057_70|AY</v>
      </c>
    </row>
    <row r="9299" spans="1:5" x14ac:dyDescent="0.2">
      <c r="A9299" t="s">
        <v>1549</v>
      </c>
      <c r="B9299" t="s">
        <v>1550</v>
      </c>
      <c r="C9299" t="s">
        <v>331</v>
      </c>
      <c r="D9299" t="str">
        <f>VLOOKUP(C9299,'lookup table'!$A$2:$B$19,2,FALSE)</f>
        <v>FS Item</v>
      </c>
      <c r="E9299" t="str">
        <f t="shared" si="145"/>
        <v>E057_70|FS Item</v>
      </c>
    </row>
    <row r="9300" spans="1:5" x14ac:dyDescent="0.2">
      <c r="A9300" t="s">
        <v>1549</v>
      </c>
      <c r="B9300" t="s">
        <v>1550</v>
      </c>
      <c r="C9300" t="s">
        <v>423</v>
      </c>
      <c r="D9300" t="str">
        <f>VLOOKUP(C9300,'lookup table'!$A$2:$B$19,2,FALSE)</f>
        <v>ignore</v>
      </c>
      <c r="E9300" t="str">
        <f t="shared" si="145"/>
        <v>E057_70|ignore</v>
      </c>
    </row>
    <row r="9301" spans="1:5" x14ac:dyDescent="0.2">
      <c r="A9301" t="s">
        <v>1549</v>
      </c>
      <c r="B9301" t="s">
        <v>1550</v>
      </c>
      <c r="C9301" t="s">
        <v>428</v>
      </c>
      <c r="D9301" t="str">
        <f>VLOOKUP(C9301,'lookup table'!$A$2:$B$19,2,FALSE)</f>
        <v>LoB</v>
      </c>
      <c r="E9301" t="str">
        <f t="shared" si="145"/>
        <v>E057_70|LoB</v>
      </c>
    </row>
    <row r="9302" spans="1:5" x14ac:dyDescent="0.2">
      <c r="A9302" t="s">
        <v>1549</v>
      </c>
      <c r="B9302" t="s">
        <v>1550</v>
      </c>
      <c r="C9302" t="s">
        <v>441</v>
      </c>
      <c r="D9302" t="str">
        <f>VLOOKUP(C9302,'lookup table'!$A$2:$B$19,2,FALSE)</f>
        <v>Partner Segment</v>
      </c>
      <c r="E9302" t="str">
        <f t="shared" si="145"/>
        <v>E057_70|Partner Segment</v>
      </c>
    </row>
    <row r="9303" spans="1:5" x14ac:dyDescent="0.2">
      <c r="A9303" t="s">
        <v>1549</v>
      </c>
      <c r="B9303" t="s">
        <v>1550</v>
      </c>
      <c r="C9303" t="s">
        <v>442</v>
      </c>
      <c r="D9303" t="str">
        <f>VLOOKUP(C9303,'lookup table'!$A$2:$B$19,2,FALSE)</f>
        <v>Partner Unit</v>
      </c>
      <c r="E9303" t="str">
        <f t="shared" si="145"/>
        <v>E057_70|Partner Unit</v>
      </c>
    </row>
    <row r="9304" spans="1:5" x14ac:dyDescent="0.2">
      <c r="A9304" t="s">
        <v>1549</v>
      </c>
      <c r="B9304" t="s">
        <v>1550</v>
      </c>
      <c r="C9304" t="s">
        <v>451</v>
      </c>
      <c r="D9304" t="str">
        <f>VLOOKUP(C9304,'lookup table'!$A$2:$B$19,2,FALSE)</f>
        <v>Segment</v>
      </c>
      <c r="E9304" t="str">
        <f t="shared" si="145"/>
        <v>E057_70|Segment</v>
      </c>
    </row>
    <row r="9305" spans="1:5" x14ac:dyDescent="0.2">
      <c r="A9305" t="s">
        <v>1551</v>
      </c>
      <c r="B9305" t="s">
        <v>1552</v>
      </c>
      <c r="C9305" t="s">
        <v>20</v>
      </c>
      <c r="D9305" t="str">
        <f>VLOOKUP(C9305,'lookup table'!$A$2:$B$19,2,FALSE)</f>
        <v>AY</v>
      </c>
      <c r="E9305" t="str">
        <f t="shared" si="145"/>
        <v>E058_17|AY</v>
      </c>
    </row>
    <row r="9306" spans="1:5" x14ac:dyDescent="0.2">
      <c r="A9306" t="s">
        <v>1551</v>
      </c>
      <c r="B9306" t="s">
        <v>1552</v>
      </c>
      <c r="C9306" t="s">
        <v>331</v>
      </c>
      <c r="D9306" t="str">
        <f>VLOOKUP(C9306,'lookup table'!$A$2:$B$19,2,FALSE)</f>
        <v>FS Item</v>
      </c>
      <c r="E9306" t="str">
        <f t="shared" si="145"/>
        <v>E058_17|FS Item</v>
      </c>
    </row>
    <row r="9307" spans="1:5" x14ac:dyDescent="0.2">
      <c r="A9307" t="s">
        <v>1551</v>
      </c>
      <c r="B9307" t="s">
        <v>1552</v>
      </c>
      <c r="C9307" t="s">
        <v>423</v>
      </c>
      <c r="D9307" t="str">
        <f>VLOOKUP(C9307,'lookup table'!$A$2:$B$19,2,FALSE)</f>
        <v>ignore</v>
      </c>
      <c r="E9307" t="str">
        <f t="shared" si="145"/>
        <v>E058_17|ignore</v>
      </c>
    </row>
    <row r="9308" spans="1:5" x14ac:dyDescent="0.2">
      <c r="A9308" t="s">
        <v>1551</v>
      </c>
      <c r="B9308" t="s">
        <v>1552</v>
      </c>
      <c r="C9308" t="s">
        <v>428</v>
      </c>
      <c r="D9308" t="str">
        <f>VLOOKUP(C9308,'lookup table'!$A$2:$B$19,2,FALSE)</f>
        <v>LoB</v>
      </c>
      <c r="E9308" t="str">
        <f t="shared" si="145"/>
        <v>E058_17|LoB</v>
      </c>
    </row>
    <row r="9309" spans="1:5" x14ac:dyDescent="0.2">
      <c r="A9309" t="s">
        <v>1551</v>
      </c>
      <c r="B9309" t="s">
        <v>1552</v>
      </c>
      <c r="C9309" t="s">
        <v>441</v>
      </c>
      <c r="D9309" t="str">
        <f>VLOOKUP(C9309,'lookup table'!$A$2:$B$19,2,FALSE)</f>
        <v>Partner Segment</v>
      </c>
      <c r="E9309" t="str">
        <f t="shared" si="145"/>
        <v>E058_17|Partner Segment</v>
      </c>
    </row>
    <row r="9310" spans="1:5" x14ac:dyDescent="0.2">
      <c r="A9310" t="s">
        <v>1551</v>
      </c>
      <c r="B9310" t="s">
        <v>1552</v>
      </c>
      <c r="C9310" t="s">
        <v>442</v>
      </c>
      <c r="D9310" t="str">
        <f>VLOOKUP(C9310,'lookup table'!$A$2:$B$19,2,FALSE)</f>
        <v>Partner Unit</v>
      </c>
      <c r="E9310" t="str">
        <f t="shared" si="145"/>
        <v>E058_17|Partner Unit</v>
      </c>
    </row>
    <row r="9311" spans="1:5" x14ac:dyDescent="0.2">
      <c r="A9311" t="s">
        <v>1551</v>
      </c>
      <c r="B9311" t="s">
        <v>1552</v>
      </c>
      <c r="C9311" t="s">
        <v>451</v>
      </c>
      <c r="D9311" t="str">
        <f>VLOOKUP(C9311,'lookup table'!$A$2:$B$19,2,FALSE)</f>
        <v>Segment</v>
      </c>
      <c r="E9311" t="str">
        <f t="shared" si="145"/>
        <v>E058_17|Segment</v>
      </c>
    </row>
    <row r="9312" spans="1:5" x14ac:dyDescent="0.2">
      <c r="A9312" t="s">
        <v>1553</v>
      </c>
      <c r="B9312" t="s">
        <v>1554</v>
      </c>
      <c r="C9312" t="s">
        <v>331</v>
      </c>
      <c r="D9312" t="str">
        <f>VLOOKUP(C9312,'lookup table'!$A$2:$B$19,2,FALSE)</f>
        <v>FS Item</v>
      </c>
      <c r="E9312" t="str">
        <f t="shared" si="145"/>
        <v>E060_17|FS Item</v>
      </c>
    </row>
    <row r="9313" spans="1:5" x14ac:dyDescent="0.2">
      <c r="A9313" t="s">
        <v>1553</v>
      </c>
      <c r="B9313" t="s">
        <v>1554</v>
      </c>
      <c r="C9313" t="s">
        <v>423</v>
      </c>
      <c r="D9313" t="str">
        <f>VLOOKUP(C9313,'lookup table'!$A$2:$B$19,2,FALSE)</f>
        <v>ignore</v>
      </c>
      <c r="E9313" t="str">
        <f t="shared" si="145"/>
        <v>E060_17|ignore</v>
      </c>
    </row>
    <row r="9314" spans="1:5" x14ac:dyDescent="0.2">
      <c r="A9314" t="s">
        <v>1555</v>
      </c>
      <c r="B9314" t="s">
        <v>1556</v>
      </c>
      <c r="C9314" t="s">
        <v>20</v>
      </c>
      <c r="D9314" t="str">
        <f>VLOOKUP(C9314,'lookup table'!$A$2:$B$19,2,FALSE)</f>
        <v>AY</v>
      </c>
      <c r="E9314" t="str">
        <f t="shared" si="145"/>
        <v>E100_70|AY</v>
      </c>
    </row>
    <row r="9315" spans="1:5" x14ac:dyDescent="0.2">
      <c r="A9315" t="s">
        <v>1555</v>
      </c>
      <c r="B9315" t="s">
        <v>1556</v>
      </c>
      <c r="C9315" t="s">
        <v>428</v>
      </c>
      <c r="D9315" t="str">
        <f>VLOOKUP(C9315,'lookup table'!$A$2:$B$19,2,FALSE)</f>
        <v>LoB</v>
      </c>
      <c r="E9315" t="str">
        <f t="shared" si="145"/>
        <v>E100_70|LoB</v>
      </c>
    </row>
    <row r="9316" spans="1:5" x14ac:dyDescent="0.2">
      <c r="A9316" t="s">
        <v>1557</v>
      </c>
      <c r="B9316" t="s">
        <v>1558</v>
      </c>
      <c r="C9316" t="s">
        <v>428</v>
      </c>
      <c r="D9316" t="str">
        <f>VLOOKUP(C9316,'lookup table'!$A$2:$B$19,2,FALSE)</f>
        <v>LoB</v>
      </c>
      <c r="E9316" t="str">
        <f t="shared" si="145"/>
        <v>E101_70|LoB</v>
      </c>
    </row>
    <row r="9317" spans="1:5" x14ac:dyDescent="0.2">
      <c r="A9317" t="s">
        <v>1559</v>
      </c>
      <c r="B9317" t="s">
        <v>1560</v>
      </c>
      <c r="C9317" t="s">
        <v>428</v>
      </c>
      <c r="D9317" t="str">
        <f>VLOOKUP(C9317,'lookup table'!$A$2:$B$19,2,FALSE)</f>
        <v>LoB</v>
      </c>
      <c r="E9317" t="str">
        <f t="shared" si="145"/>
        <v>E102_70|LoB</v>
      </c>
    </row>
    <row r="9318" spans="1:5" x14ac:dyDescent="0.2">
      <c r="A9318" t="s">
        <v>1561</v>
      </c>
      <c r="B9318" t="s">
        <v>1562</v>
      </c>
      <c r="C9318" t="s">
        <v>428</v>
      </c>
      <c r="D9318" t="str">
        <f>VLOOKUP(C9318,'lookup table'!$A$2:$B$19,2,FALSE)</f>
        <v>LoB</v>
      </c>
      <c r="E9318" t="str">
        <f t="shared" si="145"/>
        <v>E103_70|LoB</v>
      </c>
    </row>
    <row r="9319" spans="1:5" x14ac:dyDescent="0.2">
      <c r="A9319" t="s">
        <v>1563</v>
      </c>
      <c r="B9319" t="s">
        <v>1564</v>
      </c>
      <c r="C9319" t="s">
        <v>20</v>
      </c>
      <c r="D9319" t="str">
        <f>VLOOKUP(C9319,'lookup table'!$A$2:$B$19,2,FALSE)</f>
        <v>AY</v>
      </c>
      <c r="E9319" t="str">
        <f t="shared" si="145"/>
        <v>E104_70|AY</v>
      </c>
    </row>
    <row r="9320" spans="1:5" x14ac:dyDescent="0.2">
      <c r="A9320" t="s">
        <v>1563</v>
      </c>
      <c r="B9320" t="s">
        <v>1564</v>
      </c>
      <c r="C9320" t="s">
        <v>428</v>
      </c>
      <c r="D9320" t="str">
        <f>VLOOKUP(C9320,'lookup table'!$A$2:$B$19,2,FALSE)</f>
        <v>LoB</v>
      </c>
      <c r="E9320" t="str">
        <f t="shared" si="145"/>
        <v>E104_70|LoB</v>
      </c>
    </row>
    <row r="9321" spans="1:5" x14ac:dyDescent="0.2">
      <c r="A9321" t="s">
        <v>1565</v>
      </c>
      <c r="B9321" t="s">
        <v>409</v>
      </c>
      <c r="C9321" t="s">
        <v>331</v>
      </c>
      <c r="D9321" t="str">
        <f>VLOOKUP(C9321,'lookup table'!$A$2:$B$19,2,FALSE)</f>
        <v>FS Item</v>
      </c>
      <c r="E9321" t="str">
        <f t="shared" si="145"/>
        <v>E39_60|FS Item</v>
      </c>
    </row>
    <row r="9322" spans="1:5" x14ac:dyDescent="0.2">
      <c r="A9322" t="s">
        <v>1565</v>
      </c>
      <c r="B9322" t="s">
        <v>409</v>
      </c>
      <c r="C9322" t="s">
        <v>423</v>
      </c>
      <c r="D9322" t="str">
        <f>VLOOKUP(C9322,'lookup table'!$A$2:$B$19,2,FALSE)</f>
        <v>ignore</v>
      </c>
      <c r="E9322" t="str">
        <f t="shared" si="145"/>
        <v>E39_60|ignore</v>
      </c>
    </row>
    <row r="9323" spans="1:5" x14ac:dyDescent="0.2">
      <c r="A9323" t="s">
        <v>1566</v>
      </c>
      <c r="B9323" t="s">
        <v>1567</v>
      </c>
      <c r="C9323" t="s">
        <v>438</v>
      </c>
      <c r="D9323" t="str">
        <f>VLOOKUP(C9323,'lookup table'!$A$2:$B$19,2,FALSE)</f>
        <v>ToM</v>
      </c>
      <c r="E9323" t="str">
        <f t="shared" si="145"/>
        <v>E700_00|ToM</v>
      </c>
    </row>
    <row r="9324" spans="1:5" x14ac:dyDescent="0.2">
      <c r="A9324" t="s">
        <v>1568</v>
      </c>
      <c r="B9324" t="s">
        <v>1569</v>
      </c>
      <c r="C9324" t="s">
        <v>20</v>
      </c>
      <c r="D9324" t="str">
        <f>VLOOKUP(C9324,'lookup table'!$A$2:$B$19,2,FALSE)</f>
        <v>AY</v>
      </c>
      <c r="E9324" t="str">
        <f t="shared" si="145"/>
        <v>ES037_00|AY</v>
      </c>
    </row>
    <row r="9325" spans="1:5" x14ac:dyDescent="0.2">
      <c r="A9325" t="s">
        <v>1570</v>
      </c>
      <c r="B9325" t="s">
        <v>1571</v>
      </c>
      <c r="C9325" t="s">
        <v>20</v>
      </c>
      <c r="D9325" t="str">
        <f>VLOOKUP(C9325,'lookup table'!$A$2:$B$19,2,FALSE)</f>
        <v>AY</v>
      </c>
      <c r="E9325" t="str">
        <f t="shared" si="145"/>
        <v>ES038_00|AY</v>
      </c>
    </row>
    <row r="9326" spans="1:5" x14ac:dyDescent="0.2">
      <c r="A9326" t="s">
        <v>1572</v>
      </c>
      <c r="B9326" t="s">
        <v>1573</v>
      </c>
      <c r="C9326" t="s">
        <v>20</v>
      </c>
      <c r="D9326" t="str">
        <f>VLOOKUP(C9326,'lookup table'!$A$2:$B$19,2,FALSE)</f>
        <v>AY</v>
      </c>
      <c r="E9326" t="str">
        <f t="shared" si="145"/>
        <v>ES039_00|AY</v>
      </c>
    </row>
    <row r="9327" spans="1:5" x14ac:dyDescent="0.2">
      <c r="A9327" t="s">
        <v>1574</v>
      </c>
      <c r="B9327" t="s">
        <v>1575</v>
      </c>
      <c r="C9327" t="s">
        <v>20</v>
      </c>
      <c r="D9327" t="str">
        <f>VLOOKUP(C9327,'lookup table'!$A$2:$B$19,2,FALSE)</f>
        <v>AY</v>
      </c>
      <c r="E9327" t="str">
        <f t="shared" si="145"/>
        <v>ES040_00|AY</v>
      </c>
    </row>
    <row r="9328" spans="1:5" x14ac:dyDescent="0.2">
      <c r="A9328" t="s">
        <v>1576</v>
      </c>
      <c r="B9328" t="s">
        <v>1577</v>
      </c>
      <c r="C9328" t="s">
        <v>428</v>
      </c>
      <c r="D9328" t="str">
        <f>VLOOKUP(C9328,'lookup table'!$A$2:$B$19,2,FALSE)</f>
        <v>LoB</v>
      </c>
      <c r="E9328" t="str">
        <f t="shared" si="145"/>
        <v>ES104_70|LoB</v>
      </c>
    </row>
    <row r="9329" spans="1:5" x14ac:dyDescent="0.2">
      <c r="A9329" t="s">
        <v>1578</v>
      </c>
      <c r="B9329" t="s">
        <v>1579</v>
      </c>
      <c r="C9329" t="s">
        <v>428</v>
      </c>
      <c r="D9329" t="str">
        <f>VLOOKUP(C9329,'lookup table'!$A$2:$B$19,2,FALSE)</f>
        <v>LoB</v>
      </c>
      <c r="E9329" t="str">
        <f t="shared" si="145"/>
        <v>ES105_70|LoB</v>
      </c>
    </row>
    <row r="9330" spans="1:5" x14ac:dyDescent="0.2">
      <c r="A9330" t="s">
        <v>1580</v>
      </c>
      <c r="B9330" t="s">
        <v>1581</v>
      </c>
      <c r="C9330" t="s">
        <v>428</v>
      </c>
      <c r="D9330" t="str">
        <f>VLOOKUP(C9330,'lookup table'!$A$2:$B$19,2,FALSE)</f>
        <v>LoB</v>
      </c>
      <c r="E9330" t="str">
        <f t="shared" si="145"/>
        <v>ES702_00|LoB</v>
      </c>
    </row>
    <row r="9331" spans="1:5" x14ac:dyDescent="0.2">
      <c r="A9331" t="s">
        <v>1582</v>
      </c>
      <c r="B9331" t="s">
        <v>1583</v>
      </c>
      <c r="C9331" t="s">
        <v>428</v>
      </c>
      <c r="D9331" t="str">
        <f>VLOOKUP(C9331,'lookup table'!$A$2:$B$19,2,FALSE)</f>
        <v>LoB</v>
      </c>
      <c r="E9331" t="str">
        <f t="shared" si="145"/>
        <v>ES703_00|LoB</v>
      </c>
    </row>
    <row r="9332" spans="1:5" x14ac:dyDescent="0.2">
      <c r="A9332" t="s">
        <v>1584</v>
      </c>
      <c r="B9332" t="s">
        <v>1585</v>
      </c>
      <c r="C9332" t="s">
        <v>428</v>
      </c>
      <c r="D9332" t="str">
        <f>VLOOKUP(C9332,'lookup table'!$A$2:$B$19,2,FALSE)</f>
        <v>LoB</v>
      </c>
      <c r="E9332" t="str">
        <f t="shared" si="145"/>
        <v>ES704_00|LoB</v>
      </c>
    </row>
    <row r="9333" spans="1:5" x14ac:dyDescent="0.2">
      <c r="A9333" t="s">
        <v>1586</v>
      </c>
      <c r="B9333" t="s">
        <v>1587</v>
      </c>
      <c r="C9333" t="s">
        <v>428</v>
      </c>
      <c r="D9333" t="str">
        <f>VLOOKUP(C9333,'lookup table'!$A$2:$B$19,2,FALSE)</f>
        <v>LoB</v>
      </c>
      <c r="E9333" t="str">
        <f t="shared" si="145"/>
        <v>ES705_00|LoB</v>
      </c>
    </row>
    <row r="9334" spans="1:5" x14ac:dyDescent="0.2">
      <c r="A9334" t="s">
        <v>1588</v>
      </c>
      <c r="B9334" t="s">
        <v>1589</v>
      </c>
      <c r="C9334" t="s">
        <v>428</v>
      </c>
      <c r="D9334" t="str">
        <f>VLOOKUP(C9334,'lookup table'!$A$2:$B$19,2,FALSE)</f>
        <v>LoB</v>
      </c>
      <c r="E9334" t="str">
        <f t="shared" si="145"/>
        <v>ES706_00|LoB</v>
      </c>
    </row>
    <row r="9335" spans="1:5" x14ac:dyDescent="0.2">
      <c r="A9335" t="s">
        <v>1590</v>
      </c>
      <c r="B9335" t="s">
        <v>1591</v>
      </c>
      <c r="C9335" t="s">
        <v>331</v>
      </c>
      <c r="D9335" t="str">
        <f>VLOOKUP(C9335,'lookup table'!$A$2:$B$19,2,FALSE)</f>
        <v>FS Item</v>
      </c>
      <c r="E9335" t="str">
        <f t="shared" si="145"/>
        <v>L001_17|FS Item</v>
      </c>
    </row>
    <row r="9336" spans="1:5" x14ac:dyDescent="0.2">
      <c r="A9336" t="s">
        <v>1590</v>
      </c>
      <c r="B9336" t="s">
        <v>1591</v>
      </c>
      <c r="C9336" t="s">
        <v>423</v>
      </c>
      <c r="D9336" t="str">
        <f>VLOOKUP(C9336,'lookup table'!$A$2:$B$19,2,FALSE)</f>
        <v>ignore</v>
      </c>
      <c r="E9336" t="str">
        <f t="shared" si="145"/>
        <v>L001_17|ignore</v>
      </c>
    </row>
    <row r="9337" spans="1:5" x14ac:dyDescent="0.2">
      <c r="A9337" t="s">
        <v>1590</v>
      </c>
      <c r="B9337" t="s">
        <v>1591</v>
      </c>
      <c r="C9337" t="s">
        <v>438</v>
      </c>
      <c r="D9337" t="str">
        <f>VLOOKUP(C9337,'lookup table'!$A$2:$B$19,2,FALSE)</f>
        <v>ToM</v>
      </c>
      <c r="E9337" t="str">
        <f t="shared" si="145"/>
        <v>L001_17|ToM</v>
      </c>
    </row>
    <row r="9338" spans="1:5" x14ac:dyDescent="0.2">
      <c r="A9338" t="s">
        <v>1592</v>
      </c>
      <c r="B9338" t="s">
        <v>1593</v>
      </c>
      <c r="C9338" t="s">
        <v>331</v>
      </c>
      <c r="D9338" t="str">
        <f>VLOOKUP(C9338,'lookup table'!$A$2:$B$19,2,FALSE)</f>
        <v>FS Item</v>
      </c>
      <c r="E9338" t="str">
        <f t="shared" si="145"/>
        <v>L002_17|FS Item</v>
      </c>
    </row>
    <row r="9339" spans="1:5" x14ac:dyDescent="0.2">
      <c r="A9339" t="s">
        <v>1592</v>
      </c>
      <c r="B9339" t="s">
        <v>1593</v>
      </c>
      <c r="C9339" t="s">
        <v>423</v>
      </c>
      <c r="D9339" t="str">
        <f>VLOOKUP(C9339,'lookup table'!$A$2:$B$19,2,FALSE)</f>
        <v>ignore</v>
      </c>
      <c r="E9339" t="str">
        <f t="shared" si="145"/>
        <v>L002_17|ignore</v>
      </c>
    </row>
    <row r="9340" spans="1:5" x14ac:dyDescent="0.2">
      <c r="A9340" t="s">
        <v>1592</v>
      </c>
      <c r="B9340" t="s">
        <v>1593</v>
      </c>
      <c r="C9340" t="s">
        <v>438</v>
      </c>
      <c r="D9340" t="str">
        <f>VLOOKUP(C9340,'lookup table'!$A$2:$B$19,2,FALSE)</f>
        <v>ToM</v>
      </c>
      <c r="E9340" t="str">
        <f t="shared" si="145"/>
        <v>L002_17|ToM</v>
      </c>
    </row>
    <row r="9341" spans="1:5" x14ac:dyDescent="0.2">
      <c r="A9341" t="s">
        <v>1594</v>
      </c>
      <c r="B9341" t="s">
        <v>1595</v>
      </c>
      <c r="C9341" t="s">
        <v>331</v>
      </c>
      <c r="D9341" t="str">
        <f>VLOOKUP(C9341,'lookup table'!$A$2:$B$19,2,FALSE)</f>
        <v>FS Item</v>
      </c>
      <c r="E9341" t="str">
        <f t="shared" si="145"/>
        <v>L003_17|FS Item</v>
      </c>
    </row>
    <row r="9342" spans="1:5" x14ac:dyDescent="0.2">
      <c r="A9342" t="s">
        <v>1594</v>
      </c>
      <c r="B9342" t="s">
        <v>1595</v>
      </c>
      <c r="C9342" t="s">
        <v>423</v>
      </c>
      <c r="D9342" t="str">
        <f>VLOOKUP(C9342,'lookup table'!$A$2:$B$19,2,FALSE)</f>
        <v>ignore</v>
      </c>
      <c r="E9342" t="str">
        <f t="shared" si="145"/>
        <v>L003_17|ignore</v>
      </c>
    </row>
    <row r="9343" spans="1:5" x14ac:dyDescent="0.2">
      <c r="A9343" t="s">
        <v>1596</v>
      </c>
      <c r="B9343" t="s">
        <v>1597</v>
      </c>
      <c r="C9343" t="s">
        <v>331</v>
      </c>
      <c r="D9343" t="str">
        <f>VLOOKUP(C9343,'lookup table'!$A$2:$B$19,2,FALSE)</f>
        <v>FS Item</v>
      </c>
      <c r="E9343" t="str">
        <f t="shared" si="145"/>
        <v>L004_17|FS Item</v>
      </c>
    </row>
    <row r="9344" spans="1:5" x14ac:dyDescent="0.2">
      <c r="A9344" t="s">
        <v>1596</v>
      </c>
      <c r="B9344" t="s">
        <v>1597</v>
      </c>
      <c r="C9344" t="s">
        <v>423</v>
      </c>
      <c r="D9344" t="str">
        <f>VLOOKUP(C9344,'lookup table'!$A$2:$B$19,2,FALSE)</f>
        <v>ignore</v>
      </c>
      <c r="E9344" t="str">
        <f t="shared" si="145"/>
        <v>L004_17|ignore</v>
      </c>
    </row>
    <row r="9345" spans="1:5" x14ac:dyDescent="0.2">
      <c r="A9345" t="s">
        <v>1598</v>
      </c>
      <c r="B9345" t="s">
        <v>1599</v>
      </c>
      <c r="C9345" t="s">
        <v>331</v>
      </c>
      <c r="D9345" t="str">
        <f>VLOOKUP(C9345,'lookup table'!$A$2:$B$19,2,FALSE)</f>
        <v>FS Item</v>
      </c>
      <c r="E9345" t="str">
        <f t="shared" si="145"/>
        <v>L005_17|FS Item</v>
      </c>
    </row>
    <row r="9346" spans="1:5" x14ac:dyDescent="0.2">
      <c r="A9346" t="s">
        <v>1598</v>
      </c>
      <c r="B9346" t="s">
        <v>1599</v>
      </c>
      <c r="C9346" t="s">
        <v>423</v>
      </c>
      <c r="D9346" t="str">
        <f>VLOOKUP(C9346,'lookup table'!$A$2:$B$19,2,FALSE)</f>
        <v>ignore</v>
      </c>
      <c r="E9346" t="str">
        <f t="shared" si="145"/>
        <v>L005_17|ignore</v>
      </c>
    </row>
    <row r="9347" spans="1:5" x14ac:dyDescent="0.2">
      <c r="A9347" t="s">
        <v>1600</v>
      </c>
      <c r="B9347" t="s">
        <v>1601</v>
      </c>
      <c r="C9347" t="s">
        <v>331</v>
      </c>
      <c r="D9347" t="str">
        <f>VLOOKUP(C9347,'lookup table'!$A$2:$B$19,2,FALSE)</f>
        <v>FS Item</v>
      </c>
      <c r="E9347" t="str">
        <f t="shared" ref="E9347:E9410" si="146">IF(ISNA(D9347),"",IF(A9347="","",A9347) &amp; "|" &amp; D9347)</f>
        <v>L006_17|FS Item</v>
      </c>
    </row>
    <row r="9348" spans="1:5" x14ac:dyDescent="0.2">
      <c r="A9348" t="s">
        <v>1600</v>
      </c>
      <c r="B9348" t="s">
        <v>1601</v>
      </c>
      <c r="C9348" t="s">
        <v>423</v>
      </c>
      <c r="D9348" t="str">
        <f>VLOOKUP(C9348,'lookup table'!$A$2:$B$19,2,FALSE)</f>
        <v>ignore</v>
      </c>
      <c r="E9348" t="str">
        <f t="shared" si="146"/>
        <v>L006_17|ignore</v>
      </c>
    </row>
    <row r="9349" spans="1:5" x14ac:dyDescent="0.2">
      <c r="A9349" t="s">
        <v>1602</v>
      </c>
      <c r="B9349" t="s">
        <v>1603</v>
      </c>
      <c r="C9349" t="s">
        <v>20</v>
      </c>
      <c r="D9349" t="str">
        <f>VLOOKUP(C9349,'lookup table'!$A$2:$B$19,2,FALSE)</f>
        <v>AY</v>
      </c>
      <c r="E9349" t="str">
        <f t="shared" si="146"/>
        <v>L007_17|AY</v>
      </c>
    </row>
    <row r="9350" spans="1:5" x14ac:dyDescent="0.2">
      <c r="A9350" t="s">
        <v>1602</v>
      </c>
      <c r="B9350" t="s">
        <v>1603</v>
      </c>
      <c r="C9350" t="s">
        <v>331</v>
      </c>
      <c r="D9350" t="str">
        <f>VLOOKUP(C9350,'lookup table'!$A$2:$B$19,2,FALSE)</f>
        <v>FS Item</v>
      </c>
      <c r="E9350" t="str">
        <f t="shared" si="146"/>
        <v>L007_17|FS Item</v>
      </c>
    </row>
    <row r="9351" spans="1:5" x14ac:dyDescent="0.2">
      <c r="A9351" t="s">
        <v>1602</v>
      </c>
      <c r="B9351" t="s">
        <v>1603</v>
      </c>
      <c r="C9351" t="s">
        <v>423</v>
      </c>
      <c r="D9351" t="str">
        <f>VLOOKUP(C9351,'lookup table'!$A$2:$B$19,2,FALSE)</f>
        <v>ignore</v>
      </c>
      <c r="E9351" t="str">
        <f t="shared" si="146"/>
        <v>L007_17|ignore</v>
      </c>
    </row>
    <row r="9352" spans="1:5" x14ac:dyDescent="0.2">
      <c r="A9352" t="s">
        <v>1604</v>
      </c>
      <c r="B9352" t="s">
        <v>1605</v>
      </c>
      <c r="C9352" t="s">
        <v>20</v>
      </c>
      <c r="D9352" t="str">
        <f>VLOOKUP(C9352,'lookup table'!$A$2:$B$19,2,FALSE)</f>
        <v>AY</v>
      </c>
      <c r="E9352" t="str">
        <f t="shared" si="146"/>
        <v>L008_17|AY</v>
      </c>
    </row>
    <row r="9353" spans="1:5" x14ac:dyDescent="0.2">
      <c r="A9353" t="s">
        <v>1604</v>
      </c>
      <c r="B9353" t="s">
        <v>1605</v>
      </c>
      <c r="C9353" t="s">
        <v>331</v>
      </c>
      <c r="D9353" t="str">
        <f>VLOOKUP(C9353,'lookup table'!$A$2:$B$19,2,FALSE)</f>
        <v>FS Item</v>
      </c>
      <c r="E9353" t="str">
        <f t="shared" si="146"/>
        <v>L008_17|FS Item</v>
      </c>
    </row>
    <row r="9354" spans="1:5" x14ac:dyDescent="0.2">
      <c r="A9354" t="s">
        <v>1604</v>
      </c>
      <c r="B9354" t="s">
        <v>1605</v>
      </c>
      <c r="C9354" t="s">
        <v>423</v>
      </c>
      <c r="D9354" t="str">
        <f>VLOOKUP(C9354,'lookup table'!$A$2:$B$19,2,FALSE)</f>
        <v>ignore</v>
      </c>
      <c r="E9354" t="str">
        <f t="shared" si="146"/>
        <v>L008_17|ignore</v>
      </c>
    </row>
    <row r="9355" spans="1:5" x14ac:dyDescent="0.2">
      <c r="A9355" t="s">
        <v>1606</v>
      </c>
      <c r="B9355" t="s">
        <v>1607</v>
      </c>
      <c r="C9355" t="s">
        <v>20</v>
      </c>
      <c r="D9355" t="str">
        <f>VLOOKUP(C9355,'lookup table'!$A$2:$B$19,2,FALSE)</f>
        <v>AY</v>
      </c>
      <c r="E9355" t="str">
        <f t="shared" si="146"/>
        <v>L011_17|AY</v>
      </c>
    </row>
    <row r="9356" spans="1:5" x14ac:dyDescent="0.2">
      <c r="A9356" t="s">
        <v>1606</v>
      </c>
      <c r="B9356" t="s">
        <v>1607</v>
      </c>
      <c r="C9356" t="s">
        <v>331</v>
      </c>
      <c r="D9356" t="str">
        <f>VLOOKUP(C9356,'lookup table'!$A$2:$B$19,2,FALSE)</f>
        <v>FS Item</v>
      </c>
      <c r="E9356" t="str">
        <f t="shared" si="146"/>
        <v>L011_17|FS Item</v>
      </c>
    </row>
    <row r="9357" spans="1:5" x14ac:dyDescent="0.2">
      <c r="A9357" t="s">
        <v>1606</v>
      </c>
      <c r="B9357" t="s">
        <v>1607</v>
      </c>
      <c r="C9357" t="s">
        <v>423</v>
      </c>
      <c r="D9357" t="str">
        <f>VLOOKUP(C9357,'lookup table'!$A$2:$B$19,2,FALSE)</f>
        <v>ignore</v>
      </c>
      <c r="E9357" t="str">
        <f t="shared" si="146"/>
        <v>L011_17|ignore</v>
      </c>
    </row>
    <row r="9358" spans="1:5" x14ac:dyDescent="0.2">
      <c r="A9358" t="s">
        <v>1606</v>
      </c>
      <c r="B9358" t="s">
        <v>1607</v>
      </c>
      <c r="C9358" t="s">
        <v>438</v>
      </c>
      <c r="D9358" t="str">
        <f>VLOOKUP(C9358,'lookup table'!$A$2:$B$19,2,FALSE)</f>
        <v>ToM</v>
      </c>
      <c r="E9358" t="str">
        <f t="shared" si="146"/>
        <v>L011_17|ToM</v>
      </c>
    </row>
    <row r="9359" spans="1:5" x14ac:dyDescent="0.2">
      <c r="A9359" t="s">
        <v>1608</v>
      </c>
      <c r="B9359" t="s">
        <v>1609</v>
      </c>
      <c r="C9359" t="s">
        <v>331</v>
      </c>
      <c r="D9359" t="str">
        <f>VLOOKUP(C9359,'lookup table'!$A$2:$B$19,2,FALSE)</f>
        <v>FS Item</v>
      </c>
      <c r="E9359" t="str">
        <f t="shared" si="146"/>
        <v>L012_17|FS Item</v>
      </c>
    </row>
    <row r="9360" spans="1:5" x14ac:dyDescent="0.2">
      <c r="A9360" t="s">
        <v>1608</v>
      </c>
      <c r="B9360" t="s">
        <v>1609</v>
      </c>
      <c r="C9360" t="s">
        <v>423</v>
      </c>
      <c r="D9360" t="str">
        <f>VLOOKUP(C9360,'lookup table'!$A$2:$B$19,2,FALSE)</f>
        <v>ignore</v>
      </c>
      <c r="E9360" t="str">
        <f t="shared" si="146"/>
        <v>L012_17|ignore</v>
      </c>
    </row>
    <row r="9361" spans="1:5" x14ac:dyDescent="0.2">
      <c r="A9361" t="s">
        <v>1610</v>
      </c>
      <c r="B9361" t="s">
        <v>1611</v>
      </c>
      <c r="C9361" t="s">
        <v>331</v>
      </c>
      <c r="D9361" t="str">
        <f>VLOOKUP(C9361,'lookup table'!$A$2:$B$19,2,FALSE)</f>
        <v>FS Item</v>
      </c>
      <c r="E9361" t="str">
        <f t="shared" si="146"/>
        <v>L013_17|FS Item</v>
      </c>
    </row>
    <row r="9362" spans="1:5" x14ac:dyDescent="0.2">
      <c r="A9362" t="s">
        <v>1610</v>
      </c>
      <c r="B9362" t="s">
        <v>1611</v>
      </c>
      <c r="C9362" t="s">
        <v>423</v>
      </c>
      <c r="D9362" t="str">
        <f>VLOOKUP(C9362,'lookup table'!$A$2:$B$19,2,FALSE)</f>
        <v>ignore</v>
      </c>
      <c r="E9362" t="str">
        <f t="shared" si="146"/>
        <v>L013_17|ignore</v>
      </c>
    </row>
    <row r="9363" spans="1:5" x14ac:dyDescent="0.2">
      <c r="A9363" t="s">
        <v>1610</v>
      </c>
      <c r="B9363" t="s">
        <v>1611</v>
      </c>
      <c r="C9363" t="s">
        <v>438</v>
      </c>
      <c r="D9363" t="str">
        <f>VLOOKUP(C9363,'lookup table'!$A$2:$B$19,2,FALSE)</f>
        <v>ToM</v>
      </c>
      <c r="E9363" t="str">
        <f t="shared" si="146"/>
        <v>L013_17|ToM</v>
      </c>
    </row>
    <row r="9364" spans="1:5" x14ac:dyDescent="0.2">
      <c r="A9364" t="s">
        <v>1612</v>
      </c>
      <c r="B9364" t="s">
        <v>398</v>
      </c>
      <c r="C9364" t="s">
        <v>331</v>
      </c>
      <c r="D9364" t="str">
        <f>VLOOKUP(C9364,'lookup table'!$A$2:$B$19,2,FALSE)</f>
        <v>FS Item</v>
      </c>
      <c r="E9364" t="str">
        <f t="shared" si="146"/>
        <v>L014_17|FS Item</v>
      </c>
    </row>
    <row r="9365" spans="1:5" x14ac:dyDescent="0.2">
      <c r="A9365" t="s">
        <v>1612</v>
      </c>
      <c r="B9365" t="s">
        <v>398</v>
      </c>
      <c r="C9365" t="s">
        <v>423</v>
      </c>
      <c r="D9365" t="str">
        <f>VLOOKUP(C9365,'lookup table'!$A$2:$B$19,2,FALSE)</f>
        <v>ignore</v>
      </c>
      <c r="E9365" t="str">
        <f t="shared" si="146"/>
        <v>L014_17|ignore</v>
      </c>
    </row>
    <row r="9366" spans="1:5" x14ac:dyDescent="0.2">
      <c r="A9366" t="s">
        <v>1612</v>
      </c>
      <c r="B9366" t="s">
        <v>398</v>
      </c>
      <c r="C9366" t="s">
        <v>438</v>
      </c>
      <c r="D9366" t="str">
        <f>VLOOKUP(C9366,'lookup table'!$A$2:$B$19,2,FALSE)</f>
        <v>ToM</v>
      </c>
      <c r="E9366" t="str">
        <f t="shared" si="146"/>
        <v>L014_17|ToM</v>
      </c>
    </row>
    <row r="9367" spans="1:5" x14ac:dyDescent="0.2">
      <c r="A9367" t="s">
        <v>1613</v>
      </c>
      <c r="B9367" t="s">
        <v>1614</v>
      </c>
      <c r="C9367" t="s">
        <v>331</v>
      </c>
      <c r="D9367" t="str">
        <f>VLOOKUP(C9367,'lookup table'!$A$2:$B$19,2,FALSE)</f>
        <v>FS Item</v>
      </c>
      <c r="E9367" t="str">
        <f t="shared" si="146"/>
        <v>L017_00|FS Item</v>
      </c>
    </row>
    <row r="9368" spans="1:5" x14ac:dyDescent="0.2">
      <c r="A9368" t="s">
        <v>1613</v>
      </c>
      <c r="B9368" t="s">
        <v>1614</v>
      </c>
      <c r="C9368" t="s">
        <v>423</v>
      </c>
      <c r="D9368" t="str">
        <f>VLOOKUP(C9368,'lookup table'!$A$2:$B$19,2,FALSE)</f>
        <v>ignore</v>
      </c>
      <c r="E9368" t="str">
        <f t="shared" si="146"/>
        <v>L017_00|ignore</v>
      </c>
    </row>
    <row r="9369" spans="1:5" x14ac:dyDescent="0.2">
      <c r="A9369" t="s">
        <v>1613</v>
      </c>
      <c r="B9369" t="s">
        <v>1614</v>
      </c>
      <c r="C9369" t="s">
        <v>438</v>
      </c>
      <c r="D9369" t="str">
        <f>VLOOKUP(C9369,'lookup table'!$A$2:$B$19,2,FALSE)</f>
        <v>ToM</v>
      </c>
      <c r="E9369" t="str">
        <f t="shared" si="146"/>
        <v>L017_00|ToM</v>
      </c>
    </row>
    <row r="9370" spans="1:5" x14ac:dyDescent="0.2">
      <c r="A9370" t="s">
        <v>1615</v>
      </c>
      <c r="B9370" t="s">
        <v>1616</v>
      </c>
      <c r="C9370" t="s">
        <v>331</v>
      </c>
      <c r="D9370" t="str">
        <f>VLOOKUP(C9370,'lookup table'!$A$2:$B$19,2,FALSE)</f>
        <v>FS Item</v>
      </c>
      <c r="E9370" t="str">
        <f t="shared" si="146"/>
        <v>L020_00|FS Item</v>
      </c>
    </row>
    <row r="9371" spans="1:5" x14ac:dyDescent="0.2">
      <c r="A9371" t="s">
        <v>1615</v>
      </c>
      <c r="B9371" t="s">
        <v>1616</v>
      </c>
      <c r="C9371" t="s">
        <v>423</v>
      </c>
      <c r="D9371" t="str">
        <f>VLOOKUP(C9371,'lookup table'!$A$2:$B$19,2,FALSE)</f>
        <v>ignore</v>
      </c>
      <c r="E9371" t="str">
        <f t="shared" si="146"/>
        <v>L020_00|ignore</v>
      </c>
    </row>
    <row r="9372" spans="1:5" x14ac:dyDescent="0.2">
      <c r="A9372" t="s">
        <v>1617</v>
      </c>
      <c r="B9372" t="s">
        <v>224</v>
      </c>
      <c r="C9372" t="s">
        <v>136</v>
      </c>
      <c r="D9372" t="str">
        <f>VLOOKUP(C9372,'lookup table'!$A$2:$B$19,2,FALSE)</f>
        <v>BBA Set</v>
      </c>
      <c r="E9372" t="str">
        <f t="shared" si="146"/>
        <v>L021_17|BBA Set</v>
      </c>
    </row>
    <row r="9373" spans="1:5" x14ac:dyDescent="0.2">
      <c r="A9373" t="s">
        <v>1617</v>
      </c>
      <c r="B9373" t="s">
        <v>224</v>
      </c>
      <c r="C9373" t="s">
        <v>331</v>
      </c>
      <c r="D9373" t="str">
        <f>VLOOKUP(C9373,'lookup table'!$A$2:$B$19,2,FALSE)</f>
        <v>FS Item</v>
      </c>
      <c r="E9373" t="str">
        <f t="shared" si="146"/>
        <v>L021_17|FS Item</v>
      </c>
    </row>
    <row r="9374" spans="1:5" x14ac:dyDescent="0.2">
      <c r="A9374" t="s">
        <v>1617</v>
      </c>
      <c r="B9374" t="s">
        <v>224</v>
      </c>
      <c r="C9374" t="s">
        <v>423</v>
      </c>
      <c r="D9374" t="str">
        <f>VLOOKUP(C9374,'lookup table'!$A$2:$B$19,2,FALSE)</f>
        <v>ignore</v>
      </c>
      <c r="E9374" t="str">
        <f t="shared" si="146"/>
        <v>L021_17|ignore</v>
      </c>
    </row>
    <row r="9375" spans="1:5" x14ac:dyDescent="0.2">
      <c r="A9375" t="s">
        <v>1618</v>
      </c>
      <c r="B9375" t="s">
        <v>201</v>
      </c>
      <c r="C9375" t="s">
        <v>136</v>
      </c>
      <c r="D9375" t="str">
        <f>VLOOKUP(C9375,'lookup table'!$A$2:$B$19,2,FALSE)</f>
        <v>BBA Set</v>
      </c>
      <c r="E9375" t="str">
        <f t="shared" si="146"/>
        <v>L024_17|BBA Set</v>
      </c>
    </row>
    <row r="9376" spans="1:5" x14ac:dyDescent="0.2">
      <c r="A9376" t="s">
        <v>1618</v>
      </c>
      <c r="B9376" t="s">
        <v>201</v>
      </c>
      <c r="C9376" t="s">
        <v>331</v>
      </c>
      <c r="D9376" t="str">
        <f>VLOOKUP(C9376,'lookup table'!$A$2:$B$19,2,FALSE)</f>
        <v>FS Item</v>
      </c>
      <c r="E9376" t="str">
        <f t="shared" si="146"/>
        <v>L024_17|FS Item</v>
      </c>
    </row>
    <row r="9377" spans="1:5" x14ac:dyDescent="0.2">
      <c r="A9377" t="s">
        <v>1618</v>
      </c>
      <c r="B9377" t="s">
        <v>201</v>
      </c>
      <c r="C9377" t="s">
        <v>423</v>
      </c>
      <c r="D9377" t="str">
        <f>VLOOKUP(C9377,'lookup table'!$A$2:$B$19,2,FALSE)</f>
        <v>ignore</v>
      </c>
      <c r="E9377" t="str">
        <f t="shared" si="146"/>
        <v>L024_17|ignore</v>
      </c>
    </row>
    <row r="9378" spans="1:5" x14ac:dyDescent="0.2">
      <c r="A9378" t="s">
        <v>1619</v>
      </c>
      <c r="B9378" t="s">
        <v>1620</v>
      </c>
      <c r="C9378" t="s">
        <v>438</v>
      </c>
      <c r="D9378" t="str">
        <f>VLOOKUP(C9378,'lookup table'!$A$2:$B$19,2,FALSE)</f>
        <v>ToM</v>
      </c>
      <c r="E9378" t="str">
        <f t="shared" si="146"/>
        <v>L032_00|ToM</v>
      </c>
    </row>
    <row r="9379" spans="1:5" x14ac:dyDescent="0.2">
      <c r="A9379" t="s">
        <v>1621</v>
      </c>
      <c r="B9379" t="s">
        <v>1622</v>
      </c>
      <c r="C9379" t="s">
        <v>331</v>
      </c>
      <c r="D9379" t="str">
        <f>VLOOKUP(C9379,'lookup table'!$A$2:$B$19,2,FALSE)</f>
        <v>FS Item</v>
      </c>
      <c r="E9379" t="str">
        <f t="shared" si="146"/>
        <v>L038_00|FS Item</v>
      </c>
    </row>
    <row r="9380" spans="1:5" x14ac:dyDescent="0.2">
      <c r="A9380" t="s">
        <v>1621</v>
      </c>
      <c r="B9380" t="s">
        <v>1622</v>
      </c>
      <c r="C9380" t="s">
        <v>423</v>
      </c>
      <c r="D9380" t="str">
        <f>VLOOKUP(C9380,'lookup table'!$A$2:$B$19,2,FALSE)</f>
        <v>ignore</v>
      </c>
      <c r="E9380" t="str">
        <f t="shared" si="146"/>
        <v>L038_00|ignore</v>
      </c>
    </row>
    <row r="9381" spans="1:5" x14ac:dyDescent="0.2">
      <c r="A9381" t="s">
        <v>1623</v>
      </c>
      <c r="B9381" t="s">
        <v>1624</v>
      </c>
      <c r="C9381" t="s">
        <v>331</v>
      </c>
      <c r="D9381" t="str">
        <f>VLOOKUP(C9381,'lookup table'!$A$2:$B$19,2,FALSE)</f>
        <v>FS Item</v>
      </c>
      <c r="E9381" t="str">
        <f t="shared" si="146"/>
        <v>L040_00|FS Item</v>
      </c>
    </row>
    <row r="9382" spans="1:5" x14ac:dyDescent="0.2">
      <c r="A9382" t="s">
        <v>1623</v>
      </c>
      <c r="B9382" t="s">
        <v>1624</v>
      </c>
      <c r="C9382" t="s">
        <v>423</v>
      </c>
      <c r="D9382" t="str">
        <f>VLOOKUP(C9382,'lookup table'!$A$2:$B$19,2,FALSE)</f>
        <v>ignore</v>
      </c>
      <c r="E9382" t="str">
        <f t="shared" si="146"/>
        <v>L040_00|ignore</v>
      </c>
    </row>
    <row r="9383" spans="1:5" x14ac:dyDescent="0.2">
      <c r="A9383" t="s">
        <v>1623</v>
      </c>
      <c r="B9383" t="s">
        <v>1624</v>
      </c>
      <c r="C9383" t="s">
        <v>438</v>
      </c>
      <c r="D9383" t="str">
        <f>VLOOKUP(C9383,'lookup table'!$A$2:$B$19,2,FALSE)</f>
        <v>ToM</v>
      </c>
      <c r="E9383" t="str">
        <f t="shared" si="146"/>
        <v>L040_00|ToM</v>
      </c>
    </row>
    <row r="9384" spans="1:5" x14ac:dyDescent="0.2">
      <c r="A9384" t="s">
        <v>1625</v>
      </c>
      <c r="B9384" t="s">
        <v>1626</v>
      </c>
      <c r="C9384" t="s">
        <v>331</v>
      </c>
      <c r="D9384" t="str">
        <f>VLOOKUP(C9384,'lookup table'!$A$2:$B$19,2,FALSE)</f>
        <v>FS Item</v>
      </c>
      <c r="E9384" t="str">
        <f t="shared" si="146"/>
        <v>L041_00|FS Item</v>
      </c>
    </row>
    <row r="9385" spans="1:5" x14ac:dyDescent="0.2">
      <c r="A9385" t="s">
        <v>1625</v>
      </c>
      <c r="B9385" t="s">
        <v>1626</v>
      </c>
      <c r="C9385" t="s">
        <v>423</v>
      </c>
      <c r="D9385" t="str">
        <f>VLOOKUP(C9385,'lookup table'!$A$2:$B$19,2,FALSE)</f>
        <v>ignore</v>
      </c>
      <c r="E9385" t="str">
        <f t="shared" si="146"/>
        <v>L041_00|ignore</v>
      </c>
    </row>
    <row r="9386" spans="1:5" x14ac:dyDescent="0.2">
      <c r="A9386" t="s">
        <v>1625</v>
      </c>
      <c r="B9386" t="s">
        <v>1626</v>
      </c>
      <c r="C9386" t="s">
        <v>438</v>
      </c>
      <c r="D9386" t="str">
        <f>VLOOKUP(C9386,'lookup table'!$A$2:$B$19,2,FALSE)</f>
        <v>ToM</v>
      </c>
      <c r="E9386" t="str">
        <f t="shared" si="146"/>
        <v>L041_00|ToM</v>
      </c>
    </row>
    <row r="9387" spans="1:5" x14ac:dyDescent="0.2">
      <c r="A9387" t="s">
        <v>1627</v>
      </c>
      <c r="B9387" t="s">
        <v>383</v>
      </c>
      <c r="C9387" t="s">
        <v>331</v>
      </c>
      <c r="D9387" t="str">
        <f>VLOOKUP(C9387,'lookup table'!$A$2:$B$19,2,FALSE)</f>
        <v>FS Item</v>
      </c>
      <c r="E9387" t="str">
        <f t="shared" si="146"/>
        <v>L054_00|FS Item</v>
      </c>
    </row>
    <row r="9388" spans="1:5" x14ac:dyDescent="0.2">
      <c r="A9388" t="s">
        <v>1627</v>
      </c>
      <c r="B9388" t="s">
        <v>383</v>
      </c>
      <c r="C9388" t="s">
        <v>423</v>
      </c>
      <c r="D9388" t="str">
        <f>VLOOKUP(C9388,'lookup table'!$A$2:$B$19,2,FALSE)</f>
        <v>ignore</v>
      </c>
      <c r="E9388" t="str">
        <f t="shared" si="146"/>
        <v>L054_00|ignore</v>
      </c>
    </row>
    <row r="9389" spans="1:5" x14ac:dyDescent="0.2">
      <c r="A9389" t="s">
        <v>1627</v>
      </c>
      <c r="B9389" t="s">
        <v>383</v>
      </c>
      <c r="C9389" t="s">
        <v>438</v>
      </c>
      <c r="D9389" t="str">
        <f>VLOOKUP(C9389,'lookup table'!$A$2:$B$19,2,FALSE)</f>
        <v>ToM</v>
      </c>
      <c r="E9389" t="str">
        <f t="shared" si="146"/>
        <v>L054_00|ToM</v>
      </c>
    </row>
    <row r="9390" spans="1:5" x14ac:dyDescent="0.2">
      <c r="A9390" t="s">
        <v>1628</v>
      </c>
      <c r="B9390" t="s">
        <v>1629</v>
      </c>
      <c r="C9390" t="s">
        <v>331</v>
      </c>
      <c r="D9390" t="str">
        <f>VLOOKUP(C9390,'lookup table'!$A$2:$B$19,2,FALSE)</f>
        <v>FS Item</v>
      </c>
      <c r="E9390" t="str">
        <f t="shared" si="146"/>
        <v>L055_00|FS Item</v>
      </c>
    </row>
    <row r="9391" spans="1:5" x14ac:dyDescent="0.2">
      <c r="A9391" t="s">
        <v>1628</v>
      </c>
      <c r="B9391" t="s">
        <v>1629</v>
      </c>
      <c r="C9391" t="s">
        <v>423</v>
      </c>
      <c r="D9391" t="str">
        <f>VLOOKUP(C9391,'lookup table'!$A$2:$B$19,2,FALSE)</f>
        <v>ignore</v>
      </c>
      <c r="E9391" t="str">
        <f t="shared" si="146"/>
        <v>L055_00|ignore</v>
      </c>
    </row>
    <row r="9392" spans="1:5" x14ac:dyDescent="0.2">
      <c r="A9392" t="s">
        <v>1628</v>
      </c>
      <c r="B9392" t="s">
        <v>1629</v>
      </c>
      <c r="C9392" t="s">
        <v>438</v>
      </c>
      <c r="D9392" t="str">
        <f>VLOOKUP(C9392,'lookup table'!$A$2:$B$19,2,FALSE)</f>
        <v>ToM</v>
      </c>
      <c r="E9392" t="str">
        <f t="shared" si="146"/>
        <v>L055_00|ToM</v>
      </c>
    </row>
    <row r="9393" spans="1:5" x14ac:dyDescent="0.2">
      <c r="A9393" t="s">
        <v>1630</v>
      </c>
      <c r="B9393" t="s">
        <v>384</v>
      </c>
      <c r="C9393" t="s">
        <v>331</v>
      </c>
      <c r="D9393" t="str">
        <f>VLOOKUP(C9393,'lookup table'!$A$2:$B$19,2,FALSE)</f>
        <v>FS Item</v>
      </c>
      <c r="E9393" t="str">
        <f t="shared" si="146"/>
        <v>L056_00|FS Item</v>
      </c>
    </row>
    <row r="9394" spans="1:5" x14ac:dyDescent="0.2">
      <c r="A9394" t="s">
        <v>1630</v>
      </c>
      <c r="B9394" t="s">
        <v>384</v>
      </c>
      <c r="C9394" t="s">
        <v>423</v>
      </c>
      <c r="D9394" t="str">
        <f>VLOOKUP(C9394,'lookup table'!$A$2:$B$19,2,FALSE)</f>
        <v>ignore</v>
      </c>
      <c r="E9394" t="str">
        <f t="shared" si="146"/>
        <v>L056_00|ignore</v>
      </c>
    </row>
    <row r="9395" spans="1:5" x14ac:dyDescent="0.2">
      <c r="A9395" t="s">
        <v>1631</v>
      </c>
      <c r="B9395" t="s">
        <v>1632</v>
      </c>
      <c r="C9395" t="s">
        <v>331</v>
      </c>
      <c r="D9395" t="str">
        <f>VLOOKUP(C9395,'lookup table'!$A$2:$B$19,2,FALSE)</f>
        <v>FS Item</v>
      </c>
      <c r="E9395" t="str">
        <f t="shared" si="146"/>
        <v>L057_00|FS Item</v>
      </c>
    </row>
    <row r="9396" spans="1:5" x14ac:dyDescent="0.2">
      <c r="A9396" t="s">
        <v>1631</v>
      </c>
      <c r="B9396" t="s">
        <v>1632</v>
      </c>
      <c r="C9396" t="s">
        <v>423</v>
      </c>
      <c r="D9396" t="str">
        <f>VLOOKUP(C9396,'lookup table'!$A$2:$B$19,2,FALSE)</f>
        <v>ignore</v>
      </c>
      <c r="E9396" t="str">
        <f t="shared" si="146"/>
        <v>L057_00|ignore</v>
      </c>
    </row>
    <row r="9397" spans="1:5" x14ac:dyDescent="0.2">
      <c r="A9397" t="s">
        <v>1631</v>
      </c>
      <c r="B9397" t="s">
        <v>1632</v>
      </c>
      <c r="C9397" t="s">
        <v>438</v>
      </c>
      <c r="D9397" t="str">
        <f>VLOOKUP(C9397,'lookup table'!$A$2:$B$19,2,FALSE)</f>
        <v>ToM</v>
      </c>
      <c r="E9397" t="str">
        <f t="shared" si="146"/>
        <v>L057_00|ToM</v>
      </c>
    </row>
    <row r="9398" spans="1:5" x14ac:dyDescent="0.2">
      <c r="A9398" t="s">
        <v>1633</v>
      </c>
      <c r="B9398" t="s">
        <v>1634</v>
      </c>
      <c r="C9398" t="s">
        <v>331</v>
      </c>
      <c r="D9398" t="str">
        <f>VLOOKUP(C9398,'lookup table'!$A$2:$B$19,2,FALSE)</f>
        <v>FS Item</v>
      </c>
      <c r="E9398" t="str">
        <f t="shared" si="146"/>
        <v>L058_00|FS Item</v>
      </c>
    </row>
    <row r="9399" spans="1:5" x14ac:dyDescent="0.2">
      <c r="A9399" t="s">
        <v>1633</v>
      </c>
      <c r="B9399" t="s">
        <v>1634</v>
      </c>
      <c r="C9399" t="s">
        <v>423</v>
      </c>
      <c r="D9399" t="str">
        <f>VLOOKUP(C9399,'lookup table'!$A$2:$B$19,2,FALSE)</f>
        <v>ignore</v>
      </c>
      <c r="E9399" t="str">
        <f t="shared" si="146"/>
        <v>L058_00|ignore</v>
      </c>
    </row>
    <row r="9400" spans="1:5" x14ac:dyDescent="0.2">
      <c r="A9400" t="s">
        <v>1633</v>
      </c>
      <c r="B9400" t="s">
        <v>1634</v>
      </c>
      <c r="C9400" t="s">
        <v>438</v>
      </c>
      <c r="D9400" t="str">
        <f>VLOOKUP(C9400,'lookup table'!$A$2:$B$19,2,FALSE)</f>
        <v>ToM</v>
      </c>
      <c r="E9400" t="str">
        <f t="shared" si="146"/>
        <v>L058_00|ToM</v>
      </c>
    </row>
    <row r="9401" spans="1:5" x14ac:dyDescent="0.2">
      <c r="A9401" t="s">
        <v>1635</v>
      </c>
      <c r="B9401" t="s">
        <v>1636</v>
      </c>
      <c r="C9401" t="s">
        <v>438</v>
      </c>
      <c r="D9401" t="str">
        <f>VLOOKUP(C9401,'lookup table'!$A$2:$B$19,2,FALSE)</f>
        <v>ToM</v>
      </c>
      <c r="E9401" t="str">
        <f t="shared" si="146"/>
        <v>L060_00|ToM</v>
      </c>
    </row>
    <row r="9402" spans="1:5" x14ac:dyDescent="0.2">
      <c r="A9402" t="s">
        <v>1637</v>
      </c>
      <c r="B9402" t="s">
        <v>1638</v>
      </c>
      <c r="C9402" t="s">
        <v>331</v>
      </c>
      <c r="D9402" t="str">
        <f>VLOOKUP(C9402,'lookup table'!$A$2:$B$19,2,FALSE)</f>
        <v>FS Item</v>
      </c>
      <c r="E9402" t="str">
        <f t="shared" si="146"/>
        <v>L061_00|FS Item</v>
      </c>
    </row>
    <row r="9403" spans="1:5" x14ac:dyDescent="0.2">
      <c r="A9403" t="s">
        <v>1637</v>
      </c>
      <c r="B9403" t="s">
        <v>1638</v>
      </c>
      <c r="C9403" t="s">
        <v>423</v>
      </c>
      <c r="D9403" t="str">
        <f>VLOOKUP(C9403,'lookup table'!$A$2:$B$19,2,FALSE)</f>
        <v>ignore</v>
      </c>
      <c r="E9403" t="str">
        <f t="shared" si="146"/>
        <v>L061_00|ignore</v>
      </c>
    </row>
    <row r="9404" spans="1:5" x14ac:dyDescent="0.2">
      <c r="A9404" t="s">
        <v>1637</v>
      </c>
      <c r="B9404" t="s">
        <v>1638</v>
      </c>
      <c r="C9404" t="s">
        <v>438</v>
      </c>
      <c r="D9404" t="str">
        <f>VLOOKUP(C9404,'lookup table'!$A$2:$B$19,2,FALSE)</f>
        <v>ToM</v>
      </c>
      <c r="E9404" t="str">
        <f t="shared" si="146"/>
        <v>L061_00|ToM</v>
      </c>
    </row>
    <row r="9405" spans="1:5" x14ac:dyDescent="0.2">
      <c r="A9405" t="s">
        <v>1639</v>
      </c>
      <c r="B9405" t="s">
        <v>1640</v>
      </c>
      <c r="C9405" t="s">
        <v>438</v>
      </c>
      <c r="D9405" t="str">
        <f>VLOOKUP(C9405,'lookup table'!$A$2:$B$19,2,FALSE)</f>
        <v>ToM</v>
      </c>
      <c r="E9405" t="str">
        <f t="shared" si="146"/>
        <v>L062_00|ToM</v>
      </c>
    </row>
    <row r="9406" spans="1:5" x14ac:dyDescent="0.2">
      <c r="A9406" t="s">
        <v>1641</v>
      </c>
      <c r="B9406" t="s">
        <v>1642</v>
      </c>
      <c r="C9406" t="s">
        <v>438</v>
      </c>
      <c r="D9406" t="str">
        <f>VLOOKUP(C9406,'lookup table'!$A$2:$B$19,2,FALSE)</f>
        <v>ToM</v>
      </c>
      <c r="E9406" t="str">
        <f t="shared" si="146"/>
        <v>L063_00|ToM</v>
      </c>
    </row>
    <row r="9407" spans="1:5" x14ac:dyDescent="0.2">
      <c r="A9407" t="s">
        <v>1643</v>
      </c>
      <c r="B9407" t="s">
        <v>1644</v>
      </c>
      <c r="C9407" t="s">
        <v>438</v>
      </c>
      <c r="D9407" t="str">
        <f>VLOOKUP(C9407,'lookup table'!$A$2:$B$19,2,FALSE)</f>
        <v>ToM</v>
      </c>
      <c r="E9407" t="str">
        <f t="shared" si="146"/>
        <v>L066_00|ToM</v>
      </c>
    </row>
    <row r="9408" spans="1:5" x14ac:dyDescent="0.2">
      <c r="A9408" t="s">
        <v>1645</v>
      </c>
      <c r="B9408" t="s">
        <v>1646</v>
      </c>
      <c r="C9408" t="s">
        <v>438</v>
      </c>
      <c r="D9408" t="str">
        <f>VLOOKUP(C9408,'lookup table'!$A$2:$B$19,2,FALSE)</f>
        <v>ToM</v>
      </c>
      <c r="E9408" t="str">
        <f t="shared" si="146"/>
        <v>L067_00|ToM</v>
      </c>
    </row>
    <row r="9409" spans="1:5" x14ac:dyDescent="0.2">
      <c r="A9409" t="s">
        <v>1647</v>
      </c>
      <c r="B9409" t="s">
        <v>1648</v>
      </c>
      <c r="C9409" t="s">
        <v>438</v>
      </c>
      <c r="D9409" t="str">
        <f>VLOOKUP(C9409,'lookup table'!$A$2:$B$19,2,FALSE)</f>
        <v>ToM</v>
      </c>
      <c r="E9409" t="str">
        <f t="shared" si="146"/>
        <v>L068_00|ToM</v>
      </c>
    </row>
    <row r="9410" spans="1:5" x14ac:dyDescent="0.2">
      <c r="A9410" t="s">
        <v>1649</v>
      </c>
      <c r="B9410" t="s">
        <v>385</v>
      </c>
      <c r="C9410" t="s">
        <v>331</v>
      </c>
      <c r="D9410" t="str">
        <f>VLOOKUP(C9410,'lookup table'!$A$2:$B$19,2,FALSE)</f>
        <v>FS Item</v>
      </c>
      <c r="E9410" t="str">
        <f t="shared" si="146"/>
        <v>L069_00|FS Item</v>
      </c>
    </row>
    <row r="9411" spans="1:5" x14ac:dyDescent="0.2">
      <c r="A9411" t="s">
        <v>1649</v>
      </c>
      <c r="B9411" t="s">
        <v>385</v>
      </c>
      <c r="C9411" t="s">
        <v>423</v>
      </c>
      <c r="D9411" t="str">
        <f>VLOOKUP(C9411,'lookup table'!$A$2:$B$19,2,FALSE)</f>
        <v>ignore</v>
      </c>
      <c r="E9411" t="str">
        <f t="shared" ref="E9411:E9474" si="147">IF(ISNA(D9411),"",IF(A9411="","",A9411) &amp; "|" &amp; D9411)</f>
        <v>L069_00|ignore</v>
      </c>
    </row>
    <row r="9412" spans="1:5" x14ac:dyDescent="0.2">
      <c r="A9412" t="s">
        <v>1649</v>
      </c>
      <c r="B9412" t="s">
        <v>385</v>
      </c>
      <c r="C9412" t="s">
        <v>438</v>
      </c>
      <c r="D9412" t="str">
        <f>VLOOKUP(C9412,'lookup table'!$A$2:$B$19,2,FALSE)</f>
        <v>ToM</v>
      </c>
      <c r="E9412" t="str">
        <f t="shared" si="147"/>
        <v>L069_00|ToM</v>
      </c>
    </row>
    <row r="9413" spans="1:5" x14ac:dyDescent="0.2">
      <c r="A9413" t="s">
        <v>1650</v>
      </c>
      <c r="B9413" t="s">
        <v>1651</v>
      </c>
      <c r="C9413" t="s">
        <v>331</v>
      </c>
      <c r="D9413" t="str">
        <f>VLOOKUP(C9413,'lookup table'!$A$2:$B$19,2,FALSE)</f>
        <v>FS Item</v>
      </c>
      <c r="E9413" t="str">
        <f t="shared" si="147"/>
        <v>L080_00|FS Item</v>
      </c>
    </row>
    <row r="9414" spans="1:5" x14ac:dyDescent="0.2">
      <c r="A9414" t="s">
        <v>1650</v>
      </c>
      <c r="B9414" t="s">
        <v>1651</v>
      </c>
      <c r="C9414" t="s">
        <v>423</v>
      </c>
      <c r="D9414" t="str">
        <f>VLOOKUP(C9414,'lookup table'!$A$2:$B$19,2,FALSE)</f>
        <v>ignore</v>
      </c>
      <c r="E9414" t="str">
        <f t="shared" si="147"/>
        <v>L080_00|ignore</v>
      </c>
    </row>
    <row r="9415" spans="1:5" x14ac:dyDescent="0.2">
      <c r="A9415" t="s">
        <v>1652</v>
      </c>
      <c r="B9415" t="s">
        <v>1653</v>
      </c>
      <c r="C9415" t="s">
        <v>438</v>
      </c>
      <c r="D9415" t="str">
        <f>VLOOKUP(C9415,'lookup table'!$A$2:$B$19,2,FALSE)</f>
        <v>ToM</v>
      </c>
      <c r="E9415" t="str">
        <f t="shared" si="147"/>
        <v>L086_00|ToM</v>
      </c>
    </row>
    <row r="9416" spans="1:5" x14ac:dyDescent="0.2">
      <c r="A9416" t="s">
        <v>1654</v>
      </c>
      <c r="B9416" t="s">
        <v>1655</v>
      </c>
      <c r="C9416" t="s">
        <v>331</v>
      </c>
      <c r="D9416" t="str">
        <f>VLOOKUP(C9416,'lookup table'!$A$2:$B$19,2,FALSE)</f>
        <v>FS Item</v>
      </c>
      <c r="E9416" t="str">
        <f t="shared" si="147"/>
        <v>L087_00|FS Item</v>
      </c>
    </row>
    <row r="9417" spans="1:5" x14ac:dyDescent="0.2">
      <c r="A9417" t="s">
        <v>1654</v>
      </c>
      <c r="B9417" t="s">
        <v>1655</v>
      </c>
      <c r="C9417" t="s">
        <v>423</v>
      </c>
      <c r="D9417" t="str">
        <f>VLOOKUP(C9417,'lookup table'!$A$2:$B$19,2,FALSE)</f>
        <v>ignore</v>
      </c>
      <c r="E9417" t="str">
        <f t="shared" si="147"/>
        <v>L087_00|ignore</v>
      </c>
    </row>
    <row r="9418" spans="1:5" x14ac:dyDescent="0.2">
      <c r="A9418" t="s">
        <v>1654</v>
      </c>
      <c r="B9418" t="s">
        <v>1655</v>
      </c>
      <c r="C9418" t="s">
        <v>438</v>
      </c>
      <c r="D9418" t="str">
        <f>VLOOKUP(C9418,'lookup table'!$A$2:$B$19,2,FALSE)</f>
        <v>ToM</v>
      </c>
      <c r="E9418" t="str">
        <f t="shared" si="147"/>
        <v>L087_00|ToM</v>
      </c>
    </row>
    <row r="9419" spans="1:5" x14ac:dyDescent="0.2">
      <c r="A9419" t="s">
        <v>1654</v>
      </c>
      <c r="B9419" t="s">
        <v>1655</v>
      </c>
      <c r="C9419" t="s">
        <v>441</v>
      </c>
      <c r="D9419" t="str">
        <f>VLOOKUP(C9419,'lookup table'!$A$2:$B$19,2,FALSE)</f>
        <v>Partner Segment</v>
      </c>
      <c r="E9419" t="str">
        <f t="shared" si="147"/>
        <v>L087_00|Partner Segment</v>
      </c>
    </row>
    <row r="9420" spans="1:5" x14ac:dyDescent="0.2">
      <c r="A9420" t="s">
        <v>1654</v>
      </c>
      <c r="B9420" t="s">
        <v>1655</v>
      </c>
      <c r="C9420" t="s">
        <v>442</v>
      </c>
      <c r="D9420" t="str">
        <f>VLOOKUP(C9420,'lookup table'!$A$2:$B$19,2,FALSE)</f>
        <v>Partner Unit</v>
      </c>
      <c r="E9420" t="str">
        <f t="shared" si="147"/>
        <v>L087_00|Partner Unit</v>
      </c>
    </row>
    <row r="9421" spans="1:5" x14ac:dyDescent="0.2">
      <c r="A9421" t="s">
        <v>1656</v>
      </c>
      <c r="B9421" t="s">
        <v>1657</v>
      </c>
      <c r="C9421" t="s">
        <v>331</v>
      </c>
      <c r="D9421" t="str">
        <f>VLOOKUP(C9421,'lookup table'!$A$2:$B$19,2,FALSE)</f>
        <v>FS Item</v>
      </c>
      <c r="E9421" t="str">
        <f t="shared" si="147"/>
        <v>L092_00|FS Item</v>
      </c>
    </row>
    <row r="9422" spans="1:5" x14ac:dyDescent="0.2">
      <c r="A9422" t="s">
        <v>1656</v>
      </c>
      <c r="B9422" t="s">
        <v>1657</v>
      </c>
      <c r="C9422" t="s">
        <v>423</v>
      </c>
      <c r="D9422" t="str">
        <f>VLOOKUP(C9422,'lookup table'!$A$2:$B$19,2,FALSE)</f>
        <v>ignore</v>
      </c>
      <c r="E9422" t="str">
        <f t="shared" si="147"/>
        <v>L092_00|ignore</v>
      </c>
    </row>
    <row r="9423" spans="1:5" x14ac:dyDescent="0.2">
      <c r="A9423" t="s">
        <v>1656</v>
      </c>
      <c r="B9423" t="s">
        <v>1657</v>
      </c>
      <c r="C9423" t="s">
        <v>438</v>
      </c>
      <c r="D9423" t="str">
        <f>VLOOKUP(C9423,'lookup table'!$A$2:$B$19,2,FALSE)</f>
        <v>ToM</v>
      </c>
      <c r="E9423" t="str">
        <f t="shared" si="147"/>
        <v>L092_00|ToM</v>
      </c>
    </row>
    <row r="9424" spans="1:5" x14ac:dyDescent="0.2">
      <c r="A9424" t="s">
        <v>1656</v>
      </c>
      <c r="B9424" t="s">
        <v>1657</v>
      </c>
      <c r="C9424" t="s">
        <v>441</v>
      </c>
      <c r="D9424" t="str">
        <f>VLOOKUP(C9424,'lookup table'!$A$2:$B$19,2,FALSE)</f>
        <v>Partner Segment</v>
      </c>
      <c r="E9424" t="str">
        <f t="shared" si="147"/>
        <v>L092_00|Partner Segment</v>
      </c>
    </row>
    <row r="9425" spans="1:5" x14ac:dyDescent="0.2">
      <c r="A9425" t="s">
        <v>1656</v>
      </c>
      <c r="B9425" t="s">
        <v>1657</v>
      </c>
      <c r="C9425" t="s">
        <v>442</v>
      </c>
      <c r="D9425" t="str">
        <f>VLOOKUP(C9425,'lookup table'!$A$2:$B$19,2,FALSE)</f>
        <v>Partner Unit</v>
      </c>
      <c r="E9425" t="str">
        <f t="shared" si="147"/>
        <v>L092_00|Partner Unit</v>
      </c>
    </row>
    <row r="9426" spans="1:5" x14ac:dyDescent="0.2">
      <c r="A9426" t="s">
        <v>1658</v>
      </c>
      <c r="B9426" t="s">
        <v>1659</v>
      </c>
      <c r="C9426" t="s">
        <v>331</v>
      </c>
      <c r="D9426" t="str">
        <f>VLOOKUP(C9426,'lookup table'!$A$2:$B$19,2,FALSE)</f>
        <v>FS Item</v>
      </c>
      <c r="E9426" t="str">
        <f t="shared" si="147"/>
        <v>L093_00|FS Item</v>
      </c>
    </row>
    <row r="9427" spans="1:5" x14ac:dyDescent="0.2">
      <c r="A9427" t="s">
        <v>1658</v>
      </c>
      <c r="B9427" t="s">
        <v>1659</v>
      </c>
      <c r="C9427" t="s">
        <v>423</v>
      </c>
      <c r="D9427" t="str">
        <f>VLOOKUP(C9427,'lookup table'!$A$2:$B$19,2,FALSE)</f>
        <v>ignore</v>
      </c>
      <c r="E9427" t="str">
        <f t="shared" si="147"/>
        <v>L093_00|ignore</v>
      </c>
    </row>
    <row r="9428" spans="1:5" x14ac:dyDescent="0.2">
      <c r="A9428" t="s">
        <v>1658</v>
      </c>
      <c r="B9428" t="s">
        <v>1659</v>
      </c>
      <c r="C9428" t="s">
        <v>438</v>
      </c>
      <c r="D9428" t="str">
        <f>VLOOKUP(C9428,'lookup table'!$A$2:$B$19,2,FALSE)</f>
        <v>ToM</v>
      </c>
      <c r="E9428" t="str">
        <f t="shared" si="147"/>
        <v>L093_00|ToM</v>
      </c>
    </row>
    <row r="9429" spans="1:5" x14ac:dyDescent="0.2">
      <c r="A9429" t="s">
        <v>1660</v>
      </c>
      <c r="B9429" t="s">
        <v>1661</v>
      </c>
      <c r="C9429" t="s">
        <v>428</v>
      </c>
      <c r="D9429" t="str">
        <f>VLOOKUP(C9429,'lookup table'!$A$2:$B$19,2,FALSE)</f>
        <v>LoB</v>
      </c>
      <c r="E9429" t="str">
        <f t="shared" si="147"/>
        <v>L100_70|LoB</v>
      </c>
    </row>
    <row r="9430" spans="1:5" x14ac:dyDescent="0.2">
      <c r="A9430" t="s">
        <v>1662</v>
      </c>
      <c r="B9430" t="s">
        <v>1663</v>
      </c>
      <c r="C9430" t="s">
        <v>428</v>
      </c>
      <c r="D9430" t="str">
        <f>VLOOKUP(C9430,'lookup table'!$A$2:$B$19,2,FALSE)</f>
        <v>LoB</v>
      </c>
      <c r="E9430" t="str">
        <f t="shared" si="147"/>
        <v>L101_70|LoB</v>
      </c>
    </row>
    <row r="9431" spans="1:5" x14ac:dyDescent="0.2">
      <c r="A9431" t="s">
        <v>1664</v>
      </c>
      <c r="B9431" t="s">
        <v>1665</v>
      </c>
      <c r="C9431" t="s">
        <v>428</v>
      </c>
      <c r="D9431" t="str">
        <f>VLOOKUP(C9431,'lookup table'!$A$2:$B$19,2,FALSE)</f>
        <v>LoB</v>
      </c>
      <c r="E9431" t="str">
        <f t="shared" si="147"/>
        <v>L102_70|LoB</v>
      </c>
    </row>
    <row r="9432" spans="1:5" x14ac:dyDescent="0.2">
      <c r="A9432" t="s">
        <v>1666</v>
      </c>
      <c r="B9432" t="s">
        <v>1667</v>
      </c>
      <c r="C9432" t="s">
        <v>428</v>
      </c>
      <c r="D9432" t="str">
        <f>VLOOKUP(C9432,'lookup table'!$A$2:$B$19,2,FALSE)</f>
        <v>LoB</v>
      </c>
      <c r="E9432" t="str">
        <f t="shared" si="147"/>
        <v>L103_70|LoB</v>
      </c>
    </row>
    <row r="9433" spans="1:5" x14ac:dyDescent="0.2">
      <c r="A9433" t="s">
        <v>1668</v>
      </c>
      <c r="B9433" t="s">
        <v>1669</v>
      </c>
      <c r="C9433" t="s">
        <v>331</v>
      </c>
      <c r="D9433" t="str">
        <f>VLOOKUP(C9433,'lookup table'!$A$2:$B$19,2,FALSE)</f>
        <v>FS Item</v>
      </c>
      <c r="E9433" t="str">
        <f t="shared" si="147"/>
        <v>L121_00|FS Item</v>
      </c>
    </row>
    <row r="9434" spans="1:5" x14ac:dyDescent="0.2">
      <c r="A9434" t="s">
        <v>1668</v>
      </c>
      <c r="B9434" t="s">
        <v>1669</v>
      </c>
      <c r="C9434" t="s">
        <v>423</v>
      </c>
      <c r="D9434" t="str">
        <f>VLOOKUP(C9434,'lookup table'!$A$2:$B$19,2,FALSE)</f>
        <v>ignore</v>
      </c>
      <c r="E9434" t="str">
        <f t="shared" si="147"/>
        <v>L121_00|ignore</v>
      </c>
    </row>
    <row r="9435" spans="1:5" x14ac:dyDescent="0.2">
      <c r="A9435" t="s">
        <v>1670</v>
      </c>
      <c r="B9435" t="s">
        <v>1671</v>
      </c>
      <c r="C9435" t="s">
        <v>331</v>
      </c>
      <c r="D9435" t="str">
        <f>VLOOKUP(C9435,'lookup table'!$A$2:$B$19,2,FALSE)</f>
        <v>FS Item</v>
      </c>
      <c r="E9435" t="str">
        <f t="shared" si="147"/>
        <v>L122_00|FS Item</v>
      </c>
    </row>
    <row r="9436" spans="1:5" x14ac:dyDescent="0.2">
      <c r="A9436" t="s">
        <v>1670</v>
      </c>
      <c r="B9436" t="s">
        <v>1671</v>
      </c>
      <c r="C9436" t="s">
        <v>423</v>
      </c>
      <c r="D9436" t="str">
        <f>VLOOKUP(C9436,'lookup table'!$A$2:$B$19,2,FALSE)</f>
        <v>ignore</v>
      </c>
      <c r="E9436" t="str">
        <f t="shared" si="147"/>
        <v>L122_00|ignore</v>
      </c>
    </row>
    <row r="9437" spans="1:5" x14ac:dyDescent="0.2">
      <c r="A9437" t="s">
        <v>1672</v>
      </c>
      <c r="B9437" t="s">
        <v>1673</v>
      </c>
      <c r="C9437" t="s">
        <v>331</v>
      </c>
      <c r="D9437" t="str">
        <f>VLOOKUP(C9437,'lookup table'!$A$2:$B$19,2,FALSE)</f>
        <v>FS Item</v>
      </c>
      <c r="E9437" t="str">
        <f t="shared" si="147"/>
        <v>L123_00|FS Item</v>
      </c>
    </row>
    <row r="9438" spans="1:5" x14ac:dyDescent="0.2">
      <c r="A9438" t="s">
        <v>1672</v>
      </c>
      <c r="B9438" t="s">
        <v>1673</v>
      </c>
      <c r="C9438" t="s">
        <v>423</v>
      </c>
      <c r="D9438" t="str">
        <f>VLOOKUP(C9438,'lookup table'!$A$2:$B$19,2,FALSE)</f>
        <v>ignore</v>
      </c>
      <c r="E9438" t="str">
        <f t="shared" si="147"/>
        <v>L123_00|ignore</v>
      </c>
    </row>
    <row r="9439" spans="1:5" x14ac:dyDescent="0.2">
      <c r="A9439" t="s">
        <v>1674</v>
      </c>
      <c r="B9439" t="s">
        <v>1675</v>
      </c>
      <c r="C9439" t="s">
        <v>331</v>
      </c>
      <c r="D9439" t="str">
        <f>VLOOKUP(C9439,'lookup table'!$A$2:$B$19,2,FALSE)</f>
        <v>FS Item</v>
      </c>
      <c r="E9439" t="str">
        <f t="shared" si="147"/>
        <v>L125_00|FS Item</v>
      </c>
    </row>
    <row r="9440" spans="1:5" x14ac:dyDescent="0.2">
      <c r="A9440" t="s">
        <v>1674</v>
      </c>
      <c r="B9440" t="s">
        <v>1675</v>
      </c>
      <c r="C9440" t="s">
        <v>423</v>
      </c>
      <c r="D9440" t="str">
        <f>VLOOKUP(C9440,'lookup table'!$A$2:$B$19,2,FALSE)</f>
        <v>ignore</v>
      </c>
      <c r="E9440" t="str">
        <f t="shared" si="147"/>
        <v>L125_00|ignore</v>
      </c>
    </row>
    <row r="9441" spans="1:5" x14ac:dyDescent="0.2">
      <c r="A9441" t="s">
        <v>1674</v>
      </c>
      <c r="B9441" t="s">
        <v>1675</v>
      </c>
      <c r="C9441" t="s">
        <v>438</v>
      </c>
      <c r="D9441" t="str">
        <f>VLOOKUP(C9441,'lookup table'!$A$2:$B$19,2,FALSE)</f>
        <v>ToM</v>
      </c>
      <c r="E9441" t="str">
        <f t="shared" si="147"/>
        <v>L125_00|ToM</v>
      </c>
    </row>
    <row r="9442" spans="1:5" x14ac:dyDescent="0.2">
      <c r="A9442" t="s">
        <v>1676</v>
      </c>
      <c r="B9442" t="s">
        <v>1677</v>
      </c>
      <c r="C9442" t="s">
        <v>441</v>
      </c>
      <c r="D9442" t="str">
        <f>VLOOKUP(C9442,'lookup table'!$A$2:$B$19,2,FALSE)</f>
        <v>Partner Segment</v>
      </c>
      <c r="E9442" t="str">
        <f t="shared" si="147"/>
        <v>L126_00|Partner Segment</v>
      </c>
    </row>
    <row r="9443" spans="1:5" x14ac:dyDescent="0.2">
      <c r="A9443" t="s">
        <v>1676</v>
      </c>
      <c r="B9443" t="s">
        <v>1677</v>
      </c>
      <c r="C9443" t="s">
        <v>442</v>
      </c>
      <c r="D9443" t="str">
        <f>VLOOKUP(C9443,'lookup table'!$A$2:$B$19,2,FALSE)</f>
        <v>Partner Unit</v>
      </c>
      <c r="E9443" t="str">
        <f t="shared" si="147"/>
        <v>L126_00|Partner Unit</v>
      </c>
    </row>
    <row r="9444" spans="1:5" x14ac:dyDescent="0.2">
      <c r="A9444" t="s">
        <v>1678</v>
      </c>
      <c r="B9444" t="s">
        <v>1679</v>
      </c>
      <c r="C9444" t="s">
        <v>20</v>
      </c>
      <c r="D9444" t="str">
        <f>VLOOKUP(C9444,'lookup table'!$A$2:$B$19,2,FALSE)</f>
        <v>AY</v>
      </c>
      <c r="E9444" t="str">
        <f t="shared" si="147"/>
        <v>L127_00|AY</v>
      </c>
    </row>
    <row r="9445" spans="1:5" x14ac:dyDescent="0.2">
      <c r="A9445" t="s">
        <v>1678</v>
      </c>
      <c r="B9445" t="s">
        <v>1679</v>
      </c>
      <c r="C9445" t="s">
        <v>331</v>
      </c>
      <c r="D9445" t="str">
        <f>VLOOKUP(C9445,'lookup table'!$A$2:$B$19,2,FALSE)</f>
        <v>FS Item</v>
      </c>
      <c r="E9445" t="str">
        <f t="shared" si="147"/>
        <v>L127_00|FS Item</v>
      </c>
    </row>
    <row r="9446" spans="1:5" x14ac:dyDescent="0.2">
      <c r="A9446" t="s">
        <v>1678</v>
      </c>
      <c r="B9446" t="s">
        <v>1679</v>
      </c>
      <c r="C9446" t="s">
        <v>423</v>
      </c>
      <c r="D9446" t="str">
        <f>VLOOKUP(C9446,'lookup table'!$A$2:$B$19,2,FALSE)</f>
        <v>ignore</v>
      </c>
      <c r="E9446" t="str">
        <f t="shared" si="147"/>
        <v>L127_00|ignore</v>
      </c>
    </row>
    <row r="9447" spans="1:5" x14ac:dyDescent="0.2">
      <c r="A9447" t="s">
        <v>1678</v>
      </c>
      <c r="B9447" t="s">
        <v>1679</v>
      </c>
      <c r="C9447" t="s">
        <v>428</v>
      </c>
      <c r="D9447" t="str">
        <f>VLOOKUP(C9447,'lookup table'!$A$2:$B$19,2,FALSE)</f>
        <v>LoB</v>
      </c>
      <c r="E9447" t="str">
        <f t="shared" si="147"/>
        <v>L127_00|LoB</v>
      </c>
    </row>
    <row r="9448" spans="1:5" x14ac:dyDescent="0.2">
      <c r="A9448" t="s">
        <v>1678</v>
      </c>
      <c r="B9448" t="s">
        <v>1679</v>
      </c>
      <c r="C9448" t="s">
        <v>438</v>
      </c>
      <c r="D9448" t="str">
        <f>VLOOKUP(C9448,'lookup table'!$A$2:$B$19,2,FALSE)</f>
        <v>ToM</v>
      </c>
      <c r="E9448" t="str">
        <f t="shared" si="147"/>
        <v>L127_00|ToM</v>
      </c>
    </row>
    <row r="9449" spans="1:5" x14ac:dyDescent="0.2">
      <c r="A9449" t="s">
        <v>1678</v>
      </c>
      <c r="B9449" t="s">
        <v>1679</v>
      </c>
      <c r="C9449" t="s">
        <v>441</v>
      </c>
      <c r="D9449" t="str">
        <f>VLOOKUP(C9449,'lookup table'!$A$2:$B$19,2,FALSE)</f>
        <v>Partner Segment</v>
      </c>
      <c r="E9449" t="str">
        <f t="shared" si="147"/>
        <v>L127_00|Partner Segment</v>
      </c>
    </row>
    <row r="9450" spans="1:5" x14ac:dyDescent="0.2">
      <c r="A9450" t="s">
        <v>1678</v>
      </c>
      <c r="B9450" t="s">
        <v>1679</v>
      </c>
      <c r="C9450" t="s">
        <v>442</v>
      </c>
      <c r="D9450" t="str">
        <f>VLOOKUP(C9450,'lookup table'!$A$2:$B$19,2,FALSE)</f>
        <v>Partner Unit</v>
      </c>
      <c r="E9450" t="str">
        <f t="shared" si="147"/>
        <v>L127_00|Partner Unit</v>
      </c>
    </row>
    <row r="9451" spans="1:5" x14ac:dyDescent="0.2">
      <c r="A9451" t="s">
        <v>1680</v>
      </c>
      <c r="B9451" t="s">
        <v>1681</v>
      </c>
      <c r="C9451" t="s">
        <v>331</v>
      </c>
      <c r="D9451" t="str">
        <f>VLOOKUP(C9451,'lookup table'!$A$2:$B$19,2,FALSE)</f>
        <v>FS Item</v>
      </c>
      <c r="E9451" t="str">
        <f t="shared" si="147"/>
        <v>L128_00|FS Item</v>
      </c>
    </row>
    <row r="9452" spans="1:5" x14ac:dyDescent="0.2">
      <c r="A9452" t="s">
        <v>1680</v>
      </c>
      <c r="B9452" t="s">
        <v>1681</v>
      </c>
      <c r="C9452" t="s">
        <v>423</v>
      </c>
      <c r="D9452" t="str">
        <f>VLOOKUP(C9452,'lookup table'!$A$2:$B$19,2,FALSE)</f>
        <v>ignore</v>
      </c>
      <c r="E9452" t="str">
        <f t="shared" si="147"/>
        <v>L128_00|ignore</v>
      </c>
    </row>
    <row r="9453" spans="1:5" x14ac:dyDescent="0.2">
      <c r="A9453" t="s">
        <v>1682</v>
      </c>
      <c r="B9453" t="s">
        <v>1683</v>
      </c>
      <c r="C9453" t="s">
        <v>20</v>
      </c>
      <c r="D9453" t="str">
        <f>VLOOKUP(C9453,'lookup table'!$A$2:$B$19,2,FALSE)</f>
        <v>AY</v>
      </c>
      <c r="E9453" t="str">
        <f t="shared" si="147"/>
        <v>L130_00|AY</v>
      </c>
    </row>
    <row r="9454" spans="1:5" x14ac:dyDescent="0.2">
      <c r="A9454" t="s">
        <v>1682</v>
      </c>
      <c r="B9454" t="s">
        <v>1683</v>
      </c>
      <c r="C9454" t="s">
        <v>331</v>
      </c>
      <c r="D9454" t="str">
        <f>VLOOKUP(C9454,'lookup table'!$A$2:$B$19,2,FALSE)</f>
        <v>FS Item</v>
      </c>
      <c r="E9454" t="str">
        <f t="shared" si="147"/>
        <v>L130_00|FS Item</v>
      </c>
    </row>
    <row r="9455" spans="1:5" x14ac:dyDescent="0.2">
      <c r="A9455" t="s">
        <v>1682</v>
      </c>
      <c r="B9455" t="s">
        <v>1683</v>
      </c>
      <c r="C9455" t="s">
        <v>423</v>
      </c>
      <c r="D9455" t="str">
        <f>VLOOKUP(C9455,'lookup table'!$A$2:$B$19,2,FALSE)</f>
        <v>ignore</v>
      </c>
      <c r="E9455" t="str">
        <f t="shared" si="147"/>
        <v>L130_00|ignore</v>
      </c>
    </row>
    <row r="9456" spans="1:5" x14ac:dyDescent="0.2">
      <c r="A9456" t="s">
        <v>1682</v>
      </c>
      <c r="B9456" t="s">
        <v>1683</v>
      </c>
      <c r="C9456" t="s">
        <v>428</v>
      </c>
      <c r="D9456" t="str">
        <f>VLOOKUP(C9456,'lookup table'!$A$2:$B$19,2,FALSE)</f>
        <v>LoB</v>
      </c>
      <c r="E9456" t="str">
        <f t="shared" si="147"/>
        <v>L130_00|LoB</v>
      </c>
    </row>
    <row r="9457" spans="1:5" x14ac:dyDescent="0.2">
      <c r="A9457" t="s">
        <v>1682</v>
      </c>
      <c r="B9457" t="s">
        <v>1683</v>
      </c>
      <c r="C9457" t="s">
        <v>438</v>
      </c>
      <c r="D9457" t="str">
        <f>VLOOKUP(C9457,'lookup table'!$A$2:$B$19,2,FALSE)</f>
        <v>ToM</v>
      </c>
      <c r="E9457" t="str">
        <f t="shared" si="147"/>
        <v>L130_00|ToM</v>
      </c>
    </row>
    <row r="9458" spans="1:5" x14ac:dyDescent="0.2">
      <c r="A9458" t="s">
        <v>1682</v>
      </c>
      <c r="B9458" t="s">
        <v>1683</v>
      </c>
      <c r="C9458" t="s">
        <v>441</v>
      </c>
      <c r="D9458" t="str">
        <f>VLOOKUP(C9458,'lookup table'!$A$2:$B$19,2,FALSE)</f>
        <v>Partner Segment</v>
      </c>
      <c r="E9458" t="str">
        <f t="shared" si="147"/>
        <v>L130_00|Partner Segment</v>
      </c>
    </row>
    <row r="9459" spans="1:5" x14ac:dyDescent="0.2">
      <c r="A9459" t="s">
        <v>1682</v>
      </c>
      <c r="B9459" t="s">
        <v>1683</v>
      </c>
      <c r="C9459" t="s">
        <v>442</v>
      </c>
      <c r="D9459" t="str">
        <f>VLOOKUP(C9459,'lookup table'!$A$2:$B$19,2,FALSE)</f>
        <v>Partner Unit</v>
      </c>
      <c r="E9459" t="str">
        <f t="shared" si="147"/>
        <v>L130_00|Partner Unit</v>
      </c>
    </row>
    <row r="9460" spans="1:5" x14ac:dyDescent="0.2">
      <c r="A9460" t="s">
        <v>1684</v>
      </c>
      <c r="B9460" t="s">
        <v>1685</v>
      </c>
      <c r="C9460" t="s">
        <v>20</v>
      </c>
      <c r="D9460" t="str">
        <f>VLOOKUP(C9460,'lookup table'!$A$2:$B$19,2,FALSE)</f>
        <v>AY</v>
      </c>
      <c r="E9460" t="str">
        <f t="shared" si="147"/>
        <v>L131_00|AY</v>
      </c>
    </row>
    <row r="9461" spans="1:5" x14ac:dyDescent="0.2">
      <c r="A9461" t="s">
        <v>1684</v>
      </c>
      <c r="B9461" t="s">
        <v>1685</v>
      </c>
      <c r="C9461" t="s">
        <v>331</v>
      </c>
      <c r="D9461" t="str">
        <f>VLOOKUP(C9461,'lookup table'!$A$2:$B$19,2,FALSE)</f>
        <v>FS Item</v>
      </c>
      <c r="E9461" t="str">
        <f t="shared" si="147"/>
        <v>L131_00|FS Item</v>
      </c>
    </row>
    <row r="9462" spans="1:5" x14ac:dyDescent="0.2">
      <c r="A9462" t="s">
        <v>1684</v>
      </c>
      <c r="B9462" t="s">
        <v>1685</v>
      </c>
      <c r="C9462" t="s">
        <v>423</v>
      </c>
      <c r="D9462" t="str">
        <f>VLOOKUP(C9462,'lookup table'!$A$2:$B$19,2,FALSE)</f>
        <v>ignore</v>
      </c>
      <c r="E9462" t="str">
        <f t="shared" si="147"/>
        <v>L131_00|ignore</v>
      </c>
    </row>
    <row r="9463" spans="1:5" x14ac:dyDescent="0.2">
      <c r="A9463" t="s">
        <v>1684</v>
      </c>
      <c r="B9463" t="s">
        <v>1685</v>
      </c>
      <c r="C9463" t="s">
        <v>428</v>
      </c>
      <c r="D9463" t="str">
        <f>VLOOKUP(C9463,'lookup table'!$A$2:$B$19,2,FALSE)</f>
        <v>LoB</v>
      </c>
      <c r="E9463" t="str">
        <f t="shared" si="147"/>
        <v>L131_00|LoB</v>
      </c>
    </row>
    <row r="9464" spans="1:5" x14ac:dyDescent="0.2">
      <c r="A9464" t="s">
        <v>1684</v>
      </c>
      <c r="B9464" t="s">
        <v>1685</v>
      </c>
      <c r="C9464" t="s">
        <v>438</v>
      </c>
      <c r="D9464" t="str">
        <f>VLOOKUP(C9464,'lookup table'!$A$2:$B$19,2,FALSE)</f>
        <v>ToM</v>
      </c>
      <c r="E9464" t="str">
        <f t="shared" si="147"/>
        <v>L131_00|ToM</v>
      </c>
    </row>
    <row r="9465" spans="1:5" x14ac:dyDescent="0.2">
      <c r="A9465" t="s">
        <v>1684</v>
      </c>
      <c r="B9465" t="s">
        <v>1685</v>
      </c>
      <c r="C9465" t="s">
        <v>441</v>
      </c>
      <c r="D9465" t="str">
        <f>VLOOKUP(C9465,'lookup table'!$A$2:$B$19,2,FALSE)</f>
        <v>Partner Segment</v>
      </c>
      <c r="E9465" t="str">
        <f t="shared" si="147"/>
        <v>L131_00|Partner Segment</v>
      </c>
    </row>
    <row r="9466" spans="1:5" x14ac:dyDescent="0.2">
      <c r="A9466" t="s">
        <v>1684</v>
      </c>
      <c r="B9466" t="s">
        <v>1685</v>
      </c>
      <c r="C9466" t="s">
        <v>442</v>
      </c>
      <c r="D9466" t="str">
        <f>VLOOKUP(C9466,'lookup table'!$A$2:$B$19,2,FALSE)</f>
        <v>Partner Unit</v>
      </c>
      <c r="E9466" t="str">
        <f t="shared" si="147"/>
        <v>L131_00|Partner Unit</v>
      </c>
    </row>
    <row r="9467" spans="1:5" x14ac:dyDescent="0.2">
      <c r="A9467" t="s">
        <v>1686</v>
      </c>
      <c r="B9467" t="s">
        <v>1687</v>
      </c>
      <c r="C9467" t="s">
        <v>20</v>
      </c>
      <c r="D9467" t="str">
        <f>VLOOKUP(C9467,'lookup table'!$A$2:$B$19,2,FALSE)</f>
        <v>AY</v>
      </c>
      <c r="E9467" t="str">
        <f t="shared" si="147"/>
        <v>L131_17|AY</v>
      </c>
    </row>
    <row r="9468" spans="1:5" x14ac:dyDescent="0.2">
      <c r="A9468" t="s">
        <v>1686</v>
      </c>
      <c r="B9468" t="s">
        <v>1687</v>
      </c>
      <c r="C9468" t="s">
        <v>331</v>
      </c>
      <c r="D9468" t="str">
        <f>VLOOKUP(C9468,'lookup table'!$A$2:$B$19,2,FALSE)</f>
        <v>FS Item</v>
      </c>
      <c r="E9468" t="str">
        <f t="shared" si="147"/>
        <v>L131_17|FS Item</v>
      </c>
    </row>
    <row r="9469" spans="1:5" x14ac:dyDescent="0.2">
      <c r="A9469" t="s">
        <v>1686</v>
      </c>
      <c r="B9469" t="s">
        <v>1687</v>
      </c>
      <c r="C9469" t="s">
        <v>423</v>
      </c>
      <c r="D9469" t="str">
        <f>VLOOKUP(C9469,'lookup table'!$A$2:$B$19,2,FALSE)</f>
        <v>ignore</v>
      </c>
      <c r="E9469" t="str">
        <f t="shared" si="147"/>
        <v>L131_17|ignore</v>
      </c>
    </row>
    <row r="9470" spans="1:5" x14ac:dyDescent="0.2">
      <c r="A9470" t="s">
        <v>1686</v>
      </c>
      <c r="B9470" t="s">
        <v>1687</v>
      </c>
      <c r="C9470" t="s">
        <v>428</v>
      </c>
      <c r="D9470" t="str">
        <f>VLOOKUP(C9470,'lookup table'!$A$2:$B$19,2,FALSE)</f>
        <v>LoB</v>
      </c>
      <c r="E9470" t="str">
        <f t="shared" si="147"/>
        <v>L131_17|LoB</v>
      </c>
    </row>
    <row r="9471" spans="1:5" x14ac:dyDescent="0.2">
      <c r="A9471" t="s">
        <v>1686</v>
      </c>
      <c r="B9471" t="s">
        <v>1687</v>
      </c>
      <c r="C9471" t="s">
        <v>438</v>
      </c>
      <c r="D9471" t="str">
        <f>VLOOKUP(C9471,'lookup table'!$A$2:$B$19,2,FALSE)</f>
        <v>ToM</v>
      </c>
      <c r="E9471" t="str">
        <f t="shared" si="147"/>
        <v>L131_17|ToM</v>
      </c>
    </row>
    <row r="9472" spans="1:5" x14ac:dyDescent="0.2">
      <c r="A9472" t="s">
        <v>1686</v>
      </c>
      <c r="B9472" t="s">
        <v>1687</v>
      </c>
      <c r="C9472" t="s">
        <v>441</v>
      </c>
      <c r="D9472" t="str">
        <f>VLOOKUP(C9472,'lookup table'!$A$2:$B$19,2,FALSE)</f>
        <v>Partner Segment</v>
      </c>
      <c r="E9472" t="str">
        <f t="shared" si="147"/>
        <v>L131_17|Partner Segment</v>
      </c>
    </row>
    <row r="9473" spans="1:5" x14ac:dyDescent="0.2">
      <c r="A9473" t="s">
        <v>1686</v>
      </c>
      <c r="B9473" t="s">
        <v>1687</v>
      </c>
      <c r="C9473" t="s">
        <v>442</v>
      </c>
      <c r="D9473" t="str">
        <f>VLOOKUP(C9473,'lookup table'!$A$2:$B$19,2,FALSE)</f>
        <v>Partner Unit</v>
      </c>
      <c r="E9473" t="str">
        <f t="shared" si="147"/>
        <v>L131_17|Partner Unit</v>
      </c>
    </row>
    <row r="9474" spans="1:5" x14ac:dyDescent="0.2">
      <c r="A9474" t="s">
        <v>1686</v>
      </c>
      <c r="B9474" t="s">
        <v>1687</v>
      </c>
      <c r="C9474" t="s">
        <v>451</v>
      </c>
      <c r="D9474" t="str">
        <f>VLOOKUP(C9474,'lookup table'!$A$2:$B$19,2,FALSE)</f>
        <v>Segment</v>
      </c>
      <c r="E9474" t="str">
        <f t="shared" si="147"/>
        <v>L131_17|Segment</v>
      </c>
    </row>
    <row r="9475" spans="1:5" x14ac:dyDescent="0.2">
      <c r="A9475" t="s">
        <v>1688</v>
      </c>
      <c r="B9475" t="s">
        <v>1689</v>
      </c>
      <c r="C9475" t="s">
        <v>20</v>
      </c>
      <c r="D9475" t="str">
        <f>VLOOKUP(C9475,'lookup table'!$A$2:$B$19,2,FALSE)</f>
        <v>AY</v>
      </c>
      <c r="E9475" t="str">
        <f t="shared" ref="E9475:E9538" si="148">IF(ISNA(D9475),"",IF(A9475="","",A9475) &amp; "|" &amp; D9475)</f>
        <v>L131_80|AY</v>
      </c>
    </row>
    <row r="9476" spans="1:5" x14ac:dyDescent="0.2">
      <c r="A9476" t="s">
        <v>1688</v>
      </c>
      <c r="B9476" t="s">
        <v>1689</v>
      </c>
      <c r="C9476" t="s">
        <v>331</v>
      </c>
      <c r="D9476" t="str">
        <f>VLOOKUP(C9476,'lookup table'!$A$2:$B$19,2,FALSE)</f>
        <v>FS Item</v>
      </c>
      <c r="E9476" t="str">
        <f t="shared" si="148"/>
        <v>L131_80|FS Item</v>
      </c>
    </row>
    <row r="9477" spans="1:5" x14ac:dyDescent="0.2">
      <c r="A9477" t="s">
        <v>1688</v>
      </c>
      <c r="B9477" t="s">
        <v>1689</v>
      </c>
      <c r="C9477" t="s">
        <v>423</v>
      </c>
      <c r="D9477" t="str">
        <f>VLOOKUP(C9477,'lookup table'!$A$2:$B$19,2,FALSE)</f>
        <v>ignore</v>
      </c>
      <c r="E9477" t="str">
        <f t="shared" si="148"/>
        <v>L131_80|ignore</v>
      </c>
    </row>
    <row r="9478" spans="1:5" x14ac:dyDescent="0.2">
      <c r="A9478" t="s">
        <v>1688</v>
      </c>
      <c r="B9478" t="s">
        <v>1689</v>
      </c>
      <c r="C9478" t="s">
        <v>428</v>
      </c>
      <c r="D9478" t="str">
        <f>VLOOKUP(C9478,'lookup table'!$A$2:$B$19,2,FALSE)</f>
        <v>LoB</v>
      </c>
      <c r="E9478" t="str">
        <f t="shared" si="148"/>
        <v>L131_80|LoB</v>
      </c>
    </row>
    <row r="9479" spans="1:5" x14ac:dyDescent="0.2">
      <c r="A9479" t="s">
        <v>1688</v>
      </c>
      <c r="B9479" t="s">
        <v>1689</v>
      </c>
      <c r="C9479" t="s">
        <v>438</v>
      </c>
      <c r="D9479" t="str">
        <f>VLOOKUP(C9479,'lookup table'!$A$2:$B$19,2,FALSE)</f>
        <v>ToM</v>
      </c>
      <c r="E9479" t="str">
        <f t="shared" si="148"/>
        <v>L131_80|ToM</v>
      </c>
    </row>
    <row r="9480" spans="1:5" x14ac:dyDescent="0.2">
      <c r="A9480" t="s">
        <v>1688</v>
      </c>
      <c r="B9480" t="s">
        <v>1689</v>
      </c>
      <c r="C9480" t="s">
        <v>441</v>
      </c>
      <c r="D9480" t="str">
        <f>VLOOKUP(C9480,'lookup table'!$A$2:$B$19,2,FALSE)</f>
        <v>Partner Segment</v>
      </c>
      <c r="E9480" t="str">
        <f t="shared" si="148"/>
        <v>L131_80|Partner Segment</v>
      </c>
    </row>
    <row r="9481" spans="1:5" x14ac:dyDescent="0.2">
      <c r="A9481" t="s">
        <v>1688</v>
      </c>
      <c r="B9481" t="s">
        <v>1689</v>
      </c>
      <c r="C9481" t="s">
        <v>442</v>
      </c>
      <c r="D9481" t="str">
        <f>VLOOKUP(C9481,'lookup table'!$A$2:$B$19,2,FALSE)</f>
        <v>Partner Unit</v>
      </c>
      <c r="E9481" t="str">
        <f t="shared" si="148"/>
        <v>L131_80|Partner Unit</v>
      </c>
    </row>
    <row r="9482" spans="1:5" x14ac:dyDescent="0.2">
      <c r="A9482" t="s">
        <v>1688</v>
      </c>
      <c r="B9482" t="s">
        <v>1689</v>
      </c>
      <c r="C9482" t="s">
        <v>451</v>
      </c>
      <c r="D9482" t="str">
        <f>VLOOKUP(C9482,'lookup table'!$A$2:$B$19,2,FALSE)</f>
        <v>Segment</v>
      </c>
      <c r="E9482" t="str">
        <f t="shared" si="148"/>
        <v>L131_80|Segment</v>
      </c>
    </row>
    <row r="9483" spans="1:5" x14ac:dyDescent="0.2">
      <c r="A9483" t="s">
        <v>1690</v>
      </c>
      <c r="B9483" t="s">
        <v>1691</v>
      </c>
      <c r="C9483" t="s">
        <v>20</v>
      </c>
      <c r="D9483" t="str">
        <f>VLOOKUP(C9483,'lookup table'!$A$2:$B$19,2,FALSE)</f>
        <v>AY</v>
      </c>
      <c r="E9483" t="str">
        <f t="shared" si="148"/>
        <v>L131_85|AY</v>
      </c>
    </row>
    <row r="9484" spans="1:5" x14ac:dyDescent="0.2">
      <c r="A9484" t="s">
        <v>1690</v>
      </c>
      <c r="B9484" t="s">
        <v>1691</v>
      </c>
      <c r="C9484" t="s">
        <v>331</v>
      </c>
      <c r="D9484" t="str">
        <f>VLOOKUP(C9484,'lookup table'!$A$2:$B$19,2,FALSE)</f>
        <v>FS Item</v>
      </c>
      <c r="E9484" t="str">
        <f t="shared" si="148"/>
        <v>L131_85|FS Item</v>
      </c>
    </row>
    <row r="9485" spans="1:5" x14ac:dyDescent="0.2">
      <c r="A9485" t="s">
        <v>1690</v>
      </c>
      <c r="B9485" t="s">
        <v>1691</v>
      </c>
      <c r="C9485" t="s">
        <v>423</v>
      </c>
      <c r="D9485" t="str">
        <f>VLOOKUP(C9485,'lookup table'!$A$2:$B$19,2,FALSE)</f>
        <v>ignore</v>
      </c>
      <c r="E9485" t="str">
        <f t="shared" si="148"/>
        <v>L131_85|ignore</v>
      </c>
    </row>
    <row r="9486" spans="1:5" x14ac:dyDescent="0.2">
      <c r="A9486" t="s">
        <v>1690</v>
      </c>
      <c r="B9486" t="s">
        <v>1691</v>
      </c>
      <c r="C9486" t="s">
        <v>428</v>
      </c>
      <c r="D9486" t="str">
        <f>VLOOKUP(C9486,'lookup table'!$A$2:$B$19,2,FALSE)</f>
        <v>LoB</v>
      </c>
      <c r="E9486" t="str">
        <f t="shared" si="148"/>
        <v>L131_85|LoB</v>
      </c>
    </row>
    <row r="9487" spans="1:5" x14ac:dyDescent="0.2">
      <c r="A9487" t="s">
        <v>1690</v>
      </c>
      <c r="B9487" t="s">
        <v>1691</v>
      </c>
      <c r="C9487" t="s">
        <v>438</v>
      </c>
      <c r="D9487" t="str">
        <f>VLOOKUP(C9487,'lookup table'!$A$2:$B$19,2,FALSE)</f>
        <v>ToM</v>
      </c>
      <c r="E9487" t="str">
        <f t="shared" si="148"/>
        <v>L131_85|ToM</v>
      </c>
    </row>
    <row r="9488" spans="1:5" x14ac:dyDescent="0.2">
      <c r="A9488" t="s">
        <v>1690</v>
      </c>
      <c r="B9488" t="s">
        <v>1691</v>
      </c>
      <c r="C9488" t="s">
        <v>441</v>
      </c>
      <c r="D9488" t="str">
        <f>VLOOKUP(C9488,'lookup table'!$A$2:$B$19,2,FALSE)</f>
        <v>Partner Segment</v>
      </c>
      <c r="E9488" t="str">
        <f t="shared" si="148"/>
        <v>L131_85|Partner Segment</v>
      </c>
    </row>
    <row r="9489" spans="1:5" x14ac:dyDescent="0.2">
      <c r="A9489" t="s">
        <v>1690</v>
      </c>
      <c r="B9489" t="s">
        <v>1691</v>
      </c>
      <c r="C9489" t="s">
        <v>442</v>
      </c>
      <c r="D9489" t="str">
        <f>VLOOKUP(C9489,'lookup table'!$A$2:$B$19,2,FALSE)</f>
        <v>Partner Unit</v>
      </c>
      <c r="E9489" t="str">
        <f t="shared" si="148"/>
        <v>L131_85|Partner Unit</v>
      </c>
    </row>
    <row r="9490" spans="1:5" x14ac:dyDescent="0.2">
      <c r="A9490" t="s">
        <v>1690</v>
      </c>
      <c r="B9490" t="s">
        <v>1691</v>
      </c>
      <c r="C9490" t="s">
        <v>451</v>
      </c>
      <c r="D9490" t="str">
        <f>VLOOKUP(C9490,'lookup table'!$A$2:$B$19,2,FALSE)</f>
        <v>Segment</v>
      </c>
      <c r="E9490" t="str">
        <f t="shared" si="148"/>
        <v>L131_85|Segment</v>
      </c>
    </row>
    <row r="9491" spans="1:5" x14ac:dyDescent="0.2">
      <c r="A9491" t="s">
        <v>1692</v>
      </c>
      <c r="B9491" t="s">
        <v>1693</v>
      </c>
      <c r="C9491" t="s">
        <v>438</v>
      </c>
      <c r="D9491" t="str">
        <f>VLOOKUP(C9491,'lookup table'!$A$2:$B$19,2,FALSE)</f>
        <v>ToM</v>
      </c>
      <c r="E9491" t="str">
        <f t="shared" si="148"/>
        <v>L132_00|ToM</v>
      </c>
    </row>
    <row r="9492" spans="1:5" x14ac:dyDescent="0.2">
      <c r="A9492" t="s">
        <v>1694</v>
      </c>
      <c r="B9492" t="s">
        <v>1695</v>
      </c>
      <c r="C9492" t="s">
        <v>331</v>
      </c>
      <c r="D9492" t="str">
        <f>VLOOKUP(C9492,'lookup table'!$A$2:$B$19,2,FALSE)</f>
        <v>FS Item</v>
      </c>
      <c r="E9492" t="str">
        <f t="shared" si="148"/>
        <v>L135_00|FS Item</v>
      </c>
    </row>
    <row r="9493" spans="1:5" x14ac:dyDescent="0.2">
      <c r="A9493" t="s">
        <v>1694</v>
      </c>
      <c r="B9493" t="s">
        <v>1695</v>
      </c>
      <c r="C9493" t="s">
        <v>423</v>
      </c>
      <c r="D9493" t="str">
        <f>VLOOKUP(C9493,'lookup table'!$A$2:$B$19,2,FALSE)</f>
        <v>ignore</v>
      </c>
      <c r="E9493" t="str">
        <f t="shared" si="148"/>
        <v>L135_00|ignore</v>
      </c>
    </row>
    <row r="9494" spans="1:5" x14ac:dyDescent="0.2">
      <c r="A9494" t="s">
        <v>1694</v>
      </c>
      <c r="B9494" t="s">
        <v>1695</v>
      </c>
      <c r="C9494" t="s">
        <v>428</v>
      </c>
      <c r="D9494" t="str">
        <f>VLOOKUP(C9494,'lookup table'!$A$2:$B$19,2,FALSE)</f>
        <v>LoB</v>
      </c>
      <c r="E9494" t="str">
        <f t="shared" si="148"/>
        <v>L135_00|LoB</v>
      </c>
    </row>
    <row r="9495" spans="1:5" x14ac:dyDescent="0.2">
      <c r="A9495" t="s">
        <v>1694</v>
      </c>
      <c r="B9495" t="s">
        <v>1695</v>
      </c>
      <c r="C9495" t="s">
        <v>441</v>
      </c>
      <c r="D9495" t="str">
        <f>VLOOKUP(C9495,'lookup table'!$A$2:$B$19,2,FALSE)</f>
        <v>Partner Segment</v>
      </c>
      <c r="E9495" t="str">
        <f t="shared" si="148"/>
        <v>L135_00|Partner Segment</v>
      </c>
    </row>
    <row r="9496" spans="1:5" x14ac:dyDescent="0.2">
      <c r="A9496" t="s">
        <v>1694</v>
      </c>
      <c r="B9496" t="s">
        <v>1695</v>
      </c>
      <c r="C9496" t="s">
        <v>442</v>
      </c>
      <c r="D9496" t="str">
        <f>VLOOKUP(C9496,'lookup table'!$A$2:$B$19,2,FALSE)</f>
        <v>Partner Unit</v>
      </c>
      <c r="E9496" t="str">
        <f t="shared" si="148"/>
        <v>L135_00|Partner Unit</v>
      </c>
    </row>
    <row r="9497" spans="1:5" x14ac:dyDescent="0.2">
      <c r="A9497" t="s">
        <v>1694</v>
      </c>
      <c r="B9497" t="s">
        <v>1695</v>
      </c>
      <c r="C9497" t="s">
        <v>451</v>
      </c>
      <c r="D9497" t="str">
        <f>VLOOKUP(C9497,'lookup table'!$A$2:$B$19,2,FALSE)</f>
        <v>Segment</v>
      </c>
      <c r="E9497" t="str">
        <f t="shared" si="148"/>
        <v>L135_00|Segment</v>
      </c>
    </row>
    <row r="9498" spans="1:5" x14ac:dyDescent="0.2">
      <c r="A9498" t="s">
        <v>1696</v>
      </c>
      <c r="B9498" t="s">
        <v>1697</v>
      </c>
      <c r="C9498" t="s">
        <v>331</v>
      </c>
      <c r="D9498" t="str">
        <f>VLOOKUP(C9498,'lookup table'!$A$2:$B$19,2,FALSE)</f>
        <v>FS Item</v>
      </c>
      <c r="E9498" t="str">
        <f t="shared" si="148"/>
        <v>L136_00|FS Item</v>
      </c>
    </row>
    <row r="9499" spans="1:5" x14ac:dyDescent="0.2">
      <c r="A9499" t="s">
        <v>1696</v>
      </c>
      <c r="B9499" t="s">
        <v>1697</v>
      </c>
      <c r="C9499" t="s">
        <v>423</v>
      </c>
      <c r="D9499" t="str">
        <f>VLOOKUP(C9499,'lookup table'!$A$2:$B$19,2,FALSE)</f>
        <v>ignore</v>
      </c>
      <c r="E9499" t="str">
        <f t="shared" si="148"/>
        <v>L136_00|ignore</v>
      </c>
    </row>
    <row r="9500" spans="1:5" x14ac:dyDescent="0.2">
      <c r="A9500" t="s">
        <v>1696</v>
      </c>
      <c r="B9500" t="s">
        <v>1697</v>
      </c>
      <c r="C9500" t="s">
        <v>438</v>
      </c>
      <c r="D9500" t="str">
        <f>VLOOKUP(C9500,'lookup table'!$A$2:$B$19,2,FALSE)</f>
        <v>ToM</v>
      </c>
      <c r="E9500" t="str">
        <f t="shared" si="148"/>
        <v>L136_00|ToM</v>
      </c>
    </row>
    <row r="9501" spans="1:5" x14ac:dyDescent="0.2">
      <c r="A9501" t="s">
        <v>1698</v>
      </c>
      <c r="B9501" t="s">
        <v>1699</v>
      </c>
      <c r="C9501" t="s">
        <v>331</v>
      </c>
      <c r="D9501" t="str">
        <f>VLOOKUP(C9501,'lookup table'!$A$2:$B$19,2,FALSE)</f>
        <v>FS Item</v>
      </c>
      <c r="E9501" t="str">
        <f t="shared" si="148"/>
        <v>L142_00|FS Item</v>
      </c>
    </row>
    <row r="9502" spans="1:5" x14ac:dyDescent="0.2">
      <c r="A9502" t="s">
        <v>1698</v>
      </c>
      <c r="B9502" t="s">
        <v>1699</v>
      </c>
      <c r="C9502" t="s">
        <v>423</v>
      </c>
      <c r="D9502" t="str">
        <f>VLOOKUP(C9502,'lookup table'!$A$2:$B$19,2,FALSE)</f>
        <v>ignore</v>
      </c>
      <c r="E9502" t="str">
        <f t="shared" si="148"/>
        <v>L142_00|ignore</v>
      </c>
    </row>
    <row r="9503" spans="1:5" x14ac:dyDescent="0.2">
      <c r="A9503" t="s">
        <v>1700</v>
      </c>
      <c r="B9503" t="s">
        <v>1701</v>
      </c>
      <c r="C9503" t="s">
        <v>331</v>
      </c>
      <c r="D9503" t="str">
        <f>VLOOKUP(C9503,'lookup table'!$A$2:$B$19,2,FALSE)</f>
        <v>FS Item</v>
      </c>
      <c r="E9503" t="str">
        <f t="shared" si="148"/>
        <v>L143_00|FS Item</v>
      </c>
    </row>
    <row r="9504" spans="1:5" x14ac:dyDescent="0.2">
      <c r="A9504" t="s">
        <v>1700</v>
      </c>
      <c r="B9504" t="s">
        <v>1701</v>
      </c>
      <c r="C9504" t="s">
        <v>423</v>
      </c>
      <c r="D9504" t="str">
        <f>VLOOKUP(C9504,'lookup table'!$A$2:$B$19,2,FALSE)</f>
        <v>ignore</v>
      </c>
      <c r="E9504" t="str">
        <f t="shared" si="148"/>
        <v>L143_00|ignore</v>
      </c>
    </row>
    <row r="9505" spans="1:5" x14ac:dyDescent="0.2">
      <c r="A9505" t="s">
        <v>1702</v>
      </c>
      <c r="B9505" t="s">
        <v>1703</v>
      </c>
      <c r="C9505" t="s">
        <v>438</v>
      </c>
      <c r="D9505" t="str">
        <f>VLOOKUP(C9505,'lookup table'!$A$2:$B$19,2,FALSE)</f>
        <v>ToM</v>
      </c>
      <c r="E9505" t="str">
        <f t="shared" si="148"/>
        <v>L144_00|ToM</v>
      </c>
    </row>
    <row r="9506" spans="1:5" x14ac:dyDescent="0.2">
      <c r="A9506" t="s">
        <v>1704</v>
      </c>
      <c r="B9506" t="s">
        <v>1705</v>
      </c>
      <c r="C9506" t="s">
        <v>441</v>
      </c>
      <c r="D9506" t="str">
        <f>VLOOKUP(C9506,'lookup table'!$A$2:$B$19,2,FALSE)</f>
        <v>Partner Segment</v>
      </c>
      <c r="E9506" t="str">
        <f t="shared" si="148"/>
        <v>L146_00|Partner Segment</v>
      </c>
    </row>
    <row r="9507" spans="1:5" x14ac:dyDescent="0.2">
      <c r="A9507" t="s">
        <v>1704</v>
      </c>
      <c r="B9507" t="s">
        <v>1705</v>
      </c>
      <c r="C9507" t="s">
        <v>442</v>
      </c>
      <c r="D9507" t="str">
        <f>VLOOKUP(C9507,'lookup table'!$A$2:$B$19,2,FALSE)</f>
        <v>Partner Unit</v>
      </c>
      <c r="E9507" t="str">
        <f t="shared" si="148"/>
        <v>L146_00|Partner Unit</v>
      </c>
    </row>
    <row r="9508" spans="1:5" x14ac:dyDescent="0.2">
      <c r="A9508" t="s">
        <v>1706</v>
      </c>
      <c r="B9508" t="s">
        <v>1707</v>
      </c>
      <c r="C9508" t="s">
        <v>441</v>
      </c>
      <c r="D9508" t="str">
        <f>VLOOKUP(C9508,'lookup table'!$A$2:$B$19,2,FALSE)</f>
        <v>Partner Segment</v>
      </c>
      <c r="E9508" t="str">
        <f t="shared" si="148"/>
        <v>L147_00|Partner Segment</v>
      </c>
    </row>
    <row r="9509" spans="1:5" x14ac:dyDescent="0.2">
      <c r="A9509" t="s">
        <v>1706</v>
      </c>
      <c r="B9509" t="s">
        <v>1707</v>
      </c>
      <c r="C9509" t="s">
        <v>442</v>
      </c>
      <c r="D9509" t="str">
        <f>VLOOKUP(C9509,'lookup table'!$A$2:$B$19,2,FALSE)</f>
        <v>Partner Unit</v>
      </c>
      <c r="E9509" t="str">
        <f t="shared" si="148"/>
        <v>L147_00|Partner Unit</v>
      </c>
    </row>
    <row r="9510" spans="1:5" x14ac:dyDescent="0.2">
      <c r="A9510" t="s">
        <v>1708</v>
      </c>
      <c r="B9510" t="s">
        <v>1709</v>
      </c>
      <c r="C9510" t="s">
        <v>438</v>
      </c>
      <c r="D9510" t="str">
        <f>VLOOKUP(C9510,'lookup table'!$A$2:$B$19,2,FALSE)</f>
        <v>ToM</v>
      </c>
      <c r="E9510" t="str">
        <f t="shared" si="148"/>
        <v>L148_00|ToM</v>
      </c>
    </row>
    <row r="9511" spans="1:5" x14ac:dyDescent="0.2">
      <c r="A9511" t="s">
        <v>1708</v>
      </c>
      <c r="B9511" t="s">
        <v>1709</v>
      </c>
      <c r="C9511" t="s">
        <v>441</v>
      </c>
      <c r="D9511" t="str">
        <f>VLOOKUP(C9511,'lookup table'!$A$2:$B$19,2,FALSE)</f>
        <v>Partner Segment</v>
      </c>
      <c r="E9511" t="str">
        <f t="shared" si="148"/>
        <v>L148_00|Partner Segment</v>
      </c>
    </row>
    <row r="9512" spans="1:5" x14ac:dyDescent="0.2">
      <c r="A9512" t="s">
        <v>1708</v>
      </c>
      <c r="B9512" t="s">
        <v>1709</v>
      </c>
      <c r="C9512" t="s">
        <v>442</v>
      </c>
      <c r="D9512" t="str">
        <f>VLOOKUP(C9512,'lookup table'!$A$2:$B$19,2,FALSE)</f>
        <v>Partner Unit</v>
      </c>
      <c r="E9512" t="str">
        <f t="shared" si="148"/>
        <v>L148_00|Partner Unit</v>
      </c>
    </row>
    <row r="9513" spans="1:5" x14ac:dyDescent="0.2">
      <c r="A9513" t="s">
        <v>1710</v>
      </c>
      <c r="B9513" t="s">
        <v>1711</v>
      </c>
      <c r="C9513" t="s">
        <v>20</v>
      </c>
      <c r="D9513" t="str">
        <f>VLOOKUP(C9513,'lookup table'!$A$2:$B$19,2,FALSE)</f>
        <v>AY</v>
      </c>
      <c r="E9513" t="str">
        <f t="shared" si="148"/>
        <v>L149_00|AY</v>
      </c>
    </row>
    <row r="9514" spans="1:5" x14ac:dyDescent="0.2">
      <c r="A9514" t="s">
        <v>1712</v>
      </c>
      <c r="B9514" t="s">
        <v>19</v>
      </c>
      <c r="C9514" t="s">
        <v>20</v>
      </c>
      <c r="D9514" t="str">
        <f>VLOOKUP(C9514,'lookup table'!$A$2:$B$19,2,FALSE)</f>
        <v>AY</v>
      </c>
      <c r="E9514" t="str">
        <f t="shared" si="148"/>
        <v>L151_00|AY</v>
      </c>
    </row>
    <row r="9515" spans="1:5" x14ac:dyDescent="0.2">
      <c r="A9515" t="s">
        <v>1713</v>
      </c>
      <c r="B9515" t="s">
        <v>21</v>
      </c>
      <c r="C9515" t="s">
        <v>20</v>
      </c>
      <c r="D9515" t="str">
        <f>VLOOKUP(C9515,'lookup table'!$A$2:$B$19,2,FALSE)</f>
        <v>AY</v>
      </c>
      <c r="E9515" t="str">
        <f t="shared" si="148"/>
        <v>L153_00|AY</v>
      </c>
    </row>
    <row r="9516" spans="1:5" x14ac:dyDescent="0.2">
      <c r="A9516" t="s">
        <v>1714</v>
      </c>
      <c r="B9516" t="s">
        <v>22</v>
      </c>
      <c r="C9516" t="s">
        <v>20</v>
      </c>
      <c r="D9516" t="str">
        <f>VLOOKUP(C9516,'lookup table'!$A$2:$B$19,2,FALSE)</f>
        <v>AY</v>
      </c>
      <c r="E9516" t="str">
        <f t="shared" si="148"/>
        <v>L155_00|AY</v>
      </c>
    </row>
    <row r="9517" spans="1:5" x14ac:dyDescent="0.2">
      <c r="A9517" t="s">
        <v>1715</v>
      </c>
      <c r="B9517" t="s">
        <v>23</v>
      </c>
      <c r="C9517" t="s">
        <v>20</v>
      </c>
      <c r="D9517" t="str">
        <f>VLOOKUP(C9517,'lookup table'!$A$2:$B$19,2,FALSE)</f>
        <v>AY</v>
      </c>
      <c r="E9517" t="str">
        <f t="shared" si="148"/>
        <v>L157_00|AY</v>
      </c>
    </row>
    <row r="9518" spans="1:5" x14ac:dyDescent="0.2">
      <c r="A9518" t="s">
        <v>1716</v>
      </c>
      <c r="B9518" t="s">
        <v>24</v>
      </c>
      <c r="C9518" t="s">
        <v>20</v>
      </c>
      <c r="D9518" t="str">
        <f>VLOOKUP(C9518,'lookup table'!$A$2:$B$19,2,FALSE)</f>
        <v>AY</v>
      </c>
      <c r="E9518" t="str">
        <f t="shared" si="148"/>
        <v>L159_00|AY</v>
      </c>
    </row>
    <row r="9519" spans="1:5" x14ac:dyDescent="0.2">
      <c r="A9519" t="s">
        <v>1717</v>
      </c>
      <c r="B9519" t="s">
        <v>25</v>
      </c>
      <c r="C9519" t="s">
        <v>20</v>
      </c>
      <c r="D9519" t="str">
        <f>VLOOKUP(C9519,'lookup table'!$A$2:$B$19,2,FALSE)</f>
        <v>AY</v>
      </c>
      <c r="E9519" t="str">
        <f t="shared" si="148"/>
        <v>L161_00|AY</v>
      </c>
    </row>
    <row r="9520" spans="1:5" x14ac:dyDescent="0.2">
      <c r="A9520" t="s">
        <v>1718</v>
      </c>
      <c r="B9520" t="s">
        <v>26</v>
      </c>
      <c r="C9520" t="s">
        <v>20</v>
      </c>
      <c r="D9520" t="str">
        <f>VLOOKUP(C9520,'lookup table'!$A$2:$B$19,2,FALSE)</f>
        <v>AY</v>
      </c>
      <c r="E9520" t="str">
        <f t="shared" si="148"/>
        <v>L163_00|AY</v>
      </c>
    </row>
    <row r="9521" spans="1:5" x14ac:dyDescent="0.2">
      <c r="A9521" t="s">
        <v>1719</v>
      </c>
      <c r="B9521" t="s">
        <v>27</v>
      </c>
      <c r="C9521" t="s">
        <v>20</v>
      </c>
      <c r="D9521" t="str">
        <f>VLOOKUP(C9521,'lookup table'!$A$2:$B$19,2,FALSE)</f>
        <v>AY</v>
      </c>
      <c r="E9521" t="str">
        <f t="shared" si="148"/>
        <v>L165_00|AY</v>
      </c>
    </row>
    <row r="9522" spans="1:5" x14ac:dyDescent="0.2">
      <c r="A9522" t="s">
        <v>1720</v>
      </c>
      <c r="B9522" t="s">
        <v>28</v>
      </c>
      <c r="C9522" t="s">
        <v>20</v>
      </c>
      <c r="D9522" t="str">
        <f>VLOOKUP(C9522,'lookup table'!$A$2:$B$19,2,FALSE)</f>
        <v>AY</v>
      </c>
      <c r="E9522" t="str">
        <f t="shared" si="148"/>
        <v>L167_00|AY</v>
      </c>
    </row>
    <row r="9523" spans="1:5" x14ac:dyDescent="0.2">
      <c r="A9523" t="s">
        <v>1721</v>
      </c>
      <c r="B9523" t="s">
        <v>29</v>
      </c>
      <c r="C9523" t="s">
        <v>20</v>
      </c>
      <c r="D9523" t="str">
        <f>VLOOKUP(C9523,'lookup table'!$A$2:$B$19,2,FALSE)</f>
        <v>AY</v>
      </c>
      <c r="E9523" t="str">
        <f t="shared" si="148"/>
        <v>L169_00|AY</v>
      </c>
    </row>
    <row r="9524" spans="1:5" x14ac:dyDescent="0.2">
      <c r="A9524" t="s">
        <v>1722</v>
      </c>
      <c r="B9524" t="s">
        <v>1723</v>
      </c>
      <c r="C9524" t="s">
        <v>438</v>
      </c>
      <c r="D9524" t="str">
        <f>VLOOKUP(C9524,'lookup table'!$A$2:$B$19,2,FALSE)</f>
        <v>ToM</v>
      </c>
      <c r="E9524" t="str">
        <f t="shared" si="148"/>
        <v>L171_00|ToM</v>
      </c>
    </row>
    <row r="9525" spans="1:5" x14ac:dyDescent="0.2">
      <c r="A9525" t="s">
        <v>1722</v>
      </c>
      <c r="B9525" t="s">
        <v>1723</v>
      </c>
      <c r="C9525" t="s">
        <v>441</v>
      </c>
      <c r="D9525" t="str">
        <f>VLOOKUP(C9525,'lookup table'!$A$2:$B$19,2,FALSE)</f>
        <v>Partner Segment</v>
      </c>
      <c r="E9525" t="str">
        <f t="shared" si="148"/>
        <v>L171_00|Partner Segment</v>
      </c>
    </row>
    <row r="9526" spans="1:5" x14ac:dyDescent="0.2">
      <c r="A9526" t="s">
        <v>1722</v>
      </c>
      <c r="B9526" t="s">
        <v>1723</v>
      </c>
      <c r="C9526" t="s">
        <v>442</v>
      </c>
      <c r="D9526" t="str">
        <f>VLOOKUP(C9526,'lookup table'!$A$2:$B$19,2,FALSE)</f>
        <v>Partner Unit</v>
      </c>
      <c r="E9526" t="str">
        <f t="shared" si="148"/>
        <v>L171_00|Partner Unit</v>
      </c>
    </row>
    <row r="9527" spans="1:5" x14ac:dyDescent="0.2">
      <c r="A9527" t="s">
        <v>1724</v>
      </c>
      <c r="B9527" t="s">
        <v>377</v>
      </c>
      <c r="C9527" t="s">
        <v>331</v>
      </c>
      <c r="D9527" t="str">
        <f>VLOOKUP(C9527,'lookup table'!$A$2:$B$19,2,FALSE)</f>
        <v>FS Item</v>
      </c>
      <c r="E9527" t="str">
        <f t="shared" si="148"/>
        <v>L173_00|FS Item</v>
      </c>
    </row>
    <row r="9528" spans="1:5" x14ac:dyDescent="0.2">
      <c r="A9528" t="s">
        <v>1724</v>
      </c>
      <c r="B9528" t="s">
        <v>377</v>
      </c>
      <c r="C9528" t="s">
        <v>438</v>
      </c>
      <c r="D9528" t="str">
        <f>VLOOKUP(C9528,'lookup table'!$A$2:$B$19,2,FALSE)</f>
        <v>ToM</v>
      </c>
      <c r="E9528" t="str">
        <f t="shared" si="148"/>
        <v>L173_00|ToM</v>
      </c>
    </row>
    <row r="9529" spans="1:5" x14ac:dyDescent="0.2">
      <c r="A9529" t="s">
        <v>1725</v>
      </c>
      <c r="B9529" t="s">
        <v>1726</v>
      </c>
      <c r="C9529" t="s">
        <v>331</v>
      </c>
      <c r="D9529" t="str">
        <f>VLOOKUP(C9529,'lookup table'!$A$2:$B$19,2,FALSE)</f>
        <v>FS Item</v>
      </c>
      <c r="E9529" t="str">
        <f t="shared" si="148"/>
        <v>L174_00|FS Item</v>
      </c>
    </row>
    <row r="9530" spans="1:5" x14ac:dyDescent="0.2">
      <c r="A9530" t="s">
        <v>1725</v>
      </c>
      <c r="B9530" t="s">
        <v>1726</v>
      </c>
      <c r="C9530" t="s">
        <v>438</v>
      </c>
      <c r="D9530" t="str">
        <f>VLOOKUP(C9530,'lookup table'!$A$2:$B$19,2,FALSE)</f>
        <v>ToM</v>
      </c>
      <c r="E9530" t="str">
        <f t="shared" si="148"/>
        <v>L174_00|ToM</v>
      </c>
    </row>
    <row r="9531" spans="1:5" x14ac:dyDescent="0.2">
      <c r="A9531" t="s">
        <v>1727</v>
      </c>
      <c r="B9531" t="s">
        <v>1728</v>
      </c>
      <c r="C9531" t="s">
        <v>331</v>
      </c>
      <c r="D9531" t="str">
        <f>VLOOKUP(C9531,'lookup table'!$A$2:$B$19,2,FALSE)</f>
        <v>FS Item</v>
      </c>
      <c r="E9531" t="str">
        <f t="shared" si="148"/>
        <v>L176_00|FS Item</v>
      </c>
    </row>
    <row r="9532" spans="1:5" x14ac:dyDescent="0.2">
      <c r="A9532" t="s">
        <v>1727</v>
      </c>
      <c r="B9532" t="s">
        <v>1728</v>
      </c>
      <c r="C9532" t="s">
        <v>423</v>
      </c>
      <c r="D9532" t="str">
        <f>VLOOKUP(C9532,'lookup table'!$A$2:$B$19,2,FALSE)</f>
        <v>ignore</v>
      </c>
      <c r="E9532" t="str">
        <f t="shared" si="148"/>
        <v>L176_00|ignore</v>
      </c>
    </row>
    <row r="9533" spans="1:5" x14ac:dyDescent="0.2">
      <c r="A9533" t="s">
        <v>1727</v>
      </c>
      <c r="B9533" t="s">
        <v>1728</v>
      </c>
      <c r="C9533" t="s">
        <v>428</v>
      </c>
      <c r="D9533" t="str">
        <f>VLOOKUP(C9533,'lookup table'!$A$2:$B$19,2,FALSE)</f>
        <v>LoB</v>
      </c>
      <c r="E9533" t="str">
        <f t="shared" si="148"/>
        <v>L176_00|LoB</v>
      </c>
    </row>
    <row r="9534" spans="1:5" x14ac:dyDescent="0.2">
      <c r="A9534" t="s">
        <v>1727</v>
      </c>
      <c r="B9534" t="s">
        <v>1728</v>
      </c>
      <c r="C9534" t="s">
        <v>441</v>
      </c>
      <c r="D9534" t="str">
        <f>VLOOKUP(C9534,'lookup table'!$A$2:$B$19,2,FALSE)</f>
        <v>Partner Segment</v>
      </c>
      <c r="E9534" t="str">
        <f t="shared" si="148"/>
        <v>L176_00|Partner Segment</v>
      </c>
    </row>
    <row r="9535" spans="1:5" x14ac:dyDescent="0.2">
      <c r="A9535" t="s">
        <v>1727</v>
      </c>
      <c r="B9535" t="s">
        <v>1728</v>
      </c>
      <c r="C9535" t="s">
        <v>442</v>
      </c>
      <c r="D9535" t="str">
        <f>VLOOKUP(C9535,'lookup table'!$A$2:$B$19,2,FALSE)</f>
        <v>Partner Unit</v>
      </c>
      <c r="E9535" t="str">
        <f t="shared" si="148"/>
        <v>L176_00|Partner Unit</v>
      </c>
    </row>
    <row r="9536" spans="1:5" x14ac:dyDescent="0.2">
      <c r="A9536" t="s">
        <v>1727</v>
      </c>
      <c r="B9536" t="s">
        <v>1728</v>
      </c>
      <c r="C9536" t="s">
        <v>451</v>
      </c>
      <c r="D9536" t="str">
        <f>VLOOKUP(C9536,'lookup table'!$A$2:$B$19,2,FALSE)</f>
        <v>Segment</v>
      </c>
      <c r="E9536" t="str">
        <f t="shared" si="148"/>
        <v>L176_00|Segment</v>
      </c>
    </row>
    <row r="9537" spans="1:5" x14ac:dyDescent="0.2">
      <c r="A9537" t="s">
        <v>1729</v>
      </c>
      <c r="B9537" t="s">
        <v>1730</v>
      </c>
      <c r="C9537" t="s">
        <v>438</v>
      </c>
      <c r="D9537" t="str">
        <f>VLOOKUP(C9537,'lookup table'!$A$2:$B$19,2,FALSE)</f>
        <v>ToM</v>
      </c>
      <c r="E9537" t="str">
        <f t="shared" si="148"/>
        <v>L178_00|ToM</v>
      </c>
    </row>
    <row r="9538" spans="1:5" x14ac:dyDescent="0.2">
      <c r="A9538" t="s">
        <v>1731</v>
      </c>
      <c r="B9538" t="s">
        <v>1732</v>
      </c>
      <c r="C9538" t="s">
        <v>331</v>
      </c>
      <c r="D9538" t="str">
        <f>VLOOKUP(C9538,'lookup table'!$A$2:$B$19,2,FALSE)</f>
        <v>FS Item</v>
      </c>
      <c r="E9538" t="str">
        <f t="shared" si="148"/>
        <v>L181_00|FS Item</v>
      </c>
    </row>
    <row r="9539" spans="1:5" x14ac:dyDescent="0.2">
      <c r="A9539" t="s">
        <v>1731</v>
      </c>
      <c r="B9539" t="s">
        <v>1732</v>
      </c>
      <c r="C9539" t="s">
        <v>423</v>
      </c>
      <c r="D9539" t="str">
        <f>VLOOKUP(C9539,'lookup table'!$A$2:$B$19,2,FALSE)</f>
        <v>ignore</v>
      </c>
      <c r="E9539" t="str">
        <f t="shared" ref="E9539:E9602" si="149">IF(ISNA(D9539),"",IF(A9539="","",A9539) &amp; "|" &amp; D9539)</f>
        <v>L181_00|ignore</v>
      </c>
    </row>
    <row r="9540" spans="1:5" x14ac:dyDescent="0.2">
      <c r="A9540" t="s">
        <v>1731</v>
      </c>
      <c r="B9540" t="s">
        <v>1732</v>
      </c>
      <c r="C9540" t="s">
        <v>438</v>
      </c>
      <c r="D9540" t="str">
        <f>VLOOKUP(C9540,'lookup table'!$A$2:$B$19,2,FALSE)</f>
        <v>ToM</v>
      </c>
      <c r="E9540" t="str">
        <f t="shared" si="149"/>
        <v>L181_00|ToM</v>
      </c>
    </row>
    <row r="9541" spans="1:5" x14ac:dyDescent="0.2">
      <c r="A9541" t="s">
        <v>1733</v>
      </c>
      <c r="B9541" t="s">
        <v>1734</v>
      </c>
      <c r="C9541" t="s">
        <v>331</v>
      </c>
      <c r="D9541" t="str">
        <f>VLOOKUP(C9541,'lookup table'!$A$2:$B$19,2,FALSE)</f>
        <v>FS Item</v>
      </c>
      <c r="E9541" t="str">
        <f t="shared" si="149"/>
        <v>L182_00|FS Item</v>
      </c>
    </row>
    <row r="9542" spans="1:5" x14ac:dyDescent="0.2">
      <c r="A9542" t="s">
        <v>1733</v>
      </c>
      <c r="B9542" t="s">
        <v>1734</v>
      </c>
      <c r="C9542" t="s">
        <v>423</v>
      </c>
      <c r="D9542" t="str">
        <f>VLOOKUP(C9542,'lookup table'!$A$2:$B$19,2,FALSE)</f>
        <v>ignore</v>
      </c>
      <c r="E9542" t="str">
        <f t="shared" si="149"/>
        <v>L182_00|ignore</v>
      </c>
    </row>
    <row r="9543" spans="1:5" x14ac:dyDescent="0.2">
      <c r="A9543" t="s">
        <v>1733</v>
      </c>
      <c r="B9543" t="s">
        <v>1734</v>
      </c>
      <c r="C9543" t="s">
        <v>438</v>
      </c>
      <c r="D9543" t="str">
        <f>VLOOKUP(C9543,'lookup table'!$A$2:$B$19,2,FALSE)</f>
        <v>ToM</v>
      </c>
      <c r="E9543" t="str">
        <f t="shared" si="149"/>
        <v>L182_00|ToM</v>
      </c>
    </row>
    <row r="9544" spans="1:5" x14ac:dyDescent="0.2">
      <c r="A9544" t="s">
        <v>1735</v>
      </c>
      <c r="B9544" t="s">
        <v>1736</v>
      </c>
      <c r="C9544" t="s">
        <v>438</v>
      </c>
      <c r="D9544" t="str">
        <f>VLOOKUP(C9544,'lookup table'!$A$2:$B$19,2,FALSE)</f>
        <v>ToM</v>
      </c>
      <c r="E9544" t="str">
        <f t="shared" si="149"/>
        <v>L600_00|ToM</v>
      </c>
    </row>
    <row r="9545" spans="1:5" x14ac:dyDescent="0.2">
      <c r="A9545" t="s">
        <v>1737</v>
      </c>
      <c r="B9545" t="s">
        <v>1738</v>
      </c>
      <c r="C9545" t="s">
        <v>331</v>
      </c>
      <c r="D9545" t="str">
        <f>VLOOKUP(C9545,'lookup table'!$A$2:$B$19,2,FALSE)</f>
        <v>FS Item</v>
      </c>
      <c r="E9545" t="str">
        <f t="shared" si="149"/>
        <v>L825_00|FS Item</v>
      </c>
    </row>
    <row r="9546" spans="1:5" x14ac:dyDescent="0.2">
      <c r="A9546" t="s">
        <v>1737</v>
      </c>
      <c r="B9546" t="s">
        <v>1738</v>
      </c>
      <c r="C9546" t="s">
        <v>441</v>
      </c>
      <c r="D9546" t="str">
        <f>VLOOKUP(C9546,'lookup table'!$A$2:$B$19,2,FALSE)</f>
        <v>Partner Segment</v>
      </c>
      <c r="E9546" t="str">
        <f t="shared" si="149"/>
        <v>L825_00|Partner Segment</v>
      </c>
    </row>
    <row r="9547" spans="1:5" x14ac:dyDescent="0.2">
      <c r="A9547" t="s">
        <v>1737</v>
      </c>
      <c r="B9547" t="s">
        <v>1738</v>
      </c>
      <c r="C9547" t="s">
        <v>442</v>
      </c>
      <c r="D9547" t="str">
        <f>VLOOKUP(C9547,'lookup table'!$A$2:$B$19,2,FALSE)</f>
        <v>Partner Unit</v>
      </c>
      <c r="E9547" t="str">
        <f t="shared" si="149"/>
        <v>L825_00|Partner Unit</v>
      </c>
    </row>
    <row r="9548" spans="1:5" x14ac:dyDescent="0.2">
      <c r="A9548" t="s">
        <v>1739</v>
      </c>
      <c r="B9548" t="s">
        <v>1740</v>
      </c>
      <c r="C9548" t="s">
        <v>438</v>
      </c>
      <c r="D9548" t="str">
        <f>VLOOKUP(C9548,'lookup table'!$A$2:$B$19,2,FALSE)</f>
        <v>ToM</v>
      </c>
      <c r="E9548" t="str">
        <f t="shared" si="149"/>
        <v>L826_00|ToM</v>
      </c>
    </row>
    <row r="9549" spans="1:5" x14ac:dyDescent="0.2">
      <c r="A9549" t="s">
        <v>1741</v>
      </c>
      <c r="B9549" t="s">
        <v>1742</v>
      </c>
      <c r="C9549" t="s">
        <v>438</v>
      </c>
      <c r="D9549" t="str">
        <f>VLOOKUP(C9549,'lookup table'!$A$2:$B$19,2,FALSE)</f>
        <v>ToM</v>
      </c>
      <c r="E9549" t="str">
        <f t="shared" si="149"/>
        <v>L827_00|ToM</v>
      </c>
    </row>
    <row r="9550" spans="1:5" x14ac:dyDescent="0.2">
      <c r="A9550" t="s">
        <v>1743</v>
      </c>
      <c r="B9550" t="s">
        <v>1744</v>
      </c>
      <c r="C9550" t="s">
        <v>331</v>
      </c>
      <c r="D9550" t="str">
        <f>VLOOKUP(C9550,'lookup table'!$A$2:$B$19,2,FALSE)</f>
        <v>FS Item</v>
      </c>
      <c r="E9550" t="str">
        <f t="shared" si="149"/>
        <v>L828_00|FS Item</v>
      </c>
    </row>
    <row r="9551" spans="1:5" x14ac:dyDescent="0.2">
      <c r="A9551" t="s">
        <v>1745</v>
      </c>
      <c r="B9551" t="s">
        <v>1746</v>
      </c>
      <c r="C9551" t="s">
        <v>20</v>
      </c>
      <c r="D9551" t="str">
        <f>VLOOKUP(C9551,'lookup table'!$A$2:$B$19,2,FALSE)</f>
        <v>AY</v>
      </c>
      <c r="E9551" t="str">
        <f t="shared" si="149"/>
        <v>L836_00|AY</v>
      </c>
    </row>
    <row r="9552" spans="1:5" x14ac:dyDescent="0.2">
      <c r="A9552" t="s">
        <v>1745</v>
      </c>
      <c r="B9552" t="s">
        <v>1746</v>
      </c>
      <c r="C9552" t="s">
        <v>331</v>
      </c>
      <c r="D9552" t="str">
        <f>VLOOKUP(C9552,'lookup table'!$A$2:$B$19,2,FALSE)</f>
        <v>FS Item</v>
      </c>
      <c r="E9552" t="str">
        <f t="shared" si="149"/>
        <v>L836_00|FS Item</v>
      </c>
    </row>
    <row r="9553" spans="1:5" x14ac:dyDescent="0.2">
      <c r="A9553" t="s">
        <v>1745</v>
      </c>
      <c r="B9553" t="s">
        <v>1746</v>
      </c>
      <c r="C9553" t="s">
        <v>423</v>
      </c>
      <c r="D9553" t="str">
        <f>VLOOKUP(C9553,'lookup table'!$A$2:$B$19,2,FALSE)</f>
        <v>ignore</v>
      </c>
      <c r="E9553" t="str">
        <f t="shared" si="149"/>
        <v>L836_00|ignore</v>
      </c>
    </row>
    <row r="9554" spans="1:5" x14ac:dyDescent="0.2">
      <c r="A9554" t="s">
        <v>1745</v>
      </c>
      <c r="B9554" t="s">
        <v>1746</v>
      </c>
      <c r="C9554" t="s">
        <v>428</v>
      </c>
      <c r="D9554" t="str">
        <f>VLOOKUP(C9554,'lookup table'!$A$2:$B$19,2,FALSE)</f>
        <v>LoB</v>
      </c>
      <c r="E9554" t="str">
        <f t="shared" si="149"/>
        <v>L836_00|LoB</v>
      </c>
    </row>
    <row r="9555" spans="1:5" x14ac:dyDescent="0.2">
      <c r="A9555" t="s">
        <v>1745</v>
      </c>
      <c r="B9555" t="s">
        <v>1746</v>
      </c>
      <c r="C9555" t="s">
        <v>441</v>
      </c>
      <c r="D9555" t="str">
        <f>VLOOKUP(C9555,'lookup table'!$A$2:$B$19,2,FALSE)</f>
        <v>Partner Segment</v>
      </c>
      <c r="E9555" t="str">
        <f t="shared" si="149"/>
        <v>L836_00|Partner Segment</v>
      </c>
    </row>
    <row r="9556" spans="1:5" x14ac:dyDescent="0.2">
      <c r="A9556" t="s">
        <v>1745</v>
      </c>
      <c r="B9556" t="s">
        <v>1746</v>
      </c>
      <c r="C9556" t="s">
        <v>442</v>
      </c>
      <c r="D9556" t="str">
        <f>VLOOKUP(C9556,'lookup table'!$A$2:$B$19,2,FALSE)</f>
        <v>Partner Unit</v>
      </c>
      <c r="E9556" t="str">
        <f t="shared" si="149"/>
        <v>L836_00|Partner Unit</v>
      </c>
    </row>
    <row r="9557" spans="1:5" x14ac:dyDescent="0.2">
      <c r="A9557" t="s">
        <v>1747</v>
      </c>
      <c r="B9557" t="s">
        <v>1748</v>
      </c>
      <c r="C9557" t="s">
        <v>428</v>
      </c>
      <c r="D9557" t="str">
        <f>VLOOKUP(C9557,'lookup table'!$A$2:$B$19,2,FALSE)</f>
        <v>LoB</v>
      </c>
      <c r="E9557" t="str">
        <f t="shared" si="149"/>
        <v>L837_00|LoB</v>
      </c>
    </row>
    <row r="9558" spans="1:5" x14ac:dyDescent="0.2">
      <c r="A9558" t="s">
        <v>1749</v>
      </c>
      <c r="B9558" t="s">
        <v>1750</v>
      </c>
      <c r="C9558" t="s">
        <v>331</v>
      </c>
      <c r="D9558" t="str">
        <f>VLOOKUP(C9558,'lookup table'!$A$2:$B$19,2,FALSE)</f>
        <v>FS Item</v>
      </c>
      <c r="E9558" t="str">
        <f t="shared" si="149"/>
        <v>L838_00|FS Item</v>
      </c>
    </row>
    <row r="9559" spans="1:5" x14ac:dyDescent="0.2">
      <c r="A9559" t="s">
        <v>1749</v>
      </c>
      <c r="B9559" t="s">
        <v>1750</v>
      </c>
      <c r="C9559" t="s">
        <v>423</v>
      </c>
      <c r="D9559" t="str">
        <f>VLOOKUP(C9559,'lookup table'!$A$2:$B$19,2,FALSE)</f>
        <v>ignore</v>
      </c>
      <c r="E9559" t="str">
        <f t="shared" si="149"/>
        <v>L838_00|ignore</v>
      </c>
    </row>
    <row r="9560" spans="1:5" x14ac:dyDescent="0.2">
      <c r="A9560" t="s">
        <v>1751</v>
      </c>
      <c r="B9560" t="s">
        <v>1752</v>
      </c>
      <c r="C9560" t="s">
        <v>331</v>
      </c>
      <c r="D9560" t="str">
        <f>VLOOKUP(C9560,'lookup table'!$A$2:$B$19,2,FALSE)</f>
        <v>FS Item</v>
      </c>
      <c r="E9560" t="str">
        <f t="shared" si="149"/>
        <v>L856_00|FS Item</v>
      </c>
    </row>
    <row r="9561" spans="1:5" x14ac:dyDescent="0.2">
      <c r="A9561" t="s">
        <v>1751</v>
      </c>
      <c r="B9561" t="s">
        <v>1752</v>
      </c>
      <c r="C9561" t="s">
        <v>423</v>
      </c>
      <c r="D9561" t="str">
        <f>VLOOKUP(C9561,'lookup table'!$A$2:$B$19,2,FALSE)</f>
        <v>ignore</v>
      </c>
      <c r="E9561" t="str">
        <f t="shared" si="149"/>
        <v>L856_00|ignore</v>
      </c>
    </row>
    <row r="9562" spans="1:5" x14ac:dyDescent="0.2">
      <c r="A9562" t="s">
        <v>1751</v>
      </c>
      <c r="B9562" t="s">
        <v>1752</v>
      </c>
      <c r="C9562" t="s">
        <v>428</v>
      </c>
      <c r="D9562" t="str">
        <f>VLOOKUP(C9562,'lookup table'!$A$2:$B$19,2,FALSE)</f>
        <v>LoB</v>
      </c>
      <c r="E9562" t="str">
        <f t="shared" si="149"/>
        <v>L856_00|LoB</v>
      </c>
    </row>
    <row r="9563" spans="1:5" x14ac:dyDescent="0.2">
      <c r="A9563" t="s">
        <v>1753</v>
      </c>
      <c r="B9563" t="s">
        <v>1754</v>
      </c>
      <c r="C9563" t="s">
        <v>331</v>
      </c>
      <c r="D9563" t="str">
        <f>VLOOKUP(C9563,'lookup table'!$A$2:$B$19,2,FALSE)</f>
        <v>FS Item</v>
      </c>
      <c r="E9563" t="str">
        <f t="shared" si="149"/>
        <v>L857_00|FS Item</v>
      </c>
    </row>
    <row r="9564" spans="1:5" x14ac:dyDescent="0.2">
      <c r="A9564" t="s">
        <v>1753</v>
      </c>
      <c r="B9564" t="s">
        <v>1754</v>
      </c>
      <c r="C9564" t="s">
        <v>441</v>
      </c>
      <c r="D9564" t="str">
        <f>VLOOKUP(C9564,'lookup table'!$A$2:$B$19,2,FALSE)</f>
        <v>Partner Segment</v>
      </c>
      <c r="E9564" t="str">
        <f t="shared" si="149"/>
        <v>L857_00|Partner Segment</v>
      </c>
    </row>
    <row r="9565" spans="1:5" x14ac:dyDescent="0.2">
      <c r="A9565" t="s">
        <v>1753</v>
      </c>
      <c r="B9565" t="s">
        <v>1754</v>
      </c>
      <c r="C9565" t="s">
        <v>442</v>
      </c>
      <c r="D9565" t="str">
        <f>VLOOKUP(C9565,'lookup table'!$A$2:$B$19,2,FALSE)</f>
        <v>Partner Unit</v>
      </c>
      <c r="E9565" t="str">
        <f t="shared" si="149"/>
        <v>L857_00|Partner Unit</v>
      </c>
    </row>
    <row r="9566" spans="1:5" x14ac:dyDescent="0.2">
      <c r="A9566" t="s">
        <v>1755</v>
      </c>
      <c r="B9566" t="s">
        <v>1756</v>
      </c>
      <c r="C9566" t="s">
        <v>136</v>
      </c>
      <c r="D9566" t="str">
        <f>VLOOKUP(C9566,'lookup table'!$A$2:$B$19,2,FALSE)</f>
        <v>BBA Set</v>
      </c>
      <c r="E9566" t="str">
        <f t="shared" si="149"/>
        <v>LA001_17|BBA Set</v>
      </c>
    </row>
    <row r="9567" spans="1:5" x14ac:dyDescent="0.2">
      <c r="A9567" t="s">
        <v>1757</v>
      </c>
      <c r="B9567" t="s">
        <v>452</v>
      </c>
      <c r="C9567" t="s">
        <v>451</v>
      </c>
      <c r="D9567" t="str">
        <f>VLOOKUP(C9567,'lookup table'!$A$2:$B$19,2,FALSE)</f>
        <v>Segment</v>
      </c>
      <c r="E9567" t="str">
        <f t="shared" si="149"/>
        <v>LE001_00|Segment</v>
      </c>
    </row>
    <row r="9568" spans="1:5" x14ac:dyDescent="0.2">
      <c r="A9568" t="s">
        <v>1758</v>
      </c>
      <c r="B9568" t="s">
        <v>1759</v>
      </c>
      <c r="C9568" t="s">
        <v>428</v>
      </c>
      <c r="D9568" t="str">
        <f>VLOOKUP(C9568,'lookup table'!$A$2:$B$19,2,FALSE)</f>
        <v>LoB</v>
      </c>
      <c r="E9568" t="str">
        <f t="shared" si="149"/>
        <v>LE001_60|LoB</v>
      </c>
    </row>
    <row r="9569" spans="1:5" x14ac:dyDescent="0.2">
      <c r="A9569" t="s">
        <v>1760</v>
      </c>
      <c r="B9569" t="s">
        <v>1761</v>
      </c>
      <c r="C9569" t="s">
        <v>20</v>
      </c>
      <c r="D9569" t="str">
        <f>VLOOKUP(C9569,'lookup table'!$A$2:$B$19,2,FALSE)</f>
        <v>AY</v>
      </c>
      <c r="E9569" t="str">
        <f t="shared" si="149"/>
        <v>LE002_00|AY</v>
      </c>
    </row>
    <row r="9570" spans="1:5" x14ac:dyDescent="0.2">
      <c r="A9570" t="s">
        <v>1762</v>
      </c>
      <c r="B9570" t="s">
        <v>1763</v>
      </c>
      <c r="C9570" t="s">
        <v>428</v>
      </c>
      <c r="D9570" t="str">
        <f>VLOOKUP(C9570,'lookup table'!$A$2:$B$19,2,FALSE)</f>
        <v>LoB</v>
      </c>
      <c r="E9570" t="str">
        <f t="shared" si="149"/>
        <v>LE002_60|LoB</v>
      </c>
    </row>
    <row r="9571" spans="1:5" x14ac:dyDescent="0.2">
      <c r="A9571" t="s">
        <v>1764</v>
      </c>
      <c r="B9571" t="s">
        <v>1765</v>
      </c>
      <c r="C9571" t="s">
        <v>20</v>
      </c>
      <c r="D9571" t="str">
        <f>VLOOKUP(C9571,'lookup table'!$A$2:$B$19,2,FALSE)</f>
        <v>AY</v>
      </c>
      <c r="E9571" t="str">
        <f t="shared" si="149"/>
        <v>LE003_00|AY</v>
      </c>
    </row>
    <row r="9572" spans="1:5" x14ac:dyDescent="0.2">
      <c r="A9572" t="s">
        <v>1766</v>
      </c>
      <c r="B9572" t="s">
        <v>1767</v>
      </c>
      <c r="C9572" t="s">
        <v>428</v>
      </c>
      <c r="D9572" t="str">
        <f>VLOOKUP(C9572,'lookup table'!$A$2:$B$19,2,FALSE)</f>
        <v>LoB</v>
      </c>
      <c r="E9572" t="str">
        <f t="shared" si="149"/>
        <v>LE003_60|LoB</v>
      </c>
    </row>
    <row r="9573" spans="1:5" x14ac:dyDescent="0.2">
      <c r="A9573" t="s">
        <v>1768</v>
      </c>
      <c r="B9573" t="s">
        <v>1769</v>
      </c>
      <c r="C9573" t="s">
        <v>20</v>
      </c>
      <c r="D9573" t="str">
        <f>VLOOKUP(C9573,'lookup table'!$A$2:$B$19,2,FALSE)</f>
        <v>AY</v>
      </c>
      <c r="E9573" t="str">
        <f t="shared" si="149"/>
        <v>LE004_00|AY</v>
      </c>
    </row>
    <row r="9574" spans="1:5" x14ac:dyDescent="0.2">
      <c r="A9574" t="s">
        <v>1770</v>
      </c>
      <c r="B9574" t="s">
        <v>1771</v>
      </c>
      <c r="C9574" t="s">
        <v>428</v>
      </c>
      <c r="D9574" t="str">
        <f>VLOOKUP(C9574,'lookup table'!$A$2:$B$19,2,FALSE)</f>
        <v>LoB</v>
      </c>
      <c r="E9574" t="str">
        <f t="shared" si="149"/>
        <v>LE004_60|LoB</v>
      </c>
    </row>
    <row r="9575" spans="1:5" x14ac:dyDescent="0.2">
      <c r="A9575" t="s">
        <v>1772</v>
      </c>
      <c r="B9575" t="s">
        <v>1773</v>
      </c>
      <c r="C9575" t="s">
        <v>20</v>
      </c>
      <c r="D9575" t="str">
        <f>VLOOKUP(C9575,'lookup table'!$A$2:$B$19,2,FALSE)</f>
        <v>AY</v>
      </c>
      <c r="E9575" t="str">
        <f t="shared" si="149"/>
        <v>LE005_00|AY</v>
      </c>
    </row>
    <row r="9576" spans="1:5" x14ac:dyDescent="0.2">
      <c r="A9576" t="s">
        <v>1774</v>
      </c>
      <c r="B9576" t="s">
        <v>1775</v>
      </c>
      <c r="C9576" t="s">
        <v>428</v>
      </c>
      <c r="D9576" t="str">
        <f>VLOOKUP(C9576,'lookup table'!$A$2:$B$19,2,FALSE)</f>
        <v>LoB</v>
      </c>
      <c r="E9576" t="str">
        <f t="shared" si="149"/>
        <v>LE005_60|LoB</v>
      </c>
    </row>
    <row r="9577" spans="1:5" x14ac:dyDescent="0.2">
      <c r="A9577" t="s">
        <v>1776</v>
      </c>
      <c r="B9577" t="s">
        <v>1777</v>
      </c>
      <c r="C9577" t="s">
        <v>20</v>
      </c>
      <c r="D9577" t="str">
        <f>VLOOKUP(C9577,'lookup table'!$A$2:$B$19,2,FALSE)</f>
        <v>AY</v>
      </c>
      <c r="E9577" t="str">
        <f t="shared" si="149"/>
        <v>LE006_00|AY</v>
      </c>
    </row>
    <row r="9578" spans="1:5" x14ac:dyDescent="0.2">
      <c r="A9578" t="s">
        <v>1778</v>
      </c>
      <c r="B9578" t="s">
        <v>1779</v>
      </c>
      <c r="C9578" t="s">
        <v>428</v>
      </c>
      <c r="D9578" t="str">
        <f>VLOOKUP(C9578,'lookup table'!$A$2:$B$19,2,FALSE)</f>
        <v>LoB</v>
      </c>
      <c r="E9578" t="str">
        <f t="shared" si="149"/>
        <v>LE006_60|LoB</v>
      </c>
    </row>
    <row r="9579" spans="1:5" x14ac:dyDescent="0.2">
      <c r="A9579" t="s">
        <v>1780</v>
      </c>
      <c r="B9579" t="s">
        <v>1781</v>
      </c>
      <c r="C9579" t="s">
        <v>20</v>
      </c>
      <c r="D9579" t="str">
        <f>VLOOKUP(C9579,'lookup table'!$A$2:$B$19,2,FALSE)</f>
        <v>AY</v>
      </c>
      <c r="E9579" t="str">
        <f t="shared" si="149"/>
        <v>LE007_00|AY</v>
      </c>
    </row>
    <row r="9580" spans="1:5" x14ac:dyDescent="0.2">
      <c r="A9580" t="s">
        <v>1782</v>
      </c>
      <c r="B9580" t="s">
        <v>1783</v>
      </c>
      <c r="C9580" t="s">
        <v>428</v>
      </c>
      <c r="D9580" t="str">
        <f>VLOOKUP(C9580,'lookup table'!$A$2:$B$19,2,FALSE)</f>
        <v>LoB</v>
      </c>
      <c r="E9580" t="str">
        <f t="shared" si="149"/>
        <v>LE007_60|LoB</v>
      </c>
    </row>
    <row r="9581" spans="1:5" x14ac:dyDescent="0.2">
      <c r="A9581" t="s">
        <v>1784</v>
      </c>
      <c r="B9581" t="s">
        <v>1785</v>
      </c>
      <c r="C9581" t="s">
        <v>20</v>
      </c>
      <c r="D9581" t="str">
        <f>VLOOKUP(C9581,'lookup table'!$A$2:$B$19,2,FALSE)</f>
        <v>AY</v>
      </c>
      <c r="E9581" t="str">
        <f t="shared" si="149"/>
        <v>LE008_00|AY</v>
      </c>
    </row>
    <row r="9582" spans="1:5" x14ac:dyDescent="0.2">
      <c r="A9582" t="s">
        <v>1786</v>
      </c>
      <c r="B9582" t="s">
        <v>1787</v>
      </c>
      <c r="C9582" t="s">
        <v>428</v>
      </c>
      <c r="D9582" t="str">
        <f>VLOOKUP(C9582,'lookup table'!$A$2:$B$19,2,FALSE)</f>
        <v>LoB</v>
      </c>
      <c r="E9582" t="str">
        <f t="shared" si="149"/>
        <v>LE008_60|LoB</v>
      </c>
    </row>
    <row r="9583" spans="1:5" x14ac:dyDescent="0.2">
      <c r="A9583" t="s">
        <v>1788</v>
      </c>
      <c r="B9583" t="s">
        <v>1789</v>
      </c>
      <c r="C9583" t="s">
        <v>20</v>
      </c>
      <c r="D9583" t="str">
        <f>VLOOKUP(C9583,'lookup table'!$A$2:$B$19,2,FALSE)</f>
        <v>AY</v>
      </c>
      <c r="E9583" t="str">
        <f t="shared" si="149"/>
        <v>LE009_00|AY</v>
      </c>
    </row>
    <row r="9584" spans="1:5" x14ac:dyDescent="0.2">
      <c r="A9584" t="s">
        <v>1790</v>
      </c>
      <c r="B9584" t="s">
        <v>1791</v>
      </c>
      <c r="C9584" t="s">
        <v>20</v>
      </c>
      <c r="D9584" t="str">
        <f>VLOOKUP(C9584,'lookup table'!$A$2:$B$19,2,FALSE)</f>
        <v>AY</v>
      </c>
      <c r="E9584" t="str">
        <f t="shared" si="149"/>
        <v>LE009_60|AY</v>
      </c>
    </row>
    <row r="9585" spans="1:5" x14ac:dyDescent="0.2">
      <c r="A9585" t="s">
        <v>1790</v>
      </c>
      <c r="B9585" t="s">
        <v>1791</v>
      </c>
      <c r="C9585" t="s">
        <v>428</v>
      </c>
      <c r="D9585" t="str">
        <f>VLOOKUP(C9585,'lookup table'!$A$2:$B$19,2,FALSE)</f>
        <v>LoB</v>
      </c>
      <c r="E9585" t="str">
        <f t="shared" si="149"/>
        <v>LE009_60|LoB</v>
      </c>
    </row>
    <row r="9586" spans="1:5" x14ac:dyDescent="0.2">
      <c r="A9586" t="s">
        <v>1792</v>
      </c>
      <c r="B9586" t="s">
        <v>1793</v>
      </c>
      <c r="C9586" t="s">
        <v>20</v>
      </c>
      <c r="D9586" t="str">
        <f>VLOOKUP(C9586,'lookup table'!$A$2:$B$19,2,FALSE)</f>
        <v>AY</v>
      </c>
      <c r="E9586" t="str">
        <f t="shared" si="149"/>
        <v>LE010_00|AY</v>
      </c>
    </row>
    <row r="9587" spans="1:5" x14ac:dyDescent="0.2">
      <c r="A9587" t="s">
        <v>1794</v>
      </c>
      <c r="B9587" t="s">
        <v>1795</v>
      </c>
      <c r="C9587" t="s">
        <v>20</v>
      </c>
      <c r="D9587" t="str">
        <f>VLOOKUP(C9587,'lookup table'!$A$2:$B$19,2,FALSE)</f>
        <v>AY</v>
      </c>
      <c r="E9587" t="str">
        <f t="shared" si="149"/>
        <v>LE010_60|AY</v>
      </c>
    </row>
    <row r="9588" spans="1:5" x14ac:dyDescent="0.2">
      <c r="A9588" t="s">
        <v>1794</v>
      </c>
      <c r="B9588" t="s">
        <v>1795</v>
      </c>
      <c r="C9588" t="s">
        <v>428</v>
      </c>
      <c r="D9588" t="str">
        <f>VLOOKUP(C9588,'lookup table'!$A$2:$B$19,2,FALSE)</f>
        <v>LoB</v>
      </c>
      <c r="E9588" t="str">
        <f t="shared" si="149"/>
        <v>LE010_60|LoB</v>
      </c>
    </row>
    <row r="9589" spans="1:5" x14ac:dyDescent="0.2">
      <c r="A9589" t="s">
        <v>1796</v>
      </c>
      <c r="B9589" t="s">
        <v>1797</v>
      </c>
      <c r="C9589" t="s">
        <v>20</v>
      </c>
      <c r="D9589" t="str">
        <f>VLOOKUP(C9589,'lookup table'!$A$2:$B$19,2,FALSE)</f>
        <v>AY</v>
      </c>
      <c r="E9589" t="str">
        <f t="shared" si="149"/>
        <v>LE011_00|AY</v>
      </c>
    </row>
    <row r="9590" spans="1:5" x14ac:dyDescent="0.2">
      <c r="A9590" t="s">
        <v>1798</v>
      </c>
      <c r="B9590" t="s">
        <v>1799</v>
      </c>
      <c r="C9590" t="s">
        <v>20</v>
      </c>
      <c r="D9590" t="str">
        <f>VLOOKUP(C9590,'lookup table'!$A$2:$B$19,2,FALSE)</f>
        <v>AY</v>
      </c>
      <c r="E9590" t="str">
        <f t="shared" si="149"/>
        <v>LE011_60|AY</v>
      </c>
    </row>
    <row r="9591" spans="1:5" x14ac:dyDescent="0.2">
      <c r="A9591" t="s">
        <v>1798</v>
      </c>
      <c r="B9591" t="s">
        <v>1799</v>
      </c>
      <c r="C9591" t="s">
        <v>428</v>
      </c>
      <c r="D9591" t="str">
        <f>VLOOKUP(C9591,'lookup table'!$A$2:$B$19,2,FALSE)</f>
        <v>LoB</v>
      </c>
      <c r="E9591" t="str">
        <f t="shared" si="149"/>
        <v>LE011_60|LoB</v>
      </c>
    </row>
    <row r="9592" spans="1:5" x14ac:dyDescent="0.2">
      <c r="A9592" t="s">
        <v>1800</v>
      </c>
      <c r="B9592" t="s">
        <v>1801</v>
      </c>
      <c r="C9592" t="s">
        <v>20</v>
      </c>
      <c r="D9592" t="str">
        <f>VLOOKUP(C9592,'lookup table'!$A$2:$B$19,2,FALSE)</f>
        <v>AY</v>
      </c>
      <c r="E9592" t="str">
        <f t="shared" si="149"/>
        <v>LE012_00|AY</v>
      </c>
    </row>
    <row r="9593" spans="1:5" x14ac:dyDescent="0.2">
      <c r="A9593" t="s">
        <v>1802</v>
      </c>
      <c r="B9593" t="s">
        <v>1803</v>
      </c>
      <c r="C9593" t="s">
        <v>20</v>
      </c>
      <c r="D9593" t="str">
        <f>VLOOKUP(C9593,'lookup table'!$A$2:$B$19,2,FALSE)</f>
        <v>AY</v>
      </c>
      <c r="E9593" t="str">
        <f t="shared" si="149"/>
        <v>LE012_60|AY</v>
      </c>
    </row>
    <row r="9594" spans="1:5" x14ac:dyDescent="0.2">
      <c r="A9594" t="s">
        <v>1802</v>
      </c>
      <c r="B9594" t="s">
        <v>1803</v>
      </c>
      <c r="C9594" t="s">
        <v>428</v>
      </c>
      <c r="D9594" t="str">
        <f>VLOOKUP(C9594,'lookup table'!$A$2:$B$19,2,FALSE)</f>
        <v>LoB</v>
      </c>
      <c r="E9594" t="str">
        <f t="shared" si="149"/>
        <v>LE012_60|LoB</v>
      </c>
    </row>
    <row r="9595" spans="1:5" x14ac:dyDescent="0.2">
      <c r="A9595" t="s">
        <v>1804</v>
      </c>
      <c r="B9595" t="s">
        <v>1805</v>
      </c>
      <c r="C9595" t="s">
        <v>20</v>
      </c>
      <c r="D9595" t="str">
        <f>VLOOKUP(C9595,'lookup table'!$A$2:$B$19,2,FALSE)</f>
        <v>AY</v>
      </c>
      <c r="E9595" t="str">
        <f t="shared" si="149"/>
        <v>LE013_00|AY</v>
      </c>
    </row>
    <row r="9596" spans="1:5" x14ac:dyDescent="0.2">
      <c r="A9596" t="s">
        <v>1806</v>
      </c>
      <c r="B9596" t="s">
        <v>1807</v>
      </c>
      <c r="C9596" t="s">
        <v>20</v>
      </c>
      <c r="D9596" t="str">
        <f>VLOOKUP(C9596,'lookup table'!$A$2:$B$19,2,FALSE)</f>
        <v>AY</v>
      </c>
      <c r="E9596" t="str">
        <f t="shared" si="149"/>
        <v>LE013_60|AY</v>
      </c>
    </row>
    <row r="9597" spans="1:5" x14ac:dyDescent="0.2">
      <c r="A9597" t="s">
        <v>1806</v>
      </c>
      <c r="B9597" t="s">
        <v>1807</v>
      </c>
      <c r="C9597" t="s">
        <v>428</v>
      </c>
      <c r="D9597" t="str">
        <f>VLOOKUP(C9597,'lookup table'!$A$2:$B$19,2,FALSE)</f>
        <v>LoB</v>
      </c>
      <c r="E9597" t="str">
        <f t="shared" si="149"/>
        <v>LE013_60|LoB</v>
      </c>
    </row>
    <row r="9598" spans="1:5" x14ac:dyDescent="0.2">
      <c r="A9598" t="s">
        <v>1808</v>
      </c>
      <c r="B9598" t="s">
        <v>1809</v>
      </c>
      <c r="C9598" t="s">
        <v>20</v>
      </c>
      <c r="D9598" t="str">
        <f>VLOOKUP(C9598,'lookup table'!$A$2:$B$19,2,FALSE)</f>
        <v>AY</v>
      </c>
      <c r="E9598" t="str">
        <f t="shared" si="149"/>
        <v>LE014_00|AY</v>
      </c>
    </row>
    <row r="9599" spans="1:5" x14ac:dyDescent="0.2">
      <c r="A9599" t="s">
        <v>1810</v>
      </c>
      <c r="B9599" t="s">
        <v>1811</v>
      </c>
      <c r="C9599" t="s">
        <v>20</v>
      </c>
      <c r="D9599" t="str">
        <f>VLOOKUP(C9599,'lookup table'!$A$2:$B$19,2,FALSE)</f>
        <v>AY</v>
      </c>
      <c r="E9599" t="str">
        <f t="shared" si="149"/>
        <v>LE014_60|AY</v>
      </c>
    </row>
    <row r="9600" spans="1:5" x14ac:dyDescent="0.2">
      <c r="A9600" t="s">
        <v>1810</v>
      </c>
      <c r="B9600" t="s">
        <v>1811</v>
      </c>
      <c r="C9600" t="s">
        <v>428</v>
      </c>
      <c r="D9600" t="str">
        <f>VLOOKUP(C9600,'lookup table'!$A$2:$B$19,2,FALSE)</f>
        <v>LoB</v>
      </c>
      <c r="E9600" t="str">
        <f t="shared" si="149"/>
        <v>LE014_60|LoB</v>
      </c>
    </row>
    <row r="9601" spans="1:5" x14ac:dyDescent="0.2">
      <c r="A9601" t="s">
        <v>1812</v>
      </c>
      <c r="B9601" t="s">
        <v>1813</v>
      </c>
      <c r="C9601" t="s">
        <v>20</v>
      </c>
      <c r="D9601" t="str">
        <f>VLOOKUP(C9601,'lookup table'!$A$2:$B$19,2,FALSE)</f>
        <v>AY</v>
      </c>
      <c r="E9601" t="str">
        <f t="shared" si="149"/>
        <v>LE015_00|AY</v>
      </c>
    </row>
    <row r="9602" spans="1:5" x14ac:dyDescent="0.2">
      <c r="A9602" t="s">
        <v>1814</v>
      </c>
      <c r="B9602" t="s">
        <v>1815</v>
      </c>
      <c r="C9602" t="s">
        <v>20</v>
      </c>
      <c r="D9602" t="str">
        <f>VLOOKUP(C9602,'lookup table'!$A$2:$B$19,2,FALSE)</f>
        <v>AY</v>
      </c>
      <c r="E9602" t="str">
        <f t="shared" si="149"/>
        <v>LE015_60|AY</v>
      </c>
    </row>
    <row r="9603" spans="1:5" x14ac:dyDescent="0.2">
      <c r="A9603" t="s">
        <v>1814</v>
      </c>
      <c r="B9603" t="s">
        <v>1815</v>
      </c>
      <c r="C9603" t="s">
        <v>428</v>
      </c>
      <c r="D9603" t="str">
        <f>VLOOKUP(C9603,'lookup table'!$A$2:$B$19,2,FALSE)</f>
        <v>LoB</v>
      </c>
      <c r="E9603" t="str">
        <f t="shared" ref="E9603:E9666" si="150">IF(ISNA(D9603),"",IF(A9603="","",A9603) &amp; "|" &amp; D9603)</f>
        <v>LE015_60|LoB</v>
      </c>
    </row>
    <row r="9604" spans="1:5" x14ac:dyDescent="0.2">
      <c r="A9604" t="s">
        <v>1816</v>
      </c>
      <c r="B9604" t="s">
        <v>1817</v>
      </c>
      <c r="C9604" t="s">
        <v>20</v>
      </c>
      <c r="D9604" t="str">
        <f>VLOOKUP(C9604,'lookup table'!$A$2:$B$19,2,FALSE)</f>
        <v>AY</v>
      </c>
      <c r="E9604" t="str">
        <f t="shared" si="150"/>
        <v>LE016_00|AY</v>
      </c>
    </row>
    <row r="9605" spans="1:5" x14ac:dyDescent="0.2">
      <c r="A9605" t="s">
        <v>1818</v>
      </c>
      <c r="B9605" t="s">
        <v>1819</v>
      </c>
      <c r="C9605" t="s">
        <v>20</v>
      </c>
      <c r="D9605" t="str">
        <f>VLOOKUP(C9605,'lookup table'!$A$2:$B$19,2,FALSE)</f>
        <v>AY</v>
      </c>
      <c r="E9605" t="str">
        <f t="shared" si="150"/>
        <v>LE016_60|AY</v>
      </c>
    </row>
    <row r="9606" spans="1:5" x14ac:dyDescent="0.2">
      <c r="A9606" t="s">
        <v>1818</v>
      </c>
      <c r="B9606" t="s">
        <v>1819</v>
      </c>
      <c r="C9606" t="s">
        <v>428</v>
      </c>
      <c r="D9606" t="str">
        <f>VLOOKUP(C9606,'lookup table'!$A$2:$B$19,2,FALSE)</f>
        <v>LoB</v>
      </c>
      <c r="E9606" t="str">
        <f t="shared" si="150"/>
        <v>LE016_60|LoB</v>
      </c>
    </row>
    <row r="9607" spans="1:5" x14ac:dyDescent="0.2">
      <c r="A9607" t="s">
        <v>1820</v>
      </c>
      <c r="B9607" t="s">
        <v>1821</v>
      </c>
      <c r="C9607" t="s">
        <v>20</v>
      </c>
      <c r="D9607" t="str">
        <f>VLOOKUP(C9607,'lookup table'!$A$2:$B$19,2,FALSE)</f>
        <v>AY</v>
      </c>
      <c r="E9607" t="str">
        <f t="shared" si="150"/>
        <v>LE017_00|AY</v>
      </c>
    </row>
    <row r="9608" spans="1:5" x14ac:dyDescent="0.2">
      <c r="A9608" t="s">
        <v>1822</v>
      </c>
      <c r="B9608" t="s">
        <v>1823</v>
      </c>
      <c r="C9608" t="s">
        <v>20</v>
      </c>
      <c r="D9608" t="str">
        <f>VLOOKUP(C9608,'lookup table'!$A$2:$B$19,2,FALSE)</f>
        <v>AY</v>
      </c>
      <c r="E9608" t="str">
        <f t="shared" si="150"/>
        <v>LE017_60|AY</v>
      </c>
    </row>
    <row r="9609" spans="1:5" x14ac:dyDescent="0.2">
      <c r="A9609" t="s">
        <v>1822</v>
      </c>
      <c r="B9609" t="s">
        <v>1823</v>
      </c>
      <c r="C9609" t="s">
        <v>428</v>
      </c>
      <c r="D9609" t="str">
        <f>VLOOKUP(C9609,'lookup table'!$A$2:$B$19,2,FALSE)</f>
        <v>LoB</v>
      </c>
      <c r="E9609" t="str">
        <f t="shared" si="150"/>
        <v>LE017_60|LoB</v>
      </c>
    </row>
    <row r="9610" spans="1:5" x14ac:dyDescent="0.2">
      <c r="A9610" t="s">
        <v>1824</v>
      </c>
      <c r="B9610" t="s">
        <v>1825</v>
      </c>
      <c r="C9610" t="s">
        <v>20</v>
      </c>
      <c r="D9610" t="str">
        <f>VLOOKUP(C9610,'lookup table'!$A$2:$B$19,2,FALSE)</f>
        <v>AY</v>
      </c>
      <c r="E9610" t="str">
        <f t="shared" si="150"/>
        <v>LE018_00|AY</v>
      </c>
    </row>
    <row r="9611" spans="1:5" x14ac:dyDescent="0.2">
      <c r="A9611" t="s">
        <v>1826</v>
      </c>
      <c r="B9611" t="s">
        <v>1827</v>
      </c>
      <c r="C9611" t="s">
        <v>20</v>
      </c>
      <c r="D9611" t="str">
        <f>VLOOKUP(C9611,'lookup table'!$A$2:$B$19,2,FALSE)</f>
        <v>AY</v>
      </c>
      <c r="E9611" t="str">
        <f t="shared" si="150"/>
        <v>LE018_60|AY</v>
      </c>
    </row>
    <row r="9612" spans="1:5" x14ac:dyDescent="0.2">
      <c r="A9612" t="s">
        <v>1826</v>
      </c>
      <c r="B9612" t="s">
        <v>1827</v>
      </c>
      <c r="C9612" t="s">
        <v>428</v>
      </c>
      <c r="D9612" t="str">
        <f>VLOOKUP(C9612,'lookup table'!$A$2:$B$19,2,FALSE)</f>
        <v>LoB</v>
      </c>
      <c r="E9612" t="str">
        <f t="shared" si="150"/>
        <v>LE018_60|LoB</v>
      </c>
    </row>
    <row r="9613" spans="1:5" x14ac:dyDescent="0.2">
      <c r="A9613" t="s">
        <v>1828</v>
      </c>
      <c r="B9613" t="s">
        <v>1829</v>
      </c>
      <c r="C9613" t="s">
        <v>20</v>
      </c>
      <c r="D9613" t="str">
        <f>VLOOKUP(C9613,'lookup table'!$A$2:$B$19,2,FALSE)</f>
        <v>AY</v>
      </c>
      <c r="E9613" t="str">
        <f t="shared" si="150"/>
        <v>LE019_00|AY</v>
      </c>
    </row>
    <row r="9614" spans="1:5" x14ac:dyDescent="0.2">
      <c r="A9614" t="s">
        <v>1830</v>
      </c>
      <c r="B9614" t="s">
        <v>1831</v>
      </c>
      <c r="C9614" t="s">
        <v>20</v>
      </c>
      <c r="D9614" t="str">
        <f>VLOOKUP(C9614,'lookup table'!$A$2:$B$19,2,FALSE)</f>
        <v>AY</v>
      </c>
      <c r="E9614" t="str">
        <f t="shared" si="150"/>
        <v>LE019_60|AY</v>
      </c>
    </row>
    <row r="9615" spans="1:5" x14ac:dyDescent="0.2">
      <c r="A9615" t="s">
        <v>1830</v>
      </c>
      <c r="B9615" t="s">
        <v>1831</v>
      </c>
      <c r="C9615" t="s">
        <v>428</v>
      </c>
      <c r="D9615" t="str">
        <f>VLOOKUP(C9615,'lookup table'!$A$2:$B$19,2,FALSE)</f>
        <v>LoB</v>
      </c>
      <c r="E9615" t="str">
        <f t="shared" si="150"/>
        <v>LE019_60|LoB</v>
      </c>
    </row>
    <row r="9616" spans="1:5" x14ac:dyDescent="0.2">
      <c r="A9616" t="s">
        <v>1832</v>
      </c>
      <c r="B9616" t="s">
        <v>85</v>
      </c>
      <c r="C9616" t="s">
        <v>20</v>
      </c>
      <c r="D9616" t="str">
        <f>VLOOKUP(C9616,'lookup table'!$A$2:$B$19,2,FALSE)</f>
        <v>AY</v>
      </c>
      <c r="E9616" t="str">
        <f t="shared" si="150"/>
        <v>LE020_00|AY</v>
      </c>
    </row>
    <row r="9617" spans="1:5" x14ac:dyDescent="0.2">
      <c r="A9617" t="s">
        <v>1833</v>
      </c>
      <c r="B9617" t="s">
        <v>1834</v>
      </c>
      <c r="C9617" t="s">
        <v>20</v>
      </c>
      <c r="D9617" t="str">
        <f>VLOOKUP(C9617,'lookup table'!$A$2:$B$19,2,FALSE)</f>
        <v>AY</v>
      </c>
      <c r="E9617" t="str">
        <f t="shared" si="150"/>
        <v>LE020_60|AY</v>
      </c>
    </row>
    <row r="9618" spans="1:5" x14ac:dyDescent="0.2">
      <c r="A9618" t="s">
        <v>1833</v>
      </c>
      <c r="B9618" t="s">
        <v>1834</v>
      </c>
      <c r="C9618" t="s">
        <v>428</v>
      </c>
      <c r="D9618" t="str">
        <f>VLOOKUP(C9618,'lookup table'!$A$2:$B$19,2,FALSE)</f>
        <v>LoB</v>
      </c>
      <c r="E9618" t="str">
        <f t="shared" si="150"/>
        <v>LE020_60|LoB</v>
      </c>
    </row>
    <row r="9619" spans="1:5" x14ac:dyDescent="0.2">
      <c r="A9619" t="s">
        <v>1835</v>
      </c>
      <c r="B9619" t="s">
        <v>1836</v>
      </c>
      <c r="C9619" t="s">
        <v>20</v>
      </c>
      <c r="D9619" t="str">
        <f>VLOOKUP(C9619,'lookup table'!$A$2:$B$19,2,FALSE)</f>
        <v>AY</v>
      </c>
      <c r="E9619" t="str">
        <f t="shared" si="150"/>
        <v>LE021_00|AY</v>
      </c>
    </row>
    <row r="9620" spans="1:5" x14ac:dyDescent="0.2">
      <c r="A9620" t="s">
        <v>1837</v>
      </c>
      <c r="B9620" t="s">
        <v>1838</v>
      </c>
      <c r="C9620" t="s">
        <v>20</v>
      </c>
      <c r="D9620" t="str">
        <f>VLOOKUP(C9620,'lookup table'!$A$2:$B$19,2,FALSE)</f>
        <v>AY</v>
      </c>
      <c r="E9620" t="str">
        <f t="shared" si="150"/>
        <v>LE021_60|AY</v>
      </c>
    </row>
    <row r="9621" spans="1:5" x14ac:dyDescent="0.2">
      <c r="A9621" t="s">
        <v>1837</v>
      </c>
      <c r="B9621" t="s">
        <v>1838</v>
      </c>
      <c r="C9621" t="s">
        <v>428</v>
      </c>
      <c r="D9621" t="str">
        <f>VLOOKUP(C9621,'lookup table'!$A$2:$B$19,2,FALSE)</f>
        <v>LoB</v>
      </c>
      <c r="E9621" t="str">
        <f t="shared" si="150"/>
        <v>LE021_60|LoB</v>
      </c>
    </row>
    <row r="9622" spans="1:5" x14ac:dyDescent="0.2">
      <c r="A9622" t="s">
        <v>1839</v>
      </c>
      <c r="B9622" t="s">
        <v>1840</v>
      </c>
      <c r="C9622" t="s">
        <v>20</v>
      </c>
      <c r="D9622" t="str">
        <f>VLOOKUP(C9622,'lookup table'!$A$2:$B$19,2,FALSE)</f>
        <v>AY</v>
      </c>
      <c r="E9622" t="str">
        <f t="shared" si="150"/>
        <v>LE022_00|AY</v>
      </c>
    </row>
    <row r="9623" spans="1:5" x14ac:dyDescent="0.2">
      <c r="A9623" t="s">
        <v>1841</v>
      </c>
      <c r="B9623" t="s">
        <v>1842</v>
      </c>
      <c r="C9623" t="s">
        <v>20</v>
      </c>
      <c r="D9623" t="str">
        <f>VLOOKUP(C9623,'lookup table'!$A$2:$B$19,2,FALSE)</f>
        <v>AY</v>
      </c>
      <c r="E9623" t="str">
        <f t="shared" si="150"/>
        <v>LE022_60|AY</v>
      </c>
    </row>
    <row r="9624" spans="1:5" x14ac:dyDescent="0.2">
      <c r="A9624" t="s">
        <v>1841</v>
      </c>
      <c r="B9624" t="s">
        <v>1842</v>
      </c>
      <c r="C9624" t="s">
        <v>428</v>
      </c>
      <c r="D9624" t="str">
        <f>VLOOKUP(C9624,'lookup table'!$A$2:$B$19,2,FALSE)</f>
        <v>LoB</v>
      </c>
      <c r="E9624" t="str">
        <f t="shared" si="150"/>
        <v>LE022_60|LoB</v>
      </c>
    </row>
    <row r="9625" spans="1:5" x14ac:dyDescent="0.2">
      <c r="A9625" t="s">
        <v>1843</v>
      </c>
      <c r="B9625" t="s">
        <v>1844</v>
      </c>
      <c r="C9625" t="s">
        <v>20</v>
      </c>
      <c r="D9625" t="str">
        <f>VLOOKUP(C9625,'lookup table'!$A$2:$B$19,2,FALSE)</f>
        <v>AY</v>
      </c>
      <c r="E9625" t="str">
        <f t="shared" si="150"/>
        <v>LE023_00|AY</v>
      </c>
    </row>
    <row r="9626" spans="1:5" x14ac:dyDescent="0.2">
      <c r="A9626" t="s">
        <v>1845</v>
      </c>
      <c r="B9626" t="s">
        <v>1846</v>
      </c>
      <c r="C9626" t="s">
        <v>428</v>
      </c>
      <c r="D9626" t="str">
        <f>VLOOKUP(C9626,'lookup table'!$A$2:$B$19,2,FALSE)</f>
        <v>LoB</v>
      </c>
      <c r="E9626" t="str">
        <f t="shared" si="150"/>
        <v>LE023_60|LoB</v>
      </c>
    </row>
    <row r="9627" spans="1:5" x14ac:dyDescent="0.2">
      <c r="A9627" t="s">
        <v>1847</v>
      </c>
      <c r="B9627" t="s">
        <v>1848</v>
      </c>
      <c r="C9627" t="s">
        <v>20</v>
      </c>
      <c r="D9627" t="str">
        <f>VLOOKUP(C9627,'lookup table'!$A$2:$B$19,2,FALSE)</f>
        <v>AY</v>
      </c>
      <c r="E9627" t="str">
        <f t="shared" si="150"/>
        <v>LE024_00|AY</v>
      </c>
    </row>
    <row r="9628" spans="1:5" x14ac:dyDescent="0.2">
      <c r="A9628" t="s">
        <v>1849</v>
      </c>
      <c r="B9628" t="s">
        <v>1850</v>
      </c>
      <c r="C9628" t="s">
        <v>428</v>
      </c>
      <c r="D9628" t="str">
        <f>VLOOKUP(C9628,'lookup table'!$A$2:$B$19,2,FALSE)</f>
        <v>LoB</v>
      </c>
      <c r="E9628" t="str">
        <f t="shared" si="150"/>
        <v>LE024_60|LoB</v>
      </c>
    </row>
    <row r="9629" spans="1:5" x14ac:dyDescent="0.2">
      <c r="A9629" t="s">
        <v>1851</v>
      </c>
      <c r="B9629" t="s">
        <v>1852</v>
      </c>
      <c r="C9629" t="s">
        <v>20</v>
      </c>
      <c r="D9629" t="str">
        <f>VLOOKUP(C9629,'lookup table'!$A$2:$B$19,2,FALSE)</f>
        <v>AY</v>
      </c>
      <c r="E9629" t="str">
        <f t="shared" si="150"/>
        <v>LE025_00|AY</v>
      </c>
    </row>
    <row r="9630" spans="1:5" x14ac:dyDescent="0.2">
      <c r="A9630" t="s">
        <v>1853</v>
      </c>
      <c r="B9630" t="s">
        <v>1854</v>
      </c>
      <c r="C9630" t="s">
        <v>428</v>
      </c>
      <c r="D9630" t="str">
        <f>VLOOKUP(C9630,'lookup table'!$A$2:$B$19,2,FALSE)</f>
        <v>LoB</v>
      </c>
      <c r="E9630" t="str">
        <f t="shared" si="150"/>
        <v>LE025_60|LoB</v>
      </c>
    </row>
    <row r="9631" spans="1:5" x14ac:dyDescent="0.2">
      <c r="A9631" t="s">
        <v>1855</v>
      </c>
      <c r="B9631" t="s">
        <v>86</v>
      </c>
      <c r="C9631" t="s">
        <v>20</v>
      </c>
      <c r="D9631" t="str">
        <f>VLOOKUP(C9631,'lookup table'!$A$2:$B$19,2,FALSE)</f>
        <v>AY</v>
      </c>
      <c r="E9631" t="str">
        <f t="shared" si="150"/>
        <v>LE026_00|AY</v>
      </c>
    </row>
    <row r="9632" spans="1:5" x14ac:dyDescent="0.2">
      <c r="A9632" t="s">
        <v>1856</v>
      </c>
      <c r="B9632" t="s">
        <v>1857</v>
      </c>
      <c r="C9632" t="s">
        <v>20</v>
      </c>
      <c r="D9632" t="str">
        <f>VLOOKUP(C9632,'lookup table'!$A$2:$B$19,2,FALSE)</f>
        <v>AY</v>
      </c>
      <c r="E9632" t="str">
        <f t="shared" si="150"/>
        <v>LE026_60|AY</v>
      </c>
    </row>
    <row r="9633" spans="1:5" x14ac:dyDescent="0.2">
      <c r="A9633" t="s">
        <v>1856</v>
      </c>
      <c r="B9633" t="s">
        <v>1857</v>
      </c>
      <c r="C9633" t="s">
        <v>428</v>
      </c>
      <c r="D9633" t="str">
        <f>VLOOKUP(C9633,'lookup table'!$A$2:$B$19,2,FALSE)</f>
        <v>LoB</v>
      </c>
      <c r="E9633" t="str">
        <f t="shared" si="150"/>
        <v>LE026_60|LoB</v>
      </c>
    </row>
    <row r="9634" spans="1:5" x14ac:dyDescent="0.2">
      <c r="A9634" t="s">
        <v>1858</v>
      </c>
      <c r="B9634" t="s">
        <v>1859</v>
      </c>
      <c r="C9634" t="s">
        <v>20</v>
      </c>
      <c r="D9634" t="str">
        <f>VLOOKUP(C9634,'lookup table'!$A$2:$B$19,2,FALSE)</f>
        <v>AY</v>
      </c>
      <c r="E9634" t="str">
        <f t="shared" si="150"/>
        <v>LE027_00|AY</v>
      </c>
    </row>
    <row r="9635" spans="1:5" x14ac:dyDescent="0.2">
      <c r="A9635" t="s">
        <v>1860</v>
      </c>
      <c r="B9635" t="s">
        <v>1861</v>
      </c>
      <c r="C9635" t="s">
        <v>20</v>
      </c>
      <c r="D9635" t="str">
        <f>VLOOKUP(C9635,'lookup table'!$A$2:$B$19,2,FALSE)</f>
        <v>AY</v>
      </c>
      <c r="E9635" t="str">
        <f t="shared" si="150"/>
        <v>LE027_60|AY</v>
      </c>
    </row>
    <row r="9636" spans="1:5" x14ac:dyDescent="0.2">
      <c r="A9636" t="s">
        <v>1860</v>
      </c>
      <c r="B9636" t="s">
        <v>1861</v>
      </c>
      <c r="C9636" t="s">
        <v>428</v>
      </c>
      <c r="D9636" t="str">
        <f>VLOOKUP(C9636,'lookup table'!$A$2:$B$19,2,FALSE)</f>
        <v>LoB</v>
      </c>
      <c r="E9636" t="str">
        <f t="shared" si="150"/>
        <v>LE027_60|LoB</v>
      </c>
    </row>
    <row r="9637" spans="1:5" x14ac:dyDescent="0.2">
      <c r="A9637" t="s">
        <v>1862</v>
      </c>
      <c r="B9637" t="s">
        <v>1863</v>
      </c>
      <c r="C9637" t="s">
        <v>20</v>
      </c>
      <c r="D9637" t="str">
        <f>VLOOKUP(C9637,'lookup table'!$A$2:$B$19,2,FALSE)</f>
        <v>AY</v>
      </c>
      <c r="E9637" t="str">
        <f t="shared" si="150"/>
        <v>LE028_00|AY</v>
      </c>
    </row>
    <row r="9638" spans="1:5" x14ac:dyDescent="0.2">
      <c r="A9638" t="s">
        <v>1864</v>
      </c>
      <c r="B9638" t="s">
        <v>1865</v>
      </c>
      <c r="C9638" t="s">
        <v>428</v>
      </c>
      <c r="D9638" t="str">
        <f>VLOOKUP(C9638,'lookup table'!$A$2:$B$19,2,FALSE)</f>
        <v>LoB</v>
      </c>
      <c r="E9638" t="str">
        <f t="shared" si="150"/>
        <v>LE028_60|LoB</v>
      </c>
    </row>
    <row r="9639" spans="1:5" x14ac:dyDescent="0.2">
      <c r="A9639" t="s">
        <v>1866</v>
      </c>
      <c r="B9639" t="s">
        <v>1867</v>
      </c>
      <c r="C9639" t="s">
        <v>20</v>
      </c>
      <c r="D9639" t="str">
        <f>VLOOKUP(C9639,'lookup table'!$A$2:$B$19,2,FALSE)</f>
        <v>AY</v>
      </c>
      <c r="E9639" t="str">
        <f t="shared" si="150"/>
        <v>LE029_00|AY</v>
      </c>
    </row>
    <row r="9640" spans="1:5" x14ac:dyDescent="0.2">
      <c r="A9640" t="s">
        <v>1868</v>
      </c>
      <c r="B9640" t="s">
        <v>1869</v>
      </c>
      <c r="C9640" t="s">
        <v>20</v>
      </c>
      <c r="D9640" t="str">
        <f>VLOOKUP(C9640,'lookup table'!$A$2:$B$19,2,FALSE)</f>
        <v>AY</v>
      </c>
      <c r="E9640" t="str">
        <f t="shared" si="150"/>
        <v>LE029_60|AY</v>
      </c>
    </row>
    <row r="9641" spans="1:5" x14ac:dyDescent="0.2">
      <c r="A9641" t="s">
        <v>1868</v>
      </c>
      <c r="B9641" t="s">
        <v>1869</v>
      </c>
      <c r="C9641" t="s">
        <v>428</v>
      </c>
      <c r="D9641" t="str">
        <f>VLOOKUP(C9641,'lookup table'!$A$2:$B$19,2,FALSE)</f>
        <v>LoB</v>
      </c>
      <c r="E9641" t="str">
        <f t="shared" si="150"/>
        <v>LE029_60|LoB</v>
      </c>
    </row>
    <row r="9642" spans="1:5" x14ac:dyDescent="0.2">
      <c r="A9642" t="s">
        <v>1870</v>
      </c>
      <c r="B9642" t="s">
        <v>1871</v>
      </c>
      <c r="C9642" t="s">
        <v>20</v>
      </c>
      <c r="D9642" t="str">
        <f>VLOOKUP(C9642,'lookup table'!$A$2:$B$19,2,FALSE)</f>
        <v>AY</v>
      </c>
      <c r="E9642" t="str">
        <f t="shared" si="150"/>
        <v>LE030_00|AY</v>
      </c>
    </row>
    <row r="9643" spans="1:5" x14ac:dyDescent="0.2">
      <c r="A9643" t="s">
        <v>1872</v>
      </c>
      <c r="B9643" t="s">
        <v>1873</v>
      </c>
      <c r="C9643" t="s">
        <v>20</v>
      </c>
      <c r="D9643" t="str">
        <f>VLOOKUP(C9643,'lookup table'!$A$2:$B$19,2,FALSE)</f>
        <v>AY</v>
      </c>
      <c r="E9643" t="str">
        <f t="shared" si="150"/>
        <v>LE030_60|AY</v>
      </c>
    </row>
    <row r="9644" spans="1:5" x14ac:dyDescent="0.2">
      <c r="A9644" t="s">
        <v>1872</v>
      </c>
      <c r="B9644" t="s">
        <v>1873</v>
      </c>
      <c r="C9644" t="s">
        <v>428</v>
      </c>
      <c r="D9644" t="str">
        <f>VLOOKUP(C9644,'lookup table'!$A$2:$B$19,2,FALSE)</f>
        <v>LoB</v>
      </c>
      <c r="E9644" t="str">
        <f t="shared" si="150"/>
        <v>LE030_60|LoB</v>
      </c>
    </row>
    <row r="9645" spans="1:5" x14ac:dyDescent="0.2">
      <c r="A9645" t="s">
        <v>1874</v>
      </c>
      <c r="B9645" t="s">
        <v>1875</v>
      </c>
      <c r="C9645" t="s">
        <v>20</v>
      </c>
      <c r="D9645" t="str">
        <f>VLOOKUP(C9645,'lookup table'!$A$2:$B$19,2,FALSE)</f>
        <v>AY</v>
      </c>
      <c r="E9645" t="str">
        <f t="shared" si="150"/>
        <v>LE031_00|AY</v>
      </c>
    </row>
    <row r="9646" spans="1:5" x14ac:dyDescent="0.2">
      <c r="A9646" t="s">
        <v>1876</v>
      </c>
      <c r="B9646" t="s">
        <v>1877</v>
      </c>
      <c r="C9646" t="s">
        <v>20</v>
      </c>
      <c r="D9646" t="str">
        <f>VLOOKUP(C9646,'lookup table'!$A$2:$B$19,2,FALSE)</f>
        <v>AY</v>
      </c>
      <c r="E9646" t="str">
        <f t="shared" si="150"/>
        <v>LE031_60|AY</v>
      </c>
    </row>
    <row r="9647" spans="1:5" x14ac:dyDescent="0.2">
      <c r="A9647" t="s">
        <v>1876</v>
      </c>
      <c r="B9647" t="s">
        <v>1877</v>
      </c>
      <c r="C9647" t="s">
        <v>428</v>
      </c>
      <c r="D9647" t="str">
        <f>VLOOKUP(C9647,'lookup table'!$A$2:$B$19,2,FALSE)</f>
        <v>LoB</v>
      </c>
      <c r="E9647" t="str">
        <f t="shared" si="150"/>
        <v>LE031_60|LoB</v>
      </c>
    </row>
    <row r="9648" spans="1:5" x14ac:dyDescent="0.2">
      <c r="A9648" t="s">
        <v>1878</v>
      </c>
      <c r="B9648" t="s">
        <v>1879</v>
      </c>
      <c r="C9648" t="s">
        <v>20</v>
      </c>
      <c r="D9648" t="str">
        <f>VLOOKUP(C9648,'lookup table'!$A$2:$B$19,2,FALSE)</f>
        <v>AY</v>
      </c>
      <c r="E9648" t="str">
        <f t="shared" si="150"/>
        <v>LE032_60|AY</v>
      </c>
    </row>
    <row r="9649" spans="1:5" x14ac:dyDescent="0.2">
      <c r="A9649" t="s">
        <v>1878</v>
      </c>
      <c r="B9649" t="s">
        <v>1879</v>
      </c>
      <c r="C9649" t="s">
        <v>428</v>
      </c>
      <c r="D9649" t="str">
        <f>VLOOKUP(C9649,'lookup table'!$A$2:$B$19,2,FALSE)</f>
        <v>LoB</v>
      </c>
      <c r="E9649" t="str">
        <f t="shared" si="150"/>
        <v>LE032_60|LoB</v>
      </c>
    </row>
    <row r="9650" spans="1:5" x14ac:dyDescent="0.2">
      <c r="A9650" t="s">
        <v>1880</v>
      </c>
      <c r="B9650" t="s">
        <v>87</v>
      </c>
      <c r="C9650" t="s">
        <v>20</v>
      </c>
      <c r="D9650" t="str">
        <f>VLOOKUP(C9650,'lookup table'!$A$2:$B$19,2,FALSE)</f>
        <v>AY</v>
      </c>
      <c r="E9650" t="str">
        <f t="shared" si="150"/>
        <v>LE033_17|AY</v>
      </c>
    </row>
    <row r="9651" spans="1:5" x14ac:dyDescent="0.2">
      <c r="A9651" t="s">
        <v>1881</v>
      </c>
      <c r="B9651" t="s">
        <v>1882</v>
      </c>
      <c r="C9651" t="s">
        <v>428</v>
      </c>
      <c r="D9651" t="str">
        <f>VLOOKUP(C9651,'lookup table'!$A$2:$B$19,2,FALSE)</f>
        <v>LoB</v>
      </c>
      <c r="E9651" t="str">
        <f t="shared" si="150"/>
        <v>LE033_60|LoB</v>
      </c>
    </row>
    <row r="9652" spans="1:5" x14ac:dyDescent="0.2">
      <c r="A9652" t="s">
        <v>1883</v>
      </c>
      <c r="B9652" t="s">
        <v>88</v>
      </c>
      <c r="C9652" t="s">
        <v>20</v>
      </c>
      <c r="D9652" t="str">
        <f>VLOOKUP(C9652,'lookup table'!$A$2:$B$19,2,FALSE)</f>
        <v>AY</v>
      </c>
      <c r="E9652" t="str">
        <f t="shared" si="150"/>
        <v>LE034_17|AY</v>
      </c>
    </row>
    <row r="9653" spans="1:5" x14ac:dyDescent="0.2">
      <c r="A9653" t="s">
        <v>1884</v>
      </c>
      <c r="B9653" t="s">
        <v>1885</v>
      </c>
      <c r="C9653" t="s">
        <v>428</v>
      </c>
      <c r="D9653" t="str">
        <f>VLOOKUP(C9653,'lookup table'!$A$2:$B$19,2,FALSE)</f>
        <v>LoB</v>
      </c>
      <c r="E9653" t="str">
        <f t="shared" si="150"/>
        <v>LE034_60|LoB</v>
      </c>
    </row>
    <row r="9654" spans="1:5" x14ac:dyDescent="0.2">
      <c r="A9654" t="s">
        <v>1886</v>
      </c>
      <c r="B9654" t="s">
        <v>89</v>
      </c>
      <c r="C9654" t="s">
        <v>20</v>
      </c>
      <c r="D9654" t="str">
        <f>VLOOKUP(C9654,'lookup table'!$A$2:$B$19,2,FALSE)</f>
        <v>AY</v>
      </c>
      <c r="E9654" t="str">
        <f t="shared" si="150"/>
        <v>LE035_17|AY</v>
      </c>
    </row>
    <row r="9655" spans="1:5" x14ac:dyDescent="0.2">
      <c r="A9655" t="s">
        <v>1887</v>
      </c>
      <c r="B9655" t="s">
        <v>1888</v>
      </c>
      <c r="C9655" t="s">
        <v>428</v>
      </c>
      <c r="D9655" t="str">
        <f>VLOOKUP(C9655,'lookup table'!$A$2:$B$19,2,FALSE)</f>
        <v>LoB</v>
      </c>
      <c r="E9655" t="str">
        <f t="shared" si="150"/>
        <v>LE035_60|LoB</v>
      </c>
    </row>
    <row r="9656" spans="1:5" x14ac:dyDescent="0.2">
      <c r="A9656" t="s">
        <v>1889</v>
      </c>
      <c r="B9656" t="s">
        <v>90</v>
      </c>
      <c r="C9656" t="s">
        <v>20</v>
      </c>
      <c r="D9656" t="str">
        <f>VLOOKUP(C9656,'lookup table'!$A$2:$B$19,2,FALSE)</f>
        <v>AY</v>
      </c>
      <c r="E9656" t="str">
        <f t="shared" si="150"/>
        <v>LE036_17|AY</v>
      </c>
    </row>
    <row r="9657" spans="1:5" x14ac:dyDescent="0.2">
      <c r="A9657" t="s">
        <v>1890</v>
      </c>
      <c r="B9657" t="s">
        <v>1891</v>
      </c>
      <c r="C9657" t="s">
        <v>20</v>
      </c>
      <c r="D9657" t="str">
        <f>VLOOKUP(C9657,'lookup table'!$A$2:$B$19,2,FALSE)</f>
        <v>AY</v>
      </c>
      <c r="E9657" t="str">
        <f t="shared" si="150"/>
        <v>LE036_60|AY</v>
      </c>
    </row>
    <row r="9658" spans="1:5" x14ac:dyDescent="0.2">
      <c r="A9658" t="s">
        <v>1890</v>
      </c>
      <c r="B9658" t="s">
        <v>1891</v>
      </c>
      <c r="C9658" t="s">
        <v>428</v>
      </c>
      <c r="D9658" t="str">
        <f>VLOOKUP(C9658,'lookup table'!$A$2:$B$19,2,FALSE)</f>
        <v>LoB</v>
      </c>
      <c r="E9658" t="str">
        <f t="shared" si="150"/>
        <v>LE036_60|LoB</v>
      </c>
    </row>
    <row r="9659" spans="1:5" x14ac:dyDescent="0.2">
      <c r="A9659" t="s">
        <v>1892</v>
      </c>
      <c r="B9659" t="s">
        <v>91</v>
      </c>
      <c r="C9659" t="s">
        <v>20</v>
      </c>
      <c r="D9659" t="str">
        <f>VLOOKUP(C9659,'lookup table'!$A$2:$B$19,2,FALSE)</f>
        <v>AY</v>
      </c>
      <c r="E9659" t="str">
        <f t="shared" si="150"/>
        <v>LE037_17|AY</v>
      </c>
    </row>
    <row r="9660" spans="1:5" x14ac:dyDescent="0.2">
      <c r="A9660" t="s">
        <v>1893</v>
      </c>
      <c r="B9660" t="s">
        <v>1894</v>
      </c>
      <c r="C9660" t="s">
        <v>20</v>
      </c>
      <c r="D9660" t="str">
        <f>VLOOKUP(C9660,'lookup table'!$A$2:$B$19,2,FALSE)</f>
        <v>AY</v>
      </c>
      <c r="E9660" t="str">
        <f t="shared" si="150"/>
        <v>LE037_60|AY</v>
      </c>
    </row>
    <row r="9661" spans="1:5" x14ac:dyDescent="0.2">
      <c r="A9661" t="s">
        <v>1893</v>
      </c>
      <c r="B9661" t="s">
        <v>1894</v>
      </c>
      <c r="C9661" t="s">
        <v>428</v>
      </c>
      <c r="D9661" t="str">
        <f>VLOOKUP(C9661,'lookup table'!$A$2:$B$19,2,FALSE)</f>
        <v>LoB</v>
      </c>
      <c r="E9661" t="str">
        <f t="shared" si="150"/>
        <v>LE037_60|LoB</v>
      </c>
    </row>
    <row r="9662" spans="1:5" x14ac:dyDescent="0.2">
      <c r="A9662" t="s">
        <v>1895</v>
      </c>
      <c r="B9662" t="s">
        <v>92</v>
      </c>
      <c r="C9662" t="s">
        <v>20</v>
      </c>
      <c r="D9662" t="str">
        <f>VLOOKUP(C9662,'lookup table'!$A$2:$B$19,2,FALSE)</f>
        <v>AY</v>
      </c>
      <c r="E9662" t="str">
        <f t="shared" si="150"/>
        <v>LE038_17|AY</v>
      </c>
    </row>
    <row r="9663" spans="1:5" x14ac:dyDescent="0.2">
      <c r="A9663" t="s">
        <v>1896</v>
      </c>
      <c r="B9663" t="s">
        <v>1897</v>
      </c>
      <c r="C9663" t="s">
        <v>428</v>
      </c>
      <c r="D9663" t="str">
        <f>VLOOKUP(C9663,'lookup table'!$A$2:$B$19,2,FALSE)</f>
        <v>LoB</v>
      </c>
      <c r="E9663" t="str">
        <f t="shared" si="150"/>
        <v>LE038_60|LoB</v>
      </c>
    </row>
    <row r="9664" spans="1:5" x14ac:dyDescent="0.2">
      <c r="A9664" t="s">
        <v>1898</v>
      </c>
      <c r="B9664" t="s">
        <v>93</v>
      </c>
      <c r="C9664" t="s">
        <v>20</v>
      </c>
      <c r="D9664" t="str">
        <f>VLOOKUP(C9664,'lookup table'!$A$2:$B$19,2,FALSE)</f>
        <v>AY</v>
      </c>
      <c r="E9664" t="str">
        <f t="shared" si="150"/>
        <v>LE039_17|AY</v>
      </c>
    </row>
    <row r="9665" spans="1:5" x14ac:dyDescent="0.2">
      <c r="A9665" t="s">
        <v>1899</v>
      </c>
      <c r="B9665" t="s">
        <v>1900</v>
      </c>
      <c r="C9665" t="s">
        <v>20</v>
      </c>
      <c r="D9665" t="str">
        <f>VLOOKUP(C9665,'lookup table'!$A$2:$B$19,2,FALSE)</f>
        <v>AY</v>
      </c>
      <c r="E9665" t="str">
        <f t="shared" si="150"/>
        <v>LE039_60|AY</v>
      </c>
    </row>
    <row r="9666" spans="1:5" x14ac:dyDescent="0.2">
      <c r="A9666" t="s">
        <v>1899</v>
      </c>
      <c r="B9666" t="s">
        <v>1900</v>
      </c>
      <c r="C9666" t="s">
        <v>428</v>
      </c>
      <c r="D9666" t="str">
        <f>VLOOKUP(C9666,'lookup table'!$A$2:$B$19,2,FALSE)</f>
        <v>LoB</v>
      </c>
      <c r="E9666" t="str">
        <f t="shared" si="150"/>
        <v>LE039_60|LoB</v>
      </c>
    </row>
    <row r="9667" spans="1:5" x14ac:dyDescent="0.2">
      <c r="A9667" t="s">
        <v>1901</v>
      </c>
      <c r="B9667" t="s">
        <v>94</v>
      </c>
      <c r="C9667" t="s">
        <v>20</v>
      </c>
      <c r="D9667" t="str">
        <f>VLOOKUP(C9667,'lookup table'!$A$2:$B$19,2,FALSE)</f>
        <v>AY</v>
      </c>
      <c r="E9667" t="str">
        <f t="shared" ref="E9667:E9730" si="151">IF(ISNA(D9667),"",IF(A9667="","",A9667) &amp; "|" &amp; D9667)</f>
        <v>LE040_17|AY</v>
      </c>
    </row>
    <row r="9668" spans="1:5" x14ac:dyDescent="0.2">
      <c r="A9668" t="s">
        <v>1902</v>
      </c>
      <c r="B9668" t="s">
        <v>1903</v>
      </c>
      <c r="C9668" t="s">
        <v>20</v>
      </c>
      <c r="D9668" t="str">
        <f>VLOOKUP(C9668,'lookup table'!$A$2:$B$19,2,FALSE)</f>
        <v>AY</v>
      </c>
      <c r="E9668" t="str">
        <f t="shared" si="151"/>
        <v>LE040_60|AY</v>
      </c>
    </row>
    <row r="9669" spans="1:5" x14ac:dyDescent="0.2">
      <c r="A9669" t="s">
        <v>1902</v>
      </c>
      <c r="B9669" t="s">
        <v>1903</v>
      </c>
      <c r="C9669" t="s">
        <v>428</v>
      </c>
      <c r="D9669" t="str">
        <f>VLOOKUP(C9669,'lookup table'!$A$2:$B$19,2,FALSE)</f>
        <v>LoB</v>
      </c>
      <c r="E9669" t="str">
        <f t="shared" si="151"/>
        <v>LE040_60|LoB</v>
      </c>
    </row>
    <row r="9670" spans="1:5" x14ac:dyDescent="0.2">
      <c r="A9670" t="s">
        <v>1904</v>
      </c>
      <c r="B9670" t="s">
        <v>95</v>
      </c>
      <c r="C9670" t="s">
        <v>20</v>
      </c>
      <c r="D9670" t="str">
        <f>VLOOKUP(C9670,'lookup table'!$A$2:$B$19,2,FALSE)</f>
        <v>AY</v>
      </c>
      <c r="E9670" t="str">
        <f t="shared" si="151"/>
        <v>LE041_17|AY</v>
      </c>
    </row>
    <row r="9671" spans="1:5" x14ac:dyDescent="0.2">
      <c r="A9671" t="s">
        <v>1905</v>
      </c>
      <c r="B9671" t="s">
        <v>1906</v>
      </c>
      <c r="C9671" t="s">
        <v>20</v>
      </c>
      <c r="D9671" t="str">
        <f>VLOOKUP(C9671,'lookup table'!$A$2:$B$19,2,FALSE)</f>
        <v>AY</v>
      </c>
      <c r="E9671" t="str">
        <f t="shared" si="151"/>
        <v>LE041_60|AY</v>
      </c>
    </row>
    <row r="9672" spans="1:5" x14ac:dyDescent="0.2">
      <c r="A9672" t="s">
        <v>1905</v>
      </c>
      <c r="B9672" t="s">
        <v>1906</v>
      </c>
      <c r="C9672" t="s">
        <v>428</v>
      </c>
      <c r="D9672" t="str">
        <f>VLOOKUP(C9672,'lookup table'!$A$2:$B$19,2,FALSE)</f>
        <v>LoB</v>
      </c>
      <c r="E9672" t="str">
        <f t="shared" si="151"/>
        <v>LE041_60|LoB</v>
      </c>
    </row>
    <row r="9673" spans="1:5" x14ac:dyDescent="0.2">
      <c r="A9673" t="s">
        <v>1907</v>
      </c>
      <c r="B9673" t="s">
        <v>96</v>
      </c>
      <c r="C9673" t="s">
        <v>20</v>
      </c>
      <c r="D9673" t="str">
        <f>VLOOKUP(C9673,'lookup table'!$A$2:$B$19,2,FALSE)</f>
        <v>AY</v>
      </c>
      <c r="E9673" t="str">
        <f t="shared" si="151"/>
        <v>LE042_17|AY</v>
      </c>
    </row>
    <row r="9674" spans="1:5" x14ac:dyDescent="0.2">
      <c r="A9674" t="s">
        <v>1908</v>
      </c>
      <c r="B9674" t="s">
        <v>1909</v>
      </c>
      <c r="C9674" t="s">
        <v>20</v>
      </c>
      <c r="D9674" t="str">
        <f>VLOOKUP(C9674,'lookup table'!$A$2:$B$19,2,FALSE)</f>
        <v>AY</v>
      </c>
      <c r="E9674" t="str">
        <f t="shared" si="151"/>
        <v>LE042_60|AY</v>
      </c>
    </row>
    <row r="9675" spans="1:5" x14ac:dyDescent="0.2">
      <c r="A9675" t="s">
        <v>1908</v>
      </c>
      <c r="B9675" t="s">
        <v>1909</v>
      </c>
      <c r="C9675" t="s">
        <v>428</v>
      </c>
      <c r="D9675" t="str">
        <f>VLOOKUP(C9675,'lookup table'!$A$2:$B$19,2,FALSE)</f>
        <v>LoB</v>
      </c>
      <c r="E9675" t="str">
        <f t="shared" si="151"/>
        <v>LE042_60|LoB</v>
      </c>
    </row>
    <row r="9676" spans="1:5" x14ac:dyDescent="0.2">
      <c r="A9676" t="s">
        <v>1910</v>
      </c>
      <c r="B9676" t="s">
        <v>97</v>
      </c>
      <c r="C9676" t="s">
        <v>20</v>
      </c>
      <c r="D9676" t="str">
        <f>VLOOKUP(C9676,'lookup table'!$A$2:$B$19,2,FALSE)</f>
        <v>AY</v>
      </c>
      <c r="E9676" t="str">
        <f t="shared" si="151"/>
        <v>LE043_17|AY</v>
      </c>
    </row>
    <row r="9677" spans="1:5" x14ac:dyDescent="0.2">
      <c r="A9677" t="s">
        <v>1911</v>
      </c>
      <c r="B9677" t="s">
        <v>98</v>
      </c>
      <c r="C9677" t="s">
        <v>20</v>
      </c>
      <c r="D9677" t="str">
        <f>VLOOKUP(C9677,'lookup table'!$A$2:$B$19,2,FALSE)</f>
        <v>AY</v>
      </c>
      <c r="E9677" t="str">
        <f t="shared" si="151"/>
        <v>LE044_17|AY</v>
      </c>
    </row>
    <row r="9678" spans="1:5" x14ac:dyDescent="0.2">
      <c r="A9678" t="s">
        <v>1912</v>
      </c>
      <c r="B9678" t="s">
        <v>1913</v>
      </c>
      <c r="C9678" t="s">
        <v>20</v>
      </c>
      <c r="D9678" t="str">
        <f>VLOOKUP(C9678,'lookup table'!$A$2:$B$19,2,FALSE)</f>
        <v>AY</v>
      </c>
      <c r="E9678" t="str">
        <f t="shared" si="151"/>
        <v>LE044_60|AY</v>
      </c>
    </row>
    <row r="9679" spans="1:5" x14ac:dyDescent="0.2">
      <c r="A9679" t="s">
        <v>1912</v>
      </c>
      <c r="B9679" t="s">
        <v>1913</v>
      </c>
      <c r="C9679" t="s">
        <v>428</v>
      </c>
      <c r="D9679" t="str">
        <f>VLOOKUP(C9679,'lookup table'!$A$2:$B$19,2,FALSE)</f>
        <v>LoB</v>
      </c>
      <c r="E9679" t="str">
        <f t="shared" si="151"/>
        <v>LE044_60|LoB</v>
      </c>
    </row>
    <row r="9680" spans="1:5" x14ac:dyDescent="0.2">
      <c r="A9680" t="s">
        <v>1914</v>
      </c>
      <c r="B9680" t="s">
        <v>99</v>
      </c>
      <c r="C9680" t="s">
        <v>20</v>
      </c>
      <c r="D9680" t="str">
        <f>VLOOKUP(C9680,'lookup table'!$A$2:$B$19,2,FALSE)</f>
        <v>AY</v>
      </c>
      <c r="E9680" t="str">
        <f t="shared" si="151"/>
        <v>LE045_17|AY</v>
      </c>
    </row>
    <row r="9681" spans="1:5" x14ac:dyDescent="0.2">
      <c r="A9681" t="s">
        <v>1915</v>
      </c>
      <c r="B9681" t="s">
        <v>1916</v>
      </c>
      <c r="C9681" t="s">
        <v>20</v>
      </c>
      <c r="D9681" t="str">
        <f>VLOOKUP(C9681,'lookup table'!$A$2:$B$19,2,FALSE)</f>
        <v>AY</v>
      </c>
      <c r="E9681" t="str">
        <f t="shared" si="151"/>
        <v>LE045_60|AY</v>
      </c>
    </row>
    <row r="9682" spans="1:5" x14ac:dyDescent="0.2">
      <c r="A9682" t="s">
        <v>1915</v>
      </c>
      <c r="B9682" t="s">
        <v>1916</v>
      </c>
      <c r="C9682" t="s">
        <v>428</v>
      </c>
      <c r="D9682" t="str">
        <f>VLOOKUP(C9682,'lookup table'!$A$2:$B$19,2,FALSE)</f>
        <v>LoB</v>
      </c>
      <c r="E9682" t="str">
        <f t="shared" si="151"/>
        <v>LE045_60|LoB</v>
      </c>
    </row>
    <row r="9683" spans="1:5" x14ac:dyDescent="0.2">
      <c r="A9683" t="s">
        <v>1917</v>
      </c>
      <c r="B9683" t="s">
        <v>100</v>
      </c>
      <c r="C9683" t="s">
        <v>20</v>
      </c>
      <c r="D9683" t="str">
        <f>VLOOKUP(C9683,'lookup table'!$A$2:$B$19,2,FALSE)</f>
        <v>AY</v>
      </c>
      <c r="E9683" t="str">
        <f t="shared" si="151"/>
        <v>LE046_17|AY</v>
      </c>
    </row>
    <row r="9684" spans="1:5" x14ac:dyDescent="0.2">
      <c r="A9684" t="s">
        <v>1918</v>
      </c>
      <c r="B9684" t="s">
        <v>101</v>
      </c>
      <c r="C9684" t="s">
        <v>20</v>
      </c>
      <c r="D9684" t="str">
        <f>VLOOKUP(C9684,'lookup table'!$A$2:$B$19,2,FALSE)</f>
        <v>AY</v>
      </c>
      <c r="E9684" t="str">
        <f t="shared" si="151"/>
        <v>LE047_17|AY</v>
      </c>
    </row>
    <row r="9685" spans="1:5" x14ac:dyDescent="0.2">
      <c r="A9685" t="s">
        <v>1919</v>
      </c>
      <c r="B9685" t="s">
        <v>76</v>
      </c>
      <c r="C9685" t="s">
        <v>20</v>
      </c>
      <c r="D9685" t="str">
        <f>VLOOKUP(C9685,'lookup table'!$A$2:$B$19,2,FALSE)</f>
        <v>AY</v>
      </c>
      <c r="E9685" t="str">
        <f t="shared" si="151"/>
        <v>LE048_00|AY</v>
      </c>
    </row>
    <row r="9686" spans="1:5" x14ac:dyDescent="0.2">
      <c r="A9686" t="s">
        <v>1920</v>
      </c>
      <c r="B9686" t="s">
        <v>102</v>
      </c>
      <c r="C9686" t="s">
        <v>20</v>
      </c>
      <c r="D9686" t="str">
        <f>VLOOKUP(C9686,'lookup table'!$A$2:$B$19,2,FALSE)</f>
        <v>AY</v>
      </c>
      <c r="E9686" t="str">
        <f t="shared" si="151"/>
        <v>LE048_17|AY</v>
      </c>
    </row>
    <row r="9687" spans="1:5" x14ac:dyDescent="0.2">
      <c r="A9687" t="s">
        <v>1921</v>
      </c>
      <c r="B9687" t="s">
        <v>1922</v>
      </c>
      <c r="C9687" t="s">
        <v>20</v>
      </c>
      <c r="D9687" t="str">
        <f>VLOOKUP(C9687,'lookup table'!$A$2:$B$19,2,FALSE)</f>
        <v>AY</v>
      </c>
      <c r="E9687" t="str">
        <f t="shared" si="151"/>
        <v>LE048_60|AY</v>
      </c>
    </row>
    <row r="9688" spans="1:5" x14ac:dyDescent="0.2">
      <c r="A9688" t="s">
        <v>1921</v>
      </c>
      <c r="B9688" t="s">
        <v>1922</v>
      </c>
      <c r="C9688" t="s">
        <v>428</v>
      </c>
      <c r="D9688" t="str">
        <f>VLOOKUP(C9688,'lookup table'!$A$2:$B$19,2,FALSE)</f>
        <v>LoB</v>
      </c>
      <c r="E9688" t="str">
        <f t="shared" si="151"/>
        <v>LE048_60|LoB</v>
      </c>
    </row>
    <row r="9689" spans="1:5" x14ac:dyDescent="0.2">
      <c r="A9689" t="s">
        <v>1923</v>
      </c>
      <c r="B9689" t="s">
        <v>77</v>
      </c>
      <c r="C9689" t="s">
        <v>20</v>
      </c>
      <c r="D9689" t="str">
        <f>VLOOKUP(C9689,'lookup table'!$A$2:$B$19,2,FALSE)</f>
        <v>AY</v>
      </c>
      <c r="E9689" t="str">
        <f t="shared" si="151"/>
        <v>LE049_00|AY</v>
      </c>
    </row>
    <row r="9690" spans="1:5" x14ac:dyDescent="0.2">
      <c r="A9690" t="s">
        <v>1924</v>
      </c>
      <c r="B9690" t="s">
        <v>103</v>
      </c>
      <c r="C9690" t="s">
        <v>20</v>
      </c>
      <c r="D9690" t="str">
        <f>VLOOKUP(C9690,'lookup table'!$A$2:$B$19,2,FALSE)</f>
        <v>AY</v>
      </c>
      <c r="E9690" t="str">
        <f t="shared" si="151"/>
        <v>LE049_17|AY</v>
      </c>
    </row>
    <row r="9691" spans="1:5" x14ac:dyDescent="0.2">
      <c r="A9691" t="s">
        <v>1925</v>
      </c>
      <c r="B9691" t="s">
        <v>1926</v>
      </c>
      <c r="C9691" t="s">
        <v>20</v>
      </c>
      <c r="D9691" t="str">
        <f>VLOOKUP(C9691,'lookup table'!$A$2:$B$19,2,FALSE)</f>
        <v>AY</v>
      </c>
      <c r="E9691" t="str">
        <f t="shared" si="151"/>
        <v>LE049_60|AY</v>
      </c>
    </row>
    <row r="9692" spans="1:5" x14ac:dyDescent="0.2">
      <c r="A9692" t="s">
        <v>1925</v>
      </c>
      <c r="B9692" t="s">
        <v>1926</v>
      </c>
      <c r="C9692" t="s">
        <v>428</v>
      </c>
      <c r="D9692" t="str">
        <f>VLOOKUP(C9692,'lookup table'!$A$2:$B$19,2,FALSE)</f>
        <v>LoB</v>
      </c>
      <c r="E9692" t="str">
        <f t="shared" si="151"/>
        <v>LE049_60|LoB</v>
      </c>
    </row>
    <row r="9693" spans="1:5" x14ac:dyDescent="0.2">
      <c r="A9693" t="s">
        <v>1927</v>
      </c>
      <c r="B9693" t="s">
        <v>78</v>
      </c>
      <c r="C9693" t="s">
        <v>20</v>
      </c>
      <c r="D9693" t="str">
        <f>VLOOKUP(C9693,'lookup table'!$A$2:$B$19,2,FALSE)</f>
        <v>AY</v>
      </c>
      <c r="E9693" t="str">
        <f t="shared" si="151"/>
        <v>LE050_00|AY</v>
      </c>
    </row>
    <row r="9694" spans="1:5" x14ac:dyDescent="0.2">
      <c r="A9694" t="s">
        <v>1928</v>
      </c>
      <c r="B9694" t="s">
        <v>104</v>
      </c>
      <c r="C9694" t="s">
        <v>20</v>
      </c>
      <c r="D9694" t="str">
        <f>VLOOKUP(C9694,'lookup table'!$A$2:$B$19,2,FALSE)</f>
        <v>AY</v>
      </c>
      <c r="E9694" t="str">
        <f t="shared" si="151"/>
        <v>LE050_17|AY</v>
      </c>
    </row>
    <row r="9695" spans="1:5" x14ac:dyDescent="0.2">
      <c r="A9695" t="s">
        <v>1929</v>
      </c>
      <c r="B9695" t="s">
        <v>1930</v>
      </c>
      <c r="C9695" t="s">
        <v>20</v>
      </c>
      <c r="D9695" t="str">
        <f>VLOOKUP(C9695,'lookup table'!$A$2:$B$19,2,FALSE)</f>
        <v>AY</v>
      </c>
      <c r="E9695" t="str">
        <f t="shared" si="151"/>
        <v>LE050_60|AY</v>
      </c>
    </row>
    <row r="9696" spans="1:5" x14ac:dyDescent="0.2">
      <c r="A9696" t="s">
        <v>1929</v>
      </c>
      <c r="B9696" t="s">
        <v>1930</v>
      </c>
      <c r="C9696" t="s">
        <v>428</v>
      </c>
      <c r="D9696" t="str">
        <f>VLOOKUP(C9696,'lookup table'!$A$2:$B$19,2,FALSE)</f>
        <v>LoB</v>
      </c>
      <c r="E9696" t="str">
        <f t="shared" si="151"/>
        <v>LE050_60|LoB</v>
      </c>
    </row>
    <row r="9697" spans="1:5" x14ac:dyDescent="0.2">
      <c r="A9697" t="s">
        <v>1931</v>
      </c>
      <c r="B9697" t="s">
        <v>79</v>
      </c>
      <c r="C9697" t="s">
        <v>20</v>
      </c>
      <c r="D9697" t="str">
        <f>VLOOKUP(C9697,'lookup table'!$A$2:$B$19,2,FALSE)</f>
        <v>AY</v>
      </c>
      <c r="E9697" t="str">
        <f t="shared" si="151"/>
        <v>LE051_00|AY</v>
      </c>
    </row>
    <row r="9698" spans="1:5" x14ac:dyDescent="0.2">
      <c r="A9698" t="s">
        <v>1932</v>
      </c>
      <c r="B9698" t="s">
        <v>112</v>
      </c>
      <c r="C9698" t="s">
        <v>20</v>
      </c>
      <c r="D9698" t="str">
        <f>VLOOKUP(C9698,'lookup table'!$A$2:$B$19,2,FALSE)</f>
        <v>AY</v>
      </c>
      <c r="E9698" t="str">
        <f t="shared" si="151"/>
        <v>LE051_17|AY</v>
      </c>
    </row>
    <row r="9699" spans="1:5" x14ac:dyDescent="0.2">
      <c r="A9699" t="s">
        <v>1933</v>
      </c>
      <c r="B9699" t="s">
        <v>1934</v>
      </c>
      <c r="C9699" t="s">
        <v>20</v>
      </c>
      <c r="D9699" t="str">
        <f>VLOOKUP(C9699,'lookup table'!$A$2:$B$19,2,FALSE)</f>
        <v>AY</v>
      </c>
      <c r="E9699" t="str">
        <f t="shared" si="151"/>
        <v>LE051_60|AY</v>
      </c>
    </row>
    <row r="9700" spans="1:5" x14ac:dyDescent="0.2">
      <c r="A9700" t="s">
        <v>1933</v>
      </c>
      <c r="B9700" t="s">
        <v>1934</v>
      </c>
      <c r="C9700" t="s">
        <v>428</v>
      </c>
      <c r="D9700" t="str">
        <f>VLOOKUP(C9700,'lookup table'!$A$2:$B$19,2,FALSE)</f>
        <v>LoB</v>
      </c>
      <c r="E9700" t="str">
        <f t="shared" si="151"/>
        <v>LE051_60|LoB</v>
      </c>
    </row>
    <row r="9701" spans="1:5" x14ac:dyDescent="0.2">
      <c r="A9701" t="s">
        <v>1935</v>
      </c>
      <c r="B9701" t="s">
        <v>80</v>
      </c>
      <c r="C9701" t="s">
        <v>20</v>
      </c>
      <c r="D9701" t="str">
        <f>VLOOKUP(C9701,'lookup table'!$A$2:$B$19,2,FALSE)</f>
        <v>AY</v>
      </c>
      <c r="E9701" t="str">
        <f t="shared" si="151"/>
        <v>LE052_00|AY</v>
      </c>
    </row>
    <row r="9702" spans="1:5" x14ac:dyDescent="0.2">
      <c r="A9702" t="s">
        <v>1936</v>
      </c>
      <c r="B9702" t="s">
        <v>113</v>
      </c>
      <c r="C9702" t="s">
        <v>20</v>
      </c>
      <c r="D9702" t="str">
        <f>VLOOKUP(C9702,'lookup table'!$A$2:$B$19,2,FALSE)</f>
        <v>AY</v>
      </c>
      <c r="E9702" t="str">
        <f t="shared" si="151"/>
        <v>LE052_17|AY</v>
      </c>
    </row>
    <row r="9703" spans="1:5" x14ac:dyDescent="0.2">
      <c r="A9703" t="s">
        <v>1937</v>
      </c>
      <c r="B9703" t="s">
        <v>1938</v>
      </c>
      <c r="C9703" t="s">
        <v>20</v>
      </c>
      <c r="D9703" t="str">
        <f>VLOOKUP(C9703,'lookup table'!$A$2:$B$19,2,FALSE)</f>
        <v>AY</v>
      </c>
      <c r="E9703" t="str">
        <f t="shared" si="151"/>
        <v>LE052_60|AY</v>
      </c>
    </row>
    <row r="9704" spans="1:5" x14ac:dyDescent="0.2">
      <c r="A9704" t="s">
        <v>1937</v>
      </c>
      <c r="B9704" t="s">
        <v>1938</v>
      </c>
      <c r="C9704" t="s">
        <v>428</v>
      </c>
      <c r="D9704" t="str">
        <f>VLOOKUP(C9704,'lookup table'!$A$2:$B$19,2,FALSE)</f>
        <v>LoB</v>
      </c>
      <c r="E9704" t="str">
        <f t="shared" si="151"/>
        <v>LE052_60|LoB</v>
      </c>
    </row>
    <row r="9705" spans="1:5" x14ac:dyDescent="0.2">
      <c r="A9705" t="s">
        <v>1939</v>
      </c>
      <c r="B9705" t="s">
        <v>81</v>
      </c>
      <c r="C9705" t="s">
        <v>20</v>
      </c>
      <c r="D9705" t="str">
        <f>VLOOKUP(C9705,'lookup table'!$A$2:$B$19,2,FALSE)</f>
        <v>AY</v>
      </c>
      <c r="E9705" t="str">
        <f t="shared" si="151"/>
        <v>LE053_00|AY</v>
      </c>
    </row>
    <row r="9706" spans="1:5" x14ac:dyDescent="0.2">
      <c r="A9706" t="s">
        <v>1940</v>
      </c>
      <c r="B9706" t="s">
        <v>114</v>
      </c>
      <c r="C9706" t="s">
        <v>20</v>
      </c>
      <c r="D9706" t="str">
        <f>VLOOKUP(C9706,'lookup table'!$A$2:$B$19,2,FALSE)</f>
        <v>AY</v>
      </c>
      <c r="E9706" t="str">
        <f t="shared" si="151"/>
        <v>LE053_17|AY</v>
      </c>
    </row>
    <row r="9707" spans="1:5" x14ac:dyDescent="0.2">
      <c r="A9707" t="s">
        <v>1941</v>
      </c>
      <c r="B9707" t="s">
        <v>1942</v>
      </c>
      <c r="C9707" t="s">
        <v>20</v>
      </c>
      <c r="D9707" t="str">
        <f>VLOOKUP(C9707,'lookup table'!$A$2:$B$19,2,FALSE)</f>
        <v>AY</v>
      </c>
      <c r="E9707" t="str">
        <f t="shared" si="151"/>
        <v>LE053_60|AY</v>
      </c>
    </row>
    <row r="9708" spans="1:5" x14ac:dyDescent="0.2">
      <c r="A9708" t="s">
        <v>1941</v>
      </c>
      <c r="B9708" t="s">
        <v>1942</v>
      </c>
      <c r="C9708" t="s">
        <v>428</v>
      </c>
      <c r="D9708" t="str">
        <f>VLOOKUP(C9708,'lookup table'!$A$2:$B$19,2,FALSE)</f>
        <v>LoB</v>
      </c>
      <c r="E9708" t="str">
        <f t="shared" si="151"/>
        <v>LE053_60|LoB</v>
      </c>
    </row>
    <row r="9709" spans="1:5" x14ac:dyDescent="0.2">
      <c r="A9709" t="s">
        <v>1943</v>
      </c>
      <c r="B9709" t="s">
        <v>82</v>
      </c>
      <c r="C9709" t="s">
        <v>20</v>
      </c>
      <c r="D9709" t="str">
        <f>VLOOKUP(C9709,'lookup table'!$A$2:$B$19,2,FALSE)</f>
        <v>AY</v>
      </c>
      <c r="E9709" t="str">
        <f t="shared" si="151"/>
        <v>LE054_00|AY</v>
      </c>
    </row>
    <row r="9710" spans="1:5" x14ac:dyDescent="0.2">
      <c r="A9710" t="s">
        <v>1944</v>
      </c>
      <c r="B9710" t="s">
        <v>1945</v>
      </c>
      <c r="C9710" t="s">
        <v>20</v>
      </c>
      <c r="D9710" t="str">
        <f>VLOOKUP(C9710,'lookup table'!$A$2:$B$19,2,FALSE)</f>
        <v>AY</v>
      </c>
      <c r="E9710" t="str">
        <f t="shared" si="151"/>
        <v>LE054_60|AY</v>
      </c>
    </row>
    <row r="9711" spans="1:5" x14ac:dyDescent="0.2">
      <c r="A9711" t="s">
        <v>1944</v>
      </c>
      <c r="B9711" t="s">
        <v>1945</v>
      </c>
      <c r="C9711" t="s">
        <v>428</v>
      </c>
      <c r="D9711" t="str">
        <f>VLOOKUP(C9711,'lookup table'!$A$2:$B$19,2,FALSE)</f>
        <v>LoB</v>
      </c>
      <c r="E9711" t="str">
        <f t="shared" si="151"/>
        <v>LE054_60|LoB</v>
      </c>
    </row>
    <row r="9712" spans="1:5" x14ac:dyDescent="0.2">
      <c r="A9712" t="s">
        <v>1946</v>
      </c>
      <c r="B9712" t="s">
        <v>1947</v>
      </c>
      <c r="C9712" t="s">
        <v>20</v>
      </c>
      <c r="D9712" t="str">
        <f>VLOOKUP(C9712,'lookup table'!$A$2:$B$19,2,FALSE)</f>
        <v>AY</v>
      </c>
      <c r="E9712" t="str">
        <f t="shared" si="151"/>
        <v>LE055_00|AY</v>
      </c>
    </row>
    <row r="9713" spans="1:5" x14ac:dyDescent="0.2">
      <c r="A9713" t="s">
        <v>1948</v>
      </c>
      <c r="B9713" t="s">
        <v>1949</v>
      </c>
      <c r="C9713" t="s">
        <v>20</v>
      </c>
      <c r="D9713" t="str">
        <f>VLOOKUP(C9713,'lookup table'!$A$2:$B$19,2,FALSE)</f>
        <v>AY</v>
      </c>
      <c r="E9713" t="str">
        <f t="shared" si="151"/>
        <v>LE056_00|AY</v>
      </c>
    </row>
    <row r="9714" spans="1:5" x14ac:dyDescent="0.2">
      <c r="A9714" t="s">
        <v>1950</v>
      </c>
      <c r="B9714" t="s">
        <v>83</v>
      </c>
      <c r="C9714" t="s">
        <v>20</v>
      </c>
      <c r="D9714" t="str">
        <f>VLOOKUP(C9714,'lookup table'!$A$2:$B$19,2,FALSE)</f>
        <v>AY</v>
      </c>
      <c r="E9714" t="str">
        <f t="shared" si="151"/>
        <v>LE057_00|AY</v>
      </c>
    </row>
    <row r="9715" spans="1:5" x14ac:dyDescent="0.2">
      <c r="A9715" t="s">
        <v>1951</v>
      </c>
      <c r="B9715" t="s">
        <v>1952</v>
      </c>
      <c r="C9715" t="s">
        <v>20</v>
      </c>
      <c r="D9715" t="str">
        <f>VLOOKUP(C9715,'lookup table'!$A$2:$B$19,2,FALSE)</f>
        <v>AY</v>
      </c>
      <c r="E9715" t="str">
        <f t="shared" si="151"/>
        <v>LE057_60|AY</v>
      </c>
    </row>
    <row r="9716" spans="1:5" x14ac:dyDescent="0.2">
      <c r="A9716" t="s">
        <v>1951</v>
      </c>
      <c r="B9716" t="s">
        <v>1952</v>
      </c>
      <c r="C9716" t="s">
        <v>428</v>
      </c>
      <c r="D9716" t="str">
        <f>VLOOKUP(C9716,'lookup table'!$A$2:$B$19,2,FALSE)</f>
        <v>LoB</v>
      </c>
      <c r="E9716" t="str">
        <f t="shared" si="151"/>
        <v>LE057_60|LoB</v>
      </c>
    </row>
    <row r="9717" spans="1:5" x14ac:dyDescent="0.2">
      <c r="A9717" t="s">
        <v>1953</v>
      </c>
      <c r="B9717" t="s">
        <v>84</v>
      </c>
      <c r="C9717" t="s">
        <v>20</v>
      </c>
      <c r="D9717" t="str">
        <f>VLOOKUP(C9717,'lookup table'!$A$2:$B$19,2,FALSE)</f>
        <v>AY</v>
      </c>
      <c r="E9717" t="str">
        <f t="shared" si="151"/>
        <v>LE058_00|AY</v>
      </c>
    </row>
    <row r="9718" spans="1:5" x14ac:dyDescent="0.2">
      <c r="A9718" t="s">
        <v>1954</v>
      </c>
      <c r="B9718" t="s">
        <v>1955</v>
      </c>
      <c r="C9718" t="s">
        <v>20</v>
      </c>
      <c r="D9718" t="str">
        <f>VLOOKUP(C9718,'lookup table'!$A$2:$B$19,2,FALSE)</f>
        <v>AY</v>
      </c>
      <c r="E9718" t="str">
        <f t="shared" si="151"/>
        <v>LE058_60|AY</v>
      </c>
    </row>
    <row r="9719" spans="1:5" x14ac:dyDescent="0.2">
      <c r="A9719" t="s">
        <v>1954</v>
      </c>
      <c r="B9719" t="s">
        <v>1955</v>
      </c>
      <c r="C9719" t="s">
        <v>428</v>
      </c>
      <c r="D9719" t="str">
        <f>VLOOKUP(C9719,'lookup table'!$A$2:$B$19,2,FALSE)</f>
        <v>LoB</v>
      </c>
      <c r="E9719" t="str">
        <f t="shared" si="151"/>
        <v>LE058_60|LoB</v>
      </c>
    </row>
    <row r="9720" spans="1:5" x14ac:dyDescent="0.2">
      <c r="A9720" t="s">
        <v>1956</v>
      </c>
      <c r="B9720" t="s">
        <v>37</v>
      </c>
      <c r="C9720" t="s">
        <v>20</v>
      </c>
      <c r="D9720" t="str">
        <f>VLOOKUP(C9720,'lookup table'!$A$2:$B$19,2,FALSE)</f>
        <v>AY</v>
      </c>
      <c r="E9720" t="str">
        <f t="shared" si="151"/>
        <v>LE059_00|AY</v>
      </c>
    </row>
    <row r="9721" spans="1:5" x14ac:dyDescent="0.2">
      <c r="A9721" t="s">
        <v>1957</v>
      </c>
      <c r="B9721" t="s">
        <v>1958</v>
      </c>
      <c r="C9721" t="s">
        <v>20</v>
      </c>
      <c r="D9721" t="str">
        <f>VLOOKUP(C9721,'lookup table'!$A$2:$B$19,2,FALSE)</f>
        <v>AY</v>
      </c>
      <c r="E9721" t="str">
        <f t="shared" si="151"/>
        <v>LE059_60|AY</v>
      </c>
    </row>
    <row r="9722" spans="1:5" x14ac:dyDescent="0.2">
      <c r="A9722" t="s">
        <v>1957</v>
      </c>
      <c r="B9722" t="s">
        <v>1958</v>
      </c>
      <c r="C9722" t="s">
        <v>428</v>
      </c>
      <c r="D9722" t="str">
        <f>VLOOKUP(C9722,'lookup table'!$A$2:$B$19,2,FALSE)</f>
        <v>LoB</v>
      </c>
      <c r="E9722" t="str">
        <f t="shared" si="151"/>
        <v>LE059_60|LoB</v>
      </c>
    </row>
    <row r="9723" spans="1:5" x14ac:dyDescent="0.2">
      <c r="A9723" t="s">
        <v>1959</v>
      </c>
      <c r="B9723" t="s">
        <v>1960</v>
      </c>
      <c r="C9723" t="s">
        <v>20</v>
      </c>
      <c r="D9723" t="str">
        <f>VLOOKUP(C9723,'lookup table'!$A$2:$B$19,2,FALSE)</f>
        <v>AY</v>
      </c>
      <c r="E9723" t="str">
        <f t="shared" si="151"/>
        <v>LE060_00|AY</v>
      </c>
    </row>
    <row r="9724" spans="1:5" x14ac:dyDescent="0.2">
      <c r="A9724" t="s">
        <v>1961</v>
      </c>
      <c r="B9724" t="s">
        <v>40</v>
      </c>
      <c r="C9724" t="s">
        <v>20</v>
      </c>
      <c r="D9724" t="str">
        <f>VLOOKUP(C9724,'lookup table'!$A$2:$B$19,2,FALSE)</f>
        <v>AY</v>
      </c>
      <c r="E9724" t="str">
        <f t="shared" si="151"/>
        <v>LE061_00|AY</v>
      </c>
    </row>
    <row r="9725" spans="1:5" x14ac:dyDescent="0.2">
      <c r="A9725" t="s">
        <v>1962</v>
      </c>
      <c r="B9725" t="s">
        <v>1963</v>
      </c>
      <c r="C9725" t="s">
        <v>20</v>
      </c>
      <c r="D9725" t="str">
        <f>VLOOKUP(C9725,'lookup table'!$A$2:$B$19,2,FALSE)</f>
        <v>AY</v>
      </c>
      <c r="E9725" t="str">
        <f t="shared" si="151"/>
        <v>LE061_60|AY</v>
      </c>
    </row>
    <row r="9726" spans="1:5" x14ac:dyDescent="0.2">
      <c r="A9726" t="s">
        <v>1962</v>
      </c>
      <c r="B9726" t="s">
        <v>1963</v>
      </c>
      <c r="C9726" t="s">
        <v>428</v>
      </c>
      <c r="D9726" t="str">
        <f>VLOOKUP(C9726,'lookup table'!$A$2:$B$19,2,FALSE)</f>
        <v>LoB</v>
      </c>
      <c r="E9726" t="str">
        <f t="shared" si="151"/>
        <v>LE061_60|LoB</v>
      </c>
    </row>
    <row r="9727" spans="1:5" x14ac:dyDescent="0.2">
      <c r="A9727" t="s">
        <v>1964</v>
      </c>
      <c r="B9727" t="s">
        <v>1965</v>
      </c>
      <c r="C9727" t="s">
        <v>20</v>
      </c>
      <c r="D9727" t="str">
        <f>VLOOKUP(C9727,'lookup table'!$A$2:$B$19,2,FALSE)</f>
        <v>AY</v>
      </c>
      <c r="E9727" t="str">
        <f t="shared" si="151"/>
        <v>LE062_00|AY</v>
      </c>
    </row>
    <row r="9728" spans="1:5" x14ac:dyDescent="0.2">
      <c r="A9728" t="s">
        <v>1966</v>
      </c>
      <c r="B9728" t="s">
        <v>41</v>
      </c>
      <c r="C9728" t="s">
        <v>20</v>
      </c>
      <c r="D9728" t="str">
        <f>VLOOKUP(C9728,'lookup table'!$A$2:$B$19,2,FALSE)</f>
        <v>AY</v>
      </c>
      <c r="E9728" t="str">
        <f t="shared" si="151"/>
        <v>LE063_17|AY</v>
      </c>
    </row>
    <row r="9729" spans="1:5" x14ac:dyDescent="0.2">
      <c r="A9729" t="s">
        <v>1967</v>
      </c>
      <c r="B9729" t="s">
        <v>42</v>
      </c>
      <c r="C9729" t="s">
        <v>20</v>
      </c>
      <c r="D9729" t="str">
        <f>VLOOKUP(C9729,'lookup table'!$A$2:$B$19,2,FALSE)</f>
        <v>AY</v>
      </c>
      <c r="E9729" t="str">
        <f t="shared" si="151"/>
        <v>LE064_17|AY</v>
      </c>
    </row>
    <row r="9730" spans="1:5" x14ac:dyDescent="0.2">
      <c r="A9730" t="s">
        <v>1968</v>
      </c>
      <c r="B9730" t="s">
        <v>1969</v>
      </c>
      <c r="C9730" t="s">
        <v>331</v>
      </c>
      <c r="D9730" t="str">
        <f>VLOOKUP(C9730,'lookup table'!$A$2:$B$19,2,FALSE)</f>
        <v>FS Item</v>
      </c>
      <c r="E9730" t="str">
        <f t="shared" si="151"/>
        <v>LE065_00|FS Item</v>
      </c>
    </row>
    <row r="9731" spans="1:5" x14ac:dyDescent="0.2">
      <c r="A9731" t="s">
        <v>1968</v>
      </c>
      <c r="B9731" t="s">
        <v>1969</v>
      </c>
      <c r="C9731" t="s">
        <v>423</v>
      </c>
      <c r="D9731" t="str">
        <f>VLOOKUP(C9731,'lookup table'!$A$2:$B$19,2,FALSE)</f>
        <v>ignore</v>
      </c>
      <c r="E9731" t="str">
        <f t="shared" ref="E9731:E9794" si="152">IF(ISNA(D9731),"",IF(A9731="","",A9731) &amp; "|" &amp; D9731)</f>
        <v>LE065_00|ignore</v>
      </c>
    </row>
    <row r="9732" spans="1:5" x14ac:dyDescent="0.2">
      <c r="A9732" t="s">
        <v>1970</v>
      </c>
      <c r="B9732" t="s">
        <v>43</v>
      </c>
      <c r="C9732" t="s">
        <v>20</v>
      </c>
      <c r="D9732" t="str">
        <f>VLOOKUP(C9732,'lookup table'!$A$2:$B$19,2,FALSE)</f>
        <v>AY</v>
      </c>
      <c r="E9732" t="str">
        <f t="shared" si="152"/>
        <v>LE065_17|AY</v>
      </c>
    </row>
    <row r="9733" spans="1:5" x14ac:dyDescent="0.2">
      <c r="A9733" t="s">
        <v>1971</v>
      </c>
      <c r="B9733" t="s">
        <v>1972</v>
      </c>
      <c r="C9733" t="s">
        <v>331</v>
      </c>
      <c r="D9733" t="str">
        <f>VLOOKUP(C9733,'lookup table'!$A$2:$B$19,2,FALSE)</f>
        <v>FS Item</v>
      </c>
      <c r="E9733" t="str">
        <f t="shared" si="152"/>
        <v>LE066_00|FS Item</v>
      </c>
    </row>
    <row r="9734" spans="1:5" x14ac:dyDescent="0.2">
      <c r="A9734" t="s">
        <v>1971</v>
      </c>
      <c r="B9734" t="s">
        <v>1972</v>
      </c>
      <c r="C9734" t="s">
        <v>423</v>
      </c>
      <c r="D9734" t="str">
        <f>VLOOKUP(C9734,'lookup table'!$A$2:$B$19,2,FALSE)</f>
        <v>ignore</v>
      </c>
      <c r="E9734" t="str">
        <f t="shared" si="152"/>
        <v>LE066_00|ignore</v>
      </c>
    </row>
    <row r="9735" spans="1:5" x14ac:dyDescent="0.2">
      <c r="A9735" t="s">
        <v>1973</v>
      </c>
      <c r="B9735" t="s">
        <v>44</v>
      </c>
      <c r="C9735" t="s">
        <v>20</v>
      </c>
      <c r="D9735" t="str">
        <f>VLOOKUP(C9735,'lookup table'!$A$2:$B$19,2,FALSE)</f>
        <v>AY</v>
      </c>
      <c r="E9735" t="str">
        <f t="shared" si="152"/>
        <v>LE066_17|AY</v>
      </c>
    </row>
    <row r="9736" spans="1:5" x14ac:dyDescent="0.2">
      <c r="A9736" t="s">
        <v>1974</v>
      </c>
      <c r="B9736" t="s">
        <v>45</v>
      </c>
      <c r="C9736" t="s">
        <v>20</v>
      </c>
      <c r="D9736" t="str">
        <f>VLOOKUP(C9736,'lookup table'!$A$2:$B$19,2,FALSE)</f>
        <v>AY</v>
      </c>
      <c r="E9736" t="str">
        <f t="shared" si="152"/>
        <v>LE067_17|AY</v>
      </c>
    </row>
    <row r="9737" spans="1:5" x14ac:dyDescent="0.2">
      <c r="A9737" t="s">
        <v>1975</v>
      </c>
      <c r="B9737" t="s">
        <v>46</v>
      </c>
      <c r="C9737" t="s">
        <v>20</v>
      </c>
      <c r="D9737" t="str">
        <f>VLOOKUP(C9737,'lookup table'!$A$2:$B$19,2,FALSE)</f>
        <v>AY</v>
      </c>
      <c r="E9737" t="str">
        <f t="shared" si="152"/>
        <v>LE068_17|AY</v>
      </c>
    </row>
    <row r="9738" spans="1:5" x14ac:dyDescent="0.2">
      <c r="A9738" t="s">
        <v>1976</v>
      </c>
      <c r="B9738" t="s">
        <v>47</v>
      </c>
      <c r="C9738" t="s">
        <v>20</v>
      </c>
      <c r="D9738" t="str">
        <f>VLOOKUP(C9738,'lookup table'!$A$2:$B$19,2,FALSE)</f>
        <v>AY</v>
      </c>
      <c r="E9738" t="str">
        <f t="shared" si="152"/>
        <v>LE069_17|AY</v>
      </c>
    </row>
    <row r="9739" spans="1:5" x14ac:dyDescent="0.2">
      <c r="A9739" t="s">
        <v>1977</v>
      </c>
      <c r="B9739" t="s">
        <v>1978</v>
      </c>
      <c r="C9739" t="s">
        <v>20</v>
      </c>
      <c r="D9739" t="str">
        <f>VLOOKUP(C9739,'lookup table'!$A$2:$B$19,2,FALSE)</f>
        <v>AY</v>
      </c>
      <c r="E9739" t="str">
        <f t="shared" si="152"/>
        <v>LE070_17|AY</v>
      </c>
    </row>
    <row r="9740" spans="1:5" x14ac:dyDescent="0.2">
      <c r="A9740" t="s">
        <v>1979</v>
      </c>
      <c r="B9740" t="s">
        <v>1980</v>
      </c>
      <c r="C9740" t="s">
        <v>20</v>
      </c>
      <c r="D9740" t="str">
        <f>VLOOKUP(C9740,'lookup table'!$A$2:$B$19,2,FALSE)</f>
        <v>AY</v>
      </c>
      <c r="E9740" t="str">
        <f t="shared" si="152"/>
        <v>LE071_00|AY</v>
      </c>
    </row>
    <row r="9741" spans="1:5" x14ac:dyDescent="0.2">
      <c r="A9741" t="s">
        <v>1981</v>
      </c>
      <c r="B9741" t="s">
        <v>48</v>
      </c>
      <c r="C9741" t="s">
        <v>20</v>
      </c>
      <c r="D9741" t="str">
        <f>VLOOKUP(C9741,'lookup table'!$A$2:$B$19,2,FALSE)</f>
        <v>AY</v>
      </c>
      <c r="E9741" t="str">
        <f t="shared" si="152"/>
        <v>LE071_17|AY</v>
      </c>
    </row>
    <row r="9742" spans="1:5" x14ac:dyDescent="0.2">
      <c r="A9742" t="s">
        <v>1982</v>
      </c>
      <c r="B9742" t="s">
        <v>1983</v>
      </c>
      <c r="C9742" t="s">
        <v>20</v>
      </c>
      <c r="D9742" t="str">
        <f>VLOOKUP(C9742,'lookup table'!$A$2:$B$19,2,FALSE)</f>
        <v>AY</v>
      </c>
      <c r="E9742" t="str">
        <f t="shared" si="152"/>
        <v>LE072_00|AY</v>
      </c>
    </row>
    <row r="9743" spans="1:5" x14ac:dyDescent="0.2">
      <c r="A9743" t="s">
        <v>1984</v>
      </c>
      <c r="B9743" t="s">
        <v>49</v>
      </c>
      <c r="C9743" t="s">
        <v>20</v>
      </c>
      <c r="D9743" t="str">
        <f>VLOOKUP(C9743,'lookup table'!$A$2:$B$19,2,FALSE)</f>
        <v>AY</v>
      </c>
      <c r="E9743" t="str">
        <f t="shared" si="152"/>
        <v>LE072_17|AY</v>
      </c>
    </row>
    <row r="9744" spans="1:5" x14ac:dyDescent="0.2">
      <c r="A9744" t="s">
        <v>1985</v>
      </c>
      <c r="B9744" t="s">
        <v>1986</v>
      </c>
      <c r="C9744" t="s">
        <v>20</v>
      </c>
      <c r="D9744" t="str">
        <f>VLOOKUP(C9744,'lookup table'!$A$2:$B$19,2,FALSE)</f>
        <v>AY</v>
      </c>
      <c r="E9744" t="str">
        <f t="shared" si="152"/>
        <v>LE073_00|AY</v>
      </c>
    </row>
    <row r="9745" spans="1:5" x14ac:dyDescent="0.2">
      <c r="A9745" t="s">
        <v>1987</v>
      </c>
      <c r="B9745" t="s">
        <v>50</v>
      </c>
      <c r="C9745" t="s">
        <v>20</v>
      </c>
      <c r="D9745" t="str">
        <f>VLOOKUP(C9745,'lookup table'!$A$2:$B$19,2,FALSE)</f>
        <v>AY</v>
      </c>
      <c r="E9745" t="str">
        <f t="shared" si="152"/>
        <v>LE073_17|AY</v>
      </c>
    </row>
    <row r="9746" spans="1:5" x14ac:dyDescent="0.2">
      <c r="A9746" t="s">
        <v>1988</v>
      </c>
      <c r="B9746" t="s">
        <v>51</v>
      </c>
      <c r="C9746" t="s">
        <v>20</v>
      </c>
      <c r="D9746" t="str">
        <f>VLOOKUP(C9746,'lookup table'!$A$2:$B$19,2,FALSE)</f>
        <v>AY</v>
      </c>
      <c r="E9746" t="str">
        <f t="shared" si="152"/>
        <v>LE074_17|AY</v>
      </c>
    </row>
    <row r="9747" spans="1:5" x14ac:dyDescent="0.2">
      <c r="A9747" t="s">
        <v>1989</v>
      </c>
      <c r="B9747" t="s">
        <v>52</v>
      </c>
      <c r="C9747" t="s">
        <v>20</v>
      </c>
      <c r="D9747" t="str">
        <f>VLOOKUP(C9747,'lookup table'!$A$2:$B$19,2,FALSE)</f>
        <v>AY</v>
      </c>
      <c r="E9747" t="str">
        <f t="shared" si="152"/>
        <v>LE075_17|AY</v>
      </c>
    </row>
    <row r="9748" spans="1:5" x14ac:dyDescent="0.2">
      <c r="A9748" t="s">
        <v>1990</v>
      </c>
      <c r="B9748" t="s">
        <v>53</v>
      </c>
      <c r="C9748" t="s">
        <v>20</v>
      </c>
      <c r="D9748" t="str">
        <f>VLOOKUP(C9748,'lookup table'!$A$2:$B$19,2,FALSE)</f>
        <v>AY</v>
      </c>
      <c r="E9748" t="str">
        <f t="shared" si="152"/>
        <v>LE076_17|AY</v>
      </c>
    </row>
    <row r="9749" spans="1:5" x14ac:dyDescent="0.2">
      <c r="A9749" t="s">
        <v>1991</v>
      </c>
      <c r="B9749" t="s">
        <v>54</v>
      </c>
      <c r="C9749" t="s">
        <v>20</v>
      </c>
      <c r="D9749" t="str">
        <f>VLOOKUP(C9749,'lookup table'!$A$2:$B$19,2,FALSE)</f>
        <v>AY</v>
      </c>
      <c r="E9749" t="str">
        <f t="shared" si="152"/>
        <v>LE078_17|AY</v>
      </c>
    </row>
    <row r="9750" spans="1:5" x14ac:dyDescent="0.2">
      <c r="A9750" t="s">
        <v>1992</v>
      </c>
      <c r="B9750" t="s">
        <v>55</v>
      </c>
      <c r="C9750" t="s">
        <v>20</v>
      </c>
      <c r="D9750" t="str">
        <f>VLOOKUP(C9750,'lookup table'!$A$2:$B$19,2,FALSE)</f>
        <v>AY</v>
      </c>
      <c r="E9750" t="str">
        <f t="shared" si="152"/>
        <v>LE079_17|AY</v>
      </c>
    </row>
    <row r="9751" spans="1:5" x14ac:dyDescent="0.2">
      <c r="A9751" t="s">
        <v>1993</v>
      </c>
      <c r="B9751" t="s">
        <v>56</v>
      </c>
      <c r="C9751" t="s">
        <v>20</v>
      </c>
      <c r="D9751" t="str">
        <f>VLOOKUP(C9751,'lookup table'!$A$2:$B$19,2,FALSE)</f>
        <v>AY</v>
      </c>
      <c r="E9751" t="str">
        <f t="shared" si="152"/>
        <v>LE080_17|AY</v>
      </c>
    </row>
    <row r="9752" spans="1:5" x14ac:dyDescent="0.2">
      <c r="A9752" t="s">
        <v>1994</v>
      </c>
      <c r="B9752" t="s">
        <v>57</v>
      </c>
      <c r="C9752" t="s">
        <v>20</v>
      </c>
      <c r="D9752" t="str">
        <f>VLOOKUP(C9752,'lookup table'!$A$2:$B$19,2,FALSE)</f>
        <v>AY</v>
      </c>
      <c r="E9752" t="str">
        <f t="shared" si="152"/>
        <v>LE081_17|AY</v>
      </c>
    </row>
    <row r="9753" spans="1:5" x14ac:dyDescent="0.2">
      <c r="A9753" t="s">
        <v>1995</v>
      </c>
      <c r="B9753" t="s">
        <v>1996</v>
      </c>
      <c r="C9753" t="s">
        <v>20</v>
      </c>
      <c r="D9753" t="str">
        <f>VLOOKUP(C9753,'lookup table'!$A$2:$B$19,2,FALSE)</f>
        <v>AY</v>
      </c>
      <c r="E9753" t="str">
        <f t="shared" si="152"/>
        <v>LE082_17|AY</v>
      </c>
    </row>
    <row r="9754" spans="1:5" x14ac:dyDescent="0.2">
      <c r="A9754" t="s">
        <v>1997</v>
      </c>
      <c r="B9754" t="s">
        <v>1998</v>
      </c>
      <c r="C9754" t="s">
        <v>20</v>
      </c>
      <c r="D9754" t="str">
        <f>VLOOKUP(C9754,'lookup table'!$A$2:$B$19,2,FALSE)</f>
        <v>AY</v>
      </c>
      <c r="E9754" t="str">
        <f t="shared" si="152"/>
        <v>LE083_17|AY</v>
      </c>
    </row>
    <row r="9755" spans="1:5" x14ac:dyDescent="0.2">
      <c r="A9755" t="s">
        <v>1999</v>
      </c>
      <c r="B9755" t="s">
        <v>60</v>
      </c>
      <c r="C9755" t="s">
        <v>20</v>
      </c>
      <c r="D9755" t="str">
        <f>VLOOKUP(C9755,'lookup table'!$A$2:$B$19,2,FALSE)</f>
        <v>AY</v>
      </c>
      <c r="E9755" t="str">
        <f t="shared" si="152"/>
        <v>LE084_17|AY</v>
      </c>
    </row>
    <row r="9756" spans="1:5" x14ac:dyDescent="0.2">
      <c r="A9756" t="s">
        <v>2000</v>
      </c>
      <c r="B9756" t="s">
        <v>61</v>
      </c>
      <c r="C9756" t="s">
        <v>20</v>
      </c>
      <c r="D9756" t="str">
        <f>VLOOKUP(C9756,'lookup table'!$A$2:$B$19,2,FALSE)</f>
        <v>AY</v>
      </c>
      <c r="E9756" t="str">
        <f t="shared" si="152"/>
        <v>LE085_17|AY</v>
      </c>
    </row>
    <row r="9757" spans="1:5" x14ac:dyDescent="0.2">
      <c r="A9757" t="s">
        <v>2001</v>
      </c>
      <c r="B9757" t="s">
        <v>2002</v>
      </c>
      <c r="C9757" t="s">
        <v>20</v>
      </c>
      <c r="D9757" t="str">
        <f>VLOOKUP(C9757,'lookup table'!$A$2:$B$19,2,FALSE)</f>
        <v>AY</v>
      </c>
      <c r="E9757" t="str">
        <f t="shared" si="152"/>
        <v>LE086_00|AY</v>
      </c>
    </row>
    <row r="9758" spans="1:5" x14ac:dyDescent="0.2">
      <c r="A9758" t="s">
        <v>2001</v>
      </c>
      <c r="B9758" t="s">
        <v>2002</v>
      </c>
      <c r="C9758" t="s">
        <v>331</v>
      </c>
      <c r="D9758" t="str">
        <f>VLOOKUP(C9758,'lookup table'!$A$2:$B$19,2,FALSE)</f>
        <v>FS Item</v>
      </c>
      <c r="E9758" t="str">
        <f t="shared" si="152"/>
        <v>LE086_00|FS Item</v>
      </c>
    </row>
    <row r="9759" spans="1:5" x14ac:dyDescent="0.2">
      <c r="A9759" t="s">
        <v>2001</v>
      </c>
      <c r="B9759" t="s">
        <v>2002</v>
      </c>
      <c r="C9759" t="s">
        <v>423</v>
      </c>
      <c r="D9759" t="str">
        <f>VLOOKUP(C9759,'lookup table'!$A$2:$B$19,2,FALSE)</f>
        <v>ignore</v>
      </c>
      <c r="E9759" t="str">
        <f t="shared" si="152"/>
        <v>LE086_00|ignore</v>
      </c>
    </row>
    <row r="9760" spans="1:5" x14ac:dyDescent="0.2">
      <c r="A9760" t="s">
        <v>2001</v>
      </c>
      <c r="B9760" t="s">
        <v>2002</v>
      </c>
      <c r="C9760" t="s">
        <v>461</v>
      </c>
      <c r="D9760" t="str">
        <f>VLOOKUP(C9760,'lookup table'!$A$2:$B$19,2,FALSE)</f>
        <v>Posting Level</v>
      </c>
      <c r="E9760" t="str">
        <f t="shared" si="152"/>
        <v>LE086_00|Posting Level</v>
      </c>
    </row>
    <row r="9761" spans="1:5" x14ac:dyDescent="0.2">
      <c r="A9761" t="s">
        <v>2003</v>
      </c>
      <c r="B9761" t="s">
        <v>2004</v>
      </c>
      <c r="C9761" t="s">
        <v>20</v>
      </c>
      <c r="D9761" t="str">
        <f>VLOOKUP(C9761,'lookup table'!$A$2:$B$19,2,FALSE)</f>
        <v>AY</v>
      </c>
      <c r="E9761" t="str">
        <f t="shared" si="152"/>
        <v>LE086_17|AY</v>
      </c>
    </row>
    <row r="9762" spans="1:5" x14ac:dyDescent="0.2">
      <c r="A9762" t="s">
        <v>2003</v>
      </c>
      <c r="B9762" t="s">
        <v>2004</v>
      </c>
      <c r="C9762" t="s">
        <v>331</v>
      </c>
      <c r="D9762" t="str">
        <f>VLOOKUP(C9762,'lookup table'!$A$2:$B$19,2,FALSE)</f>
        <v>FS Item</v>
      </c>
      <c r="E9762" t="str">
        <f t="shared" si="152"/>
        <v>LE086_17|FS Item</v>
      </c>
    </row>
    <row r="9763" spans="1:5" x14ac:dyDescent="0.2">
      <c r="A9763" t="s">
        <v>2003</v>
      </c>
      <c r="B9763" t="s">
        <v>2004</v>
      </c>
      <c r="C9763" t="s">
        <v>423</v>
      </c>
      <c r="D9763" t="str">
        <f>VLOOKUP(C9763,'lookup table'!$A$2:$B$19,2,FALSE)</f>
        <v>ignore</v>
      </c>
      <c r="E9763" t="str">
        <f t="shared" si="152"/>
        <v>LE086_17|ignore</v>
      </c>
    </row>
    <row r="9764" spans="1:5" x14ac:dyDescent="0.2">
      <c r="A9764" t="s">
        <v>2003</v>
      </c>
      <c r="B9764" t="s">
        <v>2004</v>
      </c>
      <c r="C9764" t="s">
        <v>451</v>
      </c>
      <c r="D9764" t="str">
        <f>VLOOKUP(C9764,'lookup table'!$A$2:$B$19,2,FALSE)</f>
        <v>Segment</v>
      </c>
      <c r="E9764" t="str">
        <f t="shared" si="152"/>
        <v>LE086_17|Segment</v>
      </c>
    </row>
    <row r="9765" spans="1:5" x14ac:dyDescent="0.2">
      <c r="A9765" t="s">
        <v>2005</v>
      </c>
      <c r="B9765" t="s">
        <v>2006</v>
      </c>
      <c r="C9765" t="s">
        <v>20</v>
      </c>
      <c r="D9765" t="str">
        <f>VLOOKUP(C9765,'lookup table'!$A$2:$B$19,2,FALSE)</f>
        <v>AY</v>
      </c>
      <c r="E9765" t="str">
        <f t="shared" si="152"/>
        <v>LE087_17|AY</v>
      </c>
    </row>
    <row r="9766" spans="1:5" x14ac:dyDescent="0.2">
      <c r="A9766" t="s">
        <v>2007</v>
      </c>
      <c r="B9766" t="s">
        <v>156</v>
      </c>
      <c r="C9766" t="s">
        <v>136</v>
      </c>
      <c r="D9766" t="str">
        <f>VLOOKUP(C9766,'lookup table'!$A$2:$B$19,2,FALSE)</f>
        <v>BBA Set</v>
      </c>
      <c r="E9766" t="str">
        <f t="shared" si="152"/>
        <v>LE088_17|BBA Set</v>
      </c>
    </row>
    <row r="9767" spans="1:5" x14ac:dyDescent="0.2">
      <c r="A9767" t="s">
        <v>2008</v>
      </c>
      <c r="B9767" t="s">
        <v>2009</v>
      </c>
      <c r="C9767" t="s">
        <v>20</v>
      </c>
      <c r="D9767" t="str">
        <f>VLOOKUP(C9767,'lookup table'!$A$2:$B$19,2,FALSE)</f>
        <v>AY</v>
      </c>
      <c r="E9767" t="str">
        <f t="shared" si="152"/>
        <v>LE089_17|AY</v>
      </c>
    </row>
    <row r="9768" spans="1:5" x14ac:dyDescent="0.2">
      <c r="A9768" t="s">
        <v>2010</v>
      </c>
      <c r="B9768" t="s">
        <v>157</v>
      </c>
      <c r="C9768" t="s">
        <v>136</v>
      </c>
      <c r="D9768" t="str">
        <f>VLOOKUP(C9768,'lookup table'!$A$2:$B$19,2,FALSE)</f>
        <v>BBA Set</v>
      </c>
      <c r="E9768" t="str">
        <f t="shared" si="152"/>
        <v>LE090_17|BBA Set</v>
      </c>
    </row>
    <row r="9769" spans="1:5" x14ac:dyDescent="0.2">
      <c r="A9769" t="s">
        <v>2011</v>
      </c>
      <c r="B9769" t="s">
        <v>2012</v>
      </c>
      <c r="C9769" t="s">
        <v>20</v>
      </c>
      <c r="D9769" t="str">
        <f>VLOOKUP(C9769,'lookup table'!$A$2:$B$19,2,FALSE)</f>
        <v>AY</v>
      </c>
      <c r="E9769" t="str">
        <f t="shared" si="152"/>
        <v>LE092_00|AY</v>
      </c>
    </row>
    <row r="9770" spans="1:5" x14ac:dyDescent="0.2">
      <c r="A9770" t="s">
        <v>2013</v>
      </c>
      <c r="B9770" t="s">
        <v>2014</v>
      </c>
      <c r="C9770" t="s">
        <v>20</v>
      </c>
      <c r="D9770" t="str">
        <f>VLOOKUP(C9770,'lookup table'!$A$2:$B$19,2,FALSE)</f>
        <v>AY</v>
      </c>
      <c r="E9770" t="str">
        <f t="shared" si="152"/>
        <v>LE093_00|AY</v>
      </c>
    </row>
    <row r="9771" spans="1:5" x14ac:dyDescent="0.2">
      <c r="A9771" t="s">
        <v>2015</v>
      </c>
      <c r="B9771" t="s">
        <v>2016</v>
      </c>
      <c r="C9771" t="s">
        <v>20</v>
      </c>
      <c r="D9771" t="str">
        <f>VLOOKUP(C9771,'lookup table'!$A$2:$B$19,2,FALSE)</f>
        <v>AY</v>
      </c>
      <c r="E9771" t="str">
        <f t="shared" si="152"/>
        <v>LE094_00|AY</v>
      </c>
    </row>
    <row r="9772" spans="1:5" x14ac:dyDescent="0.2">
      <c r="A9772" t="s">
        <v>2017</v>
      </c>
      <c r="B9772" t="s">
        <v>2018</v>
      </c>
      <c r="C9772" t="s">
        <v>20</v>
      </c>
      <c r="D9772" t="str">
        <f>VLOOKUP(C9772,'lookup table'!$A$2:$B$19,2,FALSE)</f>
        <v>AY</v>
      </c>
      <c r="E9772" t="str">
        <f t="shared" si="152"/>
        <v>LE095_00|AY</v>
      </c>
    </row>
    <row r="9773" spans="1:5" x14ac:dyDescent="0.2">
      <c r="A9773" t="s">
        <v>2019</v>
      </c>
      <c r="B9773" t="s">
        <v>2020</v>
      </c>
      <c r="C9773" t="s">
        <v>20</v>
      </c>
      <c r="D9773" t="str">
        <f>VLOOKUP(C9773,'lookup table'!$A$2:$B$19,2,FALSE)</f>
        <v>AY</v>
      </c>
      <c r="E9773" t="str">
        <f t="shared" si="152"/>
        <v>LE096_00|AY</v>
      </c>
    </row>
    <row r="9774" spans="1:5" x14ac:dyDescent="0.2">
      <c r="A9774" t="s">
        <v>2021</v>
      </c>
      <c r="B9774" t="s">
        <v>2022</v>
      </c>
      <c r="C9774" t="s">
        <v>20</v>
      </c>
      <c r="D9774" t="str">
        <f>VLOOKUP(C9774,'lookup table'!$A$2:$B$19,2,FALSE)</f>
        <v>AY</v>
      </c>
      <c r="E9774" t="str">
        <f t="shared" si="152"/>
        <v>LE097_00|AY</v>
      </c>
    </row>
    <row r="9775" spans="1:5" x14ac:dyDescent="0.2">
      <c r="A9775" t="s">
        <v>2023</v>
      </c>
      <c r="B9775" t="s">
        <v>159</v>
      </c>
      <c r="C9775" t="s">
        <v>136</v>
      </c>
      <c r="D9775" t="str">
        <f>VLOOKUP(C9775,'lookup table'!$A$2:$B$19,2,FALSE)</f>
        <v>BBA Set</v>
      </c>
      <c r="E9775" t="str">
        <f t="shared" si="152"/>
        <v>LE097_17|BBA Set</v>
      </c>
    </row>
    <row r="9776" spans="1:5" x14ac:dyDescent="0.2">
      <c r="A9776" t="s">
        <v>2024</v>
      </c>
      <c r="B9776" t="s">
        <v>64</v>
      </c>
      <c r="C9776" t="s">
        <v>20</v>
      </c>
      <c r="D9776" t="str">
        <f>VLOOKUP(C9776,'lookup table'!$A$2:$B$19,2,FALSE)</f>
        <v>AY</v>
      </c>
      <c r="E9776" t="str">
        <f t="shared" si="152"/>
        <v>LE098_00|AY</v>
      </c>
    </row>
    <row r="9777" spans="1:5" x14ac:dyDescent="0.2">
      <c r="A9777" t="s">
        <v>2025</v>
      </c>
      <c r="B9777" t="s">
        <v>2026</v>
      </c>
      <c r="C9777" t="s">
        <v>136</v>
      </c>
      <c r="D9777" t="str">
        <f>VLOOKUP(C9777,'lookup table'!$A$2:$B$19,2,FALSE)</f>
        <v>BBA Set</v>
      </c>
      <c r="E9777" t="str">
        <f t="shared" si="152"/>
        <v>LE098_17|BBA Set</v>
      </c>
    </row>
    <row r="9778" spans="1:5" x14ac:dyDescent="0.2">
      <c r="A9778" t="s">
        <v>2027</v>
      </c>
      <c r="B9778" t="s">
        <v>2028</v>
      </c>
      <c r="C9778" t="s">
        <v>20</v>
      </c>
      <c r="D9778" t="str">
        <f>VLOOKUP(C9778,'lookup table'!$A$2:$B$19,2,FALSE)</f>
        <v>AY</v>
      </c>
      <c r="E9778" t="str">
        <f t="shared" si="152"/>
        <v>LE098_60|AY</v>
      </c>
    </row>
    <row r="9779" spans="1:5" x14ac:dyDescent="0.2">
      <c r="A9779" t="s">
        <v>2027</v>
      </c>
      <c r="B9779" t="s">
        <v>2028</v>
      </c>
      <c r="C9779" t="s">
        <v>428</v>
      </c>
      <c r="D9779" t="str">
        <f>VLOOKUP(C9779,'lookup table'!$A$2:$B$19,2,FALSE)</f>
        <v>LoB</v>
      </c>
      <c r="E9779" t="str">
        <f t="shared" si="152"/>
        <v>LE098_60|LoB</v>
      </c>
    </row>
    <row r="9780" spans="1:5" x14ac:dyDescent="0.2">
      <c r="A9780" t="s">
        <v>2029</v>
      </c>
      <c r="B9780" t="s">
        <v>65</v>
      </c>
      <c r="C9780" t="s">
        <v>20</v>
      </c>
      <c r="D9780" t="str">
        <f>VLOOKUP(C9780,'lookup table'!$A$2:$B$19,2,FALSE)</f>
        <v>AY</v>
      </c>
      <c r="E9780" t="str">
        <f t="shared" si="152"/>
        <v>LE099_00|AY</v>
      </c>
    </row>
    <row r="9781" spans="1:5" x14ac:dyDescent="0.2">
      <c r="A9781" t="s">
        <v>2030</v>
      </c>
      <c r="B9781" t="s">
        <v>2031</v>
      </c>
      <c r="C9781" t="s">
        <v>136</v>
      </c>
      <c r="D9781" t="str">
        <f>VLOOKUP(C9781,'lookup table'!$A$2:$B$19,2,FALSE)</f>
        <v>BBA Set</v>
      </c>
      <c r="E9781" t="str">
        <f t="shared" si="152"/>
        <v>LE099_17|BBA Set</v>
      </c>
    </row>
    <row r="9782" spans="1:5" x14ac:dyDescent="0.2">
      <c r="A9782" t="s">
        <v>2032</v>
      </c>
      <c r="B9782" t="s">
        <v>2033</v>
      </c>
      <c r="C9782" t="s">
        <v>20</v>
      </c>
      <c r="D9782" t="str">
        <f>VLOOKUP(C9782,'lookup table'!$A$2:$B$19,2,FALSE)</f>
        <v>AY</v>
      </c>
      <c r="E9782" t="str">
        <f t="shared" si="152"/>
        <v>LE099_60|AY</v>
      </c>
    </row>
    <row r="9783" spans="1:5" x14ac:dyDescent="0.2">
      <c r="A9783" t="s">
        <v>2032</v>
      </c>
      <c r="B9783" t="s">
        <v>2033</v>
      </c>
      <c r="C9783" t="s">
        <v>428</v>
      </c>
      <c r="D9783" t="str">
        <f>VLOOKUP(C9783,'lookup table'!$A$2:$B$19,2,FALSE)</f>
        <v>LoB</v>
      </c>
      <c r="E9783" t="str">
        <f t="shared" si="152"/>
        <v>LE099_60|LoB</v>
      </c>
    </row>
    <row r="9784" spans="1:5" x14ac:dyDescent="0.2">
      <c r="A9784" t="s">
        <v>2034</v>
      </c>
      <c r="B9784" t="s">
        <v>66</v>
      </c>
      <c r="C9784" t="s">
        <v>20</v>
      </c>
      <c r="D9784" t="str">
        <f>VLOOKUP(C9784,'lookup table'!$A$2:$B$19,2,FALSE)</f>
        <v>AY</v>
      </c>
      <c r="E9784" t="str">
        <f t="shared" si="152"/>
        <v>LE100_00|AY</v>
      </c>
    </row>
    <row r="9785" spans="1:5" x14ac:dyDescent="0.2">
      <c r="A9785" t="s">
        <v>2035</v>
      </c>
      <c r="B9785" t="s">
        <v>2036</v>
      </c>
      <c r="C9785" t="s">
        <v>136</v>
      </c>
      <c r="D9785" t="str">
        <f>VLOOKUP(C9785,'lookup table'!$A$2:$B$19,2,FALSE)</f>
        <v>BBA Set</v>
      </c>
      <c r="E9785" t="str">
        <f t="shared" si="152"/>
        <v>LE100_17|BBA Set</v>
      </c>
    </row>
    <row r="9786" spans="1:5" x14ac:dyDescent="0.2">
      <c r="A9786" t="s">
        <v>2037</v>
      </c>
      <c r="B9786" t="s">
        <v>2038</v>
      </c>
      <c r="C9786" t="s">
        <v>20</v>
      </c>
      <c r="D9786" t="str">
        <f>VLOOKUP(C9786,'lookup table'!$A$2:$B$19,2,FALSE)</f>
        <v>AY</v>
      </c>
      <c r="E9786" t="str">
        <f t="shared" si="152"/>
        <v>LE100_60|AY</v>
      </c>
    </row>
    <row r="9787" spans="1:5" x14ac:dyDescent="0.2">
      <c r="A9787" t="s">
        <v>2037</v>
      </c>
      <c r="B9787" t="s">
        <v>2038</v>
      </c>
      <c r="C9787" t="s">
        <v>428</v>
      </c>
      <c r="D9787" t="str">
        <f>VLOOKUP(C9787,'lookup table'!$A$2:$B$19,2,FALSE)</f>
        <v>LoB</v>
      </c>
      <c r="E9787" t="str">
        <f t="shared" si="152"/>
        <v>LE100_60|LoB</v>
      </c>
    </row>
    <row r="9788" spans="1:5" x14ac:dyDescent="0.2">
      <c r="A9788" t="s">
        <v>2039</v>
      </c>
      <c r="B9788" t="s">
        <v>2040</v>
      </c>
      <c r="C9788" t="s">
        <v>20</v>
      </c>
      <c r="D9788" t="str">
        <f>VLOOKUP(C9788,'lookup table'!$A$2:$B$19,2,FALSE)</f>
        <v>AY</v>
      </c>
      <c r="E9788" t="str">
        <f t="shared" si="152"/>
        <v>LE100_70|AY</v>
      </c>
    </row>
    <row r="9789" spans="1:5" x14ac:dyDescent="0.2">
      <c r="A9789" t="s">
        <v>2041</v>
      </c>
      <c r="B9789" t="s">
        <v>67</v>
      </c>
      <c r="C9789" t="s">
        <v>20</v>
      </c>
      <c r="D9789" t="str">
        <f>VLOOKUP(C9789,'lookup table'!$A$2:$B$19,2,FALSE)</f>
        <v>AY</v>
      </c>
      <c r="E9789" t="str">
        <f t="shared" si="152"/>
        <v>LE101_00|AY</v>
      </c>
    </row>
    <row r="9790" spans="1:5" x14ac:dyDescent="0.2">
      <c r="A9790" t="s">
        <v>2042</v>
      </c>
      <c r="B9790" t="s">
        <v>158</v>
      </c>
      <c r="C9790" t="s">
        <v>136</v>
      </c>
      <c r="D9790" t="str">
        <f>VLOOKUP(C9790,'lookup table'!$A$2:$B$19,2,FALSE)</f>
        <v>BBA Set</v>
      </c>
      <c r="E9790" t="str">
        <f t="shared" si="152"/>
        <v>LE101_17|BBA Set</v>
      </c>
    </row>
    <row r="9791" spans="1:5" x14ac:dyDescent="0.2">
      <c r="A9791" t="s">
        <v>2043</v>
      </c>
      <c r="B9791" t="s">
        <v>2044</v>
      </c>
      <c r="C9791" t="s">
        <v>20</v>
      </c>
      <c r="D9791" t="str">
        <f>VLOOKUP(C9791,'lookup table'!$A$2:$B$19,2,FALSE)</f>
        <v>AY</v>
      </c>
      <c r="E9791" t="str">
        <f t="shared" si="152"/>
        <v>LE101_60|AY</v>
      </c>
    </row>
    <row r="9792" spans="1:5" x14ac:dyDescent="0.2">
      <c r="A9792" t="s">
        <v>2043</v>
      </c>
      <c r="B9792" t="s">
        <v>2044</v>
      </c>
      <c r="C9792" t="s">
        <v>428</v>
      </c>
      <c r="D9792" t="str">
        <f>VLOOKUP(C9792,'lookup table'!$A$2:$B$19,2,FALSE)</f>
        <v>LoB</v>
      </c>
      <c r="E9792" t="str">
        <f t="shared" si="152"/>
        <v>LE101_60|LoB</v>
      </c>
    </row>
    <row r="9793" spans="1:5" x14ac:dyDescent="0.2">
      <c r="A9793" t="s">
        <v>2045</v>
      </c>
      <c r="B9793" t="s">
        <v>2046</v>
      </c>
      <c r="C9793" t="s">
        <v>20</v>
      </c>
      <c r="D9793" t="str">
        <f>VLOOKUP(C9793,'lookup table'!$A$2:$B$19,2,FALSE)</f>
        <v>AY</v>
      </c>
      <c r="E9793" t="str">
        <f t="shared" si="152"/>
        <v>LE101_70|AY</v>
      </c>
    </row>
    <row r="9794" spans="1:5" x14ac:dyDescent="0.2">
      <c r="A9794" t="s">
        <v>2047</v>
      </c>
      <c r="B9794" t="s">
        <v>68</v>
      </c>
      <c r="C9794" t="s">
        <v>20</v>
      </c>
      <c r="D9794" t="str">
        <f>VLOOKUP(C9794,'lookup table'!$A$2:$B$19,2,FALSE)</f>
        <v>AY</v>
      </c>
      <c r="E9794" t="str">
        <f t="shared" si="152"/>
        <v>LE102_00|AY</v>
      </c>
    </row>
    <row r="9795" spans="1:5" x14ac:dyDescent="0.2">
      <c r="A9795" t="s">
        <v>2048</v>
      </c>
      <c r="B9795" t="s">
        <v>204</v>
      </c>
      <c r="C9795" t="s">
        <v>136</v>
      </c>
      <c r="D9795" t="str">
        <f>VLOOKUP(C9795,'lookup table'!$A$2:$B$19,2,FALSE)</f>
        <v>BBA Set</v>
      </c>
      <c r="E9795" t="str">
        <f t="shared" ref="E9795:E9858" si="153">IF(ISNA(D9795),"",IF(A9795="","",A9795) &amp; "|" &amp; D9795)</f>
        <v>LE102_17|BBA Set</v>
      </c>
    </row>
    <row r="9796" spans="1:5" x14ac:dyDescent="0.2">
      <c r="A9796" t="s">
        <v>2049</v>
      </c>
      <c r="B9796" t="s">
        <v>2050</v>
      </c>
      <c r="C9796" t="s">
        <v>20</v>
      </c>
      <c r="D9796" t="str">
        <f>VLOOKUP(C9796,'lookup table'!$A$2:$B$19,2,FALSE)</f>
        <v>AY</v>
      </c>
      <c r="E9796" t="str">
        <f t="shared" si="153"/>
        <v>LE102_60|AY</v>
      </c>
    </row>
    <row r="9797" spans="1:5" x14ac:dyDescent="0.2">
      <c r="A9797" t="s">
        <v>2049</v>
      </c>
      <c r="B9797" t="s">
        <v>2050</v>
      </c>
      <c r="C9797" t="s">
        <v>428</v>
      </c>
      <c r="D9797" t="str">
        <f>VLOOKUP(C9797,'lookup table'!$A$2:$B$19,2,FALSE)</f>
        <v>LoB</v>
      </c>
      <c r="E9797" t="str">
        <f t="shared" si="153"/>
        <v>LE102_60|LoB</v>
      </c>
    </row>
    <row r="9798" spans="1:5" x14ac:dyDescent="0.2">
      <c r="A9798" t="s">
        <v>2051</v>
      </c>
      <c r="B9798" t="s">
        <v>2052</v>
      </c>
      <c r="C9798" t="s">
        <v>20</v>
      </c>
      <c r="D9798" t="str">
        <f>VLOOKUP(C9798,'lookup table'!$A$2:$B$19,2,FALSE)</f>
        <v>AY</v>
      </c>
      <c r="E9798" t="str">
        <f t="shared" si="153"/>
        <v>LE102_70|AY</v>
      </c>
    </row>
    <row r="9799" spans="1:5" x14ac:dyDescent="0.2">
      <c r="A9799" t="s">
        <v>2053</v>
      </c>
      <c r="B9799" t="s">
        <v>108</v>
      </c>
      <c r="C9799" t="s">
        <v>20</v>
      </c>
      <c r="D9799" t="str">
        <f>VLOOKUP(C9799,'lookup table'!$A$2:$B$19,2,FALSE)</f>
        <v>AY</v>
      </c>
      <c r="E9799" t="str">
        <f t="shared" si="153"/>
        <v>LE103_00|AY</v>
      </c>
    </row>
    <row r="9800" spans="1:5" x14ac:dyDescent="0.2">
      <c r="A9800" t="s">
        <v>2054</v>
      </c>
      <c r="B9800" t="s">
        <v>2055</v>
      </c>
      <c r="C9800" t="s">
        <v>20</v>
      </c>
      <c r="D9800" t="str">
        <f>VLOOKUP(C9800,'lookup table'!$A$2:$B$19,2,FALSE)</f>
        <v>AY</v>
      </c>
      <c r="E9800" t="str">
        <f t="shared" si="153"/>
        <v>LE103_60|AY</v>
      </c>
    </row>
    <row r="9801" spans="1:5" x14ac:dyDescent="0.2">
      <c r="A9801" t="s">
        <v>2054</v>
      </c>
      <c r="B9801" t="s">
        <v>2055</v>
      </c>
      <c r="C9801" t="s">
        <v>428</v>
      </c>
      <c r="D9801" t="str">
        <f>VLOOKUP(C9801,'lookup table'!$A$2:$B$19,2,FALSE)</f>
        <v>LoB</v>
      </c>
      <c r="E9801" t="str">
        <f t="shared" si="153"/>
        <v>LE103_60|LoB</v>
      </c>
    </row>
    <row r="9802" spans="1:5" x14ac:dyDescent="0.2">
      <c r="A9802" t="s">
        <v>2056</v>
      </c>
      <c r="B9802" t="s">
        <v>2057</v>
      </c>
      <c r="C9802" t="s">
        <v>20</v>
      </c>
      <c r="D9802" t="str">
        <f>VLOOKUP(C9802,'lookup table'!$A$2:$B$19,2,FALSE)</f>
        <v>AY</v>
      </c>
      <c r="E9802" t="str">
        <f t="shared" si="153"/>
        <v>LE103_70|AY</v>
      </c>
    </row>
    <row r="9803" spans="1:5" x14ac:dyDescent="0.2">
      <c r="A9803" t="s">
        <v>2058</v>
      </c>
      <c r="B9803" t="s">
        <v>2059</v>
      </c>
      <c r="C9803" t="s">
        <v>20</v>
      </c>
      <c r="D9803" t="str">
        <f>VLOOKUP(C9803,'lookup table'!$A$2:$B$19,2,FALSE)</f>
        <v>AY</v>
      </c>
      <c r="E9803" t="str">
        <f t="shared" si="153"/>
        <v>LE104_70|AY</v>
      </c>
    </row>
    <row r="9804" spans="1:5" x14ac:dyDescent="0.2">
      <c r="A9804" t="s">
        <v>2060</v>
      </c>
      <c r="B9804" t="s">
        <v>2061</v>
      </c>
      <c r="C9804" t="s">
        <v>20</v>
      </c>
      <c r="D9804" t="str">
        <f>VLOOKUP(C9804,'lookup table'!$A$2:$B$19,2,FALSE)</f>
        <v>AY</v>
      </c>
      <c r="E9804" t="str">
        <f t="shared" si="153"/>
        <v>LE105_00|AY</v>
      </c>
    </row>
    <row r="9805" spans="1:5" x14ac:dyDescent="0.2">
      <c r="A9805" t="s">
        <v>2060</v>
      </c>
      <c r="B9805" t="s">
        <v>2061</v>
      </c>
      <c r="C9805" t="s">
        <v>428</v>
      </c>
      <c r="D9805" t="str">
        <f>VLOOKUP(C9805,'lookup table'!$A$2:$B$19,2,FALSE)</f>
        <v>LoB</v>
      </c>
      <c r="E9805" t="str">
        <f t="shared" si="153"/>
        <v>LE105_00|LoB</v>
      </c>
    </row>
    <row r="9806" spans="1:5" x14ac:dyDescent="0.2">
      <c r="A9806" t="s">
        <v>2062</v>
      </c>
      <c r="B9806" t="s">
        <v>2063</v>
      </c>
      <c r="C9806" t="s">
        <v>136</v>
      </c>
      <c r="D9806" t="str">
        <f>VLOOKUP(C9806,'lookup table'!$A$2:$B$19,2,FALSE)</f>
        <v>BBA Set</v>
      </c>
      <c r="E9806" t="str">
        <f t="shared" si="153"/>
        <v>LE105_17|BBA Set</v>
      </c>
    </row>
    <row r="9807" spans="1:5" x14ac:dyDescent="0.2">
      <c r="A9807" t="s">
        <v>2064</v>
      </c>
      <c r="B9807" t="s">
        <v>2065</v>
      </c>
      <c r="C9807" t="s">
        <v>20</v>
      </c>
      <c r="D9807" t="str">
        <f>VLOOKUP(C9807,'lookup table'!$A$2:$B$19,2,FALSE)</f>
        <v>AY</v>
      </c>
      <c r="E9807" t="str">
        <f t="shared" si="153"/>
        <v>LE106_00|AY</v>
      </c>
    </row>
    <row r="9808" spans="1:5" x14ac:dyDescent="0.2">
      <c r="A9808" t="s">
        <v>2066</v>
      </c>
      <c r="B9808" t="s">
        <v>2067</v>
      </c>
      <c r="C9808" t="s">
        <v>136</v>
      </c>
      <c r="D9808" t="str">
        <f>VLOOKUP(C9808,'lookup table'!$A$2:$B$19,2,FALSE)</f>
        <v>BBA Set</v>
      </c>
      <c r="E9808" t="str">
        <f t="shared" si="153"/>
        <v>LE106_17|BBA Set</v>
      </c>
    </row>
    <row r="9809" spans="1:5" x14ac:dyDescent="0.2">
      <c r="A9809" t="s">
        <v>2068</v>
      </c>
      <c r="B9809" t="s">
        <v>2069</v>
      </c>
      <c r="C9809" t="s">
        <v>20</v>
      </c>
      <c r="D9809" t="str">
        <f>VLOOKUP(C9809,'lookup table'!$A$2:$B$19,2,FALSE)</f>
        <v>AY</v>
      </c>
      <c r="E9809" t="str">
        <f t="shared" si="153"/>
        <v>LE107_00|AY</v>
      </c>
    </row>
    <row r="9810" spans="1:5" x14ac:dyDescent="0.2">
      <c r="A9810" t="s">
        <v>2068</v>
      </c>
      <c r="B9810" t="s">
        <v>2069</v>
      </c>
      <c r="C9810" t="s">
        <v>428</v>
      </c>
      <c r="D9810" t="str">
        <f>VLOOKUP(C9810,'lookup table'!$A$2:$B$19,2,FALSE)</f>
        <v>LoB</v>
      </c>
      <c r="E9810" t="str">
        <f t="shared" si="153"/>
        <v>LE107_00|LoB</v>
      </c>
    </row>
    <row r="9811" spans="1:5" x14ac:dyDescent="0.2">
      <c r="A9811" t="s">
        <v>2070</v>
      </c>
      <c r="B9811" t="s">
        <v>2071</v>
      </c>
      <c r="C9811" t="s">
        <v>136</v>
      </c>
      <c r="D9811" t="str">
        <f>VLOOKUP(C9811,'lookup table'!$A$2:$B$19,2,FALSE)</f>
        <v>BBA Set</v>
      </c>
      <c r="E9811" t="str">
        <f t="shared" si="153"/>
        <v>LE107_17|BBA Set</v>
      </c>
    </row>
    <row r="9812" spans="1:5" x14ac:dyDescent="0.2">
      <c r="A9812" t="s">
        <v>2072</v>
      </c>
      <c r="B9812" t="s">
        <v>2073</v>
      </c>
      <c r="C9812" t="s">
        <v>20</v>
      </c>
      <c r="D9812" t="str">
        <f>VLOOKUP(C9812,'lookup table'!$A$2:$B$19,2,FALSE)</f>
        <v>AY</v>
      </c>
      <c r="E9812" t="str">
        <f t="shared" si="153"/>
        <v>LE108_00|AY</v>
      </c>
    </row>
    <row r="9813" spans="1:5" x14ac:dyDescent="0.2">
      <c r="A9813" t="s">
        <v>2074</v>
      </c>
      <c r="B9813" t="s">
        <v>2075</v>
      </c>
      <c r="C9813" t="s">
        <v>136</v>
      </c>
      <c r="D9813" t="str">
        <f>VLOOKUP(C9813,'lookup table'!$A$2:$B$19,2,FALSE)</f>
        <v>BBA Set</v>
      </c>
      <c r="E9813" t="str">
        <f t="shared" si="153"/>
        <v>LE108_17|BBA Set</v>
      </c>
    </row>
    <row r="9814" spans="1:5" x14ac:dyDescent="0.2">
      <c r="A9814" t="s">
        <v>2076</v>
      </c>
      <c r="B9814" t="s">
        <v>2077</v>
      </c>
      <c r="C9814" t="s">
        <v>20</v>
      </c>
      <c r="D9814" t="str">
        <f>VLOOKUP(C9814,'lookup table'!$A$2:$B$19,2,FALSE)</f>
        <v>AY</v>
      </c>
      <c r="E9814" t="str">
        <f t="shared" si="153"/>
        <v>LE109_00|AY</v>
      </c>
    </row>
    <row r="9815" spans="1:5" x14ac:dyDescent="0.2">
      <c r="A9815" t="s">
        <v>2076</v>
      </c>
      <c r="B9815" t="s">
        <v>2077</v>
      </c>
      <c r="C9815" t="s">
        <v>428</v>
      </c>
      <c r="D9815" t="str">
        <f>VLOOKUP(C9815,'lookup table'!$A$2:$B$19,2,FALSE)</f>
        <v>LoB</v>
      </c>
      <c r="E9815" t="str">
        <f t="shared" si="153"/>
        <v>LE109_00|LoB</v>
      </c>
    </row>
    <row r="9816" spans="1:5" x14ac:dyDescent="0.2">
      <c r="A9816" t="s">
        <v>2078</v>
      </c>
      <c r="B9816" t="s">
        <v>2079</v>
      </c>
      <c r="C9816" t="s">
        <v>136</v>
      </c>
      <c r="D9816" t="str">
        <f>VLOOKUP(C9816,'lookup table'!$A$2:$B$19,2,FALSE)</f>
        <v>BBA Set</v>
      </c>
      <c r="E9816" t="str">
        <f t="shared" si="153"/>
        <v>LE109_17|BBA Set</v>
      </c>
    </row>
    <row r="9817" spans="1:5" x14ac:dyDescent="0.2">
      <c r="A9817" t="s">
        <v>2080</v>
      </c>
      <c r="B9817" t="s">
        <v>2081</v>
      </c>
      <c r="C9817" t="s">
        <v>20</v>
      </c>
      <c r="D9817" t="str">
        <f>VLOOKUP(C9817,'lookup table'!$A$2:$B$19,2,FALSE)</f>
        <v>AY</v>
      </c>
      <c r="E9817" t="str">
        <f t="shared" si="153"/>
        <v>LE110_00|AY</v>
      </c>
    </row>
    <row r="9818" spans="1:5" x14ac:dyDescent="0.2">
      <c r="A9818" t="s">
        <v>2082</v>
      </c>
      <c r="B9818" t="s">
        <v>2083</v>
      </c>
      <c r="C9818" t="s">
        <v>136</v>
      </c>
      <c r="D9818" t="str">
        <f>VLOOKUP(C9818,'lookup table'!$A$2:$B$19,2,FALSE)</f>
        <v>BBA Set</v>
      </c>
      <c r="E9818" t="str">
        <f t="shared" si="153"/>
        <v>LE110_17|BBA Set</v>
      </c>
    </row>
    <row r="9819" spans="1:5" x14ac:dyDescent="0.2">
      <c r="A9819" t="s">
        <v>2084</v>
      </c>
      <c r="B9819" t="s">
        <v>2085</v>
      </c>
      <c r="C9819" t="s">
        <v>20</v>
      </c>
      <c r="D9819" t="str">
        <f>VLOOKUP(C9819,'lookup table'!$A$2:$B$19,2,FALSE)</f>
        <v>AY</v>
      </c>
      <c r="E9819" t="str">
        <f t="shared" si="153"/>
        <v>LE111_00|AY</v>
      </c>
    </row>
    <row r="9820" spans="1:5" x14ac:dyDescent="0.2">
      <c r="A9820" t="s">
        <v>2084</v>
      </c>
      <c r="B9820" t="s">
        <v>2085</v>
      </c>
      <c r="C9820" t="s">
        <v>428</v>
      </c>
      <c r="D9820" t="str">
        <f>VLOOKUP(C9820,'lookup table'!$A$2:$B$19,2,FALSE)</f>
        <v>LoB</v>
      </c>
      <c r="E9820" t="str">
        <f t="shared" si="153"/>
        <v>LE111_00|LoB</v>
      </c>
    </row>
    <row r="9821" spans="1:5" x14ac:dyDescent="0.2">
      <c r="A9821" t="s">
        <v>2086</v>
      </c>
      <c r="B9821" t="s">
        <v>2087</v>
      </c>
      <c r="C9821" t="s">
        <v>20</v>
      </c>
      <c r="D9821" t="str">
        <f>VLOOKUP(C9821,'lookup table'!$A$2:$B$19,2,FALSE)</f>
        <v>AY</v>
      </c>
      <c r="E9821" t="str">
        <f t="shared" si="153"/>
        <v>LE112_00|AY</v>
      </c>
    </row>
    <row r="9822" spans="1:5" x14ac:dyDescent="0.2">
      <c r="A9822" t="s">
        <v>2088</v>
      </c>
      <c r="B9822" t="s">
        <v>2089</v>
      </c>
      <c r="C9822" t="s">
        <v>20</v>
      </c>
      <c r="D9822" t="str">
        <f>VLOOKUP(C9822,'lookup table'!$A$2:$B$19,2,FALSE)</f>
        <v>AY</v>
      </c>
      <c r="E9822" t="str">
        <f t="shared" si="153"/>
        <v>LE113_00|AY</v>
      </c>
    </row>
    <row r="9823" spans="1:5" x14ac:dyDescent="0.2">
      <c r="A9823" t="s">
        <v>2088</v>
      </c>
      <c r="B9823" t="s">
        <v>2089</v>
      </c>
      <c r="C9823" t="s">
        <v>428</v>
      </c>
      <c r="D9823" t="str">
        <f>VLOOKUP(C9823,'lookup table'!$A$2:$B$19,2,FALSE)</f>
        <v>LoB</v>
      </c>
      <c r="E9823" t="str">
        <f t="shared" si="153"/>
        <v>LE113_00|LoB</v>
      </c>
    </row>
    <row r="9824" spans="1:5" x14ac:dyDescent="0.2">
      <c r="A9824" t="s">
        <v>2090</v>
      </c>
      <c r="B9824" t="s">
        <v>2091</v>
      </c>
      <c r="C9824" t="s">
        <v>20</v>
      </c>
      <c r="D9824" t="str">
        <f>VLOOKUP(C9824,'lookup table'!$A$2:$B$19,2,FALSE)</f>
        <v>AY</v>
      </c>
      <c r="E9824" t="str">
        <f t="shared" si="153"/>
        <v>LE114_00|AY</v>
      </c>
    </row>
    <row r="9825" spans="1:5" x14ac:dyDescent="0.2">
      <c r="A9825" t="s">
        <v>2092</v>
      </c>
      <c r="B9825" t="s">
        <v>2093</v>
      </c>
      <c r="C9825" t="s">
        <v>20</v>
      </c>
      <c r="D9825" t="str">
        <f>VLOOKUP(C9825,'lookup table'!$A$2:$B$19,2,FALSE)</f>
        <v>AY</v>
      </c>
      <c r="E9825" t="str">
        <f t="shared" si="153"/>
        <v>LE115_00|AY</v>
      </c>
    </row>
    <row r="9826" spans="1:5" x14ac:dyDescent="0.2">
      <c r="A9826" t="s">
        <v>2094</v>
      </c>
      <c r="B9826" t="s">
        <v>2095</v>
      </c>
      <c r="C9826" t="s">
        <v>428</v>
      </c>
      <c r="D9826" t="str">
        <f>VLOOKUP(C9826,'lookup table'!$A$2:$B$19,2,FALSE)</f>
        <v>LoB</v>
      </c>
      <c r="E9826" t="str">
        <f t="shared" si="153"/>
        <v>LE115_60|LoB</v>
      </c>
    </row>
    <row r="9827" spans="1:5" x14ac:dyDescent="0.2">
      <c r="A9827" t="s">
        <v>2096</v>
      </c>
      <c r="B9827" t="s">
        <v>2097</v>
      </c>
      <c r="C9827" t="s">
        <v>20</v>
      </c>
      <c r="D9827" t="str">
        <f>VLOOKUP(C9827,'lookup table'!$A$2:$B$19,2,FALSE)</f>
        <v>AY</v>
      </c>
      <c r="E9827" t="str">
        <f t="shared" si="153"/>
        <v>LE116_00|AY</v>
      </c>
    </row>
    <row r="9828" spans="1:5" x14ac:dyDescent="0.2">
      <c r="A9828" t="s">
        <v>2098</v>
      </c>
      <c r="B9828" t="s">
        <v>2099</v>
      </c>
      <c r="C9828" t="s">
        <v>136</v>
      </c>
      <c r="D9828" t="str">
        <f>VLOOKUP(C9828,'lookup table'!$A$2:$B$19,2,FALSE)</f>
        <v>BBA Set</v>
      </c>
      <c r="E9828" t="str">
        <f t="shared" si="153"/>
        <v>LE117_17|BBA Set</v>
      </c>
    </row>
    <row r="9829" spans="1:5" x14ac:dyDescent="0.2">
      <c r="A9829" t="s">
        <v>2100</v>
      </c>
      <c r="B9829" t="s">
        <v>2101</v>
      </c>
      <c r="C9829" t="s">
        <v>428</v>
      </c>
      <c r="D9829" t="str">
        <f>VLOOKUP(C9829,'lookup table'!$A$2:$B$19,2,FALSE)</f>
        <v>LoB</v>
      </c>
      <c r="E9829" t="str">
        <f t="shared" si="153"/>
        <v>LE117_60|LoB</v>
      </c>
    </row>
    <row r="9830" spans="1:5" x14ac:dyDescent="0.2">
      <c r="A9830" t="s">
        <v>2102</v>
      </c>
      <c r="B9830" t="s">
        <v>2103</v>
      </c>
      <c r="C9830" t="s">
        <v>136</v>
      </c>
      <c r="D9830" t="str">
        <f>VLOOKUP(C9830,'lookup table'!$A$2:$B$19,2,FALSE)</f>
        <v>BBA Set</v>
      </c>
      <c r="E9830" t="str">
        <f t="shared" si="153"/>
        <v>LE118_17|BBA Set</v>
      </c>
    </row>
    <row r="9831" spans="1:5" x14ac:dyDescent="0.2">
      <c r="A9831" t="s">
        <v>2104</v>
      </c>
      <c r="B9831" t="s">
        <v>2105</v>
      </c>
      <c r="C9831" t="s">
        <v>428</v>
      </c>
      <c r="D9831" t="str">
        <f>VLOOKUP(C9831,'lookup table'!$A$2:$B$19,2,FALSE)</f>
        <v>LoB</v>
      </c>
      <c r="E9831" t="str">
        <f t="shared" si="153"/>
        <v>LE118_60|LoB</v>
      </c>
    </row>
    <row r="9832" spans="1:5" x14ac:dyDescent="0.2">
      <c r="A9832" t="s">
        <v>2106</v>
      </c>
      <c r="B9832" t="s">
        <v>2107</v>
      </c>
      <c r="C9832" t="s">
        <v>136</v>
      </c>
      <c r="D9832" t="str">
        <f>VLOOKUP(C9832,'lookup table'!$A$2:$B$19,2,FALSE)</f>
        <v>BBA Set</v>
      </c>
      <c r="E9832" t="str">
        <f t="shared" si="153"/>
        <v>LE119_17|BBA Set</v>
      </c>
    </row>
    <row r="9833" spans="1:5" x14ac:dyDescent="0.2">
      <c r="A9833" t="s">
        <v>2108</v>
      </c>
      <c r="B9833" t="s">
        <v>2109</v>
      </c>
      <c r="C9833" t="s">
        <v>136</v>
      </c>
      <c r="D9833" t="str">
        <f>VLOOKUP(C9833,'lookup table'!$A$2:$B$19,2,FALSE)</f>
        <v>BBA Set</v>
      </c>
      <c r="E9833" t="str">
        <f t="shared" si="153"/>
        <v>LE120_17|BBA Set</v>
      </c>
    </row>
    <row r="9834" spans="1:5" x14ac:dyDescent="0.2">
      <c r="A9834" t="s">
        <v>2110</v>
      </c>
      <c r="B9834" t="s">
        <v>211</v>
      </c>
      <c r="C9834" t="s">
        <v>136</v>
      </c>
      <c r="D9834" t="str">
        <f>VLOOKUP(C9834,'lookup table'!$A$2:$B$19,2,FALSE)</f>
        <v>BBA Set</v>
      </c>
      <c r="E9834" t="str">
        <f t="shared" si="153"/>
        <v>LE121_17|BBA Set</v>
      </c>
    </row>
    <row r="9835" spans="1:5" x14ac:dyDescent="0.2">
      <c r="A9835" t="s">
        <v>2111</v>
      </c>
      <c r="B9835" t="s">
        <v>2112</v>
      </c>
      <c r="C9835" t="s">
        <v>20</v>
      </c>
      <c r="D9835" t="str">
        <f>VLOOKUP(C9835,'lookup table'!$A$2:$B$19,2,FALSE)</f>
        <v>AY</v>
      </c>
      <c r="E9835" t="str">
        <f t="shared" si="153"/>
        <v>LE123_00|AY</v>
      </c>
    </row>
    <row r="9836" spans="1:5" x14ac:dyDescent="0.2">
      <c r="A9836" t="s">
        <v>2113</v>
      </c>
      <c r="B9836" t="s">
        <v>212</v>
      </c>
      <c r="C9836" t="s">
        <v>136</v>
      </c>
      <c r="D9836" t="str">
        <f>VLOOKUP(C9836,'lookup table'!$A$2:$B$19,2,FALSE)</f>
        <v>BBA Set</v>
      </c>
      <c r="E9836" t="str">
        <f t="shared" si="153"/>
        <v>LE123_17|BBA Set</v>
      </c>
    </row>
    <row r="9837" spans="1:5" x14ac:dyDescent="0.2">
      <c r="A9837" t="s">
        <v>2114</v>
      </c>
      <c r="B9837" t="s">
        <v>2115</v>
      </c>
      <c r="C9837" t="s">
        <v>20</v>
      </c>
      <c r="D9837" t="str">
        <f>VLOOKUP(C9837,'lookup table'!$A$2:$B$19,2,FALSE)</f>
        <v>AY</v>
      </c>
      <c r="E9837" t="str">
        <f t="shared" si="153"/>
        <v>LE124_00|AY</v>
      </c>
    </row>
    <row r="9838" spans="1:5" x14ac:dyDescent="0.2">
      <c r="A9838" t="s">
        <v>2116</v>
      </c>
      <c r="B9838" t="s">
        <v>213</v>
      </c>
      <c r="C9838" t="s">
        <v>136</v>
      </c>
      <c r="D9838" t="str">
        <f>VLOOKUP(C9838,'lookup table'!$A$2:$B$19,2,FALSE)</f>
        <v>BBA Set</v>
      </c>
      <c r="E9838" t="str">
        <f t="shared" si="153"/>
        <v>LE124_17|BBA Set</v>
      </c>
    </row>
    <row r="9839" spans="1:5" x14ac:dyDescent="0.2">
      <c r="A9839" t="s">
        <v>2117</v>
      </c>
      <c r="B9839" t="s">
        <v>2118</v>
      </c>
      <c r="C9839" t="s">
        <v>20</v>
      </c>
      <c r="D9839" t="str">
        <f>VLOOKUP(C9839,'lookup table'!$A$2:$B$19,2,FALSE)</f>
        <v>AY</v>
      </c>
      <c r="E9839" t="str">
        <f t="shared" si="153"/>
        <v>LE125_00|AY</v>
      </c>
    </row>
    <row r="9840" spans="1:5" x14ac:dyDescent="0.2">
      <c r="A9840" t="s">
        <v>2119</v>
      </c>
      <c r="B9840" t="s">
        <v>138</v>
      </c>
      <c r="C9840" t="s">
        <v>136</v>
      </c>
      <c r="D9840" t="str">
        <f>VLOOKUP(C9840,'lookup table'!$A$2:$B$19,2,FALSE)</f>
        <v>BBA Set</v>
      </c>
      <c r="E9840" t="str">
        <f t="shared" si="153"/>
        <v>LE125_17|BBA Set</v>
      </c>
    </row>
    <row r="9841" spans="1:5" x14ac:dyDescent="0.2">
      <c r="A9841" t="s">
        <v>2120</v>
      </c>
      <c r="B9841" t="s">
        <v>2121</v>
      </c>
      <c r="C9841" t="s">
        <v>20</v>
      </c>
      <c r="D9841" t="str">
        <f>VLOOKUP(C9841,'lookup table'!$A$2:$B$19,2,FALSE)</f>
        <v>AY</v>
      </c>
      <c r="E9841" t="str">
        <f t="shared" si="153"/>
        <v>LE126_00|AY</v>
      </c>
    </row>
    <row r="9842" spans="1:5" x14ac:dyDescent="0.2">
      <c r="A9842" t="s">
        <v>2122</v>
      </c>
      <c r="B9842" t="s">
        <v>2123</v>
      </c>
      <c r="C9842" t="s">
        <v>136</v>
      </c>
      <c r="D9842" t="str">
        <f>VLOOKUP(C9842,'lookup table'!$A$2:$B$19,2,FALSE)</f>
        <v>BBA Set</v>
      </c>
      <c r="E9842" t="str">
        <f t="shared" si="153"/>
        <v>LE126_17|BBA Set</v>
      </c>
    </row>
    <row r="9843" spans="1:5" x14ac:dyDescent="0.2">
      <c r="A9843" t="s">
        <v>2124</v>
      </c>
      <c r="B9843" t="s">
        <v>2125</v>
      </c>
      <c r="C9843" t="s">
        <v>20</v>
      </c>
      <c r="D9843" t="str">
        <f>VLOOKUP(C9843,'lookup table'!$A$2:$B$19,2,FALSE)</f>
        <v>AY</v>
      </c>
      <c r="E9843" t="str">
        <f t="shared" si="153"/>
        <v>LE127_00|AY</v>
      </c>
    </row>
    <row r="9844" spans="1:5" x14ac:dyDescent="0.2">
      <c r="A9844" t="s">
        <v>2126</v>
      </c>
      <c r="B9844" t="s">
        <v>2127</v>
      </c>
      <c r="C9844" t="s">
        <v>136</v>
      </c>
      <c r="D9844" t="str">
        <f>VLOOKUP(C9844,'lookup table'!$A$2:$B$19,2,FALSE)</f>
        <v>BBA Set</v>
      </c>
      <c r="E9844" t="str">
        <f t="shared" si="153"/>
        <v>LE127_17|BBA Set</v>
      </c>
    </row>
    <row r="9845" spans="1:5" x14ac:dyDescent="0.2">
      <c r="A9845" t="s">
        <v>2128</v>
      </c>
      <c r="B9845" t="s">
        <v>2129</v>
      </c>
      <c r="C9845" t="s">
        <v>428</v>
      </c>
      <c r="D9845" t="str">
        <f>VLOOKUP(C9845,'lookup table'!$A$2:$B$19,2,FALSE)</f>
        <v>LoB</v>
      </c>
      <c r="E9845" t="str">
        <f t="shared" si="153"/>
        <v>LE128_60|LoB</v>
      </c>
    </row>
    <row r="9846" spans="1:5" x14ac:dyDescent="0.2">
      <c r="A9846" t="s">
        <v>2130</v>
      </c>
      <c r="B9846" t="s">
        <v>2131</v>
      </c>
      <c r="C9846" t="s">
        <v>428</v>
      </c>
      <c r="D9846" t="str">
        <f>VLOOKUP(C9846,'lookup table'!$A$2:$B$19,2,FALSE)</f>
        <v>LoB</v>
      </c>
      <c r="E9846" t="str">
        <f t="shared" si="153"/>
        <v>LE129_60|LoB</v>
      </c>
    </row>
    <row r="9847" spans="1:5" x14ac:dyDescent="0.2">
      <c r="A9847" t="s">
        <v>2132</v>
      </c>
      <c r="B9847" t="s">
        <v>2133</v>
      </c>
      <c r="C9847" t="s">
        <v>136</v>
      </c>
      <c r="D9847" t="str">
        <f>VLOOKUP(C9847,'lookup table'!$A$2:$B$19,2,FALSE)</f>
        <v>BBA Set</v>
      </c>
      <c r="E9847" t="str">
        <f t="shared" si="153"/>
        <v>LE130_17|BBA Set</v>
      </c>
    </row>
    <row r="9848" spans="1:5" x14ac:dyDescent="0.2">
      <c r="A9848" t="s">
        <v>2134</v>
      </c>
      <c r="B9848" t="s">
        <v>2135</v>
      </c>
      <c r="C9848" t="s">
        <v>136</v>
      </c>
      <c r="D9848" t="str">
        <f>VLOOKUP(C9848,'lookup table'!$A$2:$B$19,2,FALSE)</f>
        <v>BBA Set</v>
      </c>
      <c r="E9848" t="str">
        <f t="shared" si="153"/>
        <v>LE131_17|BBA Set</v>
      </c>
    </row>
    <row r="9849" spans="1:5" x14ac:dyDescent="0.2">
      <c r="A9849" t="s">
        <v>2136</v>
      </c>
      <c r="B9849" t="s">
        <v>139</v>
      </c>
      <c r="C9849" t="s">
        <v>136</v>
      </c>
      <c r="D9849" t="str">
        <f>VLOOKUP(C9849,'lookup table'!$A$2:$B$19,2,FALSE)</f>
        <v>BBA Set</v>
      </c>
      <c r="E9849" t="str">
        <f t="shared" si="153"/>
        <v>LE132_17|BBA Set</v>
      </c>
    </row>
    <row r="9850" spans="1:5" x14ac:dyDescent="0.2">
      <c r="A9850" t="s">
        <v>2137</v>
      </c>
      <c r="B9850" t="s">
        <v>140</v>
      </c>
      <c r="C9850" t="s">
        <v>136</v>
      </c>
      <c r="D9850" t="str">
        <f>VLOOKUP(C9850,'lookup table'!$A$2:$B$19,2,FALSE)</f>
        <v>BBA Set</v>
      </c>
      <c r="E9850" t="str">
        <f t="shared" si="153"/>
        <v>LE133_17|BBA Set</v>
      </c>
    </row>
    <row r="9851" spans="1:5" x14ac:dyDescent="0.2">
      <c r="A9851" t="s">
        <v>2138</v>
      </c>
      <c r="B9851" t="s">
        <v>148</v>
      </c>
      <c r="C9851" t="s">
        <v>136</v>
      </c>
      <c r="D9851" t="str">
        <f>VLOOKUP(C9851,'lookup table'!$A$2:$B$19,2,FALSE)</f>
        <v>BBA Set</v>
      </c>
      <c r="E9851" t="str">
        <f t="shared" si="153"/>
        <v>LE134_17|BBA Set</v>
      </c>
    </row>
    <row r="9852" spans="1:5" x14ac:dyDescent="0.2">
      <c r="A9852" t="s">
        <v>2139</v>
      </c>
      <c r="B9852" t="s">
        <v>149</v>
      </c>
      <c r="C9852" t="s">
        <v>136</v>
      </c>
      <c r="D9852" t="str">
        <f>VLOOKUP(C9852,'lookup table'!$A$2:$B$19,2,FALSE)</f>
        <v>BBA Set</v>
      </c>
      <c r="E9852" t="str">
        <f t="shared" si="153"/>
        <v>LE135_17|BBA Set</v>
      </c>
    </row>
    <row r="9853" spans="1:5" x14ac:dyDescent="0.2">
      <c r="A9853" t="s">
        <v>2140</v>
      </c>
      <c r="B9853" t="s">
        <v>2141</v>
      </c>
      <c r="C9853" t="s">
        <v>20</v>
      </c>
      <c r="D9853" t="str">
        <f>VLOOKUP(C9853,'lookup table'!$A$2:$B$19,2,FALSE)</f>
        <v>AY</v>
      </c>
      <c r="E9853" t="str">
        <f t="shared" si="153"/>
        <v>LE136_00|AY</v>
      </c>
    </row>
    <row r="9854" spans="1:5" x14ac:dyDescent="0.2">
      <c r="A9854" t="s">
        <v>2142</v>
      </c>
      <c r="B9854" t="s">
        <v>2143</v>
      </c>
      <c r="C9854" t="s">
        <v>136</v>
      </c>
      <c r="D9854" t="str">
        <f>VLOOKUP(C9854,'lookup table'!$A$2:$B$19,2,FALSE)</f>
        <v>BBA Set</v>
      </c>
      <c r="E9854" t="str">
        <f t="shared" si="153"/>
        <v>LE138_17|BBA Set</v>
      </c>
    </row>
    <row r="9855" spans="1:5" x14ac:dyDescent="0.2">
      <c r="A9855" t="s">
        <v>2144</v>
      </c>
      <c r="B9855" t="s">
        <v>2145</v>
      </c>
      <c r="C9855" t="s">
        <v>136</v>
      </c>
      <c r="D9855" t="str">
        <f>VLOOKUP(C9855,'lookup table'!$A$2:$B$19,2,FALSE)</f>
        <v>BBA Set</v>
      </c>
      <c r="E9855" t="str">
        <f t="shared" si="153"/>
        <v>LE139_17|BBA Set</v>
      </c>
    </row>
    <row r="9856" spans="1:5" x14ac:dyDescent="0.2">
      <c r="A9856" t="s">
        <v>2146</v>
      </c>
      <c r="B9856" t="s">
        <v>2147</v>
      </c>
      <c r="C9856" t="s">
        <v>136</v>
      </c>
      <c r="D9856" t="str">
        <f>VLOOKUP(C9856,'lookup table'!$A$2:$B$19,2,FALSE)</f>
        <v>BBA Set</v>
      </c>
      <c r="E9856" t="str">
        <f t="shared" si="153"/>
        <v>LE140_17|BBA Set</v>
      </c>
    </row>
    <row r="9857" spans="1:5" x14ac:dyDescent="0.2">
      <c r="A9857" t="s">
        <v>2148</v>
      </c>
      <c r="B9857" t="s">
        <v>2149</v>
      </c>
      <c r="C9857" t="s">
        <v>20</v>
      </c>
      <c r="D9857" t="str">
        <f>VLOOKUP(C9857,'lookup table'!$A$2:$B$19,2,FALSE)</f>
        <v>AY</v>
      </c>
      <c r="E9857" t="str">
        <f t="shared" si="153"/>
        <v>LE140_60|AY</v>
      </c>
    </row>
    <row r="9858" spans="1:5" x14ac:dyDescent="0.2">
      <c r="A9858" t="s">
        <v>2148</v>
      </c>
      <c r="B9858" t="s">
        <v>2149</v>
      </c>
      <c r="C9858" t="s">
        <v>428</v>
      </c>
      <c r="D9858" t="str">
        <f>VLOOKUP(C9858,'lookup table'!$A$2:$B$19,2,FALSE)</f>
        <v>LoB</v>
      </c>
      <c r="E9858" t="str">
        <f t="shared" si="153"/>
        <v>LE140_60|LoB</v>
      </c>
    </row>
    <row r="9859" spans="1:5" x14ac:dyDescent="0.2">
      <c r="A9859" t="s">
        <v>2150</v>
      </c>
      <c r="B9859" t="s">
        <v>2151</v>
      </c>
      <c r="C9859" t="s">
        <v>136</v>
      </c>
      <c r="D9859" t="str">
        <f>VLOOKUP(C9859,'lookup table'!$A$2:$B$19,2,FALSE)</f>
        <v>BBA Set</v>
      </c>
      <c r="E9859" t="str">
        <f t="shared" ref="E9859:E9922" si="154">IF(ISNA(D9859),"",IF(A9859="","",A9859) &amp; "|" &amp; D9859)</f>
        <v>LE141_17|BBA Set</v>
      </c>
    </row>
    <row r="9860" spans="1:5" x14ac:dyDescent="0.2">
      <c r="A9860" t="s">
        <v>2152</v>
      </c>
      <c r="B9860" t="s">
        <v>2153</v>
      </c>
      <c r="C9860" t="s">
        <v>20</v>
      </c>
      <c r="D9860" t="str">
        <f>VLOOKUP(C9860,'lookup table'!$A$2:$B$19,2,FALSE)</f>
        <v>AY</v>
      </c>
      <c r="E9860" t="str">
        <f t="shared" si="154"/>
        <v>LE141_60|AY</v>
      </c>
    </row>
    <row r="9861" spans="1:5" x14ac:dyDescent="0.2">
      <c r="A9861" t="s">
        <v>2152</v>
      </c>
      <c r="B9861" t="s">
        <v>2153</v>
      </c>
      <c r="C9861" t="s">
        <v>428</v>
      </c>
      <c r="D9861" t="str">
        <f>VLOOKUP(C9861,'lookup table'!$A$2:$B$19,2,FALSE)</f>
        <v>LoB</v>
      </c>
      <c r="E9861" t="str">
        <f t="shared" si="154"/>
        <v>LE141_60|LoB</v>
      </c>
    </row>
    <row r="9862" spans="1:5" x14ac:dyDescent="0.2">
      <c r="A9862" t="s">
        <v>2154</v>
      </c>
      <c r="B9862" t="s">
        <v>2155</v>
      </c>
      <c r="C9862" t="s">
        <v>136</v>
      </c>
      <c r="D9862" t="str">
        <f>VLOOKUP(C9862,'lookup table'!$A$2:$B$19,2,FALSE)</f>
        <v>BBA Set</v>
      </c>
      <c r="E9862" t="str">
        <f t="shared" si="154"/>
        <v>LE142_17|BBA Set</v>
      </c>
    </row>
    <row r="9863" spans="1:5" x14ac:dyDescent="0.2">
      <c r="A9863" t="s">
        <v>2156</v>
      </c>
      <c r="B9863" t="s">
        <v>2157</v>
      </c>
      <c r="C9863" t="s">
        <v>20</v>
      </c>
      <c r="D9863" t="str">
        <f>VLOOKUP(C9863,'lookup table'!$A$2:$B$19,2,FALSE)</f>
        <v>AY</v>
      </c>
      <c r="E9863" t="str">
        <f t="shared" si="154"/>
        <v>LE142_60|AY</v>
      </c>
    </row>
    <row r="9864" spans="1:5" x14ac:dyDescent="0.2">
      <c r="A9864" t="s">
        <v>2156</v>
      </c>
      <c r="B9864" t="s">
        <v>2157</v>
      </c>
      <c r="C9864" t="s">
        <v>428</v>
      </c>
      <c r="D9864" t="str">
        <f>VLOOKUP(C9864,'lookup table'!$A$2:$B$19,2,FALSE)</f>
        <v>LoB</v>
      </c>
      <c r="E9864" t="str">
        <f t="shared" si="154"/>
        <v>LE142_60|LoB</v>
      </c>
    </row>
    <row r="9865" spans="1:5" x14ac:dyDescent="0.2">
      <c r="A9865" t="s">
        <v>2158</v>
      </c>
      <c r="B9865" t="s">
        <v>2159</v>
      </c>
      <c r="C9865" t="s">
        <v>136</v>
      </c>
      <c r="D9865" t="str">
        <f>VLOOKUP(C9865,'lookup table'!$A$2:$B$19,2,FALSE)</f>
        <v>BBA Set</v>
      </c>
      <c r="E9865" t="str">
        <f t="shared" si="154"/>
        <v>LE143_17|BBA Set</v>
      </c>
    </row>
    <row r="9866" spans="1:5" x14ac:dyDescent="0.2">
      <c r="A9866" t="s">
        <v>2160</v>
      </c>
      <c r="B9866" t="s">
        <v>2161</v>
      </c>
      <c r="C9866" t="s">
        <v>20</v>
      </c>
      <c r="D9866" t="str">
        <f>VLOOKUP(C9866,'lookup table'!$A$2:$B$19,2,FALSE)</f>
        <v>AY</v>
      </c>
      <c r="E9866" t="str">
        <f t="shared" si="154"/>
        <v>LE143_60|AY</v>
      </c>
    </row>
    <row r="9867" spans="1:5" x14ac:dyDescent="0.2">
      <c r="A9867" t="s">
        <v>2160</v>
      </c>
      <c r="B9867" t="s">
        <v>2161</v>
      </c>
      <c r="C9867" t="s">
        <v>428</v>
      </c>
      <c r="D9867" t="str">
        <f>VLOOKUP(C9867,'lookup table'!$A$2:$B$19,2,FALSE)</f>
        <v>LoB</v>
      </c>
      <c r="E9867" t="str">
        <f t="shared" si="154"/>
        <v>LE143_60|LoB</v>
      </c>
    </row>
    <row r="9868" spans="1:5" x14ac:dyDescent="0.2">
      <c r="A9868" t="s">
        <v>2162</v>
      </c>
      <c r="B9868" t="s">
        <v>2163</v>
      </c>
      <c r="C9868" t="s">
        <v>136</v>
      </c>
      <c r="D9868" t="str">
        <f>VLOOKUP(C9868,'lookup table'!$A$2:$B$19,2,FALSE)</f>
        <v>BBA Set</v>
      </c>
      <c r="E9868" t="str">
        <f t="shared" si="154"/>
        <v>LE144_17|BBA Set</v>
      </c>
    </row>
    <row r="9869" spans="1:5" x14ac:dyDescent="0.2">
      <c r="A9869" t="s">
        <v>2164</v>
      </c>
      <c r="B9869" t="s">
        <v>2165</v>
      </c>
      <c r="C9869" t="s">
        <v>428</v>
      </c>
      <c r="D9869" t="str">
        <f>VLOOKUP(C9869,'lookup table'!$A$2:$B$19,2,FALSE)</f>
        <v>LoB</v>
      </c>
      <c r="E9869" t="str">
        <f t="shared" si="154"/>
        <v>LE144_60|LoB</v>
      </c>
    </row>
    <row r="9870" spans="1:5" x14ac:dyDescent="0.2">
      <c r="A9870" t="s">
        <v>2166</v>
      </c>
      <c r="B9870" t="s">
        <v>2167</v>
      </c>
      <c r="C9870" t="s">
        <v>136</v>
      </c>
      <c r="D9870" t="str">
        <f>VLOOKUP(C9870,'lookup table'!$A$2:$B$19,2,FALSE)</f>
        <v>BBA Set</v>
      </c>
      <c r="E9870" t="str">
        <f t="shared" si="154"/>
        <v>LE145_17|BBA Set</v>
      </c>
    </row>
    <row r="9871" spans="1:5" x14ac:dyDescent="0.2">
      <c r="A9871" t="s">
        <v>2168</v>
      </c>
      <c r="B9871" t="s">
        <v>2169</v>
      </c>
      <c r="C9871" t="s">
        <v>428</v>
      </c>
      <c r="D9871" t="str">
        <f>VLOOKUP(C9871,'lookup table'!$A$2:$B$19,2,FALSE)</f>
        <v>LoB</v>
      </c>
      <c r="E9871" t="str">
        <f t="shared" si="154"/>
        <v>LE145_60|LoB</v>
      </c>
    </row>
    <row r="9872" spans="1:5" x14ac:dyDescent="0.2">
      <c r="A9872" t="s">
        <v>2170</v>
      </c>
      <c r="B9872" t="s">
        <v>2171</v>
      </c>
      <c r="C9872" t="s">
        <v>136</v>
      </c>
      <c r="D9872" t="str">
        <f>VLOOKUP(C9872,'lookup table'!$A$2:$B$19,2,FALSE)</f>
        <v>BBA Set</v>
      </c>
      <c r="E9872" t="str">
        <f t="shared" si="154"/>
        <v>LE146_17|BBA Set</v>
      </c>
    </row>
    <row r="9873" spans="1:5" x14ac:dyDescent="0.2">
      <c r="A9873" t="s">
        <v>2172</v>
      </c>
      <c r="B9873" t="s">
        <v>2173</v>
      </c>
      <c r="C9873" t="s">
        <v>428</v>
      </c>
      <c r="D9873" t="str">
        <f>VLOOKUP(C9873,'lookup table'!$A$2:$B$19,2,FALSE)</f>
        <v>LoB</v>
      </c>
      <c r="E9873" t="str">
        <f t="shared" si="154"/>
        <v>LE146_60|LoB</v>
      </c>
    </row>
    <row r="9874" spans="1:5" x14ac:dyDescent="0.2">
      <c r="A9874" t="s">
        <v>2174</v>
      </c>
      <c r="B9874" t="s">
        <v>2175</v>
      </c>
      <c r="C9874" t="s">
        <v>136</v>
      </c>
      <c r="D9874" t="str">
        <f>VLOOKUP(C9874,'lookup table'!$A$2:$B$19,2,FALSE)</f>
        <v>BBA Set</v>
      </c>
      <c r="E9874" t="str">
        <f t="shared" si="154"/>
        <v>LE147_17|BBA Set</v>
      </c>
    </row>
    <row r="9875" spans="1:5" x14ac:dyDescent="0.2">
      <c r="A9875" t="s">
        <v>2176</v>
      </c>
      <c r="B9875" t="s">
        <v>2177</v>
      </c>
      <c r="C9875" t="s">
        <v>428</v>
      </c>
      <c r="D9875" t="str">
        <f>VLOOKUP(C9875,'lookup table'!$A$2:$B$19,2,FALSE)</f>
        <v>LoB</v>
      </c>
      <c r="E9875" t="str">
        <f t="shared" si="154"/>
        <v>LE147_60|LoB</v>
      </c>
    </row>
    <row r="9876" spans="1:5" x14ac:dyDescent="0.2">
      <c r="A9876" t="s">
        <v>2178</v>
      </c>
      <c r="B9876" t="s">
        <v>2179</v>
      </c>
      <c r="C9876" t="s">
        <v>136</v>
      </c>
      <c r="D9876" t="str">
        <f>VLOOKUP(C9876,'lookup table'!$A$2:$B$19,2,FALSE)</f>
        <v>BBA Set</v>
      </c>
      <c r="E9876" t="str">
        <f t="shared" si="154"/>
        <v>LE148_17|BBA Set</v>
      </c>
    </row>
    <row r="9877" spans="1:5" x14ac:dyDescent="0.2">
      <c r="A9877" t="s">
        <v>2180</v>
      </c>
      <c r="B9877" t="s">
        <v>2181</v>
      </c>
      <c r="C9877" t="s">
        <v>428</v>
      </c>
      <c r="D9877" t="str">
        <f>VLOOKUP(C9877,'lookup table'!$A$2:$B$19,2,FALSE)</f>
        <v>LoB</v>
      </c>
      <c r="E9877" t="str">
        <f t="shared" si="154"/>
        <v>LE148_60|LoB</v>
      </c>
    </row>
    <row r="9878" spans="1:5" x14ac:dyDescent="0.2">
      <c r="A9878" t="s">
        <v>2182</v>
      </c>
      <c r="B9878" t="s">
        <v>2183</v>
      </c>
      <c r="C9878" t="s">
        <v>136</v>
      </c>
      <c r="D9878" t="str">
        <f>VLOOKUP(C9878,'lookup table'!$A$2:$B$19,2,FALSE)</f>
        <v>BBA Set</v>
      </c>
      <c r="E9878" t="str">
        <f t="shared" si="154"/>
        <v>LE149_17|BBA Set</v>
      </c>
    </row>
    <row r="9879" spans="1:5" x14ac:dyDescent="0.2">
      <c r="A9879" t="s">
        <v>2184</v>
      </c>
      <c r="B9879" t="s">
        <v>2185</v>
      </c>
      <c r="C9879" t="s">
        <v>428</v>
      </c>
      <c r="D9879" t="str">
        <f>VLOOKUP(C9879,'lookup table'!$A$2:$B$19,2,FALSE)</f>
        <v>LoB</v>
      </c>
      <c r="E9879" t="str">
        <f t="shared" si="154"/>
        <v>LE149_60|LoB</v>
      </c>
    </row>
    <row r="9880" spans="1:5" x14ac:dyDescent="0.2">
      <c r="A9880" t="s">
        <v>2186</v>
      </c>
      <c r="B9880" t="s">
        <v>2187</v>
      </c>
      <c r="C9880" t="s">
        <v>136</v>
      </c>
      <c r="D9880" t="str">
        <f>VLOOKUP(C9880,'lookup table'!$A$2:$B$19,2,FALSE)</f>
        <v>BBA Set</v>
      </c>
      <c r="E9880" t="str">
        <f t="shared" si="154"/>
        <v>LE150_17|BBA Set</v>
      </c>
    </row>
    <row r="9881" spans="1:5" x14ac:dyDescent="0.2">
      <c r="A9881" t="s">
        <v>2188</v>
      </c>
      <c r="B9881" t="s">
        <v>2189</v>
      </c>
      <c r="C9881" t="s">
        <v>428</v>
      </c>
      <c r="D9881" t="str">
        <f>VLOOKUP(C9881,'lookup table'!$A$2:$B$19,2,FALSE)</f>
        <v>LoB</v>
      </c>
      <c r="E9881" t="str">
        <f t="shared" si="154"/>
        <v>LE150_60|LoB</v>
      </c>
    </row>
    <row r="9882" spans="1:5" x14ac:dyDescent="0.2">
      <c r="A9882" t="s">
        <v>2190</v>
      </c>
      <c r="B9882" t="s">
        <v>2191</v>
      </c>
      <c r="C9882" t="s">
        <v>136</v>
      </c>
      <c r="D9882" t="str">
        <f>VLOOKUP(C9882,'lookup table'!$A$2:$B$19,2,FALSE)</f>
        <v>BBA Set</v>
      </c>
      <c r="E9882" t="str">
        <f t="shared" si="154"/>
        <v>LE151_17|BBA Set</v>
      </c>
    </row>
    <row r="9883" spans="1:5" x14ac:dyDescent="0.2">
      <c r="A9883" t="s">
        <v>2192</v>
      </c>
      <c r="B9883" t="s">
        <v>2193</v>
      </c>
      <c r="C9883" t="s">
        <v>428</v>
      </c>
      <c r="D9883" t="str">
        <f>VLOOKUP(C9883,'lookup table'!$A$2:$B$19,2,FALSE)</f>
        <v>LoB</v>
      </c>
      <c r="E9883" t="str">
        <f t="shared" si="154"/>
        <v>LE151_60|LoB</v>
      </c>
    </row>
    <row r="9884" spans="1:5" x14ac:dyDescent="0.2">
      <c r="A9884" t="s">
        <v>2194</v>
      </c>
      <c r="B9884" t="s">
        <v>2195</v>
      </c>
      <c r="C9884" t="s">
        <v>136</v>
      </c>
      <c r="D9884" t="str">
        <f>VLOOKUP(C9884,'lookup table'!$A$2:$B$19,2,FALSE)</f>
        <v>BBA Set</v>
      </c>
      <c r="E9884" t="str">
        <f t="shared" si="154"/>
        <v>LE152_17|BBA Set</v>
      </c>
    </row>
    <row r="9885" spans="1:5" x14ac:dyDescent="0.2">
      <c r="A9885" t="s">
        <v>2196</v>
      </c>
      <c r="B9885" t="s">
        <v>2197</v>
      </c>
      <c r="C9885" t="s">
        <v>428</v>
      </c>
      <c r="D9885" t="str">
        <f>VLOOKUP(C9885,'lookup table'!$A$2:$B$19,2,FALSE)</f>
        <v>LoB</v>
      </c>
      <c r="E9885" t="str">
        <f t="shared" si="154"/>
        <v>LE152_60|LoB</v>
      </c>
    </row>
    <row r="9886" spans="1:5" x14ac:dyDescent="0.2">
      <c r="A9886" t="s">
        <v>2198</v>
      </c>
      <c r="B9886" t="s">
        <v>2199</v>
      </c>
      <c r="C9886" t="s">
        <v>136</v>
      </c>
      <c r="D9886" t="str">
        <f>VLOOKUP(C9886,'lookup table'!$A$2:$B$19,2,FALSE)</f>
        <v>BBA Set</v>
      </c>
      <c r="E9886" t="str">
        <f t="shared" si="154"/>
        <v>LE153_17|BBA Set</v>
      </c>
    </row>
    <row r="9887" spans="1:5" x14ac:dyDescent="0.2">
      <c r="A9887" t="s">
        <v>2200</v>
      </c>
      <c r="B9887" t="s">
        <v>2201</v>
      </c>
      <c r="C9887" t="s">
        <v>428</v>
      </c>
      <c r="D9887" t="str">
        <f>VLOOKUP(C9887,'lookup table'!$A$2:$B$19,2,FALSE)</f>
        <v>LoB</v>
      </c>
      <c r="E9887" t="str">
        <f t="shared" si="154"/>
        <v>LE153_60|LoB</v>
      </c>
    </row>
    <row r="9888" spans="1:5" x14ac:dyDescent="0.2">
      <c r="A9888" t="s">
        <v>2202</v>
      </c>
      <c r="B9888" t="s">
        <v>2203</v>
      </c>
      <c r="C9888" t="s">
        <v>20</v>
      </c>
      <c r="D9888" t="str">
        <f>VLOOKUP(C9888,'lookup table'!$A$2:$B$19,2,FALSE)</f>
        <v>AY</v>
      </c>
      <c r="E9888" t="str">
        <f t="shared" si="154"/>
        <v>LE154_00|AY</v>
      </c>
    </row>
    <row r="9889" spans="1:5" x14ac:dyDescent="0.2">
      <c r="A9889" t="s">
        <v>2204</v>
      </c>
      <c r="B9889" t="s">
        <v>2205</v>
      </c>
      <c r="C9889" t="s">
        <v>136</v>
      </c>
      <c r="D9889" t="str">
        <f>VLOOKUP(C9889,'lookup table'!$A$2:$B$19,2,FALSE)</f>
        <v>BBA Set</v>
      </c>
      <c r="E9889" t="str">
        <f t="shared" si="154"/>
        <v>LE154_17|BBA Set</v>
      </c>
    </row>
    <row r="9890" spans="1:5" x14ac:dyDescent="0.2">
      <c r="A9890" t="s">
        <v>2206</v>
      </c>
      <c r="B9890" t="s">
        <v>2207</v>
      </c>
      <c r="C9890" t="s">
        <v>20</v>
      </c>
      <c r="D9890" t="str">
        <f>VLOOKUP(C9890,'lookup table'!$A$2:$B$19,2,FALSE)</f>
        <v>AY</v>
      </c>
      <c r="E9890" t="str">
        <f t="shared" si="154"/>
        <v>LE155_00|AY</v>
      </c>
    </row>
    <row r="9891" spans="1:5" x14ac:dyDescent="0.2">
      <c r="A9891" t="s">
        <v>2208</v>
      </c>
      <c r="B9891" t="s">
        <v>2209</v>
      </c>
      <c r="C9891" t="s">
        <v>136</v>
      </c>
      <c r="D9891" t="str">
        <f>VLOOKUP(C9891,'lookup table'!$A$2:$B$19,2,FALSE)</f>
        <v>BBA Set</v>
      </c>
      <c r="E9891" t="str">
        <f t="shared" si="154"/>
        <v>LE155_17|BBA Set</v>
      </c>
    </row>
    <row r="9892" spans="1:5" x14ac:dyDescent="0.2">
      <c r="A9892" t="s">
        <v>2210</v>
      </c>
      <c r="B9892" t="s">
        <v>2211</v>
      </c>
      <c r="C9892" t="s">
        <v>20</v>
      </c>
      <c r="D9892" t="str">
        <f>VLOOKUP(C9892,'lookup table'!$A$2:$B$19,2,FALSE)</f>
        <v>AY</v>
      </c>
      <c r="E9892" t="str">
        <f t="shared" si="154"/>
        <v>LE156_00|AY</v>
      </c>
    </row>
    <row r="9893" spans="1:5" x14ac:dyDescent="0.2">
      <c r="A9893" t="s">
        <v>2212</v>
      </c>
      <c r="B9893" t="s">
        <v>2213</v>
      </c>
      <c r="C9893" t="s">
        <v>136</v>
      </c>
      <c r="D9893" t="str">
        <f>VLOOKUP(C9893,'lookup table'!$A$2:$B$19,2,FALSE)</f>
        <v>BBA Set</v>
      </c>
      <c r="E9893" t="str">
        <f t="shared" si="154"/>
        <v>LE156_17|BBA Set</v>
      </c>
    </row>
    <row r="9894" spans="1:5" x14ac:dyDescent="0.2">
      <c r="A9894" t="s">
        <v>2214</v>
      </c>
      <c r="B9894" t="s">
        <v>2215</v>
      </c>
      <c r="C9894" t="s">
        <v>20</v>
      </c>
      <c r="D9894" t="str">
        <f>VLOOKUP(C9894,'lookup table'!$A$2:$B$19,2,FALSE)</f>
        <v>AY</v>
      </c>
      <c r="E9894" t="str">
        <f t="shared" si="154"/>
        <v>LE157_00|AY</v>
      </c>
    </row>
    <row r="9895" spans="1:5" x14ac:dyDescent="0.2">
      <c r="A9895" t="s">
        <v>2216</v>
      </c>
      <c r="B9895" t="s">
        <v>2217</v>
      </c>
      <c r="C9895" t="s">
        <v>136</v>
      </c>
      <c r="D9895" t="str">
        <f>VLOOKUP(C9895,'lookup table'!$A$2:$B$19,2,FALSE)</f>
        <v>BBA Set</v>
      </c>
      <c r="E9895" t="str">
        <f t="shared" si="154"/>
        <v>LE157_17|BBA Set</v>
      </c>
    </row>
    <row r="9896" spans="1:5" x14ac:dyDescent="0.2">
      <c r="A9896" t="s">
        <v>2218</v>
      </c>
      <c r="B9896" t="s">
        <v>2219</v>
      </c>
      <c r="C9896" t="s">
        <v>20</v>
      </c>
      <c r="D9896" t="str">
        <f>VLOOKUP(C9896,'lookup table'!$A$2:$B$19,2,FALSE)</f>
        <v>AY</v>
      </c>
      <c r="E9896" t="str">
        <f t="shared" si="154"/>
        <v>LE158_00|AY</v>
      </c>
    </row>
    <row r="9897" spans="1:5" x14ac:dyDescent="0.2">
      <c r="A9897" t="s">
        <v>2220</v>
      </c>
      <c r="B9897" t="s">
        <v>2221</v>
      </c>
      <c r="C9897" t="s">
        <v>136</v>
      </c>
      <c r="D9897" t="str">
        <f>VLOOKUP(C9897,'lookup table'!$A$2:$B$19,2,FALSE)</f>
        <v>BBA Set</v>
      </c>
      <c r="E9897" t="str">
        <f t="shared" si="154"/>
        <v>LE158_17|BBA Set</v>
      </c>
    </row>
    <row r="9898" spans="1:5" x14ac:dyDescent="0.2">
      <c r="A9898" t="s">
        <v>2222</v>
      </c>
      <c r="B9898" t="s">
        <v>2223</v>
      </c>
      <c r="C9898" t="s">
        <v>136</v>
      </c>
      <c r="D9898" t="str">
        <f>VLOOKUP(C9898,'lookup table'!$A$2:$B$19,2,FALSE)</f>
        <v>BBA Set</v>
      </c>
      <c r="E9898" t="str">
        <f t="shared" si="154"/>
        <v>LE159_17|BBA Set</v>
      </c>
    </row>
    <row r="9899" spans="1:5" x14ac:dyDescent="0.2">
      <c r="A9899" t="s">
        <v>2224</v>
      </c>
      <c r="B9899" t="s">
        <v>2225</v>
      </c>
      <c r="C9899" t="s">
        <v>136</v>
      </c>
      <c r="D9899" t="str">
        <f>VLOOKUP(C9899,'lookup table'!$A$2:$B$19,2,FALSE)</f>
        <v>BBA Set</v>
      </c>
      <c r="E9899" t="str">
        <f t="shared" si="154"/>
        <v>LE160_17|BBA Set</v>
      </c>
    </row>
    <row r="9900" spans="1:5" x14ac:dyDescent="0.2">
      <c r="A9900" t="s">
        <v>2226</v>
      </c>
      <c r="B9900" t="s">
        <v>2227</v>
      </c>
      <c r="C9900" t="s">
        <v>136</v>
      </c>
      <c r="D9900" t="str">
        <f>VLOOKUP(C9900,'lookup table'!$A$2:$B$19,2,FALSE)</f>
        <v>BBA Set</v>
      </c>
      <c r="E9900" t="str">
        <f t="shared" si="154"/>
        <v>LE161_17|BBA Set</v>
      </c>
    </row>
    <row r="9901" spans="1:5" x14ac:dyDescent="0.2">
      <c r="A9901" t="s">
        <v>2228</v>
      </c>
      <c r="B9901" t="s">
        <v>2229</v>
      </c>
      <c r="C9901" t="s">
        <v>136</v>
      </c>
      <c r="D9901" t="str">
        <f>VLOOKUP(C9901,'lookup table'!$A$2:$B$19,2,FALSE)</f>
        <v>BBA Set</v>
      </c>
      <c r="E9901" t="str">
        <f t="shared" si="154"/>
        <v>LE162_17|BBA Set</v>
      </c>
    </row>
    <row r="9902" spans="1:5" x14ac:dyDescent="0.2">
      <c r="A9902" t="s">
        <v>2228</v>
      </c>
      <c r="B9902" t="s">
        <v>2229</v>
      </c>
      <c r="C9902" t="s">
        <v>331</v>
      </c>
      <c r="D9902" t="str">
        <f>VLOOKUP(C9902,'lookup table'!$A$2:$B$19,2,FALSE)</f>
        <v>FS Item</v>
      </c>
      <c r="E9902" t="str">
        <f t="shared" si="154"/>
        <v>LE162_17|FS Item</v>
      </c>
    </row>
    <row r="9903" spans="1:5" x14ac:dyDescent="0.2">
      <c r="A9903" t="s">
        <v>2228</v>
      </c>
      <c r="B9903" t="s">
        <v>2229</v>
      </c>
      <c r="C9903" t="s">
        <v>423</v>
      </c>
      <c r="D9903" t="str">
        <f>VLOOKUP(C9903,'lookup table'!$A$2:$B$19,2,FALSE)</f>
        <v>ignore</v>
      </c>
      <c r="E9903" t="str">
        <f t="shared" si="154"/>
        <v>LE162_17|ignore</v>
      </c>
    </row>
    <row r="9904" spans="1:5" x14ac:dyDescent="0.2">
      <c r="A9904" t="s">
        <v>2230</v>
      </c>
      <c r="B9904" t="s">
        <v>2231</v>
      </c>
      <c r="C9904" t="s">
        <v>428</v>
      </c>
      <c r="D9904" t="str">
        <f>VLOOKUP(C9904,'lookup table'!$A$2:$B$19,2,FALSE)</f>
        <v>LoB</v>
      </c>
      <c r="E9904" t="str">
        <f t="shared" si="154"/>
        <v>LE162_60|LoB</v>
      </c>
    </row>
    <row r="9905" spans="1:5" x14ac:dyDescent="0.2">
      <c r="A9905" t="s">
        <v>2232</v>
      </c>
      <c r="B9905" t="s">
        <v>2233</v>
      </c>
      <c r="C9905" t="s">
        <v>136</v>
      </c>
      <c r="D9905" t="str">
        <f>VLOOKUP(C9905,'lookup table'!$A$2:$B$19,2,FALSE)</f>
        <v>BBA Set</v>
      </c>
      <c r="E9905" t="str">
        <f t="shared" si="154"/>
        <v>LE163_17|BBA Set</v>
      </c>
    </row>
    <row r="9906" spans="1:5" x14ac:dyDescent="0.2">
      <c r="A9906" t="s">
        <v>2234</v>
      </c>
      <c r="B9906" t="s">
        <v>2235</v>
      </c>
      <c r="C9906" t="s">
        <v>428</v>
      </c>
      <c r="D9906" t="str">
        <f>VLOOKUP(C9906,'lookup table'!$A$2:$B$19,2,FALSE)</f>
        <v>LoB</v>
      </c>
      <c r="E9906" t="str">
        <f t="shared" si="154"/>
        <v>LE163_60|LoB</v>
      </c>
    </row>
    <row r="9907" spans="1:5" x14ac:dyDescent="0.2">
      <c r="A9907" t="s">
        <v>2236</v>
      </c>
      <c r="B9907" t="s">
        <v>2237</v>
      </c>
      <c r="C9907" t="s">
        <v>136</v>
      </c>
      <c r="D9907" t="str">
        <f>VLOOKUP(C9907,'lookup table'!$A$2:$B$19,2,FALSE)</f>
        <v>BBA Set</v>
      </c>
      <c r="E9907" t="str">
        <f t="shared" si="154"/>
        <v>LE164_17|BBA Set</v>
      </c>
    </row>
    <row r="9908" spans="1:5" x14ac:dyDescent="0.2">
      <c r="A9908" t="s">
        <v>2238</v>
      </c>
      <c r="B9908" t="s">
        <v>141</v>
      </c>
      <c r="C9908" t="s">
        <v>136</v>
      </c>
      <c r="D9908" t="str">
        <f>VLOOKUP(C9908,'lookup table'!$A$2:$B$19,2,FALSE)</f>
        <v>BBA Set</v>
      </c>
      <c r="E9908" t="str">
        <f t="shared" si="154"/>
        <v>LE165_17|BBA Set</v>
      </c>
    </row>
    <row r="9909" spans="1:5" x14ac:dyDescent="0.2">
      <c r="A9909" t="s">
        <v>2239</v>
      </c>
      <c r="B9909" t="s">
        <v>31</v>
      </c>
      <c r="C9909" t="s">
        <v>20</v>
      </c>
      <c r="D9909" t="str">
        <f>VLOOKUP(C9909,'lookup table'!$A$2:$B$19,2,FALSE)</f>
        <v>AY</v>
      </c>
      <c r="E9909" t="str">
        <f t="shared" si="154"/>
        <v>LE166_00|AY</v>
      </c>
    </row>
    <row r="9910" spans="1:5" x14ac:dyDescent="0.2">
      <c r="A9910" t="s">
        <v>2240</v>
      </c>
      <c r="B9910" t="s">
        <v>150</v>
      </c>
      <c r="C9910" t="s">
        <v>136</v>
      </c>
      <c r="D9910" t="str">
        <f>VLOOKUP(C9910,'lookup table'!$A$2:$B$19,2,FALSE)</f>
        <v>BBA Set</v>
      </c>
      <c r="E9910" t="str">
        <f t="shared" si="154"/>
        <v>LE166_17|BBA Set</v>
      </c>
    </row>
    <row r="9911" spans="1:5" x14ac:dyDescent="0.2">
      <c r="A9911" t="s">
        <v>2241</v>
      </c>
      <c r="B9911" t="s">
        <v>2242</v>
      </c>
      <c r="C9911" t="s">
        <v>20</v>
      </c>
      <c r="D9911" t="str">
        <f>VLOOKUP(C9911,'lookup table'!$A$2:$B$19,2,FALSE)</f>
        <v>AY</v>
      </c>
      <c r="E9911" t="str">
        <f t="shared" si="154"/>
        <v>LE166_60|AY</v>
      </c>
    </row>
    <row r="9912" spans="1:5" x14ac:dyDescent="0.2">
      <c r="A9912" t="s">
        <v>2241</v>
      </c>
      <c r="B9912" t="s">
        <v>2242</v>
      </c>
      <c r="C9912" t="s">
        <v>428</v>
      </c>
      <c r="D9912" t="str">
        <f>VLOOKUP(C9912,'lookup table'!$A$2:$B$19,2,FALSE)</f>
        <v>LoB</v>
      </c>
      <c r="E9912" t="str">
        <f t="shared" si="154"/>
        <v>LE166_60|LoB</v>
      </c>
    </row>
    <row r="9913" spans="1:5" x14ac:dyDescent="0.2">
      <c r="A9913" t="s">
        <v>2243</v>
      </c>
      <c r="B9913" t="s">
        <v>2244</v>
      </c>
      <c r="C9913" t="s">
        <v>20</v>
      </c>
      <c r="D9913" t="str">
        <f>VLOOKUP(C9913,'lookup table'!$A$2:$B$19,2,FALSE)</f>
        <v>AY</v>
      </c>
      <c r="E9913" t="str">
        <f t="shared" si="154"/>
        <v>LE167_00|AY</v>
      </c>
    </row>
    <row r="9914" spans="1:5" x14ac:dyDescent="0.2">
      <c r="A9914" t="s">
        <v>2245</v>
      </c>
      <c r="B9914" t="s">
        <v>2246</v>
      </c>
      <c r="C9914" t="s">
        <v>136</v>
      </c>
      <c r="D9914" t="str">
        <f>VLOOKUP(C9914,'lookup table'!$A$2:$B$19,2,FALSE)</f>
        <v>BBA Set</v>
      </c>
      <c r="E9914" t="str">
        <f t="shared" si="154"/>
        <v>LE167_17|BBA Set</v>
      </c>
    </row>
    <row r="9915" spans="1:5" x14ac:dyDescent="0.2">
      <c r="A9915" t="s">
        <v>2247</v>
      </c>
      <c r="B9915" t="s">
        <v>2248</v>
      </c>
      <c r="C9915" t="s">
        <v>20</v>
      </c>
      <c r="D9915" t="str">
        <f>VLOOKUP(C9915,'lookup table'!$A$2:$B$19,2,FALSE)</f>
        <v>AY</v>
      </c>
      <c r="E9915" t="str">
        <f t="shared" si="154"/>
        <v>LE168_00|AY</v>
      </c>
    </row>
    <row r="9916" spans="1:5" x14ac:dyDescent="0.2">
      <c r="A9916" t="s">
        <v>2249</v>
      </c>
      <c r="B9916" t="s">
        <v>2250</v>
      </c>
      <c r="C9916" t="s">
        <v>136</v>
      </c>
      <c r="D9916" t="str">
        <f>VLOOKUP(C9916,'lookup table'!$A$2:$B$19,2,FALSE)</f>
        <v>BBA Set</v>
      </c>
      <c r="E9916" t="str">
        <f t="shared" si="154"/>
        <v>LE168_17|BBA Set</v>
      </c>
    </row>
    <row r="9917" spans="1:5" x14ac:dyDescent="0.2">
      <c r="A9917" t="s">
        <v>2251</v>
      </c>
      <c r="B9917" t="s">
        <v>30</v>
      </c>
      <c r="C9917" t="s">
        <v>20</v>
      </c>
      <c r="D9917" t="str">
        <f>VLOOKUP(C9917,'lookup table'!$A$2:$B$19,2,FALSE)</f>
        <v>AY</v>
      </c>
      <c r="E9917" t="str">
        <f t="shared" si="154"/>
        <v>LE169_00|AY</v>
      </c>
    </row>
    <row r="9918" spans="1:5" x14ac:dyDescent="0.2">
      <c r="A9918" t="s">
        <v>2252</v>
      </c>
      <c r="B9918" t="s">
        <v>2253</v>
      </c>
      <c r="C9918" t="s">
        <v>136</v>
      </c>
      <c r="D9918" t="str">
        <f>VLOOKUP(C9918,'lookup table'!$A$2:$B$19,2,FALSE)</f>
        <v>BBA Set</v>
      </c>
      <c r="E9918" t="str">
        <f t="shared" si="154"/>
        <v>LE169_17|BBA Set</v>
      </c>
    </row>
    <row r="9919" spans="1:5" x14ac:dyDescent="0.2">
      <c r="A9919" t="s">
        <v>2254</v>
      </c>
      <c r="B9919" t="s">
        <v>2255</v>
      </c>
      <c r="C9919" t="s">
        <v>20</v>
      </c>
      <c r="D9919" t="str">
        <f>VLOOKUP(C9919,'lookup table'!$A$2:$B$19,2,FALSE)</f>
        <v>AY</v>
      </c>
      <c r="E9919" t="str">
        <f t="shared" si="154"/>
        <v>LE169_60|AY</v>
      </c>
    </row>
    <row r="9920" spans="1:5" x14ac:dyDescent="0.2">
      <c r="A9920" t="s">
        <v>2254</v>
      </c>
      <c r="B9920" t="s">
        <v>2255</v>
      </c>
      <c r="C9920" t="s">
        <v>428</v>
      </c>
      <c r="D9920" t="str">
        <f>VLOOKUP(C9920,'lookup table'!$A$2:$B$19,2,FALSE)</f>
        <v>LoB</v>
      </c>
      <c r="E9920" t="str">
        <f t="shared" si="154"/>
        <v>LE169_60|LoB</v>
      </c>
    </row>
    <row r="9921" spans="1:5" x14ac:dyDescent="0.2">
      <c r="A9921" t="s">
        <v>2256</v>
      </c>
      <c r="B9921" t="s">
        <v>32</v>
      </c>
      <c r="C9921" t="s">
        <v>20</v>
      </c>
      <c r="D9921" t="str">
        <f>VLOOKUP(C9921,'lookup table'!$A$2:$B$19,2,FALSE)</f>
        <v>AY</v>
      </c>
      <c r="E9921" t="str">
        <f t="shared" si="154"/>
        <v>LE170_00|AY</v>
      </c>
    </row>
    <row r="9922" spans="1:5" x14ac:dyDescent="0.2">
      <c r="A9922" t="s">
        <v>2257</v>
      </c>
      <c r="B9922" t="s">
        <v>137</v>
      </c>
      <c r="C9922" t="s">
        <v>136</v>
      </c>
      <c r="D9922" t="str">
        <f>VLOOKUP(C9922,'lookup table'!$A$2:$B$19,2,FALSE)</f>
        <v>BBA Set</v>
      </c>
      <c r="E9922" t="str">
        <f t="shared" si="154"/>
        <v>LE170_17|BBA Set</v>
      </c>
    </row>
    <row r="9923" spans="1:5" x14ac:dyDescent="0.2">
      <c r="A9923" t="s">
        <v>2258</v>
      </c>
      <c r="B9923" t="s">
        <v>2259</v>
      </c>
      <c r="C9923" t="s">
        <v>20</v>
      </c>
      <c r="D9923" t="str">
        <f>VLOOKUP(C9923,'lookup table'!$A$2:$B$19,2,FALSE)</f>
        <v>AY</v>
      </c>
      <c r="E9923" t="str">
        <f t="shared" ref="E9923:E9986" si="155">IF(ISNA(D9923),"",IF(A9923="","",A9923) &amp; "|" &amp; D9923)</f>
        <v>LE170_60|AY</v>
      </c>
    </row>
    <row r="9924" spans="1:5" x14ac:dyDescent="0.2">
      <c r="A9924" t="s">
        <v>2258</v>
      </c>
      <c r="B9924" t="s">
        <v>2259</v>
      </c>
      <c r="C9924" t="s">
        <v>428</v>
      </c>
      <c r="D9924" t="str">
        <f>VLOOKUP(C9924,'lookup table'!$A$2:$B$19,2,FALSE)</f>
        <v>LoB</v>
      </c>
      <c r="E9924" t="str">
        <f t="shared" si="155"/>
        <v>LE170_60|LoB</v>
      </c>
    </row>
    <row r="9925" spans="1:5" x14ac:dyDescent="0.2">
      <c r="A9925" t="s">
        <v>2260</v>
      </c>
      <c r="B9925" t="s">
        <v>34</v>
      </c>
      <c r="C9925" t="s">
        <v>20</v>
      </c>
      <c r="D9925" t="str">
        <f>VLOOKUP(C9925,'lookup table'!$A$2:$B$19,2,FALSE)</f>
        <v>AY</v>
      </c>
      <c r="E9925" t="str">
        <f t="shared" si="155"/>
        <v>LE171_00|AY</v>
      </c>
    </row>
    <row r="9926" spans="1:5" x14ac:dyDescent="0.2">
      <c r="A9926" t="s">
        <v>2261</v>
      </c>
      <c r="B9926" t="s">
        <v>154</v>
      </c>
      <c r="C9926" t="s">
        <v>136</v>
      </c>
      <c r="D9926" t="str">
        <f>VLOOKUP(C9926,'lookup table'!$A$2:$B$19,2,FALSE)</f>
        <v>BBA Set</v>
      </c>
      <c r="E9926" t="str">
        <f t="shared" si="155"/>
        <v>LE171_17|BBA Set</v>
      </c>
    </row>
    <row r="9927" spans="1:5" x14ac:dyDescent="0.2">
      <c r="A9927" t="s">
        <v>2262</v>
      </c>
      <c r="B9927" t="s">
        <v>2263</v>
      </c>
      <c r="C9927" t="s">
        <v>20</v>
      </c>
      <c r="D9927" t="str">
        <f>VLOOKUP(C9927,'lookup table'!$A$2:$B$19,2,FALSE)</f>
        <v>AY</v>
      </c>
      <c r="E9927" t="str">
        <f t="shared" si="155"/>
        <v>LE171_60|AY</v>
      </c>
    </row>
    <row r="9928" spans="1:5" x14ac:dyDescent="0.2">
      <c r="A9928" t="s">
        <v>2262</v>
      </c>
      <c r="B9928" t="s">
        <v>2263</v>
      </c>
      <c r="C9928" t="s">
        <v>428</v>
      </c>
      <c r="D9928" t="str">
        <f>VLOOKUP(C9928,'lookup table'!$A$2:$B$19,2,FALSE)</f>
        <v>LoB</v>
      </c>
      <c r="E9928" t="str">
        <f t="shared" si="155"/>
        <v>LE171_60|LoB</v>
      </c>
    </row>
    <row r="9929" spans="1:5" x14ac:dyDescent="0.2">
      <c r="A9929" t="s">
        <v>2264</v>
      </c>
      <c r="B9929" t="s">
        <v>2265</v>
      </c>
      <c r="C9929" t="s">
        <v>20</v>
      </c>
      <c r="D9929" t="str">
        <f>VLOOKUP(C9929,'lookup table'!$A$2:$B$19,2,FALSE)</f>
        <v>AY</v>
      </c>
      <c r="E9929" t="str">
        <f t="shared" si="155"/>
        <v>LE172_00|AY</v>
      </c>
    </row>
    <row r="9930" spans="1:5" x14ac:dyDescent="0.2">
      <c r="A9930" t="s">
        <v>2266</v>
      </c>
      <c r="B9930" t="s">
        <v>202</v>
      </c>
      <c r="C9930" t="s">
        <v>136</v>
      </c>
      <c r="D9930" t="str">
        <f>VLOOKUP(C9930,'lookup table'!$A$2:$B$19,2,FALSE)</f>
        <v>BBA Set</v>
      </c>
      <c r="E9930" t="str">
        <f t="shared" si="155"/>
        <v>LE172_17|BBA Set</v>
      </c>
    </row>
    <row r="9931" spans="1:5" x14ac:dyDescent="0.2">
      <c r="A9931" t="s">
        <v>2267</v>
      </c>
      <c r="B9931" t="s">
        <v>109</v>
      </c>
      <c r="C9931" t="s">
        <v>20</v>
      </c>
      <c r="D9931" t="str">
        <f>VLOOKUP(C9931,'lookup table'!$A$2:$B$19,2,FALSE)</f>
        <v>AY</v>
      </c>
      <c r="E9931" t="str">
        <f t="shared" si="155"/>
        <v>LE173_00|AY</v>
      </c>
    </row>
    <row r="9932" spans="1:5" x14ac:dyDescent="0.2">
      <c r="A9932" t="s">
        <v>2268</v>
      </c>
      <c r="B9932" t="s">
        <v>203</v>
      </c>
      <c r="C9932" t="s">
        <v>136</v>
      </c>
      <c r="D9932" t="str">
        <f>VLOOKUP(C9932,'lookup table'!$A$2:$B$19,2,FALSE)</f>
        <v>BBA Set</v>
      </c>
      <c r="E9932" t="str">
        <f t="shared" si="155"/>
        <v>LE173_17|BBA Set</v>
      </c>
    </row>
    <row r="9933" spans="1:5" x14ac:dyDescent="0.2">
      <c r="A9933" t="s">
        <v>2269</v>
      </c>
      <c r="B9933" t="s">
        <v>2270</v>
      </c>
      <c r="C9933" t="s">
        <v>20</v>
      </c>
      <c r="D9933" t="str">
        <f>VLOOKUP(C9933,'lookup table'!$A$2:$B$19,2,FALSE)</f>
        <v>AY</v>
      </c>
      <c r="E9933" t="str">
        <f t="shared" si="155"/>
        <v>LE173_60|AY</v>
      </c>
    </row>
    <row r="9934" spans="1:5" x14ac:dyDescent="0.2">
      <c r="A9934" t="s">
        <v>2269</v>
      </c>
      <c r="B9934" t="s">
        <v>2270</v>
      </c>
      <c r="C9934" t="s">
        <v>428</v>
      </c>
      <c r="D9934" t="str">
        <f>VLOOKUP(C9934,'lookup table'!$A$2:$B$19,2,FALSE)</f>
        <v>LoB</v>
      </c>
      <c r="E9934" t="str">
        <f t="shared" si="155"/>
        <v>LE173_60|LoB</v>
      </c>
    </row>
    <row r="9935" spans="1:5" x14ac:dyDescent="0.2">
      <c r="A9935" t="s">
        <v>2271</v>
      </c>
      <c r="B9935" t="s">
        <v>110</v>
      </c>
      <c r="C9935" t="s">
        <v>20</v>
      </c>
      <c r="D9935" t="str">
        <f>VLOOKUP(C9935,'lookup table'!$A$2:$B$19,2,FALSE)</f>
        <v>AY</v>
      </c>
      <c r="E9935" t="str">
        <f t="shared" si="155"/>
        <v>LE174_00|AY</v>
      </c>
    </row>
    <row r="9936" spans="1:5" x14ac:dyDescent="0.2">
      <c r="A9936" t="s">
        <v>2272</v>
      </c>
      <c r="B9936" t="s">
        <v>2273</v>
      </c>
      <c r="C9936" t="s">
        <v>136</v>
      </c>
      <c r="D9936" t="str">
        <f>VLOOKUP(C9936,'lookup table'!$A$2:$B$19,2,FALSE)</f>
        <v>BBA Set</v>
      </c>
      <c r="E9936" t="str">
        <f t="shared" si="155"/>
        <v>LE174_17|BBA Set</v>
      </c>
    </row>
    <row r="9937" spans="1:5" x14ac:dyDescent="0.2">
      <c r="A9937" t="s">
        <v>2274</v>
      </c>
      <c r="B9937" t="s">
        <v>2275</v>
      </c>
      <c r="C9937" t="s">
        <v>20</v>
      </c>
      <c r="D9937" t="str">
        <f>VLOOKUP(C9937,'lookup table'!$A$2:$B$19,2,FALSE)</f>
        <v>AY</v>
      </c>
      <c r="E9937" t="str">
        <f t="shared" si="155"/>
        <v>LE174_60|AY</v>
      </c>
    </row>
    <row r="9938" spans="1:5" x14ac:dyDescent="0.2">
      <c r="A9938" t="s">
        <v>2274</v>
      </c>
      <c r="B9938" t="s">
        <v>2275</v>
      </c>
      <c r="C9938" t="s">
        <v>428</v>
      </c>
      <c r="D9938" t="str">
        <f>VLOOKUP(C9938,'lookup table'!$A$2:$B$19,2,FALSE)</f>
        <v>LoB</v>
      </c>
      <c r="E9938" t="str">
        <f t="shared" si="155"/>
        <v>LE174_60|LoB</v>
      </c>
    </row>
    <row r="9939" spans="1:5" x14ac:dyDescent="0.2">
      <c r="A9939" t="s">
        <v>2276</v>
      </c>
      <c r="B9939" t="s">
        <v>111</v>
      </c>
      <c r="C9939" t="s">
        <v>20</v>
      </c>
      <c r="D9939" t="str">
        <f>VLOOKUP(C9939,'lookup table'!$A$2:$B$19,2,FALSE)</f>
        <v>AY</v>
      </c>
      <c r="E9939" t="str">
        <f t="shared" si="155"/>
        <v>LE175_00|AY</v>
      </c>
    </row>
    <row r="9940" spans="1:5" x14ac:dyDescent="0.2">
      <c r="A9940" t="s">
        <v>2277</v>
      </c>
      <c r="B9940" t="s">
        <v>2278</v>
      </c>
      <c r="C9940" t="s">
        <v>136</v>
      </c>
      <c r="D9940" t="str">
        <f>VLOOKUP(C9940,'lookup table'!$A$2:$B$19,2,FALSE)</f>
        <v>BBA Set</v>
      </c>
      <c r="E9940" t="str">
        <f t="shared" si="155"/>
        <v>LE175_17|BBA Set</v>
      </c>
    </row>
    <row r="9941" spans="1:5" x14ac:dyDescent="0.2">
      <c r="A9941" t="s">
        <v>2279</v>
      </c>
      <c r="B9941" t="s">
        <v>2280</v>
      </c>
      <c r="C9941" t="s">
        <v>20</v>
      </c>
      <c r="D9941" t="str">
        <f>VLOOKUP(C9941,'lookup table'!$A$2:$B$19,2,FALSE)</f>
        <v>AY</v>
      </c>
      <c r="E9941" t="str">
        <f t="shared" si="155"/>
        <v>LE175_60|AY</v>
      </c>
    </row>
    <row r="9942" spans="1:5" x14ac:dyDescent="0.2">
      <c r="A9942" t="s">
        <v>2279</v>
      </c>
      <c r="B9942" t="s">
        <v>2280</v>
      </c>
      <c r="C9942" t="s">
        <v>428</v>
      </c>
      <c r="D9942" t="str">
        <f>VLOOKUP(C9942,'lookup table'!$A$2:$B$19,2,FALSE)</f>
        <v>LoB</v>
      </c>
      <c r="E9942" t="str">
        <f t="shared" si="155"/>
        <v>LE175_60|LoB</v>
      </c>
    </row>
    <row r="9943" spans="1:5" x14ac:dyDescent="0.2">
      <c r="A9943" t="s">
        <v>2281</v>
      </c>
      <c r="B9943" t="s">
        <v>2282</v>
      </c>
      <c r="C9943" t="s">
        <v>20</v>
      </c>
      <c r="D9943" t="str">
        <f>VLOOKUP(C9943,'lookup table'!$A$2:$B$19,2,FALSE)</f>
        <v>AY</v>
      </c>
      <c r="E9943" t="str">
        <f t="shared" si="155"/>
        <v>LE176_00|AY</v>
      </c>
    </row>
    <row r="9944" spans="1:5" x14ac:dyDescent="0.2">
      <c r="A9944" t="s">
        <v>2281</v>
      </c>
      <c r="B9944" t="s">
        <v>2282</v>
      </c>
      <c r="C9944" t="s">
        <v>428</v>
      </c>
      <c r="D9944" t="str">
        <f>VLOOKUP(C9944,'lookup table'!$A$2:$B$19,2,FALSE)</f>
        <v>LoB</v>
      </c>
      <c r="E9944" t="str">
        <f t="shared" si="155"/>
        <v>LE176_00|LoB</v>
      </c>
    </row>
    <row r="9945" spans="1:5" x14ac:dyDescent="0.2">
      <c r="A9945" t="s">
        <v>2283</v>
      </c>
      <c r="B9945" t="s">
        <v>2284</v>
      </c>
      <c r="C9945" t="s">
        <v>136</v>
      </c>
      <c r="D9945" t="str">
        <f>VLOOKUP(C9945,'lookup table'!$A$2:$B$19,2,FALSE)</f>
        <v>BBA Set</v>
      </c>
      <c r="E9945" t="str">
        <f t="shared" si="155"/>
        <v>LE176_17|BBA Set</v>
      </c>
    </row>
    <row r="9946" spans="1:5" x14ac:dyDescent="0.2">
      <c r="A9946" t="s">
        <v>2285</v>
      </c>
      <c r="B9946" t="s">
        <v>2286</v>
      </c>
      <c r="C9946" t="s">
        <v>20</v>
      </c>
      <c r="D9946" t="str">
        <f>VLOOKUP(C9946,'lookup table'!$A$2:$B$19,2,FALSE)</f>
        <v>AY</v>
      </c>
      <c r="E9946" t="str">
        <f t="shared" si="155"/>
        <v>LE177_00|AY</v>
      </c>
    </row>
    <row r="9947" spans="1:5" x14ac:dyDescent="0.2">
      <c r="A9947" t="s">
        <v>2285</v>
      </c>
      <c r="B9947" t="s">
        <v>2286</v>
      </c>
      <c r="C9947" t="s">
        <v>428</v>
      </c>
      <c r="D9947" t="str">
        <f>VLOOKUP(C9947,'lookup table'!$A$2:$B$19,2,FALSE)</f>
        <v>LoB</v>
      </c>
      <c r="E9947" t="str">
        <f t="shared" si="155"/>
        <v>LE177_00|LoB</v>
      </c>
    </row>
    <row r="9948" spans="1:5" x14ac:dyDescent="0.2">
      <c r="A9948" t="s">
        <v>2287</v>
      </c>
      <c r="B9948" t="s">
        <v>2288</v>
      </c>
      <c r="C9948" t="s">
        <v>20</v>
      </c>
      <c r="D9948" t="str">
        <f>VLOOKUP(C9948,'lookup table'!$A$2:$B$19,2,FALSE)</f>
        <v>AY</v>
      </c>
      <c r="E9948" t="str">
        <f t="shared" si="155"/>
        <v>LE178_00|AY</v>
      </c>
    </row>
    <row r="9949" spans="1:5" x14ac:dyDescent="0.2">
      <c r="A9949" t="s">
        <v>2289</v>
      </c>
      <c r="B9949" t="s">
        <v>2290</v>
      </c>
      <c r="C9949" t="s">
        <v>20</v>
      </c>
      <c r="D9949" t="str">
        <f>VLOOKUP(C9949,'lookup table'!$A$2:$B$19,2,FALSE)</f>
        <v>AY</v>
      </c>
      <c r="E9949" t="str">
        <f t="shared" si="155"/>
        <v>LE178_60|AY</v>
      </c>
    </row>
    <row r="9950" spans="1:5" x14ac:dyDescent="0.2">
      <c r="A9950" t="s">
        <v>2289</v>
      </c>
      <c r="B9950" t="s">
        <v>2290</v>
      </c>
      <c r="C9950" t="s">
        <v>428</v>
      </c>
      <c r="D9950" t="str">
        <f>VLOOKUP(C9950,'lookup table'!$A$2:$B$19,2,FALSE)</f>
        <v>LoB</v>
      </c>
      <c r="E9950" t="str">
        <f t="shared" si="155"/>
        <v>LE178_60|LoB</v>
      </c>
    </row>
    <row r="9951" spans="1:5" x14ac:dyDescent="0.2">
      <c r="A9951" t="s">
        <v>2291</v>
      </c>
      <c r="B9951" t="s">
        <v>2292</v>
      </c>
      <c r="C9951" t="s">
        <v>20</v>
      </c>
      <c r="D9951" t="str">
        <f>VLOOKUP(C9951,'lookup table'!$A$2:$B$19,2,FALSE)</f>
        <v>AY</v>
      </c>
      <c r="E9951" t="str">
        <f t="shared" si="155"/>
        <v>LE179_00|AY</v>
      </c>
    </row>
    <row r="9952" spans="1:5" x14ac:dyDescent="0.2">
      <c r="A9952" t="s">
        <v>2293</v>
      </c>
      <c r="B9952" t="s">
        <v>2294</v>
      </c>
      <c r="C9952" t="s">
        <v>20</v>
      </c>
      <c r="D9952" t="str">
        <f>VLOOKUP(C9952,'lookup table'!$A$2:$B$19,2,FALSE)</f>
        <v>AY</v>
      </c>
      <c r="E9952" t="str">
        <f t="shared" si="155"/>
        <v>LE179_60|AY</v>
      </c>
    </row>
    <row r="9953" spans="1:5" x14ac:dyDescent="0.2">
      <c r="A9953" t="s">
        <v>2293</v>
      </c>
      <c r="B9953" t="s">
        <v>2294</v>
      </c>
      <c r="C9953" t="s">
        <v>428</v>
      </c>
      <c r="D9953" t="str">
        <f>VLOOKUP(C9953,'lookup table'!$A$2:$B$19,2,FALSE)</f>
        <v>LoB</v>
      </c>
      <c r="E9953" t="str">
        <f t="shared" si="155"/>
        <v>LE179_60|LoB</v>
      </c>
    </row>
    <row r="9954" spans="1:5" x14ac:dyDescent="0.2">
      <c r="A9954" t="s">
        <v>2295</v>
      </c>
      <c r="B9954" t="s">
        <v>2296</v>
      </c>
      <c r="C9954" t="s">
        <v>20</v>
      </c>
      <c r="D9954" t="str">
        <f>VLOOKUP(C9954,'lookup table'!$A$2:$B$19,2,FALSE)</f>
        <v>AY</v>
      </c>
      <c r="E9954" t="str">
        <f t="shared" si="155"/>
        <v>LE180_00|AY</v>
      </c>
    </row>
    <row r="9955" spans="1:5" x14ac:dyDescent="0.2">
      <c r="A9955" t="s">
        <v>2297</v>
      </c>
      <c r="B9955" t="s">
        <v>2298</v>
      </c>
      <c r="C9955" t="s">
        <v>136</v>
      </c>
      <c r="D9955" t="str">
        <f>VLOOKUP(C9955,'lookup table'!$A$2:$B$19,2,FALSE)</f>
        <v>BBA Set</v>
      </c>
      <c r="E9955" t="str">
        <f t="shared" si="155"/>
        <v>LE180_17|BBA Set</v>
      </c>
    </row>
    <row r="9956" spans="1:5" x14ac:dyDescent="0.2">
      <c r="A9956" t="s">
        <v>2299</v>
      </c>
      <c r="B9956" t="s">
        <v>2300</v>
      </c>
      <c r="C9956" t="s">
        <v>136</v>
      </c>
      <c r="D9956" t="str">
        <f>VLOOKUP(C9956,'lookup table'!$A$2:$B$19,2,FALSE)</f>
        <v>BBA Set</v>
      </c>
      <c r="E9956" t="str">
        <f t="shared" si="155"/>
        <v>LE181_17|BBA Set</v>
      </c>
    </row>
    <row r="9957" spans="1:5" x14ac:dyDescent="0.2">
      <c r="A9957" t="s">
        <v>2301</v>
      </c>
      <c r="B9957" t="s">
        <v>2302</v>
      </c>
      <c r="C9957" t="s">
        <v>136</v>
      </c>
      <c r="D9957" t="str">
        <f>VLOOKUP(C9957,'lookup table'!$A$2:$B$19,2,FALSE)</f>
        <v>BBA Set</v>
      </c>
      <c r="E9957" t="str">
        <f t="shared" si="155"/>
        <v>LE182_17|BBA Set</v>
      </c>
    </row>
    <row r="9958" spans="1:5" x14ac:dyDescent="0.2">
      <c r="A9958" t="s">
        <v>2303</v>
      </c>
      <c r="B9958" t="s">
        <v>2304</v>
      </c>
      <c r="C9958" t="s">
        <v>136</v>
      </c>
      <c r="D9958" t="str">
        <f>VLOOKUP(C9958,'lookup table'!$A$2:$B$19,2,FALSE)</f>
        <v>BBA Set</v>
      </c>
      <c r="E9958" t="str">
        <f t="shared" si="155"/>
        <v>LE183_17|BBA Set</v>
      </c>
    </row>
    <row r="9959" spans="1:5" x14ac:dyDescent="0.2">
      <c r="A9959" t="s">
        <v>2305</v>
      </c>
      <c r="B9959" t="s">
        <v>2306</v>
      </c>
      <c r="C9959" t="s">
        <v>428</v>
      </c>
      <c r="D9959" t="str">
        <f>VLOOKUP(C9959,'lookup table'!$A$2:$B$19,2,FALSE)</f>
        <v>LoB</v>
      </c>
      <c r="E9959" t="str">
        <f t="shared" si="155"/>
        <v>LE183_60|LoB</v>
      </c>
    </row>
    <row r="9960" spans="1:5" x14ac:dyDescent="0.2">
      <c r="A9960" t="s">
        <v>2307</v>
      </c>
      <c r="B9960" t="s">
        <v>208</v>
      </c>
      <c r="C9960" t="s">
        <v>136</v>
      </c>
      <c r="D9960" t="str">
        <f>VLOOKUP(C9960,'lookup table'!$A$2:$B$19,2,FALSE)</f>
        <v>BBA Set</v>
      </c>
      <c r="E9960" t="str">
        <f t="shared" si="155"/>
        <v>LE184_17|BBA Set</v>
      </c>
    </row>
    <row r="9961" spans="1:5" x14ac:dyDescent="0.2">
      <c r="A9961" t="s">
        <v>2308</v>
      </c>
      <c r="B9961" t="s">
        <v>2309</v>
      </c>
      <c r="C9961" t="s">
        <v>331</v>
      </c>
      <c r="D9961" t="str">
        <f>VLOOKUP(C9961,'lookup table'!$A$2:$B$19,2,FALSE)</f>
        <v>FS Item</v>
      </c>
      <c r="E9961" t="str">
        <f t="shared" si="155"/>
        <v>LE185_00|FS Item</v>
      </c>
    </row>
    <row r="9962" spans="1:5" x14ac:dyDescent="0.2">
      <c r="A9962" t="s">
        <v>2308</v>
      </c>
      <c r="B9962" t="s">
        <v>2309</v>
      </c>
      <c r="C9962" t="s">
        <v>423</v>
      </c>
      <c r="D9962" t="str">
        <f>VLOOKUP(C9962,'lookup table'!$A$2:$B$19,2,FALSE)</f>
        <v>ignore</v>
      </c>
      <c r="E9962" t="str">
        <f t="shared" si="155"/>
        <v>LE185_00|ignore</v>
      </c>
    </row>
    <row r="9963" spans="1:5" x14ac:dyDescent="0.2">
      <c r="A9963" t="s">
        <v>2308</v>
      </c>
      <c r="B9963" t="s">
        <v>2309</v>
      </c>
      <c r="C9963" t="s">
        <v>438</v>
      </c>
      <c r="D9963" t="str">
        <f>VLOOKUP(C9963,'lookup table'!$A$2:$B$19,2,FALSE)</f>
        <v>ToM</v>
      </c>
      <c r="E9963" t="str">
        <f t="shared" si="155"/>
        <v>LE185_00|ToM</v>
      </c>
    </row>
    <row r="9964" spans="1:5" x14ac:dyDescent="0.2">
      <c r="A9964" t="s">
        <v>2308</v>
      </c>
      <c r="B9964" t="s">
        <v>2309</v>
      </c>
      <c r="C9964" t="s">
        <v>441</v>
      </c>
      <c r="D9964" t="str">
        <f>VLOOKUP(C9964,'lookup table'!$A$2:$B$19,2,FALSE)</f>
        <v>Partner Segment</v>
      </c>
      <c r="E9964" t="str">
        <f t="shared" si="155"/>
        <v>LE185_00|Partner Segment</v>
      </c>
    </row>
    <row r="9965" spans="1:5" x14ac:dyDescent="0.2">
      <c r="A9965" t="s">
        <v>2308</v>
      </c>
      <c r="B9965" t="s">
        <v>2309</v>
      </c>
      <c r="C9965" t="s">
        <v>442</v>
      </c>
      <c r="D9965" t="str">
        <f>VLOOKUP(C9965,'lookup table'!$A$2:$B$19,2,FALSE)</f>
        <v>Partner Unit</v>
      </c>
      <c r="E9965" t="str">
        <f t="shared" si="155"/>
        <v>LE185_00|Partner Unit</v>
      </c>
    </row>
    <row r="9966" spans="1:5" x14ac:dyDescent="0.2">
      <c r="A9966" t="s">
        <v>2308</v>
      </c>
      <c r="B9966" t="s">
        <v>2309</v>
      </c>
      <c r="C9966" t="s">
        <v>451</v>
      </c>
      <c r="D9966" t="str">
        <f>VLOOKUP(C9966,'lookup table'!$A$2:$B$19,2,FALSE)</f>
        <v>Segment</v>
      </c>
      <c r="E9966" t="str">
        <f t="shared" si="155"/>
        <v>LE185_00|Segment</v>
      </c>
    </row>
    <row r="9967" spans="1:5" x14ac:dyDescent="0.2">
      <c r="A9967" t="s">
        <v>2310</v>
      </c>
      <c r="B9967" t="s">
        <v>2311</v>
      </c>
      <c r="C9967" t="s">
        <v>20</v>
      </c>
      <c r="D9967" t="str">
        <f>VLOOKUP(C9967,'lookup table'!$A$2:$B$19,2,FALSE)</f>
        <v>AY</v>
      </c>
      <c r="E9967" t="str">
        <f t="shared" si="155"/>
        <v>LE186_00|AY</v>
      </c>
    </row>
    <row r="9968" spans="1:5" x14ac:dyDescent="0.2">
      <c r="A9968" t="s">
        <v>2310</v>
      </c>
      <c r="B9968" t="s">
        <v>2311</v>
      </c>
      <c r="C9968" t="s">
        <v>428</v>
      </c>
      <c r="D9968" t="str">
        <f>VLOOKUP(C9968,'lookup table'!$A$2:$B$19,2,FALSE)</f>
        <v>LoB</v>
      </c>
      <c r="E9968" t="str">
        <f t="shared" si="155"/>
        <v>LE186_00|LoB</v>
      </c>
    </row>
    <row r="9969" spans="1:5" x14ac:dyDescent="0.2">
      <c r="A9969" t="s">
        <v>2312</v>
      </c>
      <c r="B9969" t="s">
        <v>2313</v>
      </c>
      <c r="C9969" t="s">
        <v>20</v>
      </c>
      <c r="D9969" t="str">
        <f>VLOOKUP(C9969,'lookup table'!$A$2:$B$19,2,FALSE)</f>
        <v>AY</v>
      </c>
      <c r="E9969" t="str">
        <f t="shared" si="155"/>
        <v>LE187_00|AY</v>
      </c>
    </row>
    <row r="9970" spans="1:5" x14ac:dyDescent="0.2">
      <c r="A9970" t="s">
        <v>2312</v>
      </c>
      <c r="B9970" t="s">
        <v>2313</v>
      </c>
      <c r="C9970" t="s">
        <v>428</v>
      </c>
      <c r="D9970" t="str">
        <f>VLOOKUP(C9970,'lookup table'!$A$2:$B$19,2,FALSE)</f>
        <v>LoB</v>
      </c>
      <c r="E9970" t="str">
        <f t="shared" si="155"/>
        <v>LE187_00|LoB</v>
      </c>
    </row>
    <row r="9971" spans="1:5" x14ac:dyDescent="0.2">
      <c r="A9971" t="s">
        <v>2314</v>
      </c>
      <c r="B9971" t="s">
        <v>2315</v>
      </c>
      <c r="C9971" t="s">
        <v>136</v>
      </c>
      <c r="D9971" t="str">
        <f>VLOOKUP(C9971,'lookup table'!$A$2:$B$19,2,FALSE)</f>
        <v>BBA Set</v>
      </c>
      <c r="E9971" t="str">
        <f t="shared" si="155"/>
        <v>LE187_17|BBA Set</v>
      </c>
    </row>
    <row r="9972" spans="1:5" x14ac:dyDescent="0.2">
      <c r="A9972" t="s">
        <v>2316</v>
      </c>
      <c r="B9972" t="s">
        <v>2317</v>
      </c>
      <c r="C9972" t="s">
        <v>20</v>
      </c>
      <c r="D9972" t="str">
        <f>VLOOKUP(C9972,'lookup table'!$A$2:$B$19,2,FALSE)</f>
        <v>AY</v>
      </c>
      <c r="E9972" t="str">
        <f t="shared" si="155"/>
        <v>LE188_00|AY</v>
      </c>
    </row>
    <row r="9973" spans="1:5" x14ac:dyDescent="0.2">
      <c r="A9973" t="s">
        <v>2316</v>
      </c>
      <c r="B9973" t="s">
        <v>2317</v>
      </c>
      <c r="C9973" t="s">
        <v>428</v>
      </c>
      <c r="D9973" t="str">
        <f>VLOOKUP(C9973,'lookup table'!$A$2:$B$19,2,FALSE)</f>
        <v>LoB</v>
      </c>
      <c r="E9973" t="str">
        <f t="shared" si="155"/>
        <v>LE188_00|LoB</v>
      </c>
    </row>
    <row r="9974" spans="1:5" x14ac:dyDescent="0.2">
      <c r="A9974" t="s">
        <v>2318</v>
      </c>
      <c r="B9974" t="s">
        <v>2319</v>
      </c>
      <c r="C9974" t="s">
        <v>136</v>
      </c>
      <c r="D9974" t="str">
        <f>VLOOKUP(C9974,'lookup table'!$A$2:$B$19,2,FALSE)</f>
        <v>BBA Set</v>
      </c>
      <c r="E9974" t="str">
        <f t="shared" si="155"/>
        <v>LE188_17|BBA Set</v>
      </c>
    </row>
    <row r="9975" spans="1:5" x14ac:dyDescent="0.2">
      <c r="A9975" t="s">
        <v>2320</v>
      </c>
      <c r="B9975" t="s">
        <v>2321</v>
      </c>
      <c r="C9975" t="s">
        <v>20</v>
      </c>
      <c r="D9975" t="str">
        <f>VLOOKUP(C9975,'lookup table'!$A$2:$B$19,2,FALSE)</f>
        <v>AY</v>
      </c>
      <c r="E9975" t="str">
        <f t="shared" si="155"/>
        <v>LE189_00|AY</v>
      </c>
    </row>
    <row r="9976" spans="1:5" x14ac:dyDescent="0.2">
      <c r="A9976" t="s">
        <v>2320</v>
      </c>
      <c r="B9976" t="s">
        <v>2321</v>
      </c>
      <c r="C9976" t="s">
        <v>428</v>
      </c>
      <c r="D9976" t="str">
        <f>VLOOKUP(C9976,'lookup table'!$A$2:$B$19,2,FALSE)</f>
        <v>LoB</v>
      </c>
      <c r="E9976" t="str">
        <f t="shared" si="155"/>
        <v>LE189_00|LoB</v>
      </c>
    </row>
    <row r="9977" spans="1:5" x14ac:dyDescent="0.2">
      <c r="A9977" t="s">
        <v>2322</v>
      </c>
      <c r="B9977" t="s">
        <v>2323</v>
      </c>
      <c r="C9977" t="s">
        <v>20</v>
      </c>
      <c r="D9977" t="str">
        <f>VLOOKUP(C9977,'lookup table'!$A$2:$B$19,2,FALSE)</f>
        <v>AY</v>
      </c>
      <c r="E9977" t="str">
        <f t="shared" si="155"/>
        <v>LE190_00|AY</v>
      </c>
    </row>
    <row r="9978" spans="1:5" x14ac:dyDescent="0.2">
      <c r="A9978" t="s">
        <v>2322</v>
      </c>
      <c r="B9978" t="s">
        <v>2323</v>
      </c>
      <c r="C9978" t="s">
        <v>428</v>
      </c>
      <c r="D9978" t="str">
        <f>VLOOKUP(C9978,'lookup table'!$A$2:$B$19,2,FALSE)</f>
        <v>LoB</v>
      </c>
      <c r="E9978" t="str">
        <f t="shared" si="155"/>
        <v>LE190_00|LoB</v>
      </c>
    </row>
    <row r="9979" spans="1:5" x14ac:dyDescent="0.2">
      <c r="A9979" t="s">
        <v>2324</v>
      </c>
      <c r="B9979" t="s">
        <v>2325</v>
      </c>
      <c r="C9979" t="s">
        <v>20</v>
      </c>
      <c r="D9979" t="str">
        <f>VLOOKUP(C9979,'lookup table'!$A$2:$B$19,2,FALSE)</f>
        <v>AY</v>
      </c>
      <c r="E9979" t="str">
        <f t="shared" si="155"/>
        <v>LE191_00|AY</v>
      </c>
    </row>
    <row r="9980" spans="1:5" x14ac:dyDescent="0.2">
      <c r="A9980" t="s">
        <v>2324</v>
      </c>
      <c r="B9980" t="s">
        <v>2325</v>
      </c>
      <c r="C9980" t="s">
        <v>428</v>
      </c>
      <c r="D9980" t="str">
        <f>VLOOKUP(C9980,'lookup table'!$A$2:$B$19,2,FALSE)</f>
        <v>LoB</v>
      </c>
      <c r="E9980" t="str">
        <f t="shared" si="155"/>
        <v>LE191_00|LoB</v>
      </c>
    </row>
    <row r="9981" spans="1:5" x14ac:dyDescent="0.2">
      <c r="A9981" t="s">
        <v>2326</v>
      </c>
      <c r="B9981" t="s">
        <v>2327</v>
      </c>
      <c r="C9981" t="s">
        <v>136</v>
      </c>
      <c r="D9981" t="str">
        <f>VLOOKUP(C9981,'lookup table'!$A$2:$B$19,2,FALSE)</f>
        <v>BBA Set</v>
      </c>
      <c r="E9981" t="str">
        <f t="shared" si="155"/>
        <v>LE191_17|BBA Set</v>
      </c>
    </row>
    <row r="9982" spans="1:5" x14ac:dyDescent="0.2">
      <c r="A9982" t="s">
        <v>2328</v>
      </c>
      <c r="B9982" t="s">
        <v>2329</v>
      </c>
      <c r="C9982" t="s">
        <v>20</v>
      </c>
      <c r="D9982" t="str">
        <f>VLOOKUP(C9982,'lookup table'!$A$2:$B$19,2,FALSE)</f>
        <v>AY</v>
      </c>
      <c r="E9982" t="str">
        <f t="shared" si="155"/>
        <v>LE191_60|AY</v>
      </c>
    </row>
    <row r="9983" spans="1:5" x14ac:dyDescent="0.2">
      <c r="A9983" t="s">
        <v>2328</v>
      </c>
      <c r="B9983" t="s">
        <v>2329</v>
      </c>
      <c r="C9983" t="s">
        <v>428</v>
      </c>
      <c r="D9983" t="str">
        <f>VLOOKUP(C9983,'lookup table'!$A$2:$B$19,2,FALSE)</f>
        <v>LoB</v>
      </c>
      <c r="E9983" t="str">
        <f t="shared" si="155"/>
        <v>LE191_60|LoB</v>
      </c>
    </row>
    <row r="9984" spans="1:5" x14ac:dyDescent="0.2">
      <c r="A9984" t="s">
        <v>2330</v>
      </c>
      <c r="B9984" t="s">
        <v>2331</v>
      </c>
      <c r="C9984" t="s">
        <v>20</v>
      </c>
      <c r="D9984" t="str">
        <f>VLOOKUP(C9984,'lookup table'!$A$2:$B$19,2,FALSE)</f>
        <v>AY</v>
      </c>
      <c r="E9984" t="str">
        <f t="shared" si="155"/>
        <v>LE192_00|AY</v>
      </c>
    </row>
    <row r="9985" spans="1:5" x14ac:dyDescent="0.2">
      <c r="A9985" t="s">
        <v>2332</v>
      </c>
      <c r="B9985" t="s">
        <v>2333</v>
      </c>
      <c r="C9985" t="s">
        <v>136</v>
      </c>
      <c r="D9985" t="str">
        <f>VLOOKUP(C9985,'lookup table'!$A$2:$B$19,2,FALSE)</f>
        <v>BBA Set</v>
      </c>
      <c r="E9985" t="str">
        <f t="shared" si="155"/>
        <v>LE192_17|BBA Set</v>
      </c>
    </row>
    <row r="9986" spans="1:5" x14ac:dyDescent="0.2">
      <c r="A9986" t="s">
        <v>2334</v>
      </c>
      <c r="B9986" t="s">
        <v>2335</v>
      </c>
      <c r="C9986" t="s">
        <v>20</v>
      </c>
      <c r="D9986" t="str">
        <f>VLOOKUP(C9986,'lookup table'!$A$2:$B$19,2,FALSE)</f>
        <v>AY</v>
      </c>
      <c r="E9986" t="str">
        <f t="shared" si="155"/>
        <v>LE193_00|AY</v>
      </c>
    </row>
    <row r="9987" spans="1:5" x14ac:dyDescent="0.2">
      <c r="A9987" t="s">
        <v>2336</v>
      </c>
      <c r="B9987" t="s">
        <v>2337</v>
      </c>
      <c r="C9987" t="s">
        <v>136</v>
      </c>
      <c r="D9987" t="str">
        <f>VLOOKUP(C9987,'lookup table'!$A$2:$B$19,2,FALSE)</f>
        <v>BBA Set</v>
      </c>
      <c r="E9987" t="str">
        <f t="shared" ref="E9987:E10050" si="156">IF(ISNA(D9987),"",IF(A9987="","",A9987) &amp; "|" &amp; D9987)</f>
        <v>LE193_17|BBA Set</v>
      </c>
    </row>
    <row r="9988" spans="1:5" x14ac:dyDescent="0.2">
      <c r="A9988" t="s">
        <v>2338</v>
      </c>
      <c r="B9988" t="s">
        <v>2339</v>
      </c>
      <c r="C9988" t="s">
        <v>20</v>
      </c>
      <c r="D9988" t="str">
        <f>VLOOKUP(C9988,'lookup table'!$A$2:$B$19,2,FALSE)</f>
        <v>AY</v>
      </c>
      <c r="E9988" t="str">
        <f t="shared" si="156"/>
        <v>LE194_00|AY</v>
      </c>
    </row>
    <row r="9989" spans="1:5" x14ac:dyDescent="0.2">
      <c r="A9989" t="s">
        <v>2340</v>
      </c>
      <c r="B9989" t="s">
        <v>2341</v>
      </c>
      <c r="C9989" t="s">
        <v>136</v>
      </c>
      <c r="D9989" t="str">
        <f>VLOOKUP(C9989,'lookup table'!$A$2:$B$19,2,FALSE)</f>
        <v>BBA Set</v>
      </c>
      <c r="E9989" t="str">
        <f t="shared" si="156"/>
        <v>LE194_17|BBA Set</v>
      </c>
    </row>
    <row r="9990" spans="1:5" x14ac:dyDescent="0.2">
      <c r="A9990" t="s">
        <v>2342</v>
      </c>
      <c r="B9990" t="s">
        <v>2343</v>
      </c>
      <c r="C9990" t="s">
        <v>136</v>
      </c>
      <c r="D9990" t="str">
        <f>VLOOKUP(C9990,'lookup table'!$A$2:$B$19,2,FALSE)</f>
        <v>BBA Set</v>
      </c>
      <c r="E9990" t="str">
        <f t="shared" si="156"/>
        <v>LE195_17|BBA Set</v>
      </c>
    </row>
    <row r="9991" spans="1:5" x14ac:dyDescent="0.2">
      <c r="A9991" t="s">
        <v>2344</v>
      </c>
      <c r="B9991" t="s">
        <v>2345</v>
      </c>
      <c r="C9991" t="s">
        <v>136</v>
      </c>
      <c r="D9991" t="str">
        <f>VLOOKUP(C9991,'lookup table'!$A$2:$B$19,2,FALSE)</f>
        <v>BBA Set</v>
      </c>
      <c r="E9991" t="str">
        <f t="shared" si="156"/>
        <v>LE200_17|BBA Set</v>
      </c>
    </row>
    <row r="9992" spans="1:5" x14ac:dyDescent="0.2">
      <c r="A9992" t="s">
        <v>2346</v>
      </c>
      <c r="B9992" t="s">
        <v>2347</v>
      </c>
      <c r="C9992" t="s">
        <v>136</v>
      </c>
      <c r="D9992" t="str">
        <f>VLOOKUP(C9992,'lookup table'!$A$2:$B$19,2,FALSE)</f>
        <v>BBA Set</v>
      </c>
      <c r="E9992" t="str">
        <f t="shared" si="156"/>
        <v>LE201_17|BBA Set</v>
      </c>
    </row>
    <row r="9993" spans="1:5" x14ac:dyDescent="0.2">
      <c r="A9993" t="s">
        <v>2348</v>
      </c>
      <c r="B9993" t="s">
        <v>2349</v>
      </c>
      <c r="C9993" t="s">
        <v>136</v>
      </c>
      <c r="D9993" t="str">
        <f>VLOOKUP(C9993,'lookup table'!$A$2:$B$19,2,FALSE)</f>
        <v>BBA Set</v>
      </c>
      <c r="E9993" t="str">
        <f t="shared" si="156"/>
        <v>LE202_17|BBA Set</v>
      </c>
    </row>
    <row r="9994" spans="1:5" x14ac:dyDescent="0.2">
      <c r="A9994" t="s">
        <v>2350</v>
      </c>
      <c r="B9994" t="s">
        <v>2351</v>
      </c>
      <c r="C9994" t="s">
        <v>136</v>
      </c>
      <c r="D9994" t="str">
        <f>VLOOKUP(C9994,'lookup table'!$A$2:$B$19,2,FALSE)</f>
        <v>BBA Set</v>
      </c>
      <c r="E9994" t="str">
        <f t="shared" si="156"/>
        <v>LE203_17|BBA Set</v>
      </c>
    </row>
    <row r="9995" spans="1:5" x14ac:dyDescent="0.2">
      <c r="A9995" t="s">
        <v>2352</v>
      </c>
      <c r="B9995" t="s">
        <v>2353</v>
      </c>
      <c r="C9995" t="s">
        <v>136</v>
      </c>
      <c r="D9995" t="str">
        <f>VLOOKUP(C9995,'lookup table'!$A$2:$B$19,2,FALSE)</f>
        <v>BBA Set</v>
      </c>
      <c r="E9995" t="str">
        <f t="shared" si="156"/>
        <v>LE210_17|BBA Set</v>
      </c>
    </row>
    <row r="9996" spans="1:5" x14ac:dyDescent="0.2">
      <c r="A9996" t="s">
        <v>2354</v>
      </c>
      <c r="B9996" t="s">
        <v>2355</v>
      </c>
      <c r="C9996" t="s">
        <v>136</v>
      </c>
      <c r="D9996" t="str">
        <f>VLOOKUP(C9996,'lookup table'!$A$2:$B$19,2,FALSE)</f>
        <v>BBA Set</v>
      </c>
      <c r="E9996" t="str">
        <f t="shared" si="156"/>
        <v>LE211_17|BBA Set</v>
      </c>
    </row>
    <row r="9997" spans="1:5" x14ac:dyDescent="0.2">
      <c r="A9997" t="s">
        <v>2356</v>
      </c>
      <c r="B9997" t="s">
        <v>160</v>
      </c>
      <c r="C9997" t="s">
        <v>136</v>
      </c>
      <c r="D9997" t="str">
        <f>VLOOKUP(C9997,'lookup table'!$A$2:$B$19,2,FALSE)</f>
        <v>BBA Set</v>
      </c>
      <c r="E9997" t="str">
        <f t="shared" si="156"/>
        <v>LE212_17|BBA Set</v>
      </c>
    </row>
    <row r="9998" spans="1:5" x14ac:dyDescent="0.2">
      <c r="A9998" t="s">
        <v>2357</v>
      </c>
      <c r="B9998" t="s">
        <v>209</v>
      </c>
      <c r="C9998" t="s">
        <v>136</v>
      </c>
      <c r="D9998" t="str">
        <f>VLOOKUP(C9998,'lookup table'!$A$2:$B$19,2,FALSE)</f>
        <v>BBA Set</v>
      </c>
      <c r="E9998" t="str">
        <f t="shared" si="156"/>
        <v>LE215_17|BBA Set</v>
      </c>
    </row>
    <row r="9999" spans="1:5" x14ac:dyDescent="0.2">
      <c r="A9999" t="s">
        <v>2358</v>
      </c>
      <c r="B9999" t="s">
        <v>217</v>
      </c>
      <c r="C9999" t="s">
        <v>136</v>
      </c>
      <c r="D9999" t="str">
        <f>VLOOKUP(C9999,'lookup table'!$A$2:$B$19,2,FALSE)</f>
        <v>BBA Set</v>
      </c>
      <c r="E9999" t="str">
        <f t="shared" si="156"/>
        <v>LE216_17|BBA Set</v>
      </c>
    </row>
    <row r="10000" spans="1:5" x14ac:dyDescent="0.2">
      <c r="A10000" t="s">
        <v>2359</v>
      </c>
      <c r="B10000" t="s">
        <v>218</v>
      </c>
      <c r="C10000" t="s">
        <v>136</v>
      </c>
      <c r="D10000" t="str">
        <f>VLOOKUP(C10000,'lookup table'!$A$2:$B$19,2,FALSE)</f>
        <v>BBA Set</v>
      </c>
      <c r="E10000" t="str">
        <f t="shared" si="156"/>
        <v>LE217_17|BBA Set</v>
      </c>
    </row>
    <row r="10001" spans="1:5" x14ac:dyDescent="0.2">
      <c r="A10001" t="s">
        <v>2360</v>
      </c>
      <c r="B10001" t="s">
        <v>219</v>
      </c>
      <c r="C10001" t="s">
        <v>136</v>
      </c>
      <c r="D10001" t="str">
        <f>VLOOKUP(C10001,'lookup table'!$A$2:$B$19,2,FALSE)</f>
        <v>BBA Set</v>
      </c>
      <c r="E10001" t="str">
        <f t="shared" si="156"/>
        <v>LE218_17|BBA Set</v>
      </c>
    </row>
    <row r="10002" spans="1:5" x14ac:dyDescent="0.2">
      <c r="A10002" t="s">
        <v>2361</v>
      </c>
      <c r="B10002" t="s">
        <v>220</v>
      </c>
      <c r="C10002" t="s">
        <v>136</v>
      </c>
      <c r="D10002" t="str">
        <f>VLOOKUP(C10002,'lookup table'!$A$2:$B$19,2,FALSE)</f>
        <v>BBA Set</v>
      </c>
      <c r="E10002" t="str">
        <f t="shared" si="156"/>
        <v>LE219_17|BBA Set</v>
      </c>
    </row>
    <row r="10003" spans="1:5" x14ac:dyDescent="0.2">
      <c r="A10003" t="s">
        <v>2362</v>
      </c>
      <c r="B10003" t="s">
        <v>221</v>
      </c>
      <c r="C10003" t="s">
        <v>136</v>
      </c>
      <c r="D10003" t="str">
        <f>VLOOKUP(C10003,'lookup table'!$A$2:$B$19,2,FALSE)</f>
        <v>BBA Set</v>
      </c>
      <c r="E10003" t="str">
        <f t="shared" si="156"/>
        <v>LE220_17|BBA Set</v>
      </c>
    </row>
    <row r="10004" spans="1:5" x14ac:dyDescent="0.2">
      <c r="A10004" t="s">
        <v>2363</v>
      </c>
      <c r="B10004" t="s">
        <v>222</v>
      </c>
      <c r="C10004" t="s">
        <v>136</v>
      </c>
      <c r="D10004" t="str">
        <f>VLOOKUP(C10004,'lookup table'!$A$2:$B$19,2,FALSE)</f>
        <v>BBA Set</v>
      </c>
      <c r="E10004" t="str">
        <f t="shared" si="156"/>
        <v>LE221_17|BBA Set</v>
      </c>
    </row>
    <row r="10005" spans="1:5" x14ac:dyDescent="0.2">
      <c r="A10005" t="s">
        <v>2364</v>
      </c>
      <c r="B10005" t="s">
        <v>223</v>
      </c>
      <c r="C10005" t="s">
        <v>136</v>
      </c>
      <c r="D10005" t="str">
        <f>VLOOKUP(C10005,'lookup table'!$A$2:$B$19,2,FALSE)</f>
        <v>BBA Set</v>
      </c>
      <c r="E10005" t="str">
        <f t="shared" si="156"/>
        <v>LE222_17|BBA Set</v>
      </c>
    </row>
    <row r="10006" spans="1:5" x14ac:dyDescent="0.2">
      <c r="A10006" t="s">
        <v>2365</v>
      </c>
      <c r="B10006" t="s">
        <v>2366</v>
      </c>
      <c r="C10006" t="s">
        <v>136</v>
      </c>
      <c r="D10006" t="str">
        <f>VLOOKUP(C10006,'lookup table'!$A$2:$B$19,2,FALSE)</f>
        <v>BBA Set</v>
      </c>
      <c r="E10006" t="str">
        <f t="shared" si="156"/>
        <v>LE223_17|BBA Set</v>
      </c>
    </row>
    <row r="10007" spans="1:5" x14ac:dyDescent="0.2">
      <c r="A10007" t="s">
        <v>2367</v>
      </c>
      <c r="B10007" t="s">
        <v>161</v>
      </c>
      <c r="C10007" t="s">
        <v>136</v>
      </c>
      <c r="D10007" t="str">
        <f>VLOOKUP(C10007,'lookup table'!$A$2:$B$19,2,FALSE)</f>
        <v>BBA Set</v>
      </c>
      <c r="E10007" t="str">
        <f t="shared" si="156"/>
        <v>LE224_17|BBA Set</v>
      </c>
    </row>
    <row r="10008" spans="1:5" x14ac:dyDescent="0.2">
      <c r="A10008" t="s">
        <v>2368</v>
      </c>
      <c r="B10008" t="s">
        <v>162</v>
      </c>
      <c r="C10008" t="s">
        <v>136</v>
      </c>
      <c r="D10008" t="str">
        <f>VLOOKUP(C10008,'lookup table'!$A$2:$B$19,2,FALSE)</f>
        <v>BBA Set</v>
      </c>
      <c r="E10008" t="str">
        <f t="shared" si="156"/>
        <v>LE225_17|BBA Set</v>
      </c>
    </row>
    <row r="10009" spans="1:5" x14ac:dyDescent="0.2">
      <c r="A10009" t="s">
        <v>2369</v>
      </c>
      <c r="B10009" t="s">
        <v>225</v>
      </c>
      <c r="C10009" t="s">
        <v>136</v>
      </c>
      <c r="D10009" t="str">
        <f>VLOOKUP(C10009,'lookup table'!$A$2:$B$19,2,FALSE)</f>
        <v>BBA Set</v>
      </c>
      <c r="E10009" t="str">
        <f t="shared" si="156"/>
        <v>LE226_17|BBA Set</v>
      </c>
    </row>
    <row r="10010" spans="1:5" x14ac:dyDescent="0.2">
      <c r="A10010" t="s">
        <v>2370</v>
      </c>
      <c r="B10010" t="s">
        <v>226</v>
      </c>
      <c r="C10010" t="s">
        <v>136</v>
      </c>
      <c r="D10010" t="str">
        <f>VLOOKUP(C10010,'lookup table'!$A$2:$B$19,2,FALSE)</f>
        <v>BBA Set</v>
      </c>
      <c r="E10010" t="str">
        <f t="shared" si="156"/>
        <v>LE227_17|BBA Set</v>
      </c>
    </row>
    <row r="10011" spans="1:5" x14ac:dyDescent="0.2">
      <c r="A10011" t="s">
        <v>2371</v>
      </c>
      <c r="B10011" t="s">
        <v>227</v>
      </c>
      <c r="C10011" t="s">
        <v>136</v>
      </c>
      <c r="D10011" t="str">
        <f>VLOOKUP(C10011,'lookup table'!$A$2:$B$19,2,FALSE)</f>
        <v>BBA Set</v>
      </c>
      <c r="E10011" t="str">
        <f t="shared" si="156"/>
        <v>LE228_17|BBA Set</v>
      </c>
    </row>
    <row r="10012" spans="1:5" x14ac:dyDescent="0.2">
      <c r="A10012" t="s">
        <v>2372</v>
      </c>
      <c r="B10012" t="s">
        <v>228</v>
      </c>
      <c r="C10012" t="s">
        <v>136</v>
      </c>
      <c r="D10012" t="str">
        <f>VLOOKUP(C10012,'lookup table'!$A$2:$B$19,2,FALSE)</f>
        <v>BBA Set</v>
      </c>
      <c r="E10012" t="str">
        <f t="shared" si="156"/>
        <v>LE229_17|BBA Set</v>
      </c>
    </row>
    <row r="10013" spans="1:5" x14ac:dyDescent="0.2">
      <c r="A10013" t="s">
        <v>2373</v>
      </c>
      <c r="B10013" t="s">
        <v>229</v>
      </c>
      <c r="C10013" t="s">
        <v>136</v>
      </c>
      <c r="D10013" t="str">
        <f>VLOOKUP(C10013,'lookup table'!$A$2:$B$19,2,FALSE)</f>
        <v>BBA Set</v>
      </c>
      <c r="E10013" t="str">
        <f t="shared" si="156"/>
        <v>LE230_17|BBA Set</v>
      </c>
    </row>
    <row r="10014" spans="1:5" x14ac:dyDescent="0.2">
      <c r="A10014" t="s">
        <v>2374</v>
      </c>
      <c r="B10014" t="s">
        <v>230</v>
      </c>
      <c r="C10014" t="s">
        <v>136</v>
      </c>
      <c r="D10014" t="str">
        <f>VLOOKUP(C10014,'lookup table'!$A$2:$B$19,2,FALSE)</f>
        <v>BBA Set</v>
      </c>
      <c r="E10014" t="str">
        <f t="shared" si="156"/>
        <v>LE231_17|BBA Set</v>
      </c>
    </row>
    <row r="10015" spans="1:5" x14ac:dyDescent="0.2">
      <c r="A10015" t="s">
        <v>2375</v>
      </c>
      <c r="B10015" t="s">
        <v>231</v>
      </c>
      <c r="C10015" t="s">
        <v>136</v>
      </c>
      <c r="D10015" t="str">
        <f>VLOOKUP(C10015,'lookup table'!$A$2:$B$19,2,FALSE)</f>
        <v>BBA Set</v>
      </c>
      <c r="E10015" t="str">
        <f t="shared" si="156"/>
        <v>LE232_17|BBA Set</v>
      </c>
    </row>
    <row r="10016" spans="1:5" x14ac:dyDescent="0.2">
      <c r="A10016" t="s">
        <v>2376</v>
      </c>
      <c r="B10016" t="s">
        <v>232</v>
      </c>
      <c r="C10016" t="s">
        <v>136</v>
      </c>
      <c r="D10016" t="str">
        <f>VLOOKUP(C10016,'lookup table'!$A$2:$B$19,2,FALSE)</f>
        <v>BBA Set</v>
      </c>
      <c r="E10016" t="str">
        <f t="shared" si="156"/>
        <v>LE233_17|BBA Set</v>
      </c>
    </row>
    <row r="10017" spans="1:5" x14ac:dyDescent="0.2">
      <c r="A10017" t="s">
        <v>2377</v>
      </c>
      <c r="B10017" t="s">
        <v>233</v>
      </c>
      <c r="C10017" t="s">
        <v>136</v>
      </c>
      <c r="D10017" t="str">
        <f>VLOOKUP(C10017,'lookup table'!$A$2:$B$19,2,FALSE)</f>
        <v>BBA Set</v>
      </c>
      <c r="E10017" t="str">
        <f t="shared" si="156"/>
        <v>LE234_17|BBA Set</v>
      </c>
    </row>
    <row r="10018" spans="1:5" x14ac:dyDescent="0.2">
      <c r="A10018" t="s">
        <v>2378</v>
      </c>
      <c r="B10018" t="s">
        <v>234</v>
      </c>
      <c r="C10018" t="s">
        <v>136</v>
      </c>
      <c r="D10018" t="str">
        <f>VLOOKUP(C10018,'lookup table'!$A$2:$B$19,2,FALSE)</f>
        <v>BBA Set</v>
      </c>
      <c r="E10018" t="str">
        <f t="shared" si="156"/>
        <v>LE235_17|BBA Set</v>
      </c>
    </row>
    <row r="10019" spans="1:5" x14ac:dyDescent="0.2">
      <c r="A10019" t="s">
        <v>2379</v>
      </c>
      <c r="B10019" t="s">
        <v>235</v>
      </c>
      <c r="C10019" t="s">
        <v>136</v>
      </c>
      <c r="D10019" t="str">
        <f>VLOOKUP(C10019,'lookup table'!$A$2:$B$19,2,FALSE)</f>
        <v>BBA Set</v>
      </c>
      <c r="E10019" t="str">
        <f t="shared" si="156"/>
        <v>LE236_17|BBA Set</v>
      </c>
    </row>
    <row r="10020" spans="1:5" x14ac:dyDescent="0.2">
      <c r="A10020" t="s">
        <v>2380</v>
      </c>
      <c r="B10020" t="s">
        <v>236</v>
      </c>
      <c r="C10020" t="s">
        <v>136</v>
      </c>
      <c r="D10020" t="str">
        <f>VLOOKUP(C10020,'lookup table'!$A$2:$B$19,2,FALSE)</f>
        <v>BBA Set</v>
      </c>
      <c r="E10020" t="str">
        <f t="shared" si="156"/>
        <v>LE237_17|BBA Set</v>
      </c>
    </row>
    <row r="10021" spans="1:5" x14ac:dyDescent="0.2">
      <c r="A10021" t="s">
        <v>2381</v>
      </c>
      <c r="B10021" t="s">
        <v>237</v>
      </c>
      <c r="C10021" t="s">
        <v>136</v>
      </c>
      <c r="D10021" t="str">
        <f>VLOOKUP(C10021,'lookup table'!$A$2:$B$19,2,FALSE)</f>
        <v>BBA Set</v>
      </c>
      <c r="E10021" t="str">
        <f t="shared" si="156"/>
        <v>LE238_17|BBA Set</v>
      </c>
    </row>
    <row r="10022" spans="1:5" x14ac:dyDescent="0.2">
      <c r="A10022" t="s">
        <v>2382</v>
      </c>
      <c r="B10022" t="s">
        <v>238</v>
      </c>
      <c r="C10022" t="s">
        <v>136</v>
      </c>
      <c r="D10022" t="str">
        <f>VLOOKUP(C10022,'lookup table'!$A$2:$B$19,2,FALSE)</f>
        <v>BBA Set</v>
      </c>
      <c r="E10022" t="str">
        <f t="shared" si="156"/>
        <v>LE239_17|BBA Set</v>
      </c>
    </row>
    <row r="10023" spans="1:5" x14ac:dyDescent="0.2">
      <c r="A10023" t="s">
        <v>2383</v>
      </c>
      <c r="B10023" t="s">
        <v>239</v>
      </c>
      <c r="C10023" t="s">
        <v>136</v>
      </c>
      <c r="D10023" t="str">
        <f>VLOOKUP(C10023,'lookup table'!$A$2:$B$19,2,FALSE)</f>
        <v>BBA Set</v>
      </c>
      <c r="E10023" t="str">
        <f t="shared" si="156"/>
        <v>LE240_17|BBA Set</v>
      </c>
    </row>
    <row r="10024" spans="1:5" x14ac:dyDescent="0.2">
      <c r="A10024" t="s">
        <v>2384</v>
      </c>
      <c r="B10024" t="s">
        <v>240</v>
      </c>
      <c r="C10024" t="s">
        <v>136</v>
      </c>
      <c r="D10024" t="str">
        <f>VLOOKUP(C10024,'lookup table'!$A$2:$B$19,2,FALSE)</f>
        <v>BBA Set</v>
      </c>
      <c r="E10024" t="str">
        <f t="shared" si="156"/>
        <v>LE241_17|BBA Set</v>
      </c>
    </row>
    <row r="10025" spans="1:5" x14ac:dyDescent="0.2">
      <c r="A10025" t="s">
        <v>2385</v>
      </c>
      <c r="B10025" t="s">
        <v>241</v>
      </c>
      <c r="C10025" t="s">
        <v>136</v>
      </c>
      <c r="D10025" t="str">
        <f>VLOOKUP(C10025,'lookup table'!$A$2:$B$19,2,FALSE)</f>
        <v>BBA Set</v>
      </c>
      <c r="E10025" t="str">
        <f t="shared" si="156"/>
        <v>LE242_17|BBA Set</v>
      </c>
    </row>
    <row r="10026" spans="1:5" x14ac:dyDescent="0.2">
      <c r="A10026" t="s">
        <v>2386</v>
      </c>
      <c r="B10026" t="s">
        <v>242</v>
      </c>
      <c r="C10026" t="s">
        <v>136</v>
      </c>
      <c r="D10026" t="str">
        <f>VLOOKUP(C10026,'lookup table'!$A$2:$B$19,2,FALSE)</f>
        <v>BBA Set</v>
      </c>
      <c r="E10026" t="str">
        <f t="shared" si="156"/>
        <v>LE243_17|BBA Set</v>
      </c>
    </row>
    <row r="10027" spans="1:5" x14ac:dyDescent="0.2">
      <c r="A10027" t="s">
        <v>2387</v>
      </c>
      <c r="B10027" t="s">
        <v>243</v>
      </c>
      <c r="C10027" t="s">
        <v>136</v>
      </c>
      <c r="D10027" t="str">
        <f>VLOOKUP(C10027,'lookup table'!$A$2:$B$19,2,FALSE)</f>
        <v>BBA Set</v>
      </c>
      <c r="E10027" t="str">
        <f t="shared" si="156"/>
        <v>LE244_17|BBA Set</v>
      </c>
    </row>
    <row r="10028" spans="1:5" x14ac:dyDescent="0.2">
      <c r="A10028" t="s">
        <v>2388</v>
      </c>
      <c r="B10028" t="s">
        <v>244</v>
      </c>
      <c r="C10028" t="s">
        <v>136</v>
      </c>
      <c r="D10028" t="str">
        <f>VLOOKUP(C10028,'lookup table'!$A$2:$B$19,2,FALSE)</f>
        <v>BBA Set</v>
      </c>
      <c r="E10028" t="str">
        <f t="shared" si="156"/>
        <v>LE245_17|BBA Set</v>
      </c>
    </row>
    <row r="10029" spans="1:5" x14ac:dyDescent="0.2">
      <c r="A10029" t="s">
        <v>2389</v>
      </c>
      <c r="B10029" t="s">
        <v>245</v>
      </c>
      <c r="C10029" t="s">
        <v>136</v>
      </c>
      <c r="D10029" t="str">
        <f>VLOOKUP(C10029,'lookup table'!$A$2:$B$19,2,FALSE)</f>
        <v>BBA Set</v>
      </c>
      <c r="E10029" t="str">
        <f t="shared" si="156"/>
        <v>LE246_17|BBA Set</v>
      </c>
    </row>
    <row r="10030" spans="1:5" x14ac:dyDescent="0.2">
      <c r="A10030" t="s">
        <v>2390</v>
      </c>
      <c r="B10030" t="s">
        <v>2391</v>
      </c>
      <c r="C10030" t="s">
        <v>428</v>
      </c>
      <c r="D10030" t="str">
        <f>VLOOKUP(C10030,'lookup table'!$A$2:$B$19,2,FALSE)</f>
        <v>LoB</v>
      </c>
      <c r="E10030" t="str">
        <f t="shared" si="156"/>
        <v>LE246_60|LoB</v>
      </c>
    </row>
    <row r="10031" spans="1:5" x14ac:dyDescent="0.2">
      <c r="A10031" t="s">
        <v>2392</v>
      </c>
      <c r="B10031" t="s">
        <v>246</v>
      </c>
      <c r="C10031" t="s">
        <v>136</v>
      </c>
      <c r="D10031" t="str">
        <f>VLOOKUP(C10031,'lookup table'!$A$2:$B$19,2,FALSE)</f>
        <v>BBA Set</v>
      </c>
      <c r="E10031" t="str">
        <f t="shared" si="156"/>
        <v>LE247_17|BBA Set</v>
      </c>
    </row>
    <row r="10032" spans="1:5" x14ac:dyDescent="0.2">
      <c r="A10032" t="s">
        <v>2393</v>
      </c>
      <c r="B10032" t="s">
        <v>2394</v>
      </c>
      <c r="C10032" t="s">
        <v>428</v>
      </c>
      <c r="D10032" t="str">
        <f>VLOOKUP(C10032,'lookup table'!$A$2:$B$19,2,FALSE)</f>
        <v>LoB</v>
      </c>
      <c r="E10032" t="str">
        <f t="shared" si="156"/>
        <v>LE247_60|LoB</v>
      </c>
    </row>
    <row r="10033" spans="1:5" x14ac:dyDescent="0.2">
      <c r="A10033" t="s">
        <v>2395</v>
      </c>
      <c r="B10033" t="s">
        <v>247</v>
      </c>
      <c r="C10033" t="s">
        <v>136</v>
      </c>
      <c r="D10033" t="str">
        <f>VLOOKUP(C10033,'lookup table'!$A$2:$B$19,2,FALSE)</f>
        <v>BBA Set</v>
      </c>
      <c r="E10033" t="str">
        <f t="shared" si="156"/>
        <v>LE248_17|BBA Set</v>
      </c>
    </row>
    <row r="10034" spans="1:5" x14ac:dyDescent="0.2">
      <c r="A10034" t="s">
        <v>2396</v>
      </c>
      <c r="B10034" t="s">
        <v>2397</v>
      </c>
      <c r="C10034" t="s">
        <v>428</v>
      </c>
      <c r="D10034" t="str">
        <f>VLOOKUP(C10034,'lookup table'!$A$2:$B$19,2,FALSE)</f>
        <v>LoB</v>
      </c>
      <c r="E10034" t="str">
        <f t="shared" si="156"/>
        <v>LE248_60|LoB</v>
      </c>
    </row>
    <row r="10035" spans="1:5" x14ac:dyDescent="0.2">
      <c r="A10035" t="s">
        <v>2398</v>
      </c>
      <c r="B10035" t="s">
        <v>248</v>
      </c>
      <c r="C10035" t="s">
        <v>136</v>
      </c>
      <c r="D10035" t="str">
        <f>VLOOKUP(C10035,'lookup table'!$A$2:$B$19,2,FALSE)</f>
        <v>BBA Set</v>
      </c>
      <c r="E10035" t="str">
        <f t="shared" si="156"/>
        <v>LE249_17|BBA Set</v>
      </c>
    </row>
    <row r="10036" spans="1:5" x14ac:dyDescent="0.2">
      <c r="A10036" t="s">
        <v>2399</v>
      </c>
      <c r="B10036" t="s">
        <v>2400</v>
      </c>
      <c r="C10036" t="s">
        <v>428</v>
      </c>
      <c r="D10036" t="str">
        <f>VLOOKUP(C10036,'lookup table'!$A$2:$B$19,2,FALSE)</f>
        <v>LoB</v>
      </c>
      <c r="E10036" t="str">
        <f t="shared" si="156"/>
        <v>LE249_60|LoB</v>
      </c>
    </row>
    <row r="10037" spans="1:5" x14ac:dyDescent="0.2">
      <c r="A10037" t="s">
        <v>2401</v>
      </c>
      <c r="B10037" t="s">
        <v>249</v>
      </c>
      <c r="C10037" t="s">
        <v>136</v>
      </c>
      <c r="D10037" t="str">
        <f>VLOOKUP(C10037,'lookup table'!$A$2:$B$19,2,FALSE)</f>
        <v>BBA Set</v>
      </c>
      <c r="E10037" t="str">
        <f t="shared" si="156"/>
        <v>LE250_17|BBA Set</v>
      </c>
    </row>
    <row r="10038" spans="1:5" x14ac:dyDescent="0.2">
      <c r="A10038" t="s">
        <v>2402</v>
      </c>
      <c r="B10038" t="s">
        <v>2403</v>
      </c>
      <c r="C10038" t="s">
        <v>20</v>
      </c>
      <c r="D10038" t="str">
        <f>VLOOKUP(C10038,'lookup table'!$A$2:$B$19,2,FALSE)</f>
        <v>AY</v>
      </c>
      <c r="E10038" t="str">
        <f t="shared" si="156"/>
        <v>LE250_60|AY</v>
      </c>
    </row>
    <row r="10039" spans="1:5" x14ac:dyDescent="0.2">
      <c r="A10039" t="s">
        <v>2402</v>
      </c>
      <c r="B10039" t="s">
        <v>2403</v>
      </c>
      <c r="C10039" t="s">
        <v>428</v>
      </c>
      <c r="D10039" t="str">
        <f>VLOOKUP(C10039,'lookup table'!$A$2:$B$19,2,FALSE)</f>
        <v>LoB</v>
      </c>
      <c r="E10039" t="str">
        <f t="shared" si="156"/>
        <v>LE250_60|LoB</v>
      </c>
    </row>
    <row r="10040" spans="1:5" x14ac:dyDescent="0.2">
      <c r="A10040" t="s">
        <v>2404</v>
      </c>
      <c r="B10040" t="s">
        <v>250</v>
      </c>
      <c r="C10040" t="s">
        <v>136</v>
      </c>
      <c r="D10040" t="str">
        <f>VLOOKUP(C10040,'lookup table'!$A$2:$B$19,2,FALSE)</f>
        <v>BBA Set</v>
      </c>
      <c r="E10040" t="str">
        <f t="shared" si="156"/>
        <v>LE251_17|BBA Set</v>
      </c>
    </row>
    <row r="10041" spans="1:5" x14ac:dyDescent="0.2">
      <c r="A10041" t="s">
        <v>2405</v>
      </c>
      <c r="B10041" t="s">
        <v>2406</v>
      </c>
      <c r="C10041" t="s">
        <v>20</v>
      </c>
      <c r="D10041" t="str">
        <f>VLOOKUP(C10041,'lookup table'!$A$2:$B$19,2,FALSE)</f>
        <v>AY</v>
      </c>
      <c r="E10041" t="str">
        <f t="shared" si="156"/>
        <v>LE251_60|AY</v>
      </c>
    </row>
    <row r="10042" spans="1:5" x14ac:dyDescent="0.2">
      <c r="A10042" t="s">
        <v>2405</v>
      </c>
      <c r="B10042" t="s">
        <v>2406</v>
      </c>
      <c r="C10042" t="s">
        <v>428</v>
      </c>
      <c r="D10042" t="str">
        <f>VLOOKUP(C10042,'lookup table'!$A$2:$B$19,2,FALSE)</f>
        <v>LoB</v>
      </c>
      <c r="E10042" t="str">
        <f t="shared" si="156"/>
        <v>LE251_60|LoB</v>
      </c>
    </row>
    <row r="10043" spans="1:5" x14ac:dyDescent="0.2">
      <c r="A10043" t="s">
        <v>2407</v>
      </c>
      <c r="B10043" t="s">
        <v>251</v>
      </c>
      <c r="C10043" t="s">
        <v>136</v>
      </c>
      <c r="D10043" t="str">
        <f>VLOOKUP(C10043,'lookup table'!$A$2:$B$19,2,FALSE)</f>
        <v>BBA Set</v>
      </c>
      <c r="E10043" t="str">
        <f t="shared" si="156"/>
        <v>LE252_17|BBA Set</v>
      </c>
    </row>
    <row r="10044" spans="1:5" x14ac:dyDescent="0.2">
      <c r="A10044" t="s">
        <v>2408</v>
      </c>
      <c r="B10044" t="s">
        <v>2409</v>
      </c>
      <c r="C10044" t="s">
        <v>20</v>
      </c>
      <c r="D10044" t="str">
        <f>VLOOKUP(C10044,'lookup table'!$A$2:$B$19,2,FALSE)</f>
        <v>AY</v>
      </c>
      <c r="E10044" t="str">
        <f t="shared" si="156"/>
        <v>LE252_60|AY</v>
      </c>
    </row>
    <row r="10045" spans="1:5" x14ac:dyDescent="0.2">
      <c r="A10045" t="s">
        <v>2408</v>
      </c>
      <c r="B10045" t="s">
        <v>2409</v>
      </c>
      <c r="C10045" t="s">
        <v>428</v>
      </c>
      <c r="D10045" t="str">
        <f>VLOOKUP(C10045,'lookup table'!$A$2:$B$19,2,FALSE)</f>
        <v>LoB</v>
      </c>
      <c r="E10045" t="str">
        <f t="shared" si="156"/>
        <v>LE252_60|LoB</v>
      </c>
    </row>
    <row r="10046" spans="1:5" x14ac:dyDescent="0.2">
      <c r="A10046" t="s">
        <v>2410</v>
      </c>
      <c r="B10046" t="s">
        <v>252</v>
      </c>
      <c r="C10046" t="s">
        <v>136</v>
      </c>
      <c r="D10046" t="str">
        <f>VLOOKUP(C10046,'lookup table'!$A$2:$B$19,2,FALSE)</f>
        <v>BBA Set</v>
      </c>
      <c r="E10046" t="str">
        <f t="shared" si="156"/>
        <v>LE253_17|BBA Set</v>
      </c>
    </row>
    <row r="10047" spans="1:5" x14ac:dyDescent="0.2">
      <c r="A10047" t="s">
        <v>2411</v>
      </c>
      <c r="B10047" t="s">
        <v>2412</v>
      </c>
      <c r="C10047" t="s">
        <v>428</v>
      </c>
      <c r="D10047" t="str">
        <f>VLOOKUP(C10047,'lookup table'!$A$2:$B$19,2,FALSE)</f>
        <v>LoB</v>
      </c>
      <c r="E10047" t="str">
        <f t="shared" si="156"/>
        <v>LE253_60|LoB</v>
      </c>
    </row>
    <row r="10048" spans="1:5" x14ac:dyDescent="0.2">
      <c r="A10048" t="s">
        <v>2413</v>
      </c>
      <c r="B10048" t="s">
        <v>253</v>
      </c>
      <c r="C10048" t="s">
        <v>136</v>
      </c>
      <c r="D10048" t="str">
        <f>VLOOKUP(C10048,'lookup table'!$A$2:$B$19,2,FALSE)</f>
        <v>BBA Set</v>
      </c>
      <c r="E10048" t="str">
        <f t="shared" si="156"/>
        <v>LE254_17|BBA Set</v>
      </c>
    </row>
    <row r="10049" spans="1:5" x14ac:dyDescent="0.2">
      <c r="A10049" t="s">
        <v>2414</v>
      </c>
      <c r="B10049" t="s">
        <v>2415</v>
      </c>
      <c r="C10049" t="s">
        <v>428</v>
      </c>
      <c r="D10049" t="str">
        <f>VLOOKUP(C10049,'lookup table'!$A$2:$B$19,2,FALSE)</f>
        <v>LoB</v>
      </c>
      <c r="E10049" t="str">
        <f t="shared" si="156"/>
        <v>LE254_60|LoB</v>
      </c>
    </row>
    <row r="10050" spans="1:5" x14ac:dyDescent="0.2">
      <c r="A10050" t="s">
        <v>2416</v>
      </c>
      <c r="B10050" t="s">
        <v>254</v>
      </c>
      <c r="C10050" t="s">
        <v>136</v>
      </c>
      <c r="D10050" t="str">
        <f>VLOOKUP(C10050,'lookup table'!$A$2:$B$19,2,FALSE)</f>
        <v>BBA Set</v>
      </c>
      <c r="E10050" t="str">
        <f t="shared" si="156"/>
        <v>LE255_17|BBA Set</v>
      </c>
    </row>
    <row r="10051" spans="1:5" x14ac:dyDescent="0.2">
      <c r="A10051" t="s">
        <v>2417</v>
      </c>
      <c r="B10051" t="s">
        <v>2418</v>
      </c>
      <c r="C10051" t="s">
        <v>428</v>
      </c>
      <c r="D10051" t="str">
        <f>VLOOKUP(C10051,'lookup table'!$A$2:$B$19,2,FALSE)</f>
        <v>LoB</v>
      </c>
      <c r="E10051" t="str">
        <f t="shared" ref="E10051:E10114" si="157">IF(ISNA(D10051),"",IF(A10051="","",A10051) &amp; "|" &amp; D10051)</f>
        <v>LE255_60|LoB</v>
      </c>
    </row>
    <row r="10052" spans="1:5" x14ac:dyDescent="0.2">
      <c r="A10052" t="s">
        <v>2419</v>
      </c>
      <c r="B10052" t="s">
        <v>255</v>
      </c>
      <c r="C10052" t="s">
        <v>136</v>
      </c>
      <c r="D10052" t="str">
        <f>VLOOKUP(C10052,'lookup table'!$A$2:$B$19,2,FALSE)</f>
        <v>BBA Set</v>
      </c>
      <c r="E10052" t="str">
        <f t="shared" si="157"/>
        <v>LE256_17|BBA Set</v>
      </c>
    </row>
    <row r="10053" spans="1:5" x14ac:dyDescent="0.2">
      <c r="A10053" t="s">
        <v>2420</v>
      </c>
      <c r="B10053" t="s">
        <v>2421</v>
      </c>
      <c r="C10053" t="s">
        <v>428</v>
      </c>
      <c r="D10053" t="str">
        <f>VLOOKUP(C10053,'lookup table'!$A$2:$B$19,2,FALSE)</f>
        <v>LoB</v>
      </c>
      <c r="E10053" t="str">
        <f t="shared" si="157"/>
        <v>LE256_60|LoB</v>
      </c>
    </row>
    <row r="10054" spans="1:5" x14ac:dyDescent="0.2">
      <c r="A10054" t="s">
        <v>2422</v>
      </c>
      <c r="B10054" t="s">
        <v>256</v>
      </c>
      <c r="C10054" t="s">
        <v>136</v>
      </c>
      <c r="D10054" t="str">
        <f>VLOOKUP(C10054,'lookup table'!$A$2:$B$19,2,FALSE)</f>
        <v>BBA Set</v>
      </c>
      <c r="E10054" t="str">
        <f t="shared" si="157"/>
        <v>LE257_17|BBA Set</v>
      </c>
    </row>
    <row r="10055" spans="1:5" x14ac:dyDescent="0.2">
      <c r="A10055" t="s">
        <v>2423</v>
      </c>
      <c r="B10055" t="s">
        <v>2424</v>
      </c>
      <c r="C10055" t="s">
        <v>428</v>
      </c>
      <c r="D10055" t="str">
        <f>VLOOKUP(C10055,'lookup table'!$A$2:$B$19,2,FALSE)</f>
        <v>LoB</v>
      </c>
      <c r="E10055" t="str">
        <f t="shared" si="157"/>
        <v>LE257_60|LoB</v>
      </c>
    </row>
    <row r="10056" spans="1:5" x14ac:dyDescent="0.2">
      <c r="A10056" t="s">
        <v>2425</v>
      </c>
      <c r="B10056" t="s">
        <v>256</v>
      </c>
      <c r="C10056" t="s">
        <v>136</v>
      </c>
      <c r="D10056" t="str">
        <f>VLOOKUP(C10056,'lookup table'!$A$2:$B$19,2,FALSE)</f>
        <v>BBA Set</v>
      </c>
      <c r="E10056" t="str">
        <f t="shared" si="157"/>
        <v>LE258_17|BBA Set</v>
      </c>
    </row>
    <row r="10057" spans="1:5" x14ac:dyDescent="0.2">
      <c r="A10057" t="s">
        <v>2426</v>
      </c>
      <c r="B10057" t="s">
        <v>257</v>
      </c>
      <c r="C10057" t="s">
        <v>136</v>
      </c>
      <c r="D10057" t="str">
        <f>VLOOKUP(C10057,'lookup table'!$A$2:$B$19,2,FALSE)</f>
        <v>BBA Set</v>
      </c>
      <c r="E10057" t="str">
        <f t="shared" si="157"/>
        <v>LE259_17|BBA Set</v>
      </c>
    </row>
    <row r="10058" spans="1:5" x14ac:dyDescent="0.2">
      <c r="A10058" t="s">
        <v>2427</v>
      </c>
      <c r="B10058" t="s">
        <v>258</v>
      </c>
      <c r="C10058" t="s">
        <v>136</v>
      </c>
      <c r="D10058" t="str">
        <f>VLOOKUP(C10058,'lookup table'!$A$2:$B$19,2,FALSE)</f>
        <v>BBA Set</v>
      </c>
      <c r="E10058" t="str">
        <f t="shared" si="157"/>
        <v>LE260_17|BBA Set</v>
      </c>
    </row>
    <row r="10059" spans="1:5" x14ac:dyDescent="0.2">
      <c r="A10059" t="s">
        <v>2428</v>
      </c>
      <c r="B10059" t="s">
        <v>259</v>
      </c>
      <c r="C10059" t="s">
        <v>136</v>
      </c>
      <c r="D10059" t="str">
        <f>VLOOKUP(C10059,'lookup table'!$A$2:$B$19,2,FALSE)</f>
        <v>BBA Set</v>
      </c>
      <c r="E10059" t="str">
        <f t="shared" si="157"/>
        <v>LE261_17|BBA Set</v>
      </c>
    </row>
    <row r="10060" spans="1:5" x14ac:dyDescent="0.2">
      <c r="A10060" t="s">
        <v>2429</v>
      </c>
      <c r="B10060" t="s">
        <v>260</v>
      </c>
      <c r="C10060" t="s">
        <v>136</v>
      </c>
      <c r="D10060" t="str">
        <f>VLOOKUP(C10060,'lookup table'!$A$2:$B$19,2,FALSE)</f>
        <v>BBA Set</v>
      </c>
      <c r="E10060" t="str">
        <f t="shared" si="157"/>
        <v>LE262_17|BBA Set</v>
      </c>
    </row>
    <row r="10061" spans="1:5" x14ac:dyDescent="0.2">
      <c r="A10061" t="s">
        <v>2430</v>
      </c>
      <c r="B10061" t="s">
        <v>261</v>
      </c>
      <c r="C10061" t="s">
        <v>136</v>
      </c>
      <c r="D10061" t="str">
        <f>VLOOKUP(C10061,'lookup table'!$A$2:$B$19,2,FALSE)</f>
        <v>BBA Set</v>
      </c>
      <c r="E10061" t="str">
        <f t="shared" si="157"/>
        <v>LE263_17|BBA Set</v>
      </c>
    </row>
    <row r="10062" spans="1:5" x14ac:dyDescent="0.2">
      <c r="A10062" t="s">
        <v>2431</v>
      </c>
      <c r="B10062" t="s">
        <v>2432</v>
      </c>
      <c r="C10062" t="s">
        <v>136</v>
      </c>
      <c r="D10062" t="str">
        <f>VLOOKUP(C10062,'lookup table'!$A$2:$B$19,2,FALSE)</f>
        <v>BBA Set</v>
      </c>
      <c r="E10062" t="str">
        <f t="shared" si="157"/>
        <v>LE264_17|BBA Set</v>
      </c>
    </row>
    <row r="10063" spans="1:5" x14ac:dyDescent="0.2">
      <c r="A10063" t="s">
        <v>2433</v>
      </c>
      <c r="B10063" t="s">
        <v>263</v>
      </c>
      <c r="C10063" t="s">
        <v>136</v>
      </c>
      <c r="D10063" t="str">
        <f>VLOOKUP(C10063,'lookup table'!$A$2:$B$19,2,FALSE)</f>
        <v>BBA Set</v>
      </c>
      <c r="E10063" t="str">
        <f t="shared" si="157"/>
        <v>LE265_17|BBA Set</v>
      </c>
    </row>
    <row r="10064" spans="1:5" x14ac:dyDescent="0.2">
      <c r="A10064" t="s">
        <v>2434</v>
      </c>
      <c r="B10064" t="s">
        <v>264</v>
      </c>
      <c r="C10064" t="s">
        <v>136</v>
      </c>
      <c r="D10064" t="str">
        <f>VLOOKUP(C10064,'lookup table'!$A$2:$B$19,2,FALSE)</f>
        <v>BBA Set</v>
      </c>
      <c r="E10064" t="str">
        <f t="shared" si="157"/>
        <v>LE266_17|BBA Set</v>
      </c>
    </row>
    <row r="10065" spans="1:5" x14ac:dyDescent="0.2">
      <c r="A10065" t="s">
        <v>2435</v>
      </c>
      <c r="B10065" t="s">
        <v>265</v>
      </c>
      <c r="C10065" t="s">
        <v>136</v>
      </c>
      <c r="D10065" t="str">
        <f>VLOOKUP(C10065,'lookup table'!$A$2:$B$19,2,FALSE)</f>
        <v>BBA Set</v>
      </c>
      <c r="E10065" t="str">
        <f t="shared" si="157"/>
        <v>LE267_17|BBA Set</v>
      </c>
    </row>
    <row r="10066" spans="1:5" x14ac:dyDescent="0.2">
      <c r="A10066" t="s">
        <v>2436</v>
      </c>
      <c r="B10066" t="s">
        <v>266</v>
      </c>
      <c r="C10066" t="s">
        <v>136</v>
      </c>
      <c r="D10066" t="str">
        <f>VLOOKUP(C10066,'lookup table'!$A$2:$B$19,2,FALSE)</f>
        <v>BBA Set</v>
      </c>
      <c r="E10066" t="str">
        <f t="shared" si="157"/>
        <v>LE268_17|BBA Set</v>
      </c>
    </row>
    <row r="10067" spans="1:5" x14ac:dyDescent="0.2">
      <c r="A10067" t="s">
        <v>2437</v>
      </c>
      <c r="B10067" t="s">
        <v>267</v>
      </c>
      <c r="C10067" t="s">
        <v>136</v>
      </c>
      <c r="D10067" t="str">
        <f>VLOOKUP(C10067,'lookup table'!$A$2:$B$19,2,FALSE)</f>
        <v>BBA Set</v>
      </c>
      <c r="E10067" t="str">
        <f t="shared" si="157"/>
        <v>LE269_17|BBA Set</v>
      </c>
    </row>
    <row r="10068" spans="1:5" x14ac:dyDescent="0.2">
      <c r="A10068" t="s">
        <v>2438</v>
      </c>
      <c r="B10068" t="s">
        <v>268</v>
      </c>
      <c r="C10068" t="s">
        <v>136</v>
      </c>
      <c r="D10068" t="str">
        <f>VLOOKUP(C10068,'lookup table'!$A$2:$B$19,2,FALSE)</f>
        <v>BBA Set</v>
      </c>
      <c r="E10068" t="str">
        <f t="shared" si="157"/>
        <v>LE270_17|BBA Set</v>
      </c>
    </row>
    <row r="10069" spans="1:5" x14ac:dyDescent="0.2">
      <c r="A10069" t="s">
        <v>2439</v>
      </c>
      <c r="B10069" t="s">
        <v>269</v>
      </c>
      <c r="C10069" t="s">
        <v>136</v>
      </c>
      <c r="D10069" t="str">
        <f>VLOOKUP(C10069,'lookup table'!$A$2:$B$19,2,FALSE)</f>
        <v>BBA Set</v>
      </c>
      <c r="E10069" t="str">
        <f t="shared" si="157"/>
        <v>LE271_17|BBA Set</v>
      </c>
    </row>
    <row r="10070" spans="1:5" x14ac:dyDescent="0.2">
      <c r="A10070" t="s">
        <v>2440</v>
      </c>
      <c r="B10070" t="s">
        <v>270</v>
      </c>
      <c r="C10070" t="s">
        <v>136</v>
      </c>
      <c r="D10070" t="str">
        <f>VLOOKUP(C10070,'lookup table'!$A$2:$B$19,2,FALSE)</f>
        <v>BBA Set</v>
      </c>
      <c r="E10070" t="str">
        <f t="shared" si="157"/>
        <v>LE272_17|BBA Set</v>
      </c>
    </row>
    <row r="10071" spans="1:5" x14ac:dyDescent="0.2">
      <c r="A10071" t="s">
        <v>2441</v>
      </c>
      <c r="B10071" t="s">
        <v>271</v>
      </c>
      <c r="C10071" t="s">
        <v>136</v>
      </c>
      <c r="D10071" t="str">
        <f>VLOOKUP(C10071,'lookup table'!$A$2:$B$19,2,FALSE)</f>
        <v>BBA Set</v>
      </c>
      <c r="E10071" t="str">
        <f t="shared" si="157"/>
        <v>LE273_17|BBA Set</v>
      </c>
    </row>
    <row r="10072" spans="1:5" x14ac:dyDescent="0.2">
      <c r="A10072" t="s">
        <v>2442</v>
      </c>
      <c r="B10072" t="s">
        <v>272</v>
      </c>
      <c r="C10072" t="s">
        <v>136</v>
      </c>
      <c r="D10072" t="str">
        <f>VLOOKUP(C10072,'lookup table'!$A$2:$B$19,2,FALSE)</f>
        <v>BBA Set</v>
      </c>
      <c r="E10072" t="str">
        <f t="shared" si="157"/>
        <v>LE274_17|BBA Set</v>
      </c>
    </row>
    <row r="10073" spans="1:5" x14ac:dyDescent="0.2">
      <c r="A10073" t="s">
        <v>2443</v>
      </c>
      <c r="B10073" t="s">
        <v>273</v>
      </c>
      <c r="C10073" t="s">
        <v>136</v>
      </c>
      <c r="D10073" t="str">
        <f>VLOOKUP(C10073,'lookup table'!$A$2:$B$19,2,FALSE)</f>
        <v>BBA Set</v>
      </c>
      <c r="E10073" t="str">
        <f t="shared" si="157"/>
        <v>LE275_17|BBA Set</v>
      </c>
    </row>
    <row r="10074" spans="1:5" x14ac:dyDescent="0.2">
      <c r="A10074" t="s">
        <v>2444</v>
      </c>
      <c r="B10074" t="s">
        <v>274</v>
      </c>
      <c r="C10074" t="s">
        <v>136</v>
      </c>
      <c r="D10074" t="str">
        <f>VLOOKUP(C10074,'lookup table'!$A$2:$B$19,2,FALSE)</f>
        <v>BBA Set</v>
      </c>
      <c r="E10074" t="str">
        <f t="shared" si="157"/>
        <v>LE276_17|BBA Set</v>
      </c>
    </row>
    <row r="10075" spans="1:5" x14ac:dyDescent="0.2">
      <c r="A10075" t="s">
        <v>2445</v>
      </c>
      <c r="B10075" t="s">
        <v>275</v>
      </c>
      <c r="C10075" t="s">
        <v>136</v>
      </c>
      <c r="D10075" t="str">
        <f>VLOOKUP(C10075,'lookup table'!$A$2:$B$19,2,FALSE)</f>
        <v>BBA Set</v>
      </c>
      <c r="E10075" t="str">
        <f t="shared" si="157"/>
        <v>LE277_17|BBA Set</v>
      </c>
    </row>
    <row r="10076" spans="1:5" x14ac:dyDescent="0.2">
      <c r="A10076" t="s">
        <v>2446</v>
      </c>
      <c r="B10076" t="s">
        <v>276</v>
      </c>
      <c r="C10076" t="s">
        <v>136</v>
      </c>
      <c r="D10076" t="str">
        <f>VLOOKUP(C10076,'lookup table'!$A$2:$B$19,2,FALSE)</f>
        <v>BBA Set</v>
      </c>
      <c r="E10076" t="str">
        <f t="shared" si="157"/>
        <v>LE278_17|BBA Set</v>
      </c>
    </row>
    <row r="10077" spans="1:5" x14ac:dyDescent="0.2">
      <c r="A10077" t="s">
        <v>2447</v>
      </c>
      <c r="B10077" t="s">
        <v>277</v>
      </c>
      <c r="C10077" t="s">
        <v>136</v>
      </c>
      <c r="D10077" t="str">
        <f>VLOOKUP(C10077,'lookup table'!$A$2:$B$19,2,FALSE)</f>
        <v>BBA Set</v>
      </c>
      <c r="E10077" t="str">
        <f t="shared" si="157"/>
        <v>LE279_17|BBA Set</v>
      </c>
    </row>
    <row r="10078" spans="1:5" x14ac:dyDescent="0.2">
      <c r="A10078" t="s">
        <v>2448</v>
      </c>
      <c r="B10078" t="s">
        <v>278</v>
      </c>
      <c r="C10078" t="s">
        <v>136</v>
      </c>
      <c r="D10078" t="str">
        <f>VLOOKUP(C10078,'lookup table'!$A$2:$B$19,2,FALSE)</f>
        <v>BBA Set</v>
      </c>
      <c r="E10078" t="str">
        <f t="shared" si="157"/>
        <v>LE280_17|BBA Set</v>
      </c>
    </row>
    <row r="10079" spans="1:5" x14ac:dyDescent="0.2">
      <c r="A10079" t="s">
        <v>2449</v>
      </c>
      <c r="B10079" t="s">
        <v>279</v>
      </c>
      <c r="C10079" t="s">
        <v>136</v>
      </c>
      <c r="D10079" t="str">
        <f>VLOOKUP(C10079,'lookup table'!$A$2:$B$19,2,FALSE)</f>
        <v>BBA Set</v>
      </c>
      <c r="E10079" t="str">
        <f t="shared" si="157"/>
        <v>LE281_17|BBA Set</v>
      </c>
    </row>
    <row r="10080" spans="1:5" x14ac:dyDescent="0.2">
      <c r="A10080" t="s">
        <v>2450</v>
      </c>
      <c r="B10080" t="s">
        <v>280</v>
      </c>
      <c r="C10080" t="s">
        <v>136</v>
      </c>
      <c r="D10080" t="str">
        <f>VLOOKUP(C10080,'lookup table'!$A$2:$B$19,2,FALSE)</f>
        <v>BBA Set</v>
      </c>
      <c r="E10080" t="str">
        <f t="shared" si="157"/>
        <v>LE282_17|BBA Set</v>
      </c>
    </row>
    <row r="10081" spans="1:5" x14ac:dyDescent="0.2">
      <c r="A10081" t="s">
        <v>2451</v>
      </c>
      <c r="B10081" t="s">
        <v>281</v>
      </c>
      <c r="C10081" t="s">
        <v>136</v>
      </c>
      <c r="D10081" t="str">
        <f>VLOOKUP(C10081,'lookup table'!$A$2:$B$19,2,FALSE)</f>
        <v>BBA Set</v>
      </c>
      <c r="E10081" t="str">
        <f t="shared" si="157"/>
        <v>LE283_17|BBA Set</v>
      </c>
    </row>
    <row r="10082" spans="1:5" x14ac:dyDescent="0.2">
      <c r="A10082" t="s">
        <v>2452</v>
      </c>
      <c r="B10082" t="s">
        <v>282</v>
      </c>
      <c r="C10082" t="s">
        <v>136</v>
      </c>
      <c r="D10082" t="str">
        <f>VLOOKUP(C10082,'lookup table'!$A$2:$B$19,2,FALSE)</f>
        <v>BBA Set</v>
      </c>
      <c r="E10082" t="str">
        <f t="shared" si="157"/>
        <v>LE284_17|BBA Set</v>
      </c>
    </row>
    <row r="10083" spans="1:5" x14ac:dyDescent="0.2">
      <c r="A10083" t="s">
        <v>2453</v>
      </c>
      <c r="B10083" t="s">
        <v>282</v>
      </c>
      <c r="C10083" t="s">
        <v>136</v>
      </c>
      <c r="D10083" t="str">
        <f>VLOOKUP(C10083,'lookup table'!$A$2:$B$19,2,FALSE)</f>
        <v>BBA Set</v>
      </c>
      <c r="E10083" t="str">
        <f t="shared" si="157"/>
        <v>LE285_17|BBA Set</v>
      </c>
    </row>
    <row r="10084" spans="1:5" x14ac:dyDescent="0.2">
      <c r="A10084" t="s">
        <v>2454</v>
      </c>
      <c r="B10084" t="s">
        <v>163</v>
      </c>
      <c r="C10084" t="s">
        <v>136</v>
      </c>
      <c r="D10084" t="str">
        <f>VLOOKUP(C10084,'lookup table'!$A$2:$B$19,2,FALSE)</f>
        <v>BBA Set</v>
      </c>
      <c r="E10084" t="str">
        <f t="shared" si="157"/>
        <v>LE290_17|BBA Set</v>
      </c>
    </row>
    <row r="10085" spans="1:5" x14ac:dyDescent="0.2">
      <c r="A10085" t="s">
        <v>2455</v>
      </c>
      <c r="B10085" t="s">
        <v>164</v>
      </c>
      <c r="C10085" t="s">
        <v>136</v>
      </c>
      <c r="D10085" t="str">
        <f>VLOOKUP(C10085,'lookup table'!$A$2:$B$19,2,FALSE)</f>
        <v>BBA Set</v>
      </c>
      <c r="E10085" t="str">
        <f t="shared" si="157"/>
        <v>LE291_17|BBA Set</v>
      </c>
    </row>
    <row r="10086" spans="1:5" x14ac:dyDescent="0.2">
      <c r="A10086" t="s">
        <v>2456</v>
      </c>
      <c r="B10086" t="s">
        <v>165</v>
      </c>
      <c r="C10086" t="s">
        <v>136</v>
      </c>
      <c r="D10086" t="str">
        <f>VLOOKUP(C10086,'lookup table'!$A$2:$B$19,2,FALSE)</f>
        <v>BBA Set</v>
      </c>
      <c r="E10086" t="str">
        <f t="shared" si="157"/>
        <v>LE292_17|BBA Set</v>
      </c>
    </row>
    <row r="10087" spans="1:5" x14ac:dyDescent="0.2">
      <c r="A10087" t="s">
        <v>2457</v>
      </c>
      <c r="B10087" t="s">
        <v>380</v>
      </c>
      <c r="C10087" t="s">
        <v>331</v>
      </c>
      <c r="D10087" t="str">
        <f>VLOOKUP(C10087,'lookup table'!$A$2:$B$19,2,FALSE)</f>
        <v>FS Item</v>
      </c>
      <c r="E10087" t="str">
        <f t="shared" si="157"/>
        <v>LE293_17|FS Item</v>
      </c>
    </row>
    <row r="10088" spans="1:5" x14ac:dyDescent="0.2">
      <c r="A10088" t="s">
        <v>2457</v>
      </c>
      <c r="B10088" t="s">
        <v>380</v>
      </c>
      <c r="C10088" t="s">
        <v>423</v>
      </c>
      <c r="D10088" t="str">
        <f>VLOOKUP(C10088,'lookup table'!$A$2:$B$19,2,FALSE)</f>
        <v>ignore</v>
      </c>
      <c r="E10088" t="str">
        <f t="shared" si="157"/>
        <v>LE293_17|ignore</v>
      </c>
    </row>
    <row r="10089" spans="1:5" x14ac:dyDescent="0.2">
      <c r="A10089" t="s">
        <v>2458</v>
      </c>
      <c r="B10089" t="s">
        <v>215</v>
      </c>
      <c r="C10089" t="s">
        <v>136</v>
      </c>
      <c r="D10089" t="str">
        <f>VLOOKUP(C10089,'lookup table'!$A$2:$B$19,2,FALSE)</f>
        <v>BBA Set</v>
      </c>
      <c r="E10089" t="str">
        <f t="shared" si="157"/>
        <v>LE296_17|BBA Set</v>
      </c>
    </row>
    <row r="10090" spans="1:5" x14ac:dyDescent="0.2">
      <c r="A10090" t="s">
        <v>2459</v>
      </c>
      <c r="B10090" t="s">
        <v>2460</v>
      </c>
      <c r="C10090" t="s">
        <v>136</v>
      </c>
      <c r="D10090" t="str">
        <f>VLOOKUP(C10090,'lookup table'!$A$2:$B$19,2,FALSE)</f>
        <v>BBA Set</v>
      </c>
      <c r="E10090" t="str">
        <f t="shared" si="157"/>
        <v>LE297_17|BBA Set</v>
      </c>
    </row>
    <row r="10091" spans="1:5" x14ac:dyDescent="0.2">
      <c r="A10091" t="s">
        <v>2461</v>
      </c>
      <c r="B10091" t="s">
        <v>2462</v>
      </c>
      <c r="C10091" t="s">
        <v>136</v>
      </c>
      <c r="D10091" t="str">
        <f>VLOOKUP(C10091,'lookup table'!$A$2:$B$19,2,FALSE)</f>
        <v>BBA Set</v>
      </c>
      <c r="E10091" t="str">
        <f t="shared" si="157"/>
        <v>LE298_17|BBA Set</v>
      </c>
    </row>
    <row r="10092" spans="1:5" x14ac:dyDescent="0.2">
      <c r="A10092" t="s">
        <v>2463</v>
      </c>
      <c r="B10092" t="s">
        <v>152</v>
      </c>
      <c r="C10092" t="s">
        <v>136</v>
      </c>
      <c r="D10092" t="str">
        <f>VLOOKUP(C10092,'lookup table'!$A$2:$B$19,2,FALSE)</f>
        <v>BBA Set</v>
      </c>
      <c r="E10092" t="str">
        <f t="shared" si="157"/>
        <v>LE305_17|BBA Set</v>
      </c>
    </row>
    <row r="10093" spans="1:5" x14ac:dyDescent="0.2">
      <c r="A10093" t="s">
        <v>2464</v>
      </c>
      <c r="B10093" t="s">
        <v>153</v>
      </c>
      <c r="C10093" t="s">
        <v>136</v>
      </c>
      <c r="D10093" t="str">
        <f>VLOOKUP(C10093,'lookup table'!$A$2:$B$19,2,FALSE)</f>
        <v>BBA Set</v>
      </c>
      <c r="E10093" t="str">
        <f t="shared" si="157"/>
        <v>LE306_17|BBA Set</v>
      </c>
    </row>
    <row r="10094" spans="1:5" x14ac:dyDescent="0.2">
      <c r="A10094" t="s">
        <v>2465</v>
      </c>
      <c r="B10094" t="s">
        <v>135</v>
      </c>
      <c r="C10094" t="s">
        <v>136</v>
      </c>
      <c r="D10094" t="str">
        <f>VLOOKUP(C10094,'lookup table'!$A$2:$B$19,2,FALSE)</f>
        <v>BBA Set</v>
      </c>
      <c r="E10094" t="str">
        <f t="shared" si="157"/>
        <v>LE307_17|BBA Set</v>
      </c>
    </row>
    <row r="10095" spans="1:5" x14ac:dyDescent="0.2">
      <c r="A10095" t="s">
        <v>2466</v>
      </c>
      <c r="B10095" t="s">
        <v>142</v>
      </c>
      <c r="C10095" t="s">
        <v>136</v>
      </c>
      <c r="D10095" t="str">
        <f>VLOOKUP(C10095,'lookup table'!$A$2:$B$19,2,FALSE)</f>
        <v>BBA Set</v>
      </c>
      <c r="E10095" t="str">
        <f t="shared" si="157"/>
        <v>LE308_17|BBA Set</v>
      </c>
    </row>
    <row r="10096" spans="1:5" x14ac:dyDescent="0.2">
      <c r="A10096" t="s">
        <v>2467</v>
      </c>
      <c r="B10096" t="s">
        <v>143</v>
      </c>
      <c r="C10096" t="s">
        <v>136</v>
      </c>
      <c r="D10096" t="str">
        <f>VLOOKUP(C10096,'lookup table'!$A$2:$B$19,2,FALSE)</f>
        <v>BBA Set</v>
      </c>
      <c r="E10096" t="str">
        <f t="shared" si="157"/>
        <v>LE309_17|BBA Set</v>
      </c>
    </row>
    <row r="10097" spans="1:5" x14ac:dyDescent="0.2">
      <c r="A10097" t="s">
        <v>2468</v>
      </c>
      <c r="B10097" t="s">
        <v>144</v>
      </c>
      <c r="C10097" t="s">
        <v>136</v>
      </c>
      <c r="D10097" t="str">
        <f>VLOOKUP(C10097,'lookup table'!$A$2:$B$19,2,FALSE)</f>
        <v>BBA Set</v>
      </c>
      <c r="E10097" t="str">
        <f t="shared" si="157"/>
        <v>LE310_17|BBA Set</v>
      </c>
    </row>
    <row r="10098" spans="1:5" x14ac:dyDescent="0.2">
      <c r="A10098" t="s">
        <v>2469</v>
      </c>
      <c r="B10098" t="s">
        <v>2470</v>
      </c>
      <c r="C10098" t="s">
        <v>136</v>
      </c>
      <c r="D10098" t="str">
        <f>VLOOKUP(C10098,'lookup table'!$A$2:$B$19,2,FALSE)</f>
        <v>BBA Set</v>
      </c>
      <c r="E10098" t="str">
        <f t="shared" si="157"/>
        <v>LE311_17|BBA Set</v>
      </c>
    </row>
    <row r="10099" spans="1:5" x14ac:dyDescent="0.2">
      <c r="A10099" t="s">
        <v>2471</v>
      </c>
      <c r="B10099" t="s">
        <v>175</v>
      </c>
      <c r="C10099" t="s">
        <v>136</v>
      </c>
      <c r="D10099" t="str">
        <f>VLOOKUP(C10099,'lookup table'!$A$2:$B$19,2,FALSE)</f>
        <v>BBA Set</v>
      </c>
      <c r="E10099" t="str">
        <f t="shared" si="157"/>
        <v>LE312_17|BBA Set</v>
      </c>
    </row>
    <row r="10100" spans="1:5" x14ac:dyDescent="0.2">
      <c r="A10100" t="s">
        <v>2472</v>
      </c>
      <c r="B10100" t="s">
        <v>176</v>
      </c>
      <c r="C10100" t="s">
        <v>136</v>
      </c>
      <c r="D10100" t="str">
        <f>VLOOKUP(C10100,'lookup table'!$A$2:$B$19,2,FALSE)</f>
        <v>BBA Set</v>
      </c>
      <c r="E10100" t="str">
        <f t="shared" si="157"/>
        <v>LE313_17|BBA Set</v>
      </c>
    </row>
    <row r="10101" spans="1:5" x14ac:dyDescent="0.2">
      <c r="A10101" t="s">
        <v>2473</v>
      </c>
      <c r="B10101" t="s">
        <v>205</v>
      </c>
      <c r="C10101" t="s">
        <v>136</v>
      </c>
      <c r="D10101" t="str">
        <f>VLOOKUP(C10101,'lookup table'!$A$2:$B$19,2,FALSE)</f>
        <v>BBA Set</v>
      </c>
      <c r="E10101" t="str">
        <f t="shared" si="157"/>
        <v>LE314_17|BBA Set</v>
      </c>
    </row>
    <row r="10102" spans="1:5" x14ac:dyDescent="0.2">
      <c r="A10102" t="s">
        <v>2474</v>
      </c>
      <c r="B10102" t="s">
        <v>206</v>
      </c>
      <c r="C10102" t="s">
        <v>136</v>
      </c>
      <c r="D10102" t="str">
        <f>VLOOKUP(C10102,'lookup table'!$A$2:$B$19,2,FALSE)</f>
        <v>BBA Set</v>
      </c>
      <c r="E10102" t="str">
        <f t="shared" si="157"/>
        <v>LE315_17|BBA Set</v>
      </c>
    </row>
    <row r="10103" spans="1:5" x14ac:dyDescent="0.2">
      <c r="A10103" t="s">
        <v>2475</v>
      </c>
      <c r="B10103" t="s">
        <v>207</v>
      </c>
      <c r="C10103" t="s">
        <v>136</v>
      </c>
      <c r="D10103" t="str">
        <f>VLOOKUP(C10103,'lookup table'!$A$2:$B$19,2,FALSE)</f>
        <v>BBA Set</v>
      </c>
      <c r="E10103" t="str">
        <f t="shared" si="157"/>
        <v>LE316_17|BBA Set</v>
      </c>
    </row>
    <row r="10104" spans="1:5" x14ac:dyDescent="0.2">
      <c r="A10104" t="s">
        <v>2476</v>
      </c>
      <c r="B10104" t="s">
        <v>2477</v>
      </c>
      <c r="C10104" t="s">
        <v>136</v>
      </c>
      <c r="D10104" t="str">
        <f>VLOOKUP(C10104,'lookup table'!$A$2:$B$19,2,FALSE)</f>
        <v>BBA Set</v>
      </c>
      <c r="E10104" t="str">
        <f t="shared" si="157"/>
        <v>LE317_17|BBA Set</v>
      </c>
    </row>
    <row r="10105" spans="1:5" x14ac:dyDescent="0.2">
      <c r="A10105" t="s">
        <v>2478</v>
      </c>
      <c r="B10105" t="s">
        <v>283</v>
      </c>
      <c r="C10105" t="s">
        <v>136</v>
      </c>
      <c r="D10105" t="str">
        <f>VLOOKUP(C10105,'lookup table'!$A$2:$B$19,2,FALSE)</f>
        <v>BBA Set</v>
      </c>
      <c r="E10105" t="str">
        <f t="shared" si="157"/>
        <v>LE318_17|BBA Set</v>
      </c>
    </row>
    <row r="10106" spans="1:5" x14ac:dyDescent="0.2">
      <c r="A10106" t="s">
        <v>2479</v>
      </c>
      <c r="B10106" t="s">
        <v>284</v>
      </c>
      <c r="C10106" t="s">
        <v>136</v>
      </c>
      <c r="D10106" t="str">
        <f>VLOOKUP(C10106,'lookup table'!$A$2:$B$19,2,FALSE)</f>
        <v>BBA Set</v>
      </c>
      <c r="E10106" t="str">
        <f t="shared" si="157"/>
        <v>LE319_17|BBA Set</v>
      </c>
    </row>
    <row r="10107" spans="1:5" x14ac:dyDescent="0.2">
      <c r="A10107" t="s">
        <v>2480</v>
      </c>
      <c r="B10107" t="s">
        <v>285</v>
      </c>
      <c r="C10107" t="s">
        <v>136</v>
      </c>
      <c r="D10107" t="str">
        <f>VLOOKUP(C10107,'lookup table'!$A$2:$B$19,2,FALSE)</f>
        <v>BBA Set</v>
      </c>
      <c r="E10107" t="str">
        <f t="shared" si="157"/>
        <v>LE320_17|BBA Set</v>
      </c>
    </row>
    <row r="10108" spans="1:5" x14ac:dyDescent="0.2">
      <c r="A10108" t="s">
        <v>2481</v>
      </c>
      <c r="B10108" t="s">
        <v>286</v>
      </c>
      <c r="C10108" t="s">
        <v>136</v>
      </c>
      <c r="D10108" t="str">
        <f>VLOOKUP(C10108,'lookup table'!$A$2:$B$19,2,FALSE)</f>
        <v>BBA Set</v>
      </c>
      <c r="E10108" t="str">
        <f t="shared" si="157"/>
        <v>LE321_17|BBA Set</v>
      </c>
    </row>
    <row r="10109" spans="1:5" x14ac:dyDescent="0.2">
      <c r="A10109" t="s">
        <v>2482</v>
      </c>
      <c r="B10109" t="s">
        <v>155</v>
      </c>
      <c r="C10109" t="s">
        <v>136</v>
      </c>
      <c r="D10109" t="str">
        <f>VLOOKUP(C10109,'lookup table'!$A$2:$B$19,2,FALSE)</f>
        <v>BBA Set</v>
      </c>
      <c r="E10109" t="str">
        <f t="shared" si="157"/>
        <v>LE322_17|BBA Set</v>
      </c>
    </row>
    <row r="10110" spans="1:5" x14ac:dyDescent="0.2">
      <c r="A10110" t="s">
        <v>2483</v>
      </c>
      <c r="B10110" t="s">
        <v>169</v>
      </c>
      <c r="C10110" t="s">
        <v>136</v>
      </c>
      <c r="D10110" t="str">
        <f>VLOOKUP(C10110,'lookup table'!$A$2:$B$19,2,FALSE)</f>
        <v>BBA Set</v>
      </c>
      <c r="E10110" t="str">
        <f t="shared" si="157"/>
        <v>LE323_17|BBA Set</v>
      </c>
    </row>
    <row r="10111" spans="1:5" x14ac:dyDescent="0.2">
      <c r="A10111" t="s">
        <v>2484</v>
      </c>
      <c r="B10111" t="s">
        <v>170</v>
      </c>
      <c r="C10111" t="s">
        <v>136</v>
      </c>
      <c r="D10111" t="str">
        <f>VLOOKUP(C10111,'lookup table'!$A$2:$B$19,2,FALSE)</f>
        <v>BBA Set</v>
      </c>
      <c r="E10111" t="str">
        <f t="shared" si="157"/>
        <v>LE324_17|BBA Set</v>
      </c>
    </row>
    <row r="10112" spans="1:5" x14ac:dyDescent="0.2">
      <c r="A10112" t="s">
        <v>2485</v>
      </c>
      <c r="B10112" t="s">
        <v>171</v>
      </c>
      <c r="C10112" t="s">
        <v>136</v>
      </c>
      <c r="D10112" t="str">
        <f>VLOOKUP(C10112,'lookup table'!$A$2:$B$19,2,FALSE)</f>
        <v>BBA Set</v>
      </c>
      <c r="E10112" t="str">
        <f t="shared" si="157"/>
        <v>LE325_17|BBA Set</v>
      </c>
    </row>
    <row r="10113" spans="1:5" x14ac:dyDescent="0.2">
      <c r="A10113" t="s">
        <v>2486</v>
      </c>
      <c r="B10113" t="s">
        <v>172</v>
      </c>
      <c r="C10113" t="s">
        <v>136</v>
      </c>
      <c r="D10113" t="str">
        <f>VLOOKUP(C10113,'lookup table'!$A$2:$B$19,2,FALSE)</f>
        <v>BBA Set</v>
      </c>
      <c r="E10113" t="str">
        <f t="shared" si="157"/>
        <v>LE326_17|BBA Set</v>
      </c>
    </row>
    <row r="10114" spans="1:5" x14ac:dyDescent="0.2">
      <c r="A10114" t="s">
        <v>2487</v>
      </c>
      <c r="B10114" t="s">
        <v>173</v>
      </c>
      <c r="C10114" t="s">
        <v>136</v>
      </c>
      <c r="D10114" t="str">
        <f>VLOOKUP(C10114,'lookup table'!$A$2:$B$19,2,FALSE)</f>
        <v>BBA Set</v>
      </c>
      <c r="E10114" t="str">
        <f t="shared" si="157"/>
        <v>LE327_17|BBA Set</v>
      </c>
    </row>
    <row r="10115" spans="1:5" x14ac:dyDescent="0.2">
      <c r="A10115" t="s">
        <v>2488</v>
      </c>
      <c r="B10115" t="s">
        <v>174</v>
      </c>
      <c r="C10115" t="s">
        <v>136</v>
      </c>
      <c r="D10115" t="str">
        <f>VLOOKUP(C10115,'lookup table'!$A$2:$B$19,2,FALSE)</f>
        <v>BBA Set</v>
      </c>
      <c r="E10115" t="str">
        <f t="shared" ref="E10115:E10178" si="158">IF(ISNA(D10115),"",IF(A10115="","",A10115) &amp; "|" &amp; D10115)</f>
        <v>LE328_17|BBA Set</v>
      </c>
    </row>
    <row r="10116" spans="1:5" x14ac:dyDescent="0.2">
      <c r="A10116" t="s">
        <v>2489</v>
      </c>
      <c r="B10116" t="s">
        <v>2490</v>
      </c>
      <c r="C10116" t="s">
        <v>136</v>
      </c>
      <c r="D10116" t="str">
        <f>VLOOKUP(C10116,'lookup table'!$A$2:$B$19,2,FALSE)</f>
        <v>BBA Set</v>
      </c>
      <c r="E10116" t="str">
        <f t="shared" si="158"/>
        <v>LE329_17|BBA Set</v>
      </c>
    </row>
    <row r="10117" spans="1:5" x14ac:dyDescent="0.2">
      <c r="A10117" t="s">
        <v>2491</v>
      </c>
      <c r="B10117" t="s">
        <v>145</v>
      </c>
      <c r="C10117" t="s">
        <v>136</v>
      </c>
      <c r="D10117" t="str">
        <f>VLOOKUP(C10117,'lookup table'!$A$2:$B$19,2,FALSE)</f>
        <v>BBA Set</v>
      </c>
      <c r="E10117" t="str">
        <f t="shared" si="158"/>
        <v>LE331_17|BBA Set</v>
      </c>
    </row>
    <row r="10118" spans="1:5" x14ac:dyDescent="0.2">
      <c r="A10118" t="s">
        <v>2492</v>
      </c>
      <c r="B10118" t="s">
        <v>146</v>
      </c>
      <c r="C10118" t="s">
        <v>136</v>
      </c>
      <c r="D10118" t="str">
        <f>VLOOKUP(C10118,'lookup table'!$A$2:$B$19,2,FALSE)</f>
        <v>BBA Set</v>
      </c>
      <c r="E10118" t="str">
        <f t="shared" si="158"/>
        <v>LE332_17|BBA Set</v>
      </c>
    </row>
    <row r="10119" spans="1:5" x14ac:dyDescent="0.2">
      <c r="A10119" t="s">
        <v>2493</v>
      </c>
      <c r="B10119" t="s">
        <v>147</v>
      </c>
      <c r="C10119" t="s">
        <v>136</v>
      </c>
      <c r="D10119" t="str">
        <f>VLOOKUP(C10119,'lookup table'!$A$2:$B$19,2,FALSE)</f>
        <v>BBA Set</v>
      </c>
      <c r="E10119" t="str">
        <f t="shared" si="158"/>
        <v>LE333_17|BBA Set</v>
      </c>
    </row>
    <row r="10120" spans="1:5" x14ac:dyDescent="0.2">
      <c r="A10120" t="s">
        <v>2494</v>
      </c>
      <c r="B10120" t="s">
        <v>2495</v>
      </c>
      <c r="C10120" t="s">
        <v>136</v>
      </c>
      <c r="D10120" t="str">
        <f>VLOOKUP(C10120,'lookup table'!$A$2:$B$19,2,FALSE)</f>
        <v>BBA Set</v>
      </c>
      <c r="E10120" t="str">
        <f t="shared" si="158"/>
        <v>LE334_17|BBA Set</v>
      </c>
    </row>
    <row r="10121" spans="1:5" x14ac:dyDescent="0.2">
      <c r="A10121" t="s">
        <v>2496</v>
      </c>
      <c r="B10121" t="s">
        <v>288</v>
      </c>
      <c r="C10121" t="s">
        <v>136</v>
      </c>
      <c r="D10121" t="str">
        <f>VLOOKUP(C10121,'lookup table'!$A$2:$B$19,2,FALSE)</f>
        <v>BBA Set</v>
      </c>
      <c r="E10121" t="str">
        <f t="shared" si="158"/>
        <v>LE340_17|BBA Set</v>
      </c>
    </row>
    <row r="10122" spans="1:5" x14ac:dyDescent="0.2">
      <c r="A10122" t="s">
        <v>2497</v>
      </c>
      <c r="B10122" t="s">
        <v>289</v>
      </c>
      <c r="C10122" t="s">
        <v>136</v>
      </c>
      <c r="D10122" t="str">
        <f>VLOOKUP(C10122,'lookup table'!$A$2:$B$19,2,FALSE)</f>
        <v>BBA Set</v>
      </c>
      <c r="E10122" t="str">
        <f t="shared" si="158"/>
        <v>LE341_17|BBA Set</v>
      </c>
    </row>
    <row r="10123" spans="1:5" x14ac:dyDescent="0.2">
      <c r="A10123" t="s">
        <v>2498</v>
      </c>
      <c r="B10123" t="s">
        <v>290</v>
      </c>
      <c r="C10123" t="s">
        <v>136</v>
      </c>
      <c r="D10123" t="str">
        <f>VLOOKUP(C10123,'lookup table'!$A$2:$B$19,2,FALSE)</f>
        <v>BBA Set</v>
      </c>
      <c r="E10123" t="str">
        <f t="shared" si="158"/>
        <v>LE342_17|BBA Set</v>
      </c>
    </row>
    <row r="10124" spans="1:5" x14ac:dyDescent="0.2">
      <c r="A10124" t="s">
        <v>2499</v>
      </c>
      <c r="B10124" t="s">
        <v>291</v>
      </c>
      <c r="C10124" t="s">
        <v>136</v>
      </c>
      <c r="D10124" t="str">
        <f>VLOOKUP(C10124,'lookup table'!$A$2:$B$19,2,FALSE)</f>
        <v>BBA Set</v>
      </c>
      <c r="E10124" t="str">
        <f t="shared" si="158"/>
        <v>LE343_17|BBA Set</v>
      </c>
    </row>
    <row r="10125" spans="1:5" x14ac:dyDescent="0.2">
      <c r="A10125" t="s">
        <v>2500</v>
      </c>
      <c r="B10125" t="s">
        <v>292</v>
      </c>
      <c r="C10125" t="s">
        <v>136</v>
      </c>
      <c r="D10125" t="str">
        <f>VLOOKUP(C10125,'lookup table'!$A$2:$B$19,2,FALSE)</f>
        <v>BBA Set</v>
      </c>
      <c r="E10125" t="str">
        <f t="shared" si="158"/>
        <v>LE344_17|BBA Set</v>
      </c>
    </row>
    <row r="10126" spans="1:5" x14ac:dyDescent="0.2">
      <c r="A10126" t="s">
        <v>2501</v>
      </c>
      <c r="B10126" t="s">
        <v>293</v>
      </c>
      <c r="C10126" t="s">
        <v>136</v>
      </c>
      <c r="D10126" t="str">
        <f>VLOOKUP(C10126,'lookup table'!$A$2:$B$19,2,FALSE)</f>
        <v>BBA Set</v>
      </c>
      <c r="E10126" t="str">
        <f t="shared" si="158"/>
        <v>LE345_17|BBA Set</v>
      </c>
    </row>
    <row r="10127" spans="1:5" x14ac:dyDescent="0.2">
      <c r="A10127" t="s">
        <v>2502</v>
      </c>
      <c r="B10127" t="s">
        <v>294</v>
      </c>
      <c r="C10127" t="s">
        <v>136</v>
      </c>
      <c r="D10127" t="str">
        <f>VLOOKUP(C10127,'lookup table'!$A$2:$B$19,2,FALSE)</f>
        <v>BBA Set</v>
      </c>
      <c r="E10127" t="str">
        <f t="shared" si="158"/>
        <v>LE346_17|BBA Set</v>
      </c>
    </row>
    <row r="10128" spans="1:5" x14ac:dyDescent="0.2">
      <c r="A10128" t="s">
        <v>2503</v>
      </c>
      <c r="B10128" t="s">
        <v>295</v>
      </c>
      <c r="C10128" t="s">
        <v>136</v>
      </c>
      <c r="D10128" t="str">
        <f>VLOOKUP(C10128,'lookup table'!$A$2:$B$19,2,FALSE)</f>
        <v>BBA Set</v>
      </c>
      <c r="E10128" t="str">
        <f t="shared" si="158"/>
        <v>LE347_17|BBA Set</v>
      </c>
    </row>
    <row r="10129" spans="1:5" x14ac:dyDescent="0.2">
      <c r="A10129" t="s">
        <v>2504</v>
      </c>
      <c r="B10129" t="s">
        <v>296</v>
      </c>
      <c r="C10129" t="s">
        <v>136</v>
      </c>
      <c r="D10129" t="str">
        <f>VLOOKUP(C10129,'lookup table'!$A$2:$B$19,2,FALSE)</f>
        <v>BBA Set</v>
      </c>
      <c r="E10129" t="str">
        <f t="shared" si="158"/>
        <v>LE348_17|BBA Set</v>
      </c>
    </row>
    <row r="10130" spans="1:5" x14ac:dyDescent="0.2">
      <c r="A10130" t="s">
        <v>2505</v>
      </c>
      <c r="B10130" t="s">
        <v>297</v>
      </c>
      <c r="C10130" t="s">
        <v>136</v>
      </c>
      <c r="D10130" t="str">
        <f>VLOOKUP(C10130,'lookup table'!$A$2:$B$19,2,FALSE)</f>
        <v>BBA Set</v>
      </c>
      <c r="E10130" t="str">
        <f t="shared" si="158"/>
        <v>LE349_17|BBA Set</v>
      </c>
    </row>
    <row r="10131" spans="1:5" x14ac:dyDescent="0.2">
      <c r="A10131" t="s">
        <v>2506</v>
      </c>
      <c r="B10131" t="s">
        <v>298</v>
      </c>
      <c r="C10131" t="s">
        <v>136</v>
      </c>
      <c r="D10131" t="str">
        <f>VLOOKUP(C10131,'lookup table'!$A$2:$B$19,2,FALSE)</f>
        <v>BBA Set</v>
      </c>
      <c r="E10131" t="str">
        <f t="shared" si="158"/>
        <v>LE350_17|BBA Set</v>
      </c>
    </row>
    <row r="10132" spans="1:5" x14ac:dyDescent="0.2">
      <c r="A10132" t="s">
        <v>2507</v>
      </c>
      <c r="B10132" t="s">
        <v>299</v>
      </c>
      <c r="C10132" t="s">
        <v>136</v>
      </c>
      <c r="D10132" t="str">
        <f>VLOOKUP(C10132,'lookup table'!$A$2:$B$19,2,FALSE)</f>
        <v>BBA Set</v>
      </c>
      <c r="E10132" t="str">
        <f t="shared" si="158"/>
        <v>LE351_17|BBA Set</v>
      </c>
    </row>
    <row r="10133" spans="1:5" x14ac:dyDescent="0.2">
      <c r="A10133" t="s">
        <v>2508</v>
      </c>
      <c r="B10133" t="s">
        <v>319</v>
      </c>
      <c r="C10133" t="s">
        <v>136</v>
      </c>
      <c r="D10133" t="str">
        <f>VLOOKUP(C10133,'lookup table'!$A$2:$B$19,2,FALSE)</f>
        <v>BBA Set</v>
      </c>
      <c r="E10133" t="str">
        <f t="shared" si="158"/>
        <v>LE352_17|BBA Set</v>
      </c>
    </row>
    <row r="10134" spans="1:5" x14ac:dyDescent="0.2">
      <c r="A10134" t="s">
        <v>2509</v>
      </c>
      <c r="B10134" t="s">
        <v>320</v>
      </c>
      <c r="C10134" t="s">
        <v>136</v>
      </c>
      <c r="D10134" t="str">
        <f>VLOOKUP(C10134,'lookup table'!$A$2:$B$19,2,FALSE)</f>
        <v>BBA Set</v>
      </c>
      <c r="E10134" t="str">
        <f t="shared" si="158"/>
        <v>LE353_17|BBA Set</v>
      </c>
    </row>
    <row r="10135" spans="1:5" x14ac:dyDescent="0.2">
      <c r="A10135" t="s">
        <v>2510</v>
      </c>
      <c r="B10135" t="s">
        <v>321</v>
      </c>
      <c r="C10135" t="s">
        <v>136</v>
      </c>
      <c r="D10135" t="str">
        <f>VLOOKUP(C10135,'lookup table'!$A$2:$B$19,2,FALSE)</f>
        <v>BBA Set</v>
      </c>
      <c r="E10135" t="str">
        <f t="shared" si="158"/>
        <v>LE354_17|BBA Set</v>
      </c>
    </row>
    <row r="10136" spans="1:5" x14ac:dyDescent="0.2">
      <c r="A10136" t="s">
        <v>2511</v>
      </c>
      <c r="B10136" t="s">
        <v>322</v>
      </c>
      <c r="C10136" t="s">
        <v>136</v>
      </c>
      <c r="D10136" t="str">
        <f>VLOOKUP(C10136,'lookup table'!$A$2:$B$19,2,FALSE)</f>
        <v>BBA Set</v>
      </c>
      <c r="E10136" t="str">
        <f t="shared" si="158"/>
        <v>LE355_17|BBA Set</v>
      </c>
    </row>
    <row r="10137" spans="1:5" x14ac:dyDescent="0.2">
      <c r="A10137" t="s">
        <v>2512</v>
      </c>
      <c r="B10137" t="s">
        <v>323</v>
      </c>
      <c r="C10137" t="s">
        <v>136</v>
      </c>
      <c r="D10137" t="str">
        <f>VLOOKUP(C10137,'lookup table'!$A$2:$B$19,2,FALSE)</f>
        <v>BBA Set</v>
      </c>
      <c r="E10137" t="str">
        <f t="shared" si="158"/>
        <v>LE356_17|BBA Set</v>
      </c>
    </row>
    <row r="10138" spans="1:5" x14ac:dyDescent="0.2">
      <c r="A10138" t="s">
        <v>2513</v>
      </c>
      <c r="B10138" t="s">
        <v>2514</v>
      </c>
      <c r="C10138" t="s">
        <v>136</v>
      </c>
      <c r="D10138" t="str">
        <f>VLOOKUP(C10138,'lookup table'!$A$2:$B$19,2,FALSE)</f>
        <v>BBA Set</v>
      </c>
      <c r="E10138" t="str">
        <f t="shared" si="158"/>
        <v>LE357_17|BBA Set</v>
      </c>
    </row>
    <row r="10139" spans="1:5" x14ac:dyDescent="0.2">
      <c r="A10139" t="s">
        <v>2515</v>
      </c>
      <c r="B10139" t="s">
        <v>300</v>
      </c>
      <c r="C10139" t="s">
        <v>136</v>
      </c>
      <c r="D10139" t="str">
        <f>VLOOKUP(C10139,'lookup table'!$A$2:$B$19,2,FALSE)</f>
        <v>BBA Set</v>
      </c>
      <c r="E10139" t="str">
        <f t="shared" si="158"/>
        <v>LE358_17|BBA Set</v>
      </c>
    </row>
    <row r="10140" spans="1:5" x14ac:dyDescent="0.2">
      <c r="A10140" t="s">
        <v>2516</v>
      </c>
      <c r="B10140" t="s">
        <v>2517</v>
      </c>
      <c r="C10140" t="s">
        <v>136</v>
      </c>
      <c r="D10140" t="str">
        <f>VLOOKUP(C10140,'lookup table'!$A$2:$B$19,2,FALSE)</f>
        <v>BBA Set</v>
      </c>
      <c r="E10140" t="str">
        <f t="shared" si="158"/>
        <v>LE359_17|BBA Set</v>
      </c>
    </row>
    <row r="10141" spans="1:5" x14ac:dyDescent="0.2">
      <c r="A10141" t="s">
        <v>2518</v>
      </c>
      <c r="B10141" t="s">
        <v>301</v>
      </c>
      <c r="C10141" t="s">
        <v>136</v>
      </c>
      <c r="D10141" t="str">
        <f>VLOOKUP(C10141,'lookup table'!$A$2:$B$19,2,FALSE)</f>
        <v>BBA Set</v>
      </c>
      <c r="E10141" t="str">
        <f t="shared" si="158"/>
        <v>LE360_17|BBA Set</v>
      </c>
    </row>
    <row r="10142" spans="1:5" x14ac:dyDescent="0.2">
      <c r="A10142" t="s">
        <v>2519</v>
      </c>
      <c r="B10142" t="s">
        <v>302</v>
      </c>
      <c r="C10142" t="s">
        <v>136</v>
      </c>
      <c r="D10142" t="str">
        <f>VLOOKUP(C10142,'lookup table'!$A$2:$B$19,2,FALSE)</f>
        <v>BBA Set</v>
      </c>
      <c r="E10142" t="str">
        <f t="shared" si="158"/>
        <v>LE361_17|BBA Set</v>
      </c>
    </row>
    <row r="10143" spans="1:5" x14ac:dyDescent="0.2">
      <c r="A10143" t="s">
        <v>2520</v>
      </c>
      <c r="B10143" t="s">
        <v>303</v>
      </c>
      <c r="C10143" t="s">
        <v>136</v>
      </c>
      <c r="D10143" t="str">
        <f>VLOOKUP(C10143,'lookup table'!$A$2:$B$19,2,FALSE)</f>
        <v>BBA Set</v>
      </c>
      <c r="E10143" t="str">
        <f t="shared" si="158"/>
        <v>LE362_17|BBA Set</v>
      </c>
    </row>
    <row r="10144" spans="1:5" x14ac:dyDescent="0.2">
      <c r="A10144" t="s">
        <v>2521</v>
      </c>
      <c r="B10144" t="s">
        <v>304</v>
      </c>
      <c r="C10144" t="s">
        <v>136</v>
      </c>
      <c r="D10144" t="str">
        <f>VLOOKUP(C10144,'lookup table'!$A$2:$B$19,2,FALSE)</f>
        <v>BBA Set</v>
      </c>
      <c r="E10144" t="str">
        <f t="shared" si="158"/>
        <v>LE363_17|BBA Set</v>
      </c>
    </row>
    <row r="10145" spans="1:5" x14ac:dyDescent="0.2">
      <c r="A10145" t="s">
        <v>2522</v>
      </c>
      <c r="B10145" t="s">
        <v>305</v>
      </c>
      <c r="C10145" t="s">
        <v>136</v>
      </c>
      <c r="D10145" t="str">
        <f>VLOOKUP(C10145,'lookup table'!$A$2:$B$19,2,FALSE)</f>
        <v>BBA Set</v>
      </c>
      <c r="E10145" t="str">
        <f t="shared" si="158"/>
        <v>LE364_17|BBA Set</v>
      </c>
    </row>
    <row r="10146" spans="1:5" x14ac:dyDescent="0.2">
      <c r="A10146" t="s">
        <v>2523</v>
      </c>
      <c r="B10146" t="s">
        <v>306</v>
      </c>
      <c r="C10146" t="s">
        <v>136</v>
      </c>
      <c r="D10146" t="str">
        <f>VLOOKUP(C10146,'lookup table'!$A$2:$B$19,2,FALSE)</f>
        <v>BBA Set</v>
      </c>
      <c r="E10146" t="str">
        <f t="shared" si="158"/>
        <v>LE365_17|BBA Set</v>
      </c>
    </row>
    <row r="10147" spans="1:5" x14ac:dyDescent="0.2">
      <c r="A10147" t="s">
        <v>2524</v>
      </c>
      <c r="B10147" t="s">
        <v>307</v>
      </c>
      <c r="C10147" t="s">
        <v>136</v>
      </c>
      <c r="D10147" t="str">
        <f>VLOOKUP(C10147,'lookup table'!$A$2:$B$19,2,FALSE)</f>
        <v>BBA Set</v>
      </c>
      <c r="E10147" t="str">
        <f t="shared" si="158"/>
        <v>LE366_17|BBA Set</v>
      </c>
    </row>
    <row r="10148" spans="1:5" x14ac:dyDescent="0.2">
      <c r="A10148" t="s">
        <v>2525</v>
      </c>
      <c r="B10148" t="s">
        <v>308</v>
      </c>
      <c r="C10148" t="s">
        <v>136</v>
      </c>
      <c r="D10148" t="str">
        <f>VLOOKUP(C10148,'lookup table'!$A$2:$B$19,2,FALSE)</f>
        <v>BBA Set</v>
      </c>
      <c r="E10148" t="str">
        <f t="shared" si="158"/>
        <v>LE367_17|BBA Set</v>
      </c>
    </row>
    <row r="10149" spans="1:5" x14ac:dyDescent="0.2">
      <c r="A10149" t="s">
        <v>2526</v>
      </c>
      <c r="B10149" t="s">
        <v>309</v>
      </c>
      <c r="C10149" t="s">
        <v>136</v>
      </c>
      <c r="D10149" t="str">
        <f>VLOOKUP(C10149,'lookup table'!$A$2:$B$19,2,FALSE)</f>
        <v>BBA Set</v>
      </c>
      <c r="E10149" t="str">
        <f t="shared" si="158"/>
        <v>LE368_17|BBA Set</v>
      </c>
    </row>
    <row r="10150" spans="1:5" x14ac:dyDescent="0.2">
      <c r="A10150" t="s">
        <v>2527</v>
      </c>
      <c r="B10150" t="s">
        <v>310</v>
      </c>
      <c r="C10150" t="s">
        <v>136</v>
      </c>
      <c r="D10150" t="str">
        <f>VLOOKUP(C10150,'lookup table'!$A$2:$B$19,2,FALSE)</f>
        <v>BBA Set</v>
      </c>
      <c r="E10150" t="str">
        <f t="shared" si="158"/>
        <v>LE369_17|BBA Set</v>
      </c>
    </row>
    <row r="10151" spans="1:5" x14ac:dyDescent="0.2">
      <c r="A10151" t="s">
        <v>2528</v>
      </c>
      <c r="B10151" t="s">
        <v>311</v>
      </c>
      <c r="C10151" t="s">
        <v>136</v>
      </c>
      <c r="D10151" t="str">
        <f>VLOOKUP(C10151,'lookup table'!$A$2:$B$19,2,FALSE)</f>
        <v>BBA Set</v>
      </c>
      <c r="E10151" t="str">
        <f t="shared" si="158"/>
        <v>LE370_17|BBA Set</v>
      </c>
    </row>
    <row r="10152" spans="1:5" x14ac:dyDescent="0.2">
      <c r="A10152" t="s">
        <v>2529</v>
      </c>
      <c r="B10152" t="s">
        <v>312</v>
      </c>
      <c r="C10152" t="s">
        <v>136</v>
      </c>
      <c r="D10152" t="str">
        <f>VLOOKUP(C10152,'lookup table'!$A$2:$B$19,2,FALSE)</f>
        <v>BBA Set</v>
      </c>
      <c r="E10152" t="str">
        <f t="shared" si="158"/>
        <v>LE371_17|BBA Set</v>
      </c>
    </row>
    <row r="10153" spans="1:5" x14ac:dyDescent="0.2">
      <c r="A10153" t="s">
        <v>2530</v>
      </c>
      <c r="B10153" t="s">
        <v>313</v>
      </c>
      <c r="C10153" t="s">
        <v>136</v>
      </c>
      <c r="D10153" t="str">
        <f>VLOOKUP(C10153,'lookup table'!$A$2:$B$19,2,FALSE)</f>
        <v>BBA Set</v>
      </c>
      <c r="E10153" t="str">
        <f t="shared" si="158"/>
        <v>LE372_17|BBA Set</v>
      </c>
    </row>
    <row r="10154" spans="1:5" x14ac:dyDescent="0.2">
      <c r="A10154" t="s">
        <v>2531</v>
      </c>
      <c r="B10154" t="s">
        <v>314</v>
      </c>
      <c r="C10154" t="s">
        <v>136</v>
      </c>
      <c r="D10154" t="str">
        <f>VLOOKUP(C10154,'lookup table'!$A$2:$B$19,2,FALSE)</f>
        <v>BBA Set</v>
      </c>
      <c r="E10154" t="str">
        <f t="shared" si="158"/>
        <v>LE373_17|BBA Set</v>
      </c>
    </row>
    <row r="10155" spans="1:5" x14ac:dyDescent="0.2">
      <c r="A10155" t="s">
        <v>2532</v>
      </c>
      <c r="B10155" t="s">
        <v>315</v>
      </c>
      <c r="C10155" t="s">
        <v>136</v>
      </c>
      <c r="D10155" t="str">
        <f>VLOOKUP(C10155,'lookup table'!$A$2:$B$19,2,FALSE)</f>
        <v>BBA Set</v>
      </c>
      <c r="E10155" t="str">
        <f t="shared" si="158"/>
        <v>LE374_17|BBA Set</v>
      </c>
    </row>
    <row r="10156" spans="1:5" x14ac:dyDescent="0.2">
      <c r="A10156" t="s">
        <v>2533</v>
      </c>
      <c r="B10156" t="s">
        <v>316</v>
      </c>
      <c r="C10156" t="s">
        <v>136</v>
      </c>
      <c r="D10156" t="str">
        <f>VLOOKUP(C10156,'lookup table'!$A$2:$B$19,2,FALSE)</f>
        <v>BBA Set</v>
      </c>
      <c r="E10156" t="str">
        <f t="shared" si="158"/>
        <v>LE375_17|BBA Set</v>
      </c>
    </row>
    <row r="10157" spans="1:5" x14ac:dyDescent="0.2">
      <c r="A10157" t="s">
        <v>2534</v>
      </c>
      <c r="B10157" t="s">
        <v>317</v>
      </c>
      <c r="C10157" t="s">
        <v>136</v>
      </c>
      <c r="D10157" t="str">
        <f>VLOOKUP(C10157,'lookup table'!$A$2:$B$19,2,FALSE)</f>
        <v>BBA Set</v>
      </c>
      <c r="E10157" t="str">
        <f t="shared" si="158"/>
        <v>LE376_17|BBA Set</v>
      </c>
    </row>
    <row r="10158" spans="1:5" x14ac:dyDescent="0.2">
      <c r="A10158" t="s">
        <v>2535</v>
      </c>
      <c r="B10158" t="s">
        <v>318</v>
      </c>
      <c r="C10158" t="s">
        <v>136</v>
      </c>
      <c r="D10158" t="str">
        <f>VLOOKUP(C10158,'lookup table'!$A$2:$B$19,2,FALSE)</f>
        <v>BBA Set</v>
      </c>
      <c r="E10158" t="str">
        <f t="shared" si="158"/>
        <v>LE377_17|BBA Set</v>
      </c>
    </row>
    <row r="10159" spans="1:5" x14ac:dyDescent="0.2">
      <c r="A10159" t="s">
        <v>2536</v>
      </c>
      <c r="B10159" t="s">
        <v>2537</v>
      </c>
      <c r="C10159" t="s">
        <v>136</v>
      </c>
      <c r="D10159" t="str">
        <f>VLOOKUP(C10159,'lookup table'!$A$2:$B$19,2,FALSE)</f>
        <v>BBA Set</v>
      </c>
      <c r="E10159" t="str">
        <f t="shared" si="158"/>
        <v>LE378_17|BBA Set</v>
      </c>
    </row>
    <row r="10160" spans="1:5" x14ac:dyDescent="0.2">
      <c r="A10160" t="s">
        <v>2538</v>
      </c>
      <c r="B10160" t="s">
        <v>2539</v>
      </c>
      <c r="C10160" t="s">
        <v>20</v>
      </c>
      <c r="D10160" t="str">
        <f>VLOOKUP(C10160,'lookup table'!$A$2:$B$19,2,FALSE)</f>
        <v>AY</v>
      </c>
      <c r="E10160" t="str">
        <f t="shared" si="158"/>
        <v>LE379_60|AY</v>
      </c>
    </row>
    <row r="10161" spans="1:5" x14ac:dyDescent="0.2">
      <c r="A10161" t="s">
        <v>2538</v>
      </c>
      <c r="B10161" t="s">
        <v>2539</v>
      </c>
      <c r="C10161" t="s">
        <v>428</v>
      </c>
      <c r="D10161" t="str">
        <f>VLOOKUP(C10161,'lookup table'!$A$2:$B$19,2,FALSE)</f>
        <v>LoB</v>
      </c>
      <c r="E10161" t="str">
        <f t="shared" si="158"/>
        <v>LE379_60|LoB</v>
      </c>
    </row>
    <row r="10162" spans="1:5" x14ac:dyDescent="0.2">
      <c r="A10162" t="s">
        <v>2540</v>
      </c>
      <c r="B10162" t="s">
        <v>287</v>
      </c>
      <c r="C10162" t="s">
        <v>136</v>
      </c>
      <c r="D10162" t="str">
        <f>VLOOKUP(C10162,'lookup table'!$A$2:$B$19,2,FALSE)</f>
        <v>BBA Set</v>
      </c>
      <c r="E10162" t="str">
        <f t="shared" si="158"/>
        <v>LE386_17|BBA Set</v>
      </c>
    </row>
    <row r="10163" spans="1:5" x14ac:dyDescent="0.2">
      <c r="A10163" t="s">
        <v>2541</v>
      </c>
      <c r="B10163" t="s">
        <v>2542</v>
      </c>
      <c r="C10163" t="s">
        <v>136</v>
      </c>
      <c r="D10163" t="str">
        <f>VLOOKUP(C10163,'lookup table'!$A$2:$B$19,2,FALSE)</f>
        <v>BBA Set</v>
      </c>
      <c r="E10163" t="str">
        <f t="shared" si="158"/>
        <v>LE387_17|BBA Set</v>
      </c>
    </row>
    <row r="10164" spans="1:5" x14ac:dyDescent="0.2">
      <c r="A10164" t="s">
        <v>2543</v>
      </c>
      <c r="B10164" t="s">
        <v>2544</v>
      </c>
      <c r="C10164" t="s">
        <v>20</v>
      </c>
      <c r="D10164" t="str">
        <f>VLOOKUP(C10164,'lookup table'!$A$2:$B$19,2,FALSE)</f>
        <v>AY</v>
      </c>
      <c r="E10164" t="str">
        <f t="shared" si="158"/>
        <v>LE390_00|AY</v>
      </c>
    </row>
    <row r="10165" spans="1:5" x14ac:dyDescent="0.2">
      <c r="A10165" t="s">
        <v>2545</v>
      </c>
      <c r="B10165" t="s">
        <v>2546</v>
      </c>
      <c r="C10165" t="s">
        <v>20</v>
      </c>
      <c r="D10165" t="str">
        <f>VLOOKUP(C10165,'lookup table'!$A$2:$B$19,2,FALSE)</f>
        <v>AY</v>
      </c>
      <c r="E10165" t="str">
        <f t="shared" si="158"/>
        <v>LE391_00|AY</v>
      </c>
    </row>
    <row r="10166" spans="1:5" x14ac:dyDescent="0.2">
      <c r="A10166" t="s">
        <v>2547</v>
      </c>
      <c r="B10166" t="s">
        <v>2548</v>
      </c>
      <c r="C10166" t="s">
        <v>20</v>
      </c>
      <c r="D10166" t="str">
        <f>VLOOKUP(C10166,'lookup table'!$A$2:$B$19,2,FALSE)</f>
        <v>AY</v>
      </c>
      <c r="E10166" t="str">
        <f t="shared" si="158"/>
        <v>LE391_60|AY</v>
      </c>
    </row>
    <row r="10167" spans="1:5" x14ac:dyDescent="0.2">
      <c r="A10167" t="s">
        <v>2547</v>
      </c>
      <c r="B10167" t="s">
        <v>2548</v>
      </c>
      <c r="C10167" t="s">
        <v>428</v>
      </c>
      <c r="D10167" t="str">
        <f>VLOOKUP(C10167,'lookup table'!$A$2:$B$19,2,FALSE)</f>
        <v>LoB</v>
      </c>
      <c r="E10167" t="str">
        <f t="shared" si="158"/>
        <v>LE391_60|LoB</v>
      </c>
    </row>
    <row r="10168" spans="1:5" x14ac:dyDescent="0.2">
      <c r="A10168" t="s">
        <v>2549</v>
      </c>
      <c r="B10168" t="s">
        <v>2550</v>
      </c>
      <c r="C10168" t="s">
        <v>20</v>
      </c>
      <c r="D10168" t="str">
        <f>VLOOKUP(C10168,'lookup table'!$A$2:$B$19,2,FALSE)</f>
        <v>AY</v>
      </c>
      <c r="E10168" t="str">
        <f t="shared" si="158"/>
        <v>LE392_00|AY</v>
      </c>
    </row>
    <row r="10169" spans="1:5" x14ac:dyDescent="0.2">
      <c r="A10169" t="s">
        <v>2551</v>
      </c>
      <c r="B10169" t="s">
        <v>2552</v>
      </c>
      <c r="C10169" t="s">
        <v>20</v>
      </c>
      <c r="D10169" t="str">
        <f>VLOOKUP(C10169,'lookup table'!$A$2:$B$19,2,FALSE)</f>
        <v>AY</v>
      </c>
      <c r="E10169" t="str">
        <f t="shared" si="158"/>
        <v>LE393_00|AY</v>
      </c>
    </row>
    <row r="10170" spans="1:5" x14ac:dyDescent="0.2">
      <c r="A10170" t="s">
        <v>2553</v>
      </c>
      <c r="B10170" t="s">
        <v>2554</v>
      </c>
      <c r="C10170" t="s">
        <v>20</v>
      </c>
      <c r="D10170" t="str">
        <f>VLOOKUP(C10170,'lookup table'!$A$2:$B$19,2,FALSE)</f>
        <v>AY</v>
      </c>
      <c r="E10170" t="str">
        <f t="shared" si="158"/>
        <v>LE393_60|AY</v>
      </c>
    </row>
    <row r="10171" spans="1:5" x14ac:dyDescent="0.2">
      <c r="A10171" t="s">
        <v>2553</v>
      </c>
      <c r="B10171" t="s">
        <v>2554</v>
      </c>
      <c r="C10171" t="s">
        <v>428</v>
      </c>
      <c r="D10171" t="str">
        <f>VLOOKUP(C10171,'lookup table'!$A$2:$B$19,2,FALSE)</f>
        <v>LoB</v>
      </c>
      <c r="E10171" t="str">
        <f t="shared" si="158"/>
        <v>LE393_60|LoB</v>
      </c>
    </row>
    <row r="10172" spans="1:5" x14ac:dyDescent="0.2">
      <c r="A10172" t="s">
        <v>2555</v>
      </c>
      <c r="B10172" t="s">
        <v>2556</v>
      </c>
      <c r="C10172" t="s">
        <v>20</v>
      </c>
      <c r="D10172" t="str">
        <f>VLOOKUP(C10172,'lookup table'!$A$2:$B$19,2,FALSE)</f>
        <v>AY</v>
      </c>
      <c r="E10172" t="str">
        <f t="shared" si="158"/>
        <v>LE394_00|AY</v>
      </c>
    </row>
    <row r="10173" spans="1:5" x14ac:dyDescent="0.2">
      <c r="A10173" t="s">
        <v>2557</v>
      </c>
      <c r="B10173" t="s">
        <v>2558</v>
      </c>
      <c r="C10173" t="s">
        <v>20</v>
      </c>
      <c r="D10173" t="str">
        <f>VLOOKUP(C10173,'lookup table'!$A$2:$B$19,2,FALSE)</f>
        <v>AY</v>
      </c>
      <c r="E10173" t="str">
        <f t="shared" si="158"/>
        <v>LE394_60|AY</v>
      </c>
    </row>
    <row r="10174" spans="1:5" x14ac:dyDescent="0.2">
      <c r="A10174" t="s">
        <v>2557</v>
      </c>
      <c r="B10174" t="s">
        <v>2558</v>
      </c>
      <c r="C10174" t="s">
        <v>428</v>
      </c>
      <c r="D10174" t="str">
        <f>VLOOKUP(C10174,'lookup table'!$A$2:$B$19,2,FALSE)</f>
        <v>LoB</v>
      </c>
      <c r="E10174" t="str">
        <f t="shared" si="158"/>
        <v>LE394_60|LoB</v>
      </c>
    </row>
    <row r="10175" spans="1:5" x14ac:dyDescent="0.2">
      <c r="A10175" t="s">
        <v>2559</v>
      </c>
      <c r="B10175" t="s">
        <v>2560</v>
      </c>
      <c r="C10175" t="s">
        <v>20</v>
      </c>
      <c r="D10175" t="str">
        <f>VLOOKUP(C10175,'lookup table'!$A$2:$B$19,2,FALSE)</f>
        <v>AY</v>
      </c>
      <c r="E10175" t="str">
        <f t="shared" si="158"/>
        <v>LE395_00|AY</v>
      </c>
    </row>
    <row r="10176" spans="1:5" x14ac:dyDescent="0.2">
      <c r="A10176" t="s">
        <v>2561</v>
      </c>
      <c r="B10176" t="s">
        <v>2562</v>
      </c>
      <c r="C10176" t="s">
        <v>20</v>
      </c>
      <c r="D10176" t="str">
        <f>VLOOKUP(C10176,'lookup table'!$A$2:$B$19,2,FALSE)</f>
        <v>AY</v>
      </c>
      <c r="E10176" t="str">
        <f t="shared" si="158"/>
        <v>LE395_60|AY</v>
      </c>
    </row>
    <row r="10177" spans="1:5" x14ac:dyDescent="0.2">
      <c r="A10177" t="s">
        <v>2561</v>
      </c>
      <c r="B10177" t="s">
        <v>2562</v>
      </c>
      <c r="C10177" t="s">
        <v>428</v>
      </c>
      <c r="D10177" t="str">
        <f>VLOOKUP(C10177,'lookup table'!$A$2:$B$19,2,FALSE)</f>
        <v>LoB</v>
      </c>
      <c r="E10177" t="str">
        <f t="shared" si="158"/>
        <v>LE395_60|LoB</v>
      </c>
    </row>
    <row r="10178" spans="1:5" x14ac:dyDescent="0.2">
      <c r="A10178" t="s">
        <v>2563</v>
      </c>
      <c r="B10178" t="s">
        <v>2564</v>
      </c>
      <c r="C10178" t="s">
        <v>20</v>
      </c>
      <c r="D10178" t="str">
        <f>VLOOKUP(C10178,'lookup table'!$A$2:$B$19,2,FALSE)</f>
        <v>AY</v>
      </c>
      <c r="E10178" t="str">
        <f t="shared" si="158"/>
        <v>LE396_00|AY</v>
      </c>
    </row>
    <row r="10179" spans="1:5" x14ac:dyDescent="0.2">
      <c r="A10179" t="s">
        <v>2565</v>
      </c>
      <c r="B10179" t="s">
        <v>2566</v>
      </c>
      <c r="C10179" t="s">
        <v>20</v>
      </c>
      <c r="D10179" t="str">
        <f>VLOOKUP(C10179,'lookup table'!$A$2:$B$19,2,FALSE)</f>
        <v>AY</v>
      </c>
      <c r="E10179" t="str">
        <f t="shared" ref="E10179:E10242" si="159">IF(ISNA(D10179),"",IF(A10179="","",A10179) &amp; "|" &amp; D10179)</f>
        <v>LE396_60|AY</v>
      </c>
    </row>
    <row r="10180" spans="1:5" x14ac:dyDescent="0.2">
      <c r="A10180" t="s">
        <v>2565</v>
      </c>
      <c r="B10180" t="s">
        <v>2566</v>
      </c>
      <c r="C10180" t="s">
        <v>428</v>
      </c>
      <c r="D10180" t="str">
        <f>VLOOKUP(C10180,'lookup table'!$A$2:$B$19,2,FALSE)</f>
        <v>LoB</v>
      </c>
      <c r="E10180" t="str">
        <f t="shared" si="159"/>
        <v>LE396_60|LoB</v>
      </c>
    </row>
    <row r="10181" spans="1:5" x14ac:dyDescent="0.2">
      <c r="A10181" t="s">
        <v>2567</v>
      </c>
      <c r="B10181" t="s">
        <v>2568</v>
      </c>
      <c r="C10181" t="s">
        <v>20</v>
      </c>
      <c r="D10181" t="str">
        <f>VLOOKUP(C10181,'lookup table'!$A$2:$B$19,2,FALSE)</f>
        <v>AY</v>
      </c>
      <c r="E10181" t="str">
        <f t="shared" si="159"/>
        <v>LE397_00|AY</v>
      </c>
    </row>
    <row r="10182" spans="1:5" x14ac:dyDescent="0.2">
      <c r="A10182" t="s">
        <v>2569</v>
      </c>
      <c r="B10182" t="s">
        <v>2570</v>
      </c>
      <c r="C10182" t="s">
        <v>20</v>
      </c>
      <c r="D10182" t="str">
        <f>VLOOKUP(C10182,'lookup table'!$A$2:$B$19,2,FALSE)</f>
        <v>AY</v>
      </c>
      <c r="E10182" t="str">
        <f t="shared" si="159"/>
        <v>LE397_60|AY</v>
      </c>
    </row>
    <row r="10183" spans="1:5" x14ac:dyDescent="0.2">
      <c r="A10183" t="s">
        <v>2569</v>
      </c>
      <c r="B10183" t="s">
        <v>2570</v>
      </c>
      <c r="C10183" t="s">
        <v>428</v>
      </c>
      <c r="D10183" t="str">
        <f>VLOOKUP(C10183,'lookup table'!$A$2:$B$19,2,FALSE)</f>
        <v>LoB</v>
      </c>
      <c r="E10183" t="str">
        <f t="shared" si="159"/>
        <v>LE397_60|LoB</v>
      </c>
    </row>
    <row r="10184" spans="1:5" x14ac:dyDescent="0.2">
      <c r="A10184" t="s">
        <v>2571</v>
      </c>
      <c r="B10184" t="s">
        <v>2572</v>
      </c>
      <c r="C10184" t="s">
        <v>20</v>
      </c>
      <c r="D10184" t="str">
        <f>VLOOKUP(C10184,'lookup table'!$A$2:$B$19,2,FALSE)</f>
        <v>AY</v>
      </c>
      <c r="E10184" t="str">
        <f t="shared" si="159"/>
        <v>LE398_17|AY</v>
      </c>
    </row>
    <row r="10185" spans="1:5" x14ac:dyDescent="0.2">
      <c r="A10185" t="s">
        <v>2573</v>
      </c>
      <c r="B10185" t="s">
        <v>2574</v>
      </c>
      <c r="C10185" t="s">
        <v>20</v>
      </c>
      <c r="D10185" t="str">
        <f>VLOOKUP(C10185,'lookup table'!$A$2:$B$19,2,FALSE)</f>
        <v>AY</v>
      </c>
      <c r="E10185" t="str">
        <f t="shared" si="159"/>
        <v>LE399_17|AY</v>
      </c>
    </row>
    <row r="10186" spans="1:5" x14ac:dyDescent="0.2">
      <c r="A10186" t="s">
        <v>2575</v>
      </c>
      <c r="B10186" t="s">
        <v>2576</v>
      </c>
      <c r="C10186" t="s">
        <v>20</v>
      </c>
      <c r="D10186" t="str">
        <f>VLOOKUP(C10186,'lookup table'!$A$2:$B$19,2,FALSE)</f>
        <v>AY</v>
      </c>
      <c r="E10186" t="str">
        <f t="shared" si="159"/>
        <v>LE400_17|AY</v>
      </c>
    </row>
    <row r="10187" spans="1:5" x14ac:dyDescent="0.2">
      <c r="A10187" t="s">
        <v>2577</v>
      </c>
      <c r="B10187" t="s">
        <v>2578</v>
      </c>
      <c r="C10187" t="s">
        <v>20</v>
      </c>
      <c r="D10187" t="str">
        <f>VLOOKUP(C10187,'lookup table'!$A$2:$B$19,2,FALSE)</f>
        <v>AY</v>
      </c>
      <c r="E10187" t="str">
        <f t="shared" si="159"/>
        <v>LE401_17|AY</v>
      </c>
    </row>
    <row r="10188" spans="1:5" x14ac:dyDescent="0.2">
      <c r="A10188" t="s">
        <v>2579</v>
      </c>
      <c r="B10188" t="s">
        <v>2580</v>
      </c>
      <c r="C10188" t="s">
        <v>20</v>
      </c>
      <c r="D10188" t="str">
        <f>VLOOKUP(C10188,'lookup table'!$A$2:$B$19,2,FALSE)</f>
        <v>AY</v>
      </c>
      <c r="E10188" t="str">
        <f t="shared" si="159"/>
        <v>LE402_17|AY</v>
      </c>
    </row>
    <row r="10189" spans="1:5" x14ac:dyDescent="0.2">
      <c r="A10189" t="s">
        <v>2581</v>
      </c>
      <c r="B10189" t="s">
        <v>2582</v>
      </c>
      <c r="C10189" t="s">
        <v>20</v>
      </c>
      <c r="D10189" t="str">
        <f>VLOOKUP(C10189,'lookup table'!$A$2:$B$19,2,FALSE)</f>
        <v>AY</v>
      </c>
      <c r="E10189" t="str">
        <f t="shared" si="159"/>
        <v>LE403_17|AY</v>
      </c>
    </row>
    <row r="10190" spans="1:5" x14ac:dyDescent="0.2">
      <c r="A10190" t="s">
        <v>2583</v>
      </c>
      <c r="B10190" t="s">
        <v>2584</v>
      </c>
      <c r="C10190" t="s">
        <v>20</v>
      </c>
      <c r="D10190" t="str">
        <f>VLOOKUP(C10190,'lookup table'!$A$2:$B$19,2,FALSE)</f>
        <v>AY</v>
      </c>
      <c r="E10190" t="str">
        <f t="shared" si="159"/>
        <v>LE404_17|AY</v>
      </c>
    </row>
    <row r="10191" spans="1:5" x14ac:dyDescent="0.2">
      <c r="A10191" t="s">
        <v>2585</v>
      </c>
      <c r="B10191" t="s">
        <v>2586</v>
      </c>
      <c r="C10191" t="s">
        <v>20</v>
      </c>
      <c r="D10191" t="str">
        <f>VLOOKUP(C10191,'lookup table'!$A$2:$B$19,2,FALSE)</f>
        <v>AY</v>
      </c>
      <c r="E10191" t="str">
        <f t="shared" si="159"/>
        <v>LE405_17|AY</v>
      </c>
    </row>
    <row r="10192" spans="1:5" x14ac:dyDescent="0.2">
      <c r="A10192" t="s">
        <v>2587</v>
      </c>
      <c r="B10192" t="s">
        <v>2588</v>
      </c>
      <c r="C10192" t="s">
        <v>20</v>
      </c>
      <c r="D10192" t="str">
        <f>VLOOKUP(C10192,'lookup table'!$A$2:$B$19,2,FALSE)</f>
        <v>AY</v>
      </c>
      <c r="E10192" t="str">
        <f t="shared" si="159"/>
        <v>LE406_17|AY</v>
      </c>
    </row>
    <row r="10193" spans="1:5" x14ac:dyDescent="0.2">
      <c r="A10193" t="s">
        <v>2589</v>
      </c>
      <c r="B10193" t="s">
        <v>2590</v>
      </c>
      <c r="C10193" t="s">
        <v>20</v>
      </c>
      <c r="D10193" t="str">
        <f>VLOOKUP(C10193,'lookup table'!$A$2:$B$19,2,FALSE)</f>
        <v>AY</v>
      </c>
      <c r="E10193" t="str">
        <f t="shared" si="159"/>
        <v>LE407_17|AY</v>
      </c>
    </row>
    <row r="10194" spans="1:5" x14ac:dyDescent="0.2">
      <c r="A10194" t="s">
        <v>2591</v>
      </c>
      <c r="B10194" t="s">
        <v>2592</v>
      </c>
      <c r="C10194" t="s">
        <v>20</v>
      </c>
      <c r="D10194" t="str">
        <f>VLOOKUP(C10194,'lookup table'!$A$2:$B$19,2,FALSE)</f>
        <v>AY</v>
      </c>
      <c r="E10194" t="str">
        <f t="shared" si="159"/>
        <v>LE408_17|AY</v>
      </c>
    </row>
    <row r="10195" spans="1:5" x14ac:dyDescent="0.2">
      <c r="A10195" t="s">
        <v>2593</v>
      </c>
      <c r="B10195" t="s">
        <v>2594</v>
      </c>
      <c r="C10195" t="s">
        <v>136</v>
      </c>
      <c r="D10195" t="str">
        <f>VLOOKUP(C10195,'lookup table'!$A$2:$B$19,2,FALSE)</f>
        <v>BBA Set</v>
      </c>
      <c r="E10195" t="str">
        <f t="shared" si="159"/>
        <v>LE410_17|BBA Set</v>
      </c>
    </row>
    <row r="10196" spans="1:5" x14ac:dyDescent="0.2">
      <c r="A10196" t="s">
        <v>2595</v>
      </c>
      <c r="B10196" t="s">
        <v>2596</v>
      </c>
      <c r="C10196" t="s">
        <v>136</v>
      </c>
      <c r="D10196" t="str">
        <f>VLOOKUP(C10196,'lookup table'!$A$2:$B$19,2,FALSE)</f>
        <v>BBA Set</v>
      </c>
      <c r="E10196" t="str">
        <f t="shared" si="159"/>
        <v>LE411_17|BBA Set</v>
      </c>
    </row>
    <row r="10197" spans="1:5" x14ac:dyDescent="0.2">
      <c r="A10197" t="s">
        <v>2597</v>
      </c>
      <c r="B10197" t="s">
        <v>2598</v>
      </c>
      <c r="C10197" t="s">
        <v>20</v>
      </c>
      <c r="D10197" t="str">
        <f>VLOOKUP(C10197,'lookup table'!$A$2:$B$19,2,FALSE)</f>
        <v>AY</v>
      </c>
      <c r="E10197" t="str">
        <f t="shared" si="159"/>
        <v>LE415_17|AY</v>
      </c>
    </row>
    <row r="10198" spans="1:5" x14ac:dyDescent="0.2">
      <c r="A10198" t="s">
        <v>2599</v>
      </c>
      <c r="B10198" t="s">
        <v>2600</v>
      </c>
      <c r="C10198" t="s">
        <v>20</v>
      </c>
      <c r="D10198" t="str">
        <f>VLOOKUP(C10198,'lookup table'!$A$2:$B$19,2,FALSE)</f>
        <v>AY</v>
      </c>
      <c r="E10198" t="str">
        <f t="shared" si="159"/>
        <v>LE416_17|AY</v>
      </c>
    </row>
    <row r="10199" spans="1:5" x14ac:dyDescent="0.2">
      <c r="A10199" t="s">
        <v>2601</v>
      </c>
      <c r="B10199" t="s">
        <v>2602</v>
      </c>
      <c r="C10199" t="s">
        <v>20</v>
      </c>
      <c r="D10199" t="str">
        <f>VLOOKUP(C10199,'lookup table'!$A$2:$B$19,2,FALSE)</f>
        <v>AY</v>
      </c>
      <c r="E10199" t="str">
        <f t="shared" si="159"/>
        <v>LE418_17|AY</v>
      </c>
    </row>
    <row r="10200" spans="1:5" x14ac:dyDescent="0.2">
      <c r="A10200" t="s">
        <v>2603</v>
      </c>
      <c r="B10200" t="s">
        <v>2604</v>
      </c>
      <c r="C10200" t="s">
        <v>20</v>
      </c>
      <c r="D10200" t="str">
        <f>VLOOKUP(C10200,'lookup table'!$A$2:$B$19,2,FALSE)</f>
        <v>AY</v>
      </c>
      <c r="E10200" t="str">
        <f t="shared" si="159"/>
        <v>LE419_17|AY</v>
      </c>
    </row>
    <row r="10201" spans="1:5" x14ac:dyDescent="0.2">
      <c r="A10201" t="s">
        <v>2605</v>
      </c>
      <c r="B10201" t="s">
        <v>2606</v>
      </c>
      <c r="C10201" t="s">
        <v>20</v>
      </c>
      <c r="D10201" t="str">
        <f>VLOOKUP(C10201,'lookup table'!$A$2:$B$19,2,FALSE)</f>
        <v>AY</v>
      </c>
      <c r="E10201" t="str">
        <f t="shared" si="159"/>
        <v>LE421_00|AY</v>
      </c>
    </row>
    <row r="10202" spans="1:5" x14ac:dyDescent="0.2">
      <c r="A10202" t="s">
        <v>2607</v>
      </c>
      <c r="B10202" t="s">
        <v>2608</v>
      </c>
      <c r="C10202" t="s">
        <v>20</v>
      </c>
      <c r="D10202" t="str">
        <f>VLOOKUP(C10202,'lookup table'!$A$2:$B$19,2,FALSE)</f>
        <v>AY</v>
      </c>
      <c r="E10202" t="str">
        <f t="shared" si="159"/>
        <v>LE421_17|AY</v>
      </c>
    </row>
    <row r="10203" spans="1:5" x14ac:dyDescent="0.2">
      <c r="A10203" t="s">
        <v>2609</v>
      </c>
      <c r="B10203" t="s">
        <v>2610</v>
      </c>
      <c r="C10203" t="s">
        <v>20</v>
      </c>
      <c r="D10203" t="str">
        <f>VLOOKUP(C10203,'lookup table'!$A$2:$B$19,2,FALSE)</f>
        <v>AY</v>
      </c>
      <c r="E10203" t="str">
        <f t="shared" si="159"/>
        <v>LE422_17|AY</v>
      </c>
    </row>
    <row r="10204" spans="1:5" x14ac:dyDescent="0.2">
      <c r="A10204" t="s">
        <v>2611</v>
      </c>
      <c r="B10204" t="s">
        <v>2612</v>
      </c>
      <c r="C10204" t="s">
        <v>20</v>
      </c>
      <c r="D10204" t="str">
        <f>VLOOKUP(C10204,'lookup table'!$A$2:$B$19,2,FALSE)</f>
        <v>AY</v>
      </c>
      <c r="E10204" t="str">
        <f t="shared" si="159"/>
        <v>LE423_17|AY</v>
      </c>
    </row>
    <row r="10205" spans="1:5" x14ac:dyDescent="0.2">
      <c r="A10205" t="s">
        <v>2613</v>
      </c>
      <c r="B10205" t="s">
        <v>2614</v>
      </c>
      <c r="C10205" t="s">
        <v>20</v>
      </c>
      <c r="D10205" t="str">
        <f>VLOOKUP(C10205,'lookup table'!$A$2:$B$19,2,FALSE)</f>
        <v>AY</v>
      </c>
      <c r="E10205" t="str">
        <f t="shared" si="159"/>
        <v>LE424_17|AY</v>
      </c>
    </row>
    <row r="10206" spans="1:5" x14ac:dyDescent="0.2">
      <c r="A10206" t="s">
        <v>2615</v>
      </c>
      <c r="B10206" t="s">
        <v>2616</v>
      </c>
      <c r="C10206" t="s">
        <v>20</v>
      </c>
      <c r="D10206" t="str">
        <f>VLOOKUP(C10206,'lookup table'!$A$2:$B$19,2,FALSE)</f>
        <v>AY</v>
      </c>
      <c r="E10206" t="str">
        <f t="shared" si="159"/>
        <v>LE425_17|AY</v>
      </c>
    </row>
    <row r="10207" spans="1:5" x14ac:dyDescent="0.2">
      <c r="A10207" t="s">
        <v>2617</v>
      </c>
      <c r="B10207" t="s">
        <v>2618</v>
      </c>
      <c r="C10207" t="s">
        <v>20</v>
      </c>
      <c r="D10207" t="str">
        <f>VLOOKUP(C10207,'lookup table'!$A$2:$B$19,2,FALSE)</f>
        <v>AY</v>
      </c>
      <c r="E10207" t="str">
        <f t="shared" si="159"/>
        <v>LE426_17|AY</v>
      </c>
    </row>
    <row r="10208" spans="1:5" x14ac:dyDescent="0.2">
      <c r="A10208" t="s">
        <v>2619</v>
      </c>
      <c r="B10208" t="s">
        <v>2620</v>
      </c>
      <c r="C10208" t="s">
        <v>20</v>
      </c>
      <c r="D10208" t="str">
        <f>VLOOKUP(C10208,'lookup table'!$A$2:$B$19,2,FALSE)</f>
        <v>AY</v>
      </c>
      <c r="E10208" t="str">
        <f t="shared" si="159"/>
        <v>LE427_17|AY</v>
      </c>
    </row>
    <row r="10209" spans="1:5" x14ac:dyDescent="0.2">
      <c r="A10209" t="s">
        <v>2621</v>
      </c>
      <c r="B10209" t="s">
        <v>2622</v>
      </c>
      <c r="C10209" t="s">
        <v>331</v>
      </c>
      <c r="D10209" t="str">
        <f>VLOOKUP(C10209,'lookup table'!$A$2:$B$19,2,FALSE)</f>
        <v>FS Item</v>
      </c>
      <c r="E10209" t="str">
        <f t="shared" si="159"/>
        <v>LE607_00|FS Item</v>
      </c>
    </row>
    <row r="10210" spans="1:5" x14ac:dyDescent="0.2">
      <c r="A10210" t="s">
        <v>2621</v>
      </c>
      <c r="B10210" t="s">
        <v>2622</v>
      </c>
      <c r="C10210" t="s">
        <v>423</v>
      </c>
      <c r="D10210" t="str">
        <f>VLOOKUP(C10210,'lookup table'!$A$2:$B$19,2,FALSE)</f>
        <v>ignore</v>
      </c>
      <c r="E10210" t="str">
        <f t="shared" si="159"/>
        <v>LE607_00|ignore</v>
      </c>
    </row>
    <row r="10211" spans="1:5" x14ac:dyDescent="0.2">
      <c r="A10211" t="s">
        <v>2621</v>
      </c>
      <c r="B10211" t="s">
        <v>2622</v>
      </c>
      <c r="C10211" t="s">
        <v>438</v>
      </c>
      <c r="D10211" t="str">
        <f>VLOOKUP(C10211,'lookup table'!$A$2:$B$19,2,FALSE)</f>
        <v>ToM</v>
      </c>
      <c r="E10211" t="str">
        <f t="shared" si="159"/>
        <v>LE607_00|ToM</v>
      </c>
    </row>
    <row r="10212" spans="1:5" x14ac:dyDescent="0.2">
      <c r="A10212" t="s">
        <v>2623</v>
      </c>
      <c r="B10212" t="s">
        <v>2624</v>
      </c>
      <c r="C10212" t="s">
        <v>136</v>
      </c>
      <c r="D10212" t="str">
        <f>VLOOKUP(C10212,'lookup table'!$A$2:$B$19,2,FALSE)</f>
        <v>BBA Set</v>
      </c>
      <c r="E10212" t="str">
        <f t="shared" si="159"/>
        <v>LR001_17|BBA Set</v>
      </c>
    </row>
    <row r="10213" spans="1:5" x14ac:dyDescent="0.2">
      <c r="A10213" t="s">
        <v>2625</v>
      </c>
      <c r="B10213" t="s">
        <v>2626</v>
      </c>
      <c r="C10213" t="s">
        <v>136</v>
      </c>
      <c r="D10213" t="str">
        <f>VLOOKUP(C10213,'lookup table'!$A$2:$B$19,2,FALSE)</f>
        <v>BBA Set</v>
      </c>
      <c r="E10213" t="str">
        <f t="shared" si="159"/>
        <v>LR002_17|BBA Set</v>
      </c>
    </row>
    <row r="10214" spans="1:5" x14ac:dyDescent="0.2">
      <c r="A10214" t="s">
        <v>2627</v>
      </c>
      <c r="B10214" t="s">
        <v>2628</v>
      </c>
      <c r="C10214" t="s">
        <v>428</v>
      </c>
      <c r="D10214" t="str">
        <f>VLOOKUP(C10214,'lookup table'!$A$2:$B$19,2,FALSE)</f>
        <v>LoB</v>
      </c>
      <c r="E10214" t="str">
        <f t="shared" si="159"/>
        <v>LR003_60|LoB</v>
      </c>
    </row>
    <row r="10215" spans="1:5" x14ac:dyDescent="0.2">
      <c r="A10215" t="s">
        <v>2629</v>
      </c>
      <c r="B10215" t="s">
        <v>2630</v>
      </c>
      <c r="C10215" t="s">
        <v>136</v>
      </c>
      <c r="D10215" t="str">
        <f>VLOOKUP(C10215,'lookup table'!$A$2:$B$19,2,FALSE)</f>
        <v>BBA Set</v>
      </c>
      <c r="E10215" t="str">
        <f t="shared" si="159"/>
        <v>LR004_17|BBA Set</v>
      </c>
    </row>
    <row r="10216" spans="1:5" x14ac:dyDescent="0.2">
      <c r="A10216" t="s">
        <v>2631</v>
      </c>
      <c r="B10216" t="s">
        <v>2632</v>
      </c>
      <c r="C10216" t="s">
        <v>428</v>
      </c>
      <c r="D10216" t="str">
        <f>VLOOKUP(C10216,'lookup table'!$A$2:$B$19,2,FALSE)</f>
        <v>LoB</v>
      </c>
      <c r="E10216" t="str">
        <f t="shared" si="159"/>
        <v>LR005_60|LoB</v>
      </c>
    </row>
    <row r="10217" spans="1:5" x14ac:dyDescent="0.2">
      <c r="A10217" t="s">
        <v>2633</v>
      </c>
      <c r="B10217" t="s">
        <v>2634</v>
      </c>
      <c r="C10217" t="s">
        <v>136</v>
      </c>
      <c r="D10217" t="str">
        <f>VLOOKUP(C10217,'lookup table'!$A$2:$B$19,2,FALSE)</f>
        <v>BBA Set</v>
      </c>
      <c r="E10217" t="str">
        <f t="shared" si="159"/>
        <v>LR006_17|BBA Set</v>
      </c>
    </row>
    <row r="10218" spans="1:5" x14ac:dyDescent="0.2">
      <c r="A10218" t="s">
        <v>2635</v>
      </c>
      <c r="B10218" t="s">
        <v>2636</v>
      </c>
      <c r="C10218" t="s">
        <v>136</v>
      </c>
      <c r="D10218" t="str">
        <f>VLOOKUP(C10218,'lookup table'!$A$2:$B$19,2,FALSE)</f>
        <v>BBA Set</v>
      </c>
      <c r="E10218" t="str">
        <f t="shared" si="159"/>
        <v>LR007_17|BBA Set</v>
      </c>
    </row>
    <row r="10219" spans="1:5" x14ac:dyDescent="0.2">
      <c r="A10219" t="s">
        <v>2637</v>
      </c>
      <c r="B10219" t="s">
        <v>2638</v>
      </c>
      <c r="C10219" t="s">
        <v>136</v>
      </c>
      <c r="D10219" t="str">
        <f>VLOOKUP(C10219,'lookup table'!$A$2:$B$19,2,FALSE)</f>
        <v>BBA Set</v>
      </c>
      <c r="E10219" t="str">
        <f t="shared" si="159"/>
        <v>LR008_17|BBA Set</v>
      </c>
    </row>
    <row r="10220" spans="1:5" x14ac:dyDescent="0.2">
      <c r="A10220" t="s">
        <v>2639</v>
      </c>
      <c r="B10220" t="s">
        <v>2640</v>
      </c>
      <c r="C10220" t="s">
        <v>136</v>
      </c>
      <c r="D10220" t="str">
        <f>VLOOKUP(C10220,'lookup table'!$A$2:$B$19,2,FALSE)</f>
        <v>BBA Set</v>
      </c>
      <c r="E10220" t="str">
        <f t="shared" si="159"/>
        <v>LR009_17|BBA Set</v>
      </c>
    </row>
    <row r="10221" spans="1:5" x14ac:dyDescent="0.2">
      <c r="A10221" t="s">
        <v>2641</v>
      </c>
      <c r="B10221" t="s">
        <v>2642</v>
      </c>
      <c r="C10221" t="s">
        <v>136</v>
      </c>
      <c r="D10221" t="str">
        <f>VLOOKUP(C10221,'lookup table'!$A$2:$B$19,2,FALSE)</f>
        <v>BBA Set</v>
      </c>
      <c r="E10221" t="str">
        <f t="shared" si="159"/>
        <v>LR010_17|BBA Set</v>
      </c>
    </row>
    <row r="10222" spans="1:5" x14ac:dyDescent="0.2">
      <c r="A10222" t="s">
        <v>2643</v>
      </c>
      <c r="B10222" t="s">
        <v>2644</v>
      </c>
      <c r="C10222" t="s">
        <v>428</v>
      </c>
      <c r="D10222" t="str">
        <f>VLOOKUP(C10222,'lookup table'!$A$2:$B$19,2,FALSE)</f>
        <v>LoB</v>
      </c>
      <c r="E10222" t="str">
        <f t="shared" si="159"/>
        <v>LR014_60|LoB</v>
      </c>
    </row>
    <row r="10223" spans="1:5" x14ac:dyDescent="0.2">
      <c r="A10223" t="s">
        <v>2645</v>
      </c>
      <c r="B10223" t="s">
        <v>2646</v>
      </c>
      <c r="C10223" t="s">
        <v>136</v>
      </c>
      <c r="D10223" t="str">
        <f>VLOOKUP(C10223,'lookup table'!$A$2:$B$19,2,FALSE)</f>
        <v>BBA Set</v>
      </c>
      <c r="E10223" t="str">
        <f t="shared" si="159"/>
        <v>LR016_17|BBA Set</v>
      </c>
    </row>
    <row r="10224" spans="1:5" x14ac:dyDescent="0.2">
      <c r="A10224" t="s">
        <v>2647</v>
      </c>
      <c r="B10224" t="s">
        <v>2648</v>
      </c>
      <c r="C10224" t="s">
        <v>136</v>
      </c>
      <c r="D10224" t="str">
        <f>VLOOKUP(C10224,'lookup table'!$A$2:$B$19,2,FALSE)</f>
        <v>BBA Set</v>
      </c>
      <c r="E10224" t="str">
        <f t="shared" si="159"/>
        <v>LR017_17|BBA Set</v>
      </c>
    </row>
    <row r="10225" spans="1:5" x14ac:dyDescent="0.2">
      <c r="A10225" t="s">
        <v>2649</v>
      </c>
      <c r="B10225" t="s">
        <v>2650</v>
      </c>
      <c r="C10225" t="s">
        <v>136</v>
      </c>
      <c r="D10225" t="str">
        <f>VLOOKUP(C10225,'lookup table'!$A$2:$B$19,2,FALSE)</f>
        <v>BBA Set</v>
      </c>
      <c r="E10225" t="str">
        <f t="shared" si="159"/>
        <v>LR018_17|BBA Set</v>
      </c>
    </row>
    <row r="10226" spans="1:5" x14ac:dyDescent="0.2">
      <c r="A10226" t="s">
        <v>2651</v>
      </c>
      <c r="B10226" t="s">
        <v>2652</v>
      </c>
      <c r="C10226" t="s">
        <v>136</v>
      </c>
      <c r="D10226" t="str">
        <f>VLOOKUP(C10226,'lookup table'!$A$2:$B$19,2,FALSE)</f>
        <v>BBA Set</v>
      </c>
      <c r="E10226" t="str">
        <f t="shared" si="159"/>
        <v>LR019_17|BBA Set</v>
      </c>
    </row>
    <row r="10227" spans="1:5" x14ac:dyDescent="0.2">
      <c r="A10227" t="s">
        <v>2653</v>
      </c>
      <c r="B10227" t="s">
        <v>2654</v>
      </c>
      <c r="C10227" t="s">
        <v>136</v>
      </c>
      <c r="D10227" t="str">
        <f>VLOOKUP(C10227,'lookup table'!$A$2:$B$19,2,FALSE)</f>
        <v>BBA Set</v>
      </c>
      <c r="E10227" t="str">
        <f t="shared" si="159"/>
        <v>LR020_17|BBA Set</v>
      </c>
    </row>
    <row r="10228" spans="1:5" x14ac:dyDescent="0.2">
      <c r="A10228" t="s">
        <v>2655</v>
      </c>
      <c r="B10228" t="s">
        <v>2656</v>
      </c>
      <c r="C10228" t="s">
        <v>136</v>
      </c>
      <c r="D10228" t="str">
        <f>VLOOKUP(C10228,'lookup table'!$A$2:$B$19,2,FALSE)</f>
        <v>BBA Set</v>
      </c>
      <c r="E10228" t="str">
        <f t="shared" si="159"/>
        <v>LR021_17|BBA Set</v>
      </c>
    </row>
    <row r="10229" spans="1:5" x14ac:dyDescent="0.2">
      <c r="A10229" t="s">
        <v>2657</v>
      </c>
      <c r="B10229" t="s">
        <v>2658</v>
      </c>
      <c r="C10229" t="s">
        <v>136</v>
      </c>
      <c r="D10229" t="str">
        <f>VLOOKUP(C10229,'lookup table'!$A$2:$B$19,2,FALSE)</f>
        <v>BBA Set</v>
      </c>
      <c r="E10229" t="str">
        <f t="shared" si="159"/>
        <v>LR022_17|BBA Set</v>
      </c>
    </row>
    <row r="10230" spans="1:5" x14ac:dyDescent="0.2">
      <c r="A10230" t="s">
        <v>2659</v>
      </c>
      <c r="B10230" t="s">
        <v>2660</v>
      </c>
      <c r="C10230" t="s">
        <v>136</v>
      </c>
      <c r="D10230" t="str">
        <f>VLOOKUP(C10230,'lookup table'!$A$2:$B$19,2,FALSE)</f>
        <v>BBA Set</v>
      </c>
      <c r="E10230" t="str">
        <f t="shared" si="159"/>
        <v>LR023_17|BBA Set</v>
      </c>
    </row>
    <row r="10231" spans="1:5" x14ac:dyDescent="0.2">
      <c r="A10231" t="s">
        <v>2661</v>
      </c>
      <c r="B10231" t="s">
        <v>2662</v>
      </c>
      <c r="C10231" t="s">
        <v>136</v>
      </c>
      <c r="D10231" t="str">
        <f>VLOOKUP(C10231,'lookup table'!$A$2:$B$19,2,FALSE)</f>
        <v>BBA Set</v>
      </c>
      <c r="E10231" t="str">
        <f t="shared" si="159"/>
        <v>LR024_17|BBA Set</v>
      </c>
    </row>
    <row r="10232" spans="1:5" x14ac:dyDescent="0.2">
      <c r="A10232" t="s">
        <v>2663</v>
      </c>
      <c r="B10232" t="s">
        <v>2664</v>
      </c>
      <c r="C10232" t="s">
        <v>136</v>
      </c>
      <c r="D10232" t="str">
        <f>VLOOKUP(C10232,'lookup table'!$A$2:$B$19,2,FALSE)</f>
        <v>BBA Set</v>
      </c>
      <c r="E10232" t="str">
        <f t="shared" si="159"/>
        <v>LR025_17|BBA Set</v>
      </c>
    </row>
    <row r="10233" spans="1:5" x14ac:dyDescent="0.2">
      <c r="A10233" t="s">
        <v>2665</v>
      </c>
      <c r="B10233" t="s">
        <v>2666</v>
      </c>
      <c r="C10233" t="s">
        <v>136</v>
      </c>
      <c r="D10233" t="str">
        <f>VLOOKUP(C10233,'lookup table'!$A$2:$B$19,2,FALSE)</f>
        <v>BBA Set</v>
      </c>
      <c r="E10233" t="str">
        <f t="shared" si="159"/>
        <v>LR026_17|BBA Set</v>
      </c>
    </row>
    <row r="10234" spans="1:5" x14ac:dyDescent="0.2">
      <c r="A10234" t="s">
        <v>2667</v>
      </c>
      <c r="B10234" t="s">
        <v>2668</v>
      </c>
      <c r="C10234" t="s">
        <v>136</v>
      </c>
      <c r="D10234" t="str">
        <f>VLOOKUP(C10234,'lookup table'!$A$2:$B$19,2,FALSE)</f>
        <v>BBA Set</v>
      </c>
      <c r="E10234" t="str">
        <f t="shared" si="159"/>
        <v>LR027_17|BBA Set</v>
      </c>
    </row>
    <row r="10235" spans="1:5" x14ac:dyDescent="0.2">
      <c r="A10235" t="s">
        <v>2669</v>
      </c>
      <c r="B10235" t="s">
        <v>2670</v>
      </c>
      <c r="C10235" t="s">
        <v>136</v>
      </c>
      <c r="D10235" t="str">
        <f>VLOOKUP(C10235,'lookup table'!$A$2:$B$19,2,FALSE)</f>
        <v>BBA Set</v>
      </c>
      <c r="E10235" t="str">
        <f t="shared" si="159"/>
        <v>LR028_17|BBA Set</v>
      </c>
    </row>
    <row r="10236" spans="1:5" x14ac:dyDescent="0.2">
      <c r="A10236" t="s">
        <v>2671</v>
      </c>
      <c r="B10236" t="s">
        <v>2672</v>
      </c>
      <c r="C10236" t="s">
        <v>136</v>
      </c>
      <c r="D10236" t="str">
        <f>VLOOKUP(C10236,'lookup table'!$A$2:$B$19,2,FALSE)</f>
        <v>BBA Set</v>
      </c>
      <c r="E10236" t="str">
        <f t="shared" si="159"/>
        <v>LR030_17|BBA Set</v>
      </c>
    </row>
    <row r="10237" spans="1:5" x14ac:dyDescent="0.2">
      <c r="A10237" t="s">
        <v>2673</v>
      </c>
      <c r="B10237" t="s">
        <v>2674</v>
      </c>
      <c r="C10237" t="s">
        <v>136</v>
      </c>
      <c r="D10237" t="str">
        <f>VLOOKUP(C10237,'lookup table'!$A$2:$B$19,2,FALSE)</f>
        <v>BBA Set</v>
      </c>
      <c r="E10237" t="str">
        <f t="shared" si="159"/>
        <v>LR031_17|BBA Set</v>
      </c>
    </row>
    <row r="10238" spans="1:5" x14ac:dyDescent="0.2">
      <c r="A10238" t="s">
        <v>2675</v>
      </c>
      <c r="B10238" t="s">
        <v>2676</v>
      </c>
      <c r="C10238" t="s">
        <v>136</v>
      </c>
      <c r="D10238" t="str">
        <f>VLOOKUP(C10238,'lookup table'!$A$2:$B$19,2,FALSE)</f>
        <v>BBA Set</v>
      </c>
      <c r="E10238" t="str">
        <f t="shared" si="159"/>
        <v>LR032_17|BBA Set</v>
      </c>
    </row>
    <row r="10239" spans="1:5" x14ac:dyDescent="0.2">
      <c r="A10239" t="s">
        <v>2677</v>
      </c>
      <c r="B10239" t="s">
        <v>2678</v>
      </c>
      <c r="C10239" t="s">
        <v>428</v>
      </c>
      <c r="D10239" t="str">
        <f>VLOOKUP(C10239,'lookup table'!$A$2:$B$19,2,FALSE)</f>
        <v>LoB</v>
      </c>
      <c r="E10239" t="str">
        <f t="shared" si="159"/>
        <v>LR034_60|LoB</v>
      </c>
    </row>
    <row r="10240" spans="1:5" x14ac:dyDescent="0.2">
      <c r="A10240" t="s">
        <v>2679</v>
      </c>
      <c r="B10240" t="s">
        <v>2680</v>
      </c>
      <c r="C10240" t="s">
        <v>428</v>
      </c>
      <c r="D10240" t="str">
        <f>VLOOKUP(C10240,'lookup table'!$A$2:$B$19,2,FALSE)</f>
        <v>LoB</v>
      </c>
      <c r="E10240" t="str">
        <f t="shared" si="159"/>
        <v>LR035_60|LoB</v>
      </c>
    </row>
    <row r="10241" spans="1:5" x14ac:dyDescent="0.2">
      <c r="A10241" t="s">
        <v>2681</v>
      </c>
      <c r="B10241" t="s">
        <v>2682</v>
      </c>
      <c r="C10241" t="s">
        <v>428</v>
      </c>
      <c r="D10241" t="str">
        <f>VLOOKUP(C10241,'lookup table'!$A$2:$B$19,2,FALSE)</f>
        <v>LoB</v>
      </c>
      <c r="E10241" t="str">
        <f t="shared" si="159"/>
        <v>LR040_60|LoB</v>
      </c>
    </row>
    <row r="10242" spans="1:5" x14ac:dyDescent="0.2">
      <c r="A10242" t="s">
        <v>2683</v>
      </c>
      <c r="B10242" t="s">
        <v>2684</v>
      </c>
      <c r="C10242" t="s">
        <v>428</v>
      </c>
      <c r="D10242" t="str">
        <f>VLOOKUP(C10242,'lookup table'!$A$2:$B$19,2,FALSE)</f>
        <v>LoB</v>
      </c>
      <c r="E10242" t="str">
        <f t="shared" si="159"/>
        <v>LR041_60|LoB</v>
      </c>
    </row>
    <row r="10243" spans="1:5" x14ac:dyDescent="0.2">
      <c r="A10243" t="s">
        <v>2685</v>
      </c>
      <c r="B10243" t="s">
        <v>2686</v>
      </c>
      <c r="C10243" t="s">
        <v>136</v>
      </c>
      <c r="D10243" t="str">
        <f>VLOOKUP(C10243,'lookup table'!$A$2:$B$19,2,FALSE)</f>
        <v>BBA Set</v>
      </c>
      <c r="E10243" t="str">
        <f t="shared" ref="E10243:E10306" si="160">IF(ISNA(D10243),"",IF(A10243="","",A10243) &amp; "|" &amp; D10243)</f>
        <v>LR043_17|BBA Set</v>
      </c>
    </row>
    <row r="10244" spans="1:5" x14ac:dyDescent="0.2">
      <c r="A10244" t="s">
        <v>2687</v>
      </c>
      <c r="B10244" t="s">
        <v>2688</v>
      </c>
      <c r="C10244" t="s">
        <v>136</v>
      </c>
      <c r="D10244" t="str">
        <f>VLOOKUP(C10244,'lookup table'!$A$2:$B$19,2,FALSE)</f>
        <v>BBA Set</v>
      </c>
      <c r="E10244" t="str">
        <f t="shared" si="160"/>
        <v>LR044_17|BBA Set</v>
      </c>
    </row>
    <row r="10245" spans="1:5" x14ac:dyDescent="0.2">
      <c r="A10245" t="s">
        <v>2689</v>
      </c>
      <c r="B10245" t="s">
        <v>2690</v>
      </c>
      <c r="C10245" t="s">
        <v>136</v>
      </c>
      <c r="D10245" t="str">
        <f>VLOOKUP(C10245,'lookup table'!$A$2:$B$19,2,FALSE)</f>
        <v>BBA Set</v>
      </c>
      <c r="E10245" t="str">
        <f t="shared" si="160"/>
        <v>LR045_17|BBA Set</v>
      </c>
    </row>
    <row r="10246" spans="1:5" x14ac:dyDescent="0.2">
      <c r="A10246" t="s">
        <v>2691</v>
      </c>
      <c r="B10246" t="s">
        <v>166</v>
      </c>
      <c r="C10246" t="s">
        <v>136</v>
      </c>
      <c r="D10246" t="str">
        <f>VLOOKUP(C10246,'lookup table'!$A$2:$B$19,2,FALSE)</f>
        <v>BBA Set</v>
      </c>
      <c r="E10246" t="str">
        <f t="shared" si="160"/>
        <v>LR046_17|BBA Set</v>
      </c>
    </row>
    <row r="10247" spans="1:5" x14ac:dyDescent="0.2">
      <c r="A10247" t="s">
        <v>2692</v>
      </c>
      <c r="B10247" t="s">
        <v>2693</v>
      </c>
      <c r="C10247" t="s">
        <v>331</v>
      </c>
      <c r="D10247" t="str">
        <f>VLOOKUP(C10247,'lookup table'!$A$2:$B$19,2,FALSE)</f>
        <v>FS Item</v>
      </c>
      <c r="E10247" t="str">
        <f t="shared" si="160"/>
        <v>LR047_17|FS Item</v>
      </c>
    </row>
    <row r="10248" spans="1:5" x14ac:dyDescent="0.2">
      <c r="A10248" t="s">
        <v>2692</v>
      </c>
      <c r="B10248" t="s">
        <v>2693</v>
      </c>
      <c r="C10248" t="s">
        <v>423</v>
      </c>
      <c r="D10248" t="str">
        <f>VLOOKUP(C10248,'lookup table'!$A$2:$B$19,2,FALSE)</f>
        <v>ignore</v>
      </c>
      <c r="E10248" t="str">
        <f t="shared" si="160"/>
        <v>LR047_17|ignore</v>
      </c>
    </row>
    <row r="10249" spans="1:5" x14ac:dyDescent="0.2">
      <c r="A10249" t="s">
        <v>2692</v>
      </c>
      <c r="B10249" t="s">
        <v>2693</v>
      </c>
      <c r="C10249" t="s">
        <v>438</v>
      </c>
      <c r="D10249" t="str">
        <f>VLOOKUP(C10249,'lookup table'!$A$2:$B$19,2,FALSE)</f>
        <v>ToM</v>
      </c>
      <c r="E10249" t="str">
        <f t="shared" si="160"/>
        <v>LR047_17|ToM</v>
      </c>
    </row>
    <row r="10250" spans="1:5" x14ac:dyDescent="0.2">
      <c r="A10250" t="s">
        <v>2694</v>
      </c>
      <c r="B10250" t="s">
        <v>391</v>
      </c>
      <c r="C10250" t="s">
        <v>331</v>
      </c>
      <c r="D10250" t="str">
        <f>VLOOKUP(C10250,'lookup table'!$A$2:$B$19,2,FALSE)</f>
        <v>FS Item</v>
      </c>
      <c r="E10250" t="str">
        <f t="shared" si="160"/>
        <v>LR048_17|FS Item</v>
      </c>
    </row>
    <row r="10251" spans="1:5" x14ac:dyDescent="0.2">
      <c r="A10251" t="s">
        <v>2694</v>
      </c>
      <c r="B10251" t="s">
        <v>391</v>
      </c>
      <c r="C10251" t="s">
        <v>423</v>
      </c>
      <c r="D10251" t="str">
        <f>VLOOKUP(C10251,'lookup table'!$A$2:$B$19,2,FALSE)</f>
        <v>ignore</v>
      </c>
      <c r="E10251" t="str">
        <f t="shared" si="160"/>
        <v>LR048_17|ignore</v>
      </c>
    </row>
    <row r="10252" spans="1:5" x14ac:dyDescent="0.2">
      <c r="A10252" t="s">
        <v>2694</v>
      </c>
      <c r="B10252" t="s">
        <v>391</v>
      </c>
      <c r="C10252" t="s">
        <v>428</v>
      </c>
      <c r="D10252" t="str">
        <f>VLOOKUP(C10252,'lookup table'!$A$2:$B$19,2,FALSE)</f>
        <v>LoB</v>
      </c>
      <c r="E10252" t="str">
        <f t="shared" si="160"/>
        <v>LR048_17|LoB</v>
      </c>
    </row>
    <row r="10253" spans="1:5" x14ac:dyDescent="0.2">
      <c r="A10253" t="s">
        <v>2694</v>
      </c>
      <c r="B10253" t="s">
        <v>391</v>
      </c>
      <c r="C10253" t="s">
        <v>438</v>
      </c>
      <c r="D10253" t="str">
        <f>VLOOKUP(C10253,'lookup table'!$A$2:$B$19,2,FALSE)</f>
        <v>ToM</v>
      </c>
      <c r="E10253" t="str">
        <f t="shared" si="160"/>
        <v>LR048_17|ToM</v>
      </c>
    </row>
    <row r="10254" spans="1:5" x14ac:dyDescent="0.2">
      <c r="A10254" t="s">
        <v>2694</v>
      </c>
      <c r="B10254" t="s">
        <v>391</v>
      </c>
      <c r="C10254" t="s">
        <v>451</v>
      </c>
      <c r="D10254" t="str">
        <f>VLOOKUP(C10254,'lookup table'!$A$2:$B$19,2,FALSE)</f>
        <v>Segment</v>
      </c>
      <c r="E10254" t="str">
        <f t="shared" si="160"/>
        <v>LR048_17|Segment</v>
      </c>
    </row>
    <row r="10255" spans="1:5" x14ac:dyDescent="0.2">
      <c r="A10255" t="s">
        <v>2695</v>
      </c>
      <c r="B10255" t="s">
        <v>167</v>
      </c>
      <c r="C10255" t="s">
        <v>136</v>
      </c>
      <c r="D10255" t="str">
        <f>VLOOKUP(C10255,'lookup table'!$A$2:$B$19,2,FALSE)</f>
        <v>BBA Set</v>
      </c>
      <c r="E10255" t="str">
        <f t="shared" si="160"/>
        <v>LR049_17|BBA Set</v>
      </c>
    </row>
    <row r="10256" spans="1:5" x14ac:dyDescent="0.2">
      <c r="A10256" t="s">
        <v>2696</v>
      </c>
      <c r="B10256" t="s">
        <v>168</v>
      </c>
      <c r="C10256" t="s">
        <v>136</v>
      </c>
      <c r="D10256" t="str">
        <f>VLOOKUP(C10256,'lookup table'!$A$2:$B$19,2,FALSE)</f>
        <v>BBA Set</v>
      </c>
      <c r="E10256" t="str">
        <f t="shared" si="160"/>
        <v>LR050_17|BBA Set</v>
      </c>
    </row>
    <row r="10257" spans="1:5" x14ac:dyDescent="0.2">
      <c r="A10257" t="s">
        <v>2697</v>
      </c>
      <c r="B10257" t="s">
        <v>177</v>
      </c>
      <c r="C10257" t="s">
        <v>136</v>
      </c>
      <c r="D10257" t="str">
        <f>VLOOKUP(C10257,'lookup table'!$A$2:$B$19,2,FALSE)</f>
        <v>BBA Set</v>
      </c>
      <c r="E10257" t="str">
        <f t="shared" si="160"/>
        <v>LR051_17|BBA Set</v>
      </c>
    </row>
    <row r="10258" spans="1:5" x14ac:dyDescent="0.2">
      <c r="A10258" t="s">
        <v>2698</v>
      </c>
      <c r="B10258" t="s">
        <v>178</v>
      </c>
      <c r="C10258" t="s">
        <v>136</v>
      </c>
      <c r="D10258" t="str">
        <f>VLOOKUP(C10258,'lookup table'!$A$2:$B$19,2,FALSE)</f>
        <v>BBA Set</v>
      </c>
      <c r="E10258" t="str">
        <f t="shared" si="160"/>
        <v>LR052_17|BBA Set</v>
      </c>
    </row>
    <row r="10259" spans="1:5" x14ac:dyDescent="0.2">
      <c r="A10259" t="s">
        <v>2699</v>
      </c>
      <c r="B10259" t="s">
        <v>179</v>
      </c>
      <c r="C10259" t="s">
        <v>136</v>
      </c>
      <c r="D10259" t="str">
        <f>VLOOKUP(C10259,'lookup table'!$A$2:$B$19,2,FALSE)</f>
        <v>BBA Set</v>
      </c>
      <c r="E10259" t="str">
        <f t="shared" si="160"/>
        <v>LR053_17|BBA Set</v>
      </c>
    </row>
    <row r="10260" spans="1:5" x14ac:dyDescent="0.2">
      <c r="A10260" t="s">
        <v>2700</v>
      </c>
      <c r="B10260" t="s">
        <v>180</v>
      </c>
      <c r="C10260" t="s">
        <v>136</v>
      </c>
      <c r="D10260" t="str">
        <f>VLOOKUP(C10260,'lookup table'!$A$2:$B$19,2,FALSE)</f>
        <v>BBA Set</v>
      </c>
      <c r="E10260" t="str">
        <f t="shared" si="160"/>
        <v>LR054_17|BBA Set</v>
      </c>
    </row>
    <row r="10261" spans="1:5" x14ac:dyDescent="0.2">
      <c r="A10261" t="s">
        <v>2701</v>
      </c>
      <c r="B10261" t="s">
        <v>181</v>
      </c>
      <c r="C10261" t="s">
        <v>136</v>
      </c>
      <c r="D10261" t="str">
        <f>VLOOKUP(C10261,'lookup table'!$A$2:$B$19,2,FALSE)</f>
        <v>BBA Set</v>
      </c>
      <c r="E10261" t="str">
        <f t="shared" si="160"/>
        <v>LR055_17|BBA Set</v>
      </c>
    </row>
    <row r="10262" spans="1:5" x14ac:dyDescent="0.2">
      <c r="A10262" t="s">
        <v>2702</v>
      </c>
      <c r="B10262" t="s">
        <v>182</v>
      </c>
      <c r="C10262" t="s">
        <v>136</v>
      </c>
      <c r="D10262" t="str">
        <f>VLOOKUP(C10262,'lookup table'!$A$2:$B$19,2,FALSE)</f>
        <v>BBA Set</v>
      </c>
      <c r="E10262" t="str">
        <f t="shared" si="160"/>
        <v>LR056_17|BBA Set</v>
      </c>
    </row>
    <row r="10263" spans="1:5" x14ac:dyDescent="0.2">
      <c r="A10263" t="s">
        <v>2703</v>
      </c>
      <c r="B10263" t="s">
        <v>183</v>
      </c>
      <c r="C10263" t="s">
        <v>136</v>
      </c>
      <c r="D10263" t="str">
        <f>VLOOKUP(C10263,'lookup table'!$A$2:$B$19,2,FALSE)</f>
        <v>BBA Set</v>
      </c>
      <c r="E10263" t="str">
        <f t="shared" si="160"/>
        <v>LR057_17|BBA Set</v>
      </c>
    </row>
    <row r="10264" spans="1:5" x14ac:dyDescent="0.2">
      <c r="A10264" t="s">
        <v>2704</v>
      </c>
      <c r="B10264" t="s">
        <v>184</v>
      </c>
      <c r="C10264" t="s">
        <v>136</v>
      </c>
      <c r="D10264" t="str">
        <f>VLOOKUP(C10264,'lookup table'!$A$2:$B$19,2,FALSE)</f>
        <v>BBA Set</v>
      </c>
      <c r="E10264" t="str">
        <f t="shared" si="160"/>
        <v>LR058_17|BBA Set</v>
      </c>
    </row>
    <row r="10265" spans="1:5" x14ac:dyDescent="0.2">
      <c r="A10265" t="s">
        <v>2705</v>
      </c>
      <c r="B10265" t="s">
        <v>185</v>
      </c>
      <c r="C10265" t="s">
        <v>136</v>
      </c>
      <c r="D10265" t="str">
        <f>VLOOKUP(C10265,'lookup table'!$A$2:$B$19,2,FALSE)</f>
        <v>BBA Set</v>
      </c>
      <c r="E10265" t="str">
        <f t="shared" si="160"/>
        <v>LR059_17|BBA Set</v>
      </c>
    </row>
    <row r="10266" spans="1:5" x14ac:dyDescent="0.2">
      <c r="A10266" t="s">
        <v>2706</v>
      </c>
      <c r="B10266" t="s">
        <v>186</v>
      </c>
      <c r="C10266" t="s">
        <v>136</v>
      </c>
      <c r="D10266" t="str">
        <f>VLOOKUP(C10266,'lookup table'!$A$2:$B$19,2,FALSE)</f>
        <v>BBA Set</v>
      </c>
      <c r="E10266" t="str">
        <f t="shared" si="160"/>
        <v>LR060_17|BBA Set</v>
      </c>
    </row>
    <row r="10267" spans="1:5" x14ac:dyDescent="0.2">
      <c r="A10267" t="s">
        <v>2707</v>
      </c>
      <c r="B10267" t="s">
        <v>187</v>
      </c>
      <c r="C10267" t="s">
        <v>136</v>
      </c>
      <c r="D10267" t="str">
        <f>VLOOKUP(C10267,'lookup table'!$A$2:$B$19,2,FALSE)</f>
        <v>BBA Set</v>
      </c>
      <c r="E10267" t="str">
        <f t="shared" si="160"/>
        <v>LR061_17|BBA Set</v>
      </c>
    </row>
    <row r="10268" spans="1:5" x14ac:dyDescent="0.2">
      <c r="A10268" t="s">
        <v>2708</v>
      </c>
      <c r="B10268" t="s">
        <v>188</v>
      </c>
      <c r="C10268" t="s">
        <v>136</v>
      </c>
      <c r="D10268" t="str">
        <f>VLOOKUP(C10268,'lookup table'!$A$2:$B$19,2,FALSE)</f>
        <v>BBA Set</v>
      </c>
      <c r="E10268" t="str">
        <f t="shared" si="160"/>
        <v>LR062_17|BBA Set</v>
      </c>
    </row>
    <row r="10269" spans="1:5" x14ac:dyDescent="0.2">
      <c r="A10269" t="s">
        <v>2709</v>
      </c>
      <c r="B10269" t="s">
        <v>189</v>
      </c>
      <c r="C10269" t="s">
        <v>136</v>
      </c>
      <c r="D10269" t="str">
        <f>VLOOKUP(C10269,'lookup table'!$A$2:$B$19,2,FALSE)</f>
        <v>BBA Set</v>
      </c>
      <c r="E10269" t="str">
        <f t="shared" si="160"/>
        <v>LR063_17|BBA Set</v>
      </c>
    </row>
    <row r="10270" spans="1:5" x14ac:dyDescent="0.2">
      <c r="A10270" t="s">
        <v>2710</v>
      </c>
      <c r="B10270" t="s">
        <v>190</v>
      </c>
      <c r="C10270" t="s">
        <v>136</v>
      </c>
      <c r="D10270" t="str">
        <f>VLOOKUP(C10270,'lookup table'!$A$2:$B$19,2,FALSE)</f>
        <v>BBA Set</v>
      </c>
      <c r="E10270" t="str">
        <f t="shared" si="160"/>
        <v>LR064_17|BBA Set</v>
      </c>
    </row>
    <row r="10271" spans="1:5" x14ac:dyDescent="0.2">
      <c r="A10271" t="s">
        <v>2711</v>
      </c>
      <c r="B10271" t="s">
        <v>191</v>
      </c>
      <c r="C10271" t="s">
        <v>136</v>
      </c>
      <c r="D10271" t="str">
        <f>VLOOKUP(C10271,'lookup table'!$A$2:$B$19,2,FALSE)</f>
        <v>BBA Set</v>
      </c>
      <c r="E10271" t="str">
        <f t="shared" si="160"/>
        <v>LR065_17|BBA Set</v>
      </c>
    </row>
    <row r="10272" spans="1:5" x14ac:dyDescent="0.2">
      <c r="A10272" t="s">
        <v>2712</v>
      </c>
      <c r="B10272" t="s">
        <v>192</v>
      </c>
      <c r="C10272" t="s">
        <v>136</v>
      </c>
      <c r="D10272" t="str">
        <f>VLOOKUP(C10272,'lookup table'!$A$2:$B$19,2,FALSE)</f>
        <v>BBA Set</v>
      </c>
      <c r="E10272" t="str">
        <f t="shared" si="160"/>
        <v>LR066_17|BBA Set</v>
      </c>
    </row>
    <row r="10273" spans="1:5" x14ac:dyDescent="0.2">
      <c r="A10273" t="s">
        <v>2713</v>
      </c>
      <c r="B10273" t="s">
        <v>193</v>
      </c>
      <c r="C10273" t="s">
        <v>136</v>
      </c>
      <c r="D10273" t="str">
        <f>VLOOKUP(C10273,'lookup table'!$A$2:$B$19,2,FALSE)</f>
        <v>BBA Set</v>
      </c>
      <c r="E10273" t="str">
        <f t="shared" si="160"/>
        <v>LR067_17|BBA Set</v>
      </c>
    </row>
    <row r="10274" spans="1:5" x14ac:dyDescent="0.2">
      <c r="A10274" t="s">
        <v>2714</v>
      </c>
      <c r="B10274" t="s">
        <v>194</v>
      </c>
      <c r="C10274" t="s">
        <v>136</v>
      </c>
      <c r="D10274" t="str">
        <f>VLOOKUP(C10274,'lookup table'!$A$2:$B$19,2,FALSE)</f>
        <v>BBA Set</v>
      </c>
      <c r="E10274" t="str">
        <f t="shared" si="160"/>
        <v>LR068_17|BBA Set</v>
      </c>
    </row>
    <row r="10275" spans="1:5" x14ac:dyDescent="0.2">
      <c r="A10275" t="s">
        <v>2715</v>
      </c>
      <c r="B10275" t="s">
        <v>195</v>
      </c>
      <c r="C10275" t="s">
        <v>136</v>
      </c>
      <c r="D10275" t="str">
        <f>VLOOKUP(C10275,'lookup table'!$A$2:$B$19,2,FALSE)</f>
        <v>BBA Set</v>
      </c>
      <c r="E10275" t="str">
        <f t="shared" si="160"/>
        <v>LR069_17|BBA Set</v>
      </c>
    </row>
    <row r="10276" spans="1:5" x14ac:dyDescent="0.2">
      <c r="A10276" t="s">
        <v>2716</v>
      </c>
      <c r="B10276" t="s">
        <v>196</v>
      </c>
      <c r="C10276" t="s">
        <v>136</v>
      </c>
      <c r="D10276" t="str">
        <f>VLOOKUP(C10276,'lookup table'!$A$2:$B$19,2,FALSE)</f>
        <v>BBA Set</v>
      </c>
      <c r="E10276" t="str">
        <f t="shared" si="160"/>
        <v>LR070_17|BBA Set</v>
      </c>
    </row>
    <row r="10277" spans="1:5" x14ac:dyDescent="0.2">
      <c r="A10277" t="s">
        <v>2716</v>
      </c>
      <c r="B10277" t="s">
        <v>196</v>
      </c>
      <c r="C10277" t="s">
        <v>331</v>
      </c>
      <c r="D10277" t="str">
        <f>VLOOKUP(C10277,'lookup table'!$A$2:$B$19,2,FALSE)</f>
        <v>FS Item</v>
      </c>
      <c r="E10277" t="str">
        <f t="shared" si="160"/>
        <v>LR070_17|FS Item</v>
      </c>
    </row>
    <row r="10278" spans="1:5" x14ac:dyDescent="0.2">
      <c r="A10278" t="s">
        <v>2716</v>
      </c>
      <c r="B10278" t="s">
        <v>196</v>
      </c>
      <c r="C10278" t="s">
        <v>423</v>
      </c>
      <c r="D10278" t="str">
        <f>VLOOKUP(C10278,'lookup table'!$A$2:$B$19,2,FALSE)</f>
        <v>ignore</v>
      </c>
      <c r="E10278" t="str">
        <f t="shared" si="160"/>
        <v>LR070_17|ignore</v>
      </c>
    </row>
    <row r="10279" spans="1:5" x14ac:dyDescent="0.2">
      <c r="A10279" t="s">
        <v>2717</v>
      </c>
      <c r="B10279" t="s">
        <v>197</v>
      </c>
      <c r="C10279" t="s">
        <v>136</v>
      </c>
      <c r="D10279" t="str">
        <f>VLOOKUP(C10279,'lookup table'!$A$2:$B$19,2,FALSE)</f>
        <v>BBA Set</v>
      </c>
      <c r="E10279" t="str">
        <f t="shared" si="160"/>
        <v>LR071_17|BBA Set</v>
      </c>
    </row>
    <row r="10280" spans="1:5" x14ac:dyDescent="0.2">
      <c r="A10280" t="s">
        <v>2718</v>
      </c>
      <c r="B10280" t="s">
        <v>198</v>
      </c>
      <c r="C10280" t="s">
        <v>136</v>
      </c>
      <c r="D10280" t="str">
        <f>VLOOKUP(C10280,'lookup table'!$A$2:$B$19,2,FALSE)</f>
        <v>BBA Set</v>
      </c>
      <c r="E10280" t="str">
        <f t="shared" si="160"/>
        <v>LR072_17|BBA Set</v>
      </c>
    </row>
    <row r="10281" spans="1:5" x14ac:dyDescent="0.2">
      <c r="A10281" t="s">
        <v>2719</v>
      </c>
      <c r="B10281" t="s">
        <v>2720</v>
      </c>
      <c r="C10281" t="s">
        <v>136</v>
      </c>
      <c r="D10281" t="str">
        <f>VLOOKUP(C10281,'lookup table'!$A$2:$B$19,2,FALSE)</f>
        <v>BBA Set</v>
      </c>
      <c r="E10281" t="str">
        <f t="shared" si="160"/>
        <v>LR073_17|BBA Set</v>
      </c>
    </row>
    <row r="10282" spans="1:5" x14ac:dyDescent="0.2">
      <c r="A10282" t="s">
        <v>2721</v>
      </c>
      <c r="B10282" t="s">
        <v>2722</v>
      </c>
      <c r="C10282" t="s">
        <v>136</v>
      </c>
      <c r="D10282" t="str">
        <f>VLOOKUP(C10282,'lookup table'!$A$2:$B$19,2,FALSE)</f>
        <v>BBA Set</v>
      </c>
      <c r="E10282" t="str">
        <f t="shared" si="160"/>
        <v>LR074_17|BBA Set</v>
      </c>
    </row>
    <row r="10283" spans="1:5" x14ac:dyDescent="0.2">
      <c r="A10283" t="s">
        <v>2723</v>
      </c>
      <c r="B10283" t="s">
        <v>200</v>
      </c>
      <c r="C10283" t="s">
        <v>136</v>
      </c>
      <c r="D10283" t="str">
        <f>VLOOKUP(C10283,'lookup table'!$A$2:$B$19,2,FALSE)</f>
        <v>BBA Set</v>
      </c>
      <c r="E10283" t="str">
        <f t="shared" si="160"/>
        <v>LR076_17|BBA Set</v>
      </c>
    </row>
    <row r="10284" spans="1:5" x14ac:dyDescent="0.2">
      <c r="A10284" t="s">
        <v>2723</v>
      </c>
      <c r="B10284" t="s">
        <v>200</v>
      </c>
      <c r="C10284" t="s">
        <v>331</v>
      </c>
      <c r="D10284" t="str">
        <f>VLOOKUP(C10284,'lookup table'!$A$2:$B$19,2,FALSE)</f>
        <v>FS Item</v>
      </c>
      <c r="E10284" t="str">
        <f t="shared" si="160"/>
        <v>LR076_17|FS Item</v>
      </c>
    </row>
    <row r="10285" spans="1:5" x14ac:dyDescent="0.2">
      <c r="A10285" t="s">
        <v>2723</v>
      </c>
      <c r="B10285" t="s">
        <v>200</v>
      </c>
      <c r="C10285" t="s">
        <v>423</v>
      </c>
      <c r="D10285" t="str">
        <f>VLOOKUP(C10285,'lookup table'!$A$2:$B$19,2,FALSE)</f>
        <v>ignore</v>
      </c>
      <c r="E10285" t="str">
        <f t="shared" si="160"/>
        <v>LR076_17|ignore</v>
      </c>
    </row>
    <row r="10286" spans="1:5" x14ac:dyDescent="0.2">
      <c r="A10286" t="s">
        <v>2724</v>
      </c>
      <c r="B10286" t="s">
        <v>2725</v>
      </c>
      <c r="C10286" t="s">
        <v>136</v>
      </c>
      <c r="D10286" t="str">
        <f>VLOOKUP(C10286,'lookup table'!$A$2:$B$19,2,FALSE)</f>
        <v>BBA Set</v>
      </c>
      <c r="E10286" t="str">
        <f t="shared" si="160"/>
        <v>LR077_17|BBA Set</v>
      </c>
    </row>
    <row r="10287" spans="1:5" x14ac:dyDescent="0.2">
      <c r="A10287" t="s">
        <v>2726</v>
      </c>
      <c r="B10287" t="s">
        <v>2727</v>
      </c>
      <c r="C10287" t="s">
        <v>136</v>
      </c>
      <c r="D10287" t="str">
        <f>VLOOKUP(C10287,'lookup table'!$A$2:$B$19,2,FALSE)</f>
        <v>BBA Set</v>
      </c>
      <c r="E10287" t="str">
        <f t="shared" si="160"/>
        <v>LR078_17|BBA Set</v>
      </c>
    </row>
    <row r="10288" spans="1:5" x14ac:dyDescent="0.2">
      <c r="A10288" t="s">
        <v>2728</v>
      </c>
      <c r="B10288" t="s">
        <v>2729</v>
      </c>
      <c r="C10288" t="s">
        <v>136</v>
      </c>
      <c r="D10288" t="str">
        <f>VLOOKUP(C10288,'lookup table'!$A$2:$B$19,2,FALSE)</f>
        <v>BBA Set</v>
      </c>
      <c r="E10288" t="str">
        <f t="shared" si="160"/>
        <v>LR088_17|BBA Set</v>
      </c>
    </row>
    <row r="10289" spans="1:5" x14ac:dyDescent="0.2">
      <c r="A10289" t="s">
        <v>2730</v>
      </c>
      <c r="B10289" t="s">
        <v>2731</v>
      </c>
      <c r="C10289" t="s">
        <v>136</v>
      </c>
      <c r="D10289" t="str">
        <f>VLOOKUP(C10289,'lookup table'!$A$2:$B$19,2,FALSE)</f>
        <v>BBA Set</v>
      </c>
      <c r="E10289" t="str">
        <f t="shared" si="160"/>
        <v>LR089_17|BBA Set</v>
      </c>
    </row>
    <row r="10290" spans="1:5" x14ac:dyDescent="0.2">
      <c r="A10290" t="s">
        <v>2732</v>
      </c>
      <c r="B10290" t="s">
        <v>2733</v>
      </c>
      <c r="C10290" t="s">
        <v>136</v>
      </c>
      <c r="D10290" t="str">
        <f>VLOOKUP(C10290,'lookup table'!$A$2:$B$19,2,FALSE)</f>
        <v>BBA Set</v>
      </c>
      <c r="E10290" t="str">
        <f t="shared" si="160"/>
        <v>LR090_17|BBA Set</v>
      </c>
    </row>
    <row r="10291" spans="1:5" x14ac:dyDescent="0.2">
      <c r="A10291" t="s">
        <v>2734</v>
      </c>
      <c r="B10291" t="s">
        <v>432</v>
      </c>
      <c r="C10291" t="s">
        <v>428</v>
      </c>
      <c r="D10291" t="str">
        <f>VLOOKUP(C10291,'lookup table'!$A$2:$B$19,2,FALSE)</f>
        <v>LoB</v>
      </c>
      <c r="E10291" t="str">
        <f t="shared" si="160"/>
        <v>LR700_10|LoB</v>
      </c>
    </row>
    <row r="10292" spans="1:5" x14ac:dyDescent="0.2">
      <c r="A10292" t="s">
        <v>2735</v>
      </c>
      <c r="B10292" t="s">
        <v>2736</v>
      </c>
      <c r="C10292" t="s">
        <v>136</v>
      </c>
      <c r="D10292" t="str">
        <f>VLOOKUP(C10292,'lookup table'!$A$2:$B$19,2,FALSE)</f>
        <v>BBA Set</v>
      </c>
      <c r="E10292" t="str">
        <f t="shared" si="160"/>
        <v>LS003_17|BBA Set</v>
      </c>
    </row>
    <row r="10293" spans="1:5" x14ac:dyDescent="0.2">
      <c r="A10293" t="s">
        <v>2737</v>
      </c>
      <c r="B10293" t="s">
        <v>2738</v>
      </c>
      <c r="C10293" t="s">
        <v>136</v>
      </c>
      <c r="D10293" t="str">
        <f>VLOOKUP(C10293,'lookup table'!$A$2:$B$19,2,FALSE)</f>
        <v>BBA Set</v>
      </c>
      <c r="E10293" t="str">
        <f t="shared" si="160"/>
        <v>LS004_17|BBA Set</v>
      </c>
    </row>
    <row r="10294" spans="1:5" x14ac:dyDescent="0.2">
      <c r="A10294" t="s">
        <v>2739</v>
      </c>
      <c r="B10294" t="s">
        <v>2740</v>
      </c>
      <c r="C10294" t="s">
        <v>136</v>
      </c>
      <c r="D10294" t="str">
        <f>VLOOKUP(C10294,'lookup table'!$A$2:$B$19,2,FALSE)</f>
        <v>BBA Set</v>
      </c>
      <c r="E10294" t="str">
        <f t="shared" si="160"/>
        <v>LS005_17|BBA Set</v>
      </c>
    </row>
    <row r="10295" spans="1:5" x14ac:dyDescent="0.2">
      <c r="A10295" t="s">
        <v>2741</v>
      </c>
      <c r="B10295" t="s">
        <v>2742</v>
      </c>
      <c r="C10295" t="s">
        <v>136</v>
      </c>
      <c r="D10295" t="str">
        <f>VLOOKUP(C10295,'lookup table'!$A$2:$B$19,2,FALSE)</f>
        <v>BBA Set</v>
      </c>
      <c r="E10295" t="str">
        <f t="shared" si="160"/>
        <v>LS006_17|BBA Set</v>
      </c>
    </row>
    <row r="10296" spans="1:5" x14ac:dyDescent="0.2">
      <c r="A10296" t="s">
        <v>2743</v>
      </c>
      <c r="B10296" t="s">
        <v>2744</v>
      </c>
      <c r="C10296" t="s">
        <v>438</v>
      </c>
      <c r="D10296" t="str">
        <f>VLOOKUP(C10296,'lookup table'!$A$2:$B$19,2,FALSE)</f>
        <v>ToM</v>
      </c>
      <c r="E10296" t="str">
        <f t="shared" si="160"/>
        <v>LS007_17|ToM</v>
      </c>
    </row>
    <row r="10297" spans="1:5" x14ac:dyDescent="0.2">
      <c r="A10297" t="s">
        <v>2745</v>
      </c>
      <c r="B10297" t="s">
        <v>2746</v>
      </c>
      <c r="C10297" t="s">
        <v>136</v>
      </c>
      <c r="D10297" t="str">
        <f>VLOOKUP(C10297,'lookup table'!$A$2:$B$19,2,FALSE)</f>
        <v>BBA Set</v>
      </c>
      <c r="E10297" t="str">
        <f t="shared" si="160"/>
        <v>LS008_17|BBA Set</v>
      </c>
    </row>
    <row r="10298" spans="1:5" x14ac:dyDescent="0.2">
      <c r="A10298" t="s">
        <v>2747</v>
      </c>
      <c r="B10298" t="s">
        <v>2748</v>
      </c>
      <c r="C10298" t="s">
        <v>136</v>
      </c>
      <c r="D10298" t="str">
        <f>VLOOKUP(C10298,'lookup table'!$A$2:$B$19,2,FALSE)</f>
        <v>BBA Set</v>
      </c>
      <c r="E10298" t="str">
        <f t="shared" si="160"/>
        <v>LS013_17|BBA Set</v>
      </c>
    </row>
    <row r="10299" spans="1:5" x14ac:dyDescent="0.2">
      <c r="A10299" t="s">
        <v>2749</v>
      </c>
      <c r="B10299" t="s">
        <v>2750</v>
      </c>
      <c r="C10299" t="s">
        <v>428</v>
      </c>
      <c r="D10299" t="str">
        <f>VLOOKUP(C10299,'lookup table'!$A$2:$B$19,2,FALSE)</f>
        <v>LoB</v>
      </c>
      <c r="E10299" t="str">
        <f t="shared" si="160"/>
        <v>LS100_70|LoB</v>
      </c>
    </row>
    <row r="10300" spans="1:5" x14ac:dyDescent="0.2">
      <c r="A10300" t="s">
        <v>2751</v>
      </c>
      <c r="B10300" t="s">
        <v>2752</v>
      </c>
      <c r="C10300" t="s">
        <v>428</v>
      </c>
      <c r="D10300" t="str">
        <f>VLOOKUP(C10300,'lookup table'!$A$2:$B$19,2,FALSE)</f>
        <v>LoB</v>
      </c>
      <c r="E10300" t="str">
        <f t="shared" si="160"/>
        <v>LS101_70|LoB</v>
      </c>
    </row>
    <row r="10301" spans="1:5" x14ac:dyDescent="0.2">
      <c r="A10301" t="s">
        <v>2753</v>
      </c>
      <c r="B10301" t="s">
        <v>2754</v>
      </c>
      <c r="C10301" t="s">
        <v>428</v>
      </c>
      <c r="D10301" t="str">
        <f>VLOOKUP(C10301,'lookup table'!$A$2:$B$19,2,FALSE)</f>
        <v>LoB</v>
      </c>
      <c r="E10301" t="str">
        <f t="shared" si="160"/>
        <v>LS161_00|LoB</v>
      </c>
    </row>
    <row r="10302" spans="1:5" x14ac:dyDescent="0.2">
      <c r="A10302" t="s">
        <v>2755</v>
      </c>
      <c r="B10302" t="s">
        <v>2756</v>
      </c>
      <c r="C10302" t="s">
        <v>428</v>
      </c>
      <c r="D10302" t="str">
        <f>VLOOKUP(C10302,'lookup table'!$A$2:$B$19,2,FALSE)</f>
        <v>LoB</v>
      </c>
      <c r="E10302" t="str">
        <f t="shared" si="160"/>
        <v>LS163_00|LoB</v>
      </c>
    </row>
    <row r="10303" spans="1:5" x14ac:dyDescent="0.2">
      <c r="A10303" t="s">
        <v>2757</v>
      </c>
      <c r="B10303" t="s">
        <v>2758</v>
      </c>
      <c r="C10303" t="s">
        <v>428</v>
      </c>
      <c r="D10303" t="str">
        <f>VLOOKUP(C10303,'lookup table'!$A$2:$B$19,2,FALSE)</f>
        <v>LoB</v>
      </c>
      <c r="E10303" t="str">
        <f t="shared" si="160"/>
        <v>LS167_00|LoB</v>
      </c>
    </row>
    <row r="10304" spans="1:5" x14ac:dyDescent="0.2">
      <c r="A10304" t="s">
        <v>2759</v>
      </c>
      <c r="B10304" t="s">
        <v>2760</v>
      </c>
      <c r="C10304" t="s">
        <v>428</v>
      </c>
      <c r="D10304" t="str">
        <f>VLOOKUP(C10304,'lookup table'!$A$2:$B$19,2,FALSE)</f>
        <v>LoB</v>
      </c>
      <c r="E10304" t="str">
        <f t="shared" si="160"/>
        <v>LS168_00|LoB</v>
      </c>
    </row>
    <row r="10305" spans="1:5" x14ac:dyDescent="0.2">
      <c r="A10305" t="s">
        <v>2761</v>
      </c>
      <c r="B10305" t="s">
        <v>445</v>
      </c>
      <c r="C10305" t="s">
        <v>442</v>
      </c>
      <c r="D10305" t="str">
        <f>VLOOKUP(C10305,'lookup table'!$A$2:$B$19,2,FALSE)</f>
        <v>Partner Unit</v>
      </c>
      <c r="E10305" t="str">
        <f t="shared" si="160"/>
        <v>LS202_00|Partner Unit</v>
      </c>
    </row>
    <row r="10306" spans="1:5" x14ac:dyDescent="0.2">
      <c r="A10306" t="s">
        <v>2762</v>
      </c>
      <c r="B10306" t="s">
        <v>2763</v>
      </c>
      <c r="C10306" t="s">
        <v>136</v>
      </c>
      <c r="D10306" t="str">
        <f>VLOOKUP(C10306,'lookup table'!$A$2:$B$19,2,FALSE)</f>
        <v>BBA Set</v>
      </c>
      <c r="E10306" t="str">
        <f t="shared" si="160"/>
        <v>LS215_17|BBA Set</v>
      </c>
    </row>
    <row r="10307" spans="1:5" x14ac:dyDescent="0.2">
      <c r="A10307" t="s">
        <v>2764</v>
      </c>
      <c r="B10307" t="s">
        <v>2765</v>
      </c>
      <c r="C10307" t="s">
        <v>331</v>
      </c>
      <c r="D10307" t="str">
        <f>VLOOKUP(C10307,'lookup table'!$A$2:$B$19,2,FALSE)</f>
        <v>FS Item</v>
      </c>
      <c r="E10307" t="str">
        <f t="shared" ref="E10307:E10370" si="161">IF(ISNA(D10307),"",IF(A10307="","",A10307) &amp; "|" &amp; D10307)</f>
        <v>LS221_17|FS Item</v>
      </c>
    </row>
    <row r="10308" spans="1:5" x14ac:dyDescent="0.2">
      <c r="A10308" t="s">
        <v>2766</v>
      </c>
      <c r="B10308" t="s">
        <v>2767</v>
      </c>
      <c r="C10308" t="s">
        <v>331</v>
      </c>
      <c r="D10308" t="str">
        <f>VLOOKUP(C10308,'lookup table'!$A$2:$B$19,2,FALSE)</f>
        <v>FS Item</v>
      </c>
      <c r="E10308" t="str">
        <f t="shared" si="161"/>
        <v>LS223_17|FS Item</v>
      </c>
    </row>
    <row r="10309" spans="1:5" x14ac:dyDescent="0.2">
      <c r="A10309" t="s">
        <v>2768</v>
      </c>
      <c r="B10309" t="s">
        <v>2769</v>
      </c>
      <c r="C10309" t="s">
        <v>136</v>
      </c>
      <c r="D10309" t="str">
        <f>VLOOKUP(C10309,'lookup table'!$A$2:$B$19,2,FALSE)</f>
        <v>BBA Set</v>
      </c>
      <c r="E10309" t="str">
        <f t="shared" si="161"/>
        <v>LS239_17|BBA Set</v>
      </c>
    </row>
    <row r="10310" spans="1:5" x14ac:dyDescent="0.2">
      <c r="A10310" t="s">
        <v>2768</v>
      </c>
      <c r="B10310" t="s">
        <v>2769</v>
      </c>
      <c r="C10310" t="s">
        <v>428</v>
      </c>
      <c r="D10310" t="str">
        <f>VLOOKUP(C10310,'lookup table'!$A$2:$B$19,2,FALSE)</f>
        <v>LoB</v>
      </c>
      <c r="E10310" t="str">
        <f t="shared" si="161"/>
        <v>LS239_17|LoB</v>
      </c>
    </row>
    <row r="10311" spans="1:5" x14ac:dyDescent="0.2">
      <c r="A10311" t="s">
        <v>2770</v>
      </c>
      <c r="B10311" t="s">
        <v>2771</v>
      </c>
      <c r="C10311" t="s">
        <v>331</v>
      </c>
      <c r="D10311" t="str">
        <f>VLOOKUP(C10311,'lookup table'!$A$2:$B$19,2,FALSE)</f>
        <v>FS Item</v>
      </c>
      <c r="E10311" t="str">
        <f t="shared" si="161"/>
        <v>LS601_00|FS Item</v>
      </c>
    </row>
    <row r="10312" spans="1:5" x14ac:dyDescent="0.2">
      <c r="A10312" t="s">
        <v>2770</v>
      </c>
      <c r="B10312" t="s">
        <v>2771</v>
      </c>
      <c r="C10312" t="s">
        <v>423</v>
      </c>
      <c r="D10312" t="str">
        <f>VLOOKUP(C10312,'lookup table'!$A$2:$B$19,2,FALSE)</f>
        <v>ignore</v>
      </c>
      <c r="E10312" t="str">
        <f t="shared" si="161"/>
        <v>LS601_00|ignore</v>
      </c>
    </row>
    <row r="10313" spans="1:5" x14ac:dyDescent="0.2">
      <c r="A10313" t="s">
        <v>2772</v>
      </c>
      <c r="B10313" t="s">
        <v>2773</v>
      </c>
      <c r="C10313" t="s">
        <v>442</v>
      </c>
      <c r="D10313" t="str">
        <f>VLOOKUP(C10313,'lookup table'!$A$2:$B$19,2,FALSE)</f>
        <v>Partner Unit</v>
      </c>
      <c r="E10313" t="str">
        <f t="shared" si="161"/>
        <v>LS801_00|Partner Unit</v>
      </c>
    </row>
    <row r="10314" spans="1:5" x14ac:dyDescent="0.2">
      <c r="A10314" t="s">
        <v>2774</v>
      </c>
      <c r="B10314" t="s">
        <v>2775</v>
      </c>
      <c r="C10314" t="s">
        <v>428</v>
      </c>
      <c r="D10314" t="str">
        <f>VLOOKUP(C10314,'lookup table'!$A$2:$B$19,2,FALSE)</f>
        <v>LoB</v>
      </c>
      <c r="E10314" t="str">
        <f t="shared" si="161"/>
        <v>R001_60|LoB</v>
      </c>
    </row>
    <row r="10315" spans="1:5" x14ac:dyDescent="0.2">
      <c r="A10315" t="s">
        <v>2776</v>
      </c>
      <c r="B10315" t="s">
        <v>2777</v>
      </c>
      <c r="C10315" t="s">
        <v>331</v>
      </c>
      <c r="D10315" t="str">
        <f>VLOOKUP(C10315,'lookup table'!$A$2:$B$19,2,FALSE)</f>
        <v>FS Item</v>
      </c>
      <c r="E10315" t="str">
        <f t="shared" si="161"/>
        <v>R002_00|FS Item</v>
      </c>
    </row>
    <row r="10316" spans="1:5" x14ac:dyDescent="0.2">
      <c r="A10316" t="s">
        <v>2776</v>
      </c>
      <c r="B10316" t="s">
        <v>2777</v>
      </c>
      <c r="C10316" t="s">
        <v>423</v>
      </c>
      <c r="D10316" t="str">
        <f>VLOOKUP(C10316,'lookup table'!$A$2:$B$19,2,FALSE)</f>
        <v>ignore</v>
      </c>
      <c r="E10316" t="str">
        <f t="shared" si="161"/>
        <v>R002_00|ignore</v>
      </c>
    </row>
    <row r="10317" spans="1:5" x14ac:dyDescent="0.2">
      <c r="A10317" t="s">
        <v>2778</v>
      </c>
      <c r="B10317" t="s">
        <v>2779</v>
      </c>
      <c r="C10317" t="s">
        <v>428</v>
      </c>
      <c r="D10317" t="str">
        <f>VLOOKUP(C10317,'lookup table'!$A$2:$B$19,2,FALSE)</f>
        <v>LoB</v>
      </c>
      <c r="E10317" t="str">
        <f t="shared" si="161"/>
        <v>R002_60|LoB</v>
      </c>
    </row>
    <row r="10318" spans="1:5" x14ac:dyDescent="0.2">
      <c r="A10318" t="s">
        <v>2780</v>
      </c>
      <c r="B10318" t="s">
        <v>2781</v>
      </c>
      <c r="C10318" t="s">
        <v>331</v>
      </c>
      <c r="D10318" t="str">
        <f>VLOOKUP(C10318,'lookup table'!$A$2:$B$19,2,FALSE)</f>
        <v>FS Item</v>
      </c>
      <c r="E10318" t="str">
        <f t="shared" si="161"/>
        <v>R007_00|FS Item</v>
      </c>
    </row>
    <row r="10319" spans="1:5" x14ac:dyDescent="0.2">
      <c r="A10319" t="s">
        <v>2780</v>
      </c>
      <c r="B10319" t="s">
        <v>2781</v>
      </c>
      <c r="C10319" t="s">
        <v>423</v>
      </c>
      <c r="D10319" t="str">
        <f>VLOOKUP(C10319,'lookup table'!$A$2:$B$19,2,FALSE)</f>
        <v>ignore</v>
      </c>
      <c r="E10319" t="str">
        <f t="shared" si="161"/>
        <v>R007_00|ignore</v>
      </c>
    </row>
    <row r="10320" spans="1:5" x14ac:dyDescent="0.2">
      <c r="A10320" t="s">
        <v>2782</v>
      </c>
      <c r="B10320" t="s">
        <v>2783</v>
      </c>
      <c r="C10320" t="s">
        <v>331</v>
      </c>
      <c r="D10320" t="str">
        <f>VLOOKUP(C10320,'lookup table'!$A$2:$B$19,2,FALSE)</f>
        <v>FS Item</v>
      </c>
      <c r="E10320" t="str">
        <f t="shared" si="161"/>
        <v>R008_00|FS Item</v>
      </c>
    </row>
    <row r="10321" spans="1:5" x14ac:dyDescent="0.2">
      <c r="A10321" t="s">
        <v>2782</v>
      </c>
      <c r="B10321" t="s">
        <v>2783</v>
      </c>
      <c r="C10321" t="s">
        <v>423</v>
      </c>
      <c r="D10321" t="str">
        <f>VLOOKUP(C10321,'lookup table'!$A$2:$B$19,2,FALSE)</f>
        <v>ignore</v>
      </c>
      <c r="E10321" t="str">
        <f t="shared" si="161"/>
        <v>R008_00|ignore</v>
      </c>
    </row>
    <row r="10322" spans="1:5" x14ac:dyDescent="0.2">
      <c r="A10322" t="s">
        <v>2782</v>
      </c>
      <c r="B10322" t="s">
        <v>2783</v>
      </c>
      <c r="C10322" t="s">
        <v>428</v>
      </c>
      <c r="D10322" t="str">
        <f>VLOOKUP(C10322,'lookup table'!$A$2:$B$19,2,FALSE)</f>
        <v>LoB</v>
      </c>
      <c r="E10322" t="str">
        <f t="shared" si="161"/>
        <v>R008_00|LoB</v>
      </c>
    </row>
    <row r="10323" spans="1:5" x14ac:dyDescent="0.2">
      <c r="A10323" t="s">
        <v>2782</v>
      </c>
      <c r="B10323" t="s">
        <v>2783</v>
      </c>
      <c r="C10323" t="s">
        <v>441</v>
      </c>
      <c r="D10323" t="str">
        <f>VLOOKUP(C10323,'lookup table'!$A$2:$B$19,2,FALSE)</f>
        <v>Partner Segment</v>
      </c>
      <c r="E10323" t="str">
        <f t="shared" si="161"/>
        <v>R008_00|Partner Segment</v>
      </c>
    </row>
    <row r="10324" spans="1:5" x14ac:dyDescent="0.2">
      <c r="A10324" t="s">
        <v>2782</v>
      </c>
      <c r="B10324" t="s">
        <v>2783</v>
      </c>
      <c r="C10324" t="s">
        <v>442</v>
      </c>
      <c r="D10324" t="str">
        <f>VLOOKUP(C10324,'lookup table'!$A$2:$B$19,2,FALSE)</f>
        <v>Partner Unit</v>
      </c>
      <c r="E10324" t="str">
        <f t="shared" si="161"/>
        <v>R008_00|Partner Unit</v>
      </c>
    </row>
    <row r="10325" spans="1:5" x14ac:dyDescent="0.2">
      <c r="A10325" t="s">
        <v>2782</v>
      </c>
      <c r="B10325" t="s">
        <v>2783</v>
      </c>
      <c r="C10325" t="s">
        <v>451</v>
      </c>
      <c r="D10325" t="str">
        <f>VLOOKUP(C10325,'lookup table'!$A$2:$B$19,2,FALSE)</f>
        <v>Segment</v>
      </c>
      <c r="E10325" t="str">
        <f t="shared" si="161"/>
        <v>R008_00|Segment</v>
      </c>
    </row>
    <row r="10326" spans="1:5" x14ac:dyDescent="0.2">
      <c r="A10326" t="s">
        <v>2784</v>
      </c>
      <c r="B10326" t="s">
        <v>2785</v>
      </c>
      <c r="C10326" t="s">
        <v>331</v>
      </c>
      <c r="D10326" t="str">
        <f>VLOOKUP(C10326,'lookup table'!$A$2:$B$19,2,FALSE)</f>
        <v>FS Item</v>
      </c>
      <c r="E10326" t="str">
        <f t="shared" si="161"/>
        <v>R009_00|FS Item</v>
      </c>
    </row>
    <row r="10327" spans="1:5" x14ac:dyDescent="0.2">
      <c r="A10327" t="s">
        <v>2784</v>
      </c>
      <c r="B10327" t="s">
        <v>2785</v>
      </c>
      <c r="C10327" t="s">
        <v>423</v>
      </c>
      <c r="D10327" t="str">
        <f>VLOOKUP(C10327,'lookup table'!$A$2:$B$19,2,FALSE)</f>
        <v>ignore</v>
      </c>
      <c r="E10327" t="str">
        <f t="shared" si="161"/>
        <v>R009_00|ignore</v>
      </c>
    </row>
    <row r="10328" spans="1:5" x14ac:dyDescent="0.2">
      <c r="A10328" t="s">
        <v>2784</v>
      </c>
      <c r="B10328" t="s">
        <v>2785</v>
      </c>
      <c r="C10328" t="s">
        <v>428</v>
      </c>
      <c r="D10328" t="str">
        <f>VLOOKUP(C10328,'lookup table'!$A$2:$B$19,2,FALSE)</f>
        <v>LoB</v>
      </c>
      <c r="E10328" t="str">
        <f t="shared" si="161"/>
        <v>R009_00|LoB</v>
      </c>
    </row>
    <row r="10329" spans="1:5" x14ac:dyDescent="0.2">
      <c r="A10329" t="s">
        <v>2784</v>
      </c>
      <c r="B10329" t="s">
        <v>2785</v>
      </c>
      <c r="C10329" t="s">
        <v>441</v>
      </c>
      <c r="D10329" t="str">
        <f>VLOOKUP(C10329,'lookup table'!$A$2:$B$19,2,FALSE)</f>
        <v>Partner Segment</v>
      </c>
      <c r="E10329" t="str">
        <f t="shared" si="161"/>
        <v>R009_00|Partner Segment</v>
      </c>
    </row>
    <row r="10330" spans="1:5" x14ac:dyDescent="0.2">
      <c r="A10330" t="s">
        <v>2784</v>
      </c>
      <c r="B10330" t="s">
        <v>2785</v>
      </c>
      <c r="C10330" t="s">
        <v>442</v>
      </c>
      <c r="D10330" t="str">
        <f>VLOOKUP(C10330,'lookup table'!$A$2:$B$19,2,FALSE)</f>
        <v>Partner Unit</v>
      </c>
      <c r="E10330" t="str">
        <f t="shared" si="161"/>
        <v>R009_00|Partner Unit</v>
      </c>
    </row>
    <row r="10331" spans="1:5" x14ac:dyDescent="0.2">
      <c r="A10331" t="s">
        <v>2784</v>
      </c>
      <c r="B10331" t="s">
        <v>2785</v>
      </c>
      <c r="C10331" t="s">
        <v>451</v>
      </c>
      <c r="D10331" t="str">
        <f>VLOOKUP(C10331,'lookup table'!$A$2:$B$19,2,FALSE)</f>
        <v>Segment</v>
      </c>
      <c r="E10331" t="str">
        <f t="shared" si="161"/>
        <v>R009_00|Segment</v>
      </c>
    </row>
    <row r="10332" spans="1:5" x14ac:dyDescent="0.2">
      <c r="A10332" t="s">
        <v>2786</v>
      </c>
      <c r="B10332" t="s">
        <v>2787</v>
      </c>
      <c r="C10332" t="s">
        <v>331</v>
      </c>
      <c r="D10332" t="str">
        <f>VLOOKUP(C10332,'lookup table'!$A$2:$B$19,2,FALSE)</f>
        <v>FS Item</v>
      </c>
      <c r="E10332" t="str">
        <f t="shared" si="161"/>
        <v>R010_00|FS Item</v>
      </c>
    </row>
    <row r="10333" spans="1:5" x14ac:dyDescent="0.2">
      <c r="A10333" t="s">
        <v>2786</v>
      </c>
      <c r="B10333" t="s">
        <v>2787</v>
      </c>
      <c r="C10333" t="s">
        <v>423</v>
      </c>
      <c r="D10333" t="str">
        <f>VLOOKUP(C10333,'lookup table'!$A$2:$B$19,2,FALSE)</f>
        <v>ignore</v>
      </c>
      <c r="E10333" t="str">
        <f t="shared" si="161"/>
        <v>R010_00|ignore</v>
      </c>
    </row>
    <row r="10334" spans="1:5" x14ac:dyDescent="0.2">
      <c r="A10334" t="s">
        <v>2788</v>
      </c>
      <c r="B10334" t="s">
        <v>2789</v>
      </c>
      <c r="C10334" t="s">
        <v>20</v>
      </c>
      <c r="D10334" t="str">
        <f>VLOOKUP(C10334,'lookup table'!$A$2:$B$19,2,FALSE)</f>
        <v>AY</v>
      </c>
      <c r="E10334" t="str">
        <f t="shared" si="161"/>
        <v>R011_17|AY</v>
      </c>
    </row>
    <row r="10335" spans="1:5" x14ac:dyDescent="0.2">
      <c r="A10335" t="s">
        <v>2788</v>
      </c>
      <c r="B10335" t="s">
        <v>2789</v>
      </c>
      <c r="C10335" t="s">
        <v>331</v>
      </c>
      <c r="D10335" t="str">
        <f>VLOOKUP(C10335,'lookup table'!$A$2:$B$19,2,FALSE)</f>
        <v>FS Item</v>
      </c>
      <c r="E10335" t="str">
        <f t="shared" si="161"/>
        <v>R011_17|FS Item</v>
      </c>
    </row>
    <row r="10336" spans="1:5" x14ac:dyDescent="0.2">
      <c r="A10336" t="s">
        <v>2788</v>
      </c>
      <c r="B10336" t="s">
        <v>2789</v>
      </c>
      <c r="C10336" t="s">
        <v>428</v>
      </c>
      <c r="D10336" t="str">
        <f>VLOOKUP(C10336,'lookup table'!$A$2:$B$19,2,FALSE)</f>
        <v>LoB</v>
      </c>
      <c r="E10336" t="str">
        <f t="shared" si="161"/>
        <v>R011_17|LoB</v>
      </c>
    </row>
    <row r="10337" spans="1:5" x14ac:dyDescent="0.2">
      <c r="A10337" t="s">
        <v>2788</v>
      </c>
      <c r="B10337" t="s">
        <v>2789</v>
      </c>
      <c r="C10337" t="s">
        <v>441</v>
      </c>
      <c r="D10337" t="str">
        <f>VLOOKUP(C10337,'lookup table'!$A$2:$B$19,2,FALSE)</f>
        <v>Partner Segment</v>
      </c>
      <c r="E10337" t="str">
        <f t="shared" si="161"/>
        <v>R011_17|Partner Segment</v>
      </c>
    </row>
    <row r="10338" spans="1:5" x14ac:dyDescent="0.2">
      <c r="A10338" t="s">
        <v>2788</v>
      </c>
      <c r="B10338" t="s">
        <v>2789</v>
      </c>
      <c r="C10338" t="s">
        <v>442</v>
      </c>
      <c r="D10338" t="str">
        <f>VLOOKUP(C10338,'lookup table'!$A$2:$B$19,2,FALSE)</f>
        <v>Partner Unit</v>
      </c>
      <c r="E10338" t="str">
        <f t="shared" si="161"/>
        <v>R011_17|Partner Unit</v>
      </c>
    </row>
    <row r="10339" spans="1:5" x14ac:dyDescent="0.2">
      <c r="A10339" t="s">
        <v>2788</v>
      </c>
      <c r="B10339" t="s">
        <v>2789</v>
      </c>
      <c r="C10339" t="s">
        <v>451</v>
      </c>
      <c r="D10339" t="str">
        <f>VLOOKUP(C10339,'lookup table'!$A$2:$B$19,2,FALSE)</f>
        <v>Segment</v>
      </c>
      <c r="E10339" t="str">
        <f t="shared" si="161"/>
        <v>R011_17|Segment</v>
      </c>
    </row>
    <row r="10340" spans="1:5" x14ac:dyDescent="0.2">
      <c r="A10340" t="s">
        <v>2790</v>
      </c>
      <c r="B10340" t="s">
        <v>2791</v>
      </c>
      <c r="C10340" t="s">
        <v>20</v>
      </c>
      <c r="D10340" t="str">
        <f>VLOOKUP(C10340,'lookup table'!$A$2:$B$19,2,FALSE)</f>
        <v>AY</v>
      </c>
      <c r="E10340" t="str">
        <f t="shared" si="161"/>
        <v>R011_70|AY</v>
      </c>
    </row>
    <row r="10341" spans="1:5" x14ac:dyDescent="0.2">
      <c r="A10341" t="s">
        <v>2790</v>
      </c>
      <c r="B10341" t="s">
        <v>2791</v>
      </c>
      <c r="C10341" t="s">
        <v>331</v>
      </c>
      <c r="D10341" t="str">
        <f>VLOOKUP(C10341,'lookup table'!$A$2:$B$19,2,FALSE)</f>
        <v>FS Item</v>
      </c>
      <c r="E10341" t="str">
        <f t="shared" si="161"/>
        <v>R011_70|FS Item</v>
      </c>
    </row>
    <row r="10342" spans="1:5" x14ac:dyDescent="0.2">
      <c r="A10342" t="s">
        <v>2790</v>
      </c>
      <c r="B10342" t="s">
        <v>2791</v>
      </c>
      <c r="C10342" t="s">
        <v>423</v>
      </c>
      <c r="D10342" t="str">
        <f>VLOOKUP(C10342,'lookup table'!$A$2:$B$19,2,FALSE)</f>
        <v>ignore</v>
      </c>
      <c r="E10342" t="str">
        <f t="shared" si="161"/>
        <v>R011_70|ignore</v>
      </c>
    </row>
    <row r="10343" spans="1:5" x14ac:dyDescent="0.2">
      <c r="A10343" t="s">
        <v>2790</v>
      </c>
      <c r="B10343" t="s">
        <v>2791</v>
      </c>
      <c r="C10343" t="s">
        <v>428</v>
      </c>
      <c r="D10343" t="str">
        <f>VLOOKUP(C10343,'lookup table'!$A$2:$B$19,2,FALSE)</f>
        <v>LoB</v>
      </c>
      <c r="E10343" t="str">
        <f t="shared" si="161"/>
        <v>R011_70|LoB</v>
      </c>
    </row>
    <row r="10344" spans="1:5" x14ac:dyDescent="0.2">
      <c r="A10344" t="s">
        <v>2790</v>
      </c>
      <c r="B10344" t="s">
        <v>2791</v>
      </c>
      <c r="C10344" t="s">
        <v>441</v>
      </c>
      <c r="D10344" t="str">
        <f>VLOOKUP(C10344,'lookup table'!$A$2:$B$19,2,FALSE)</f>
        <v>Partner Segment</v>
      </c>
      <c r="E10344" t="str">
        <f t="shared" si="161"/>
        <v>R011_70|Partner Segment</v>
      </c>
    </row>
    <row r="10345" spans="1:5" x14ac:dyDescent="0.2">
      <c r="A10345" t="s">
        <v>2790</v>
      </c>
      <c r="B10345" t="s">
        <v>2791</v>
      </c>
      <c r="C10345" t="s">
        <v>442</v>
      </c>
      <c r="D10345" t="str">
        <f>VLOOKUP(C10345,'lookup table'!$A$2:$B$19,2,FALSE)</f>
        <v>Partner Unit</v>
      </c>
      <c r="E10345" t="str">
        <f t="shared" si="161"/>
        <v>R011_70|Partner Unit</v>
      </c>
    </row>
    <row r="10346" spans="1:5" x14ac:dyDescent="0.2">
      <c r="A10346" t="s">
        <v>2790</v>
      </c>
      <c r="B10346" t="s">
        <v>2791</v>
      </c>
      <c r="C10346" t="s">
        <v>451</v>
      </c>
      <c r="D10346" t="str">
        <f>VLOOKUP(C10346,'lookup table'!$A$2:$B$19,2,FALSE)</f>
        <v>Segment</v>
      </c>
      <c r="E10346" t="str">
        <f t="shared" si="161"/>
        <v>R011_70|Segment</v>
      </c>
    </row>
    <row r="10347" spans="1:5" x14ac:dyDescent="0.2">
      <c r="A10347" t="s">
        <v>2792</v>
      </c>
      <c r="B10347" t="s">
        <v>2793</v>
      </c>
      <c r="C10347" t="s">
        <v>20</v>
      </c>
      <c r="D10347" t="str">
        <f>VLOOKUP(C10347,'lookup table'!$A$2:$B$19,2,FALSE)</f>
        <v>AY</v>
      </c>
      <c r="E10347" t="str">
        <f t="shared" si="161"/>
        <v>R012_17|AY</v>
      </c>
    </row>
    <row r="10348" spans="1:5" x14ac:dyDescent="0.2">
      <c r="A10348" t="s">
        <v>2792</v>
      </c>
      <c r="B10348" t="s">
        <v>2793</v>
      </c>
      <c r="C10348" t="s">
        <v>331</v>
      </c>
      <c r="D10348" t="str">
        <f>VLOOKUP(C10348,'lookup table'!$A$2:$B$19,2,FALSE)</f>
        <v>FS Item</v>
      </c>
      <c r="E10348" t="str">
        <f t="shared" si="161"/>
        <v>R012_17|FS Item</v>
      </c>
    </row>
    <row r="10349" spans="1:5" x14ac:dyDescent="0.2">
      <c r="A10349" t="s">
        <v>2792</v>
      </c>
      <c r="B10349" t="s">
        <v>2793</v>
      </c>
      <c r="C10349" t="s">
        <v>428</v>
      </c>
      <c r="D10349" t="str">
        <f>VLOOKUP(C10349,'lookup table'!$A$2:$B$19,2,FALSE)</f>
        <v>LoB</v>
      </c>
      <c r="E10349" t="str">
        <f t="shared" si="161"/>
        <v>R012_17|LoB</v>
      </c>
    </row>
    <row r="10350" spans="1:5" x14ac:dyDescent="0.2">
      <c r="A10350" t="s">
        <v>2792</v>
      </c>
      <c r="B10350" t="s">
        <v>2793</v>
      </c>
      <c r="C10350" t="s">
        <v>441</v>
      </c>
      <c r="D10350" t="str">
        <f>VLOOKUP(C10350,'lookup table'!$A$2:$B$19,2,FALSE)</f>
        <v>Partner Segment</v>
      </c>
      <c r="E10350" t="str">
        <f t="shared" si="161"/>
        <v>R012_17|Partner Segment</v>
      </c>
    </row>
    <row r="10351" spans="1:5" x14ac:dyDescent="0.2">
      <c r="A10351" t="s">
        <v>2792</v>
      </c>
      <c r="B10351" t="s">
        <v>2793</v>
      </c>
      <c r="C10351" t="s">
        <v>442</v>
      </c>
      <c r="D10351" t="str">
        <f>VLOOKUP(C10351,'lookup table'!$A$2:$B$19,2,FALSE)</f>
        <v>Partner Unit</v>
      </c>
      <c r="E10351" t="str">
        <f t="shared" si="161"/>
        <v>R012_17|Partner Unit</v>
      </c>
    </row>
    <row r="10352" spans="1:5" x14ac:dyDescent="0.2">
      <c r="A10352" t="s">
        <v>2792</v>
      </c>
      <c r="B10352" t="s">
        <v>2793</v>
      </c>
      <c r="C10352" t="s">
        <v>451</v>
      </c>
      <c r="D10352" t="str">
        <f>VLOOKUP(C10352,'lookup table'!$A$2:$B$19,2,FALSE)</f>
        <v>Segment</v>
      </c>
      <c r="E10352" t="str">
        <f t="shared" si="161"/>
        <v>R012_17|Segment</v>
      </c>
    </row>
    <row r="10353" spans="1:5" x14ac:dyDescent="0.2">
      <c r="A10353" t="s">
        <v>2794</v>
      </c>
      <c r="B10353" t="s">
        <v>2795</v>
      </c>
      <c r="C10353" t="s">
        <v>20</v>
      </c>
      <c r="D10353" t="str">
        <f>VLOOKUP(C10353,'lookup table'!$A$2:$B$19,2,FALSE)</f>
        <v>AY</v>
      </c>
      <c r="E10353" t="str">
        <f t="shared" si="161"/>
        <v>R013_17|AY</v>
      </c>
    </row>
    <row r="10354" spans="1:5" x14ac:dyDescent="0.2">
      <c r="A10354" t="s">
        <v>2794</v>
      </c>
      <c r="B10354" t="s">
        <v>2795</v>
      </c>
      <c r="C10354" t="s">
        <v>331</v>
      </c>
      <c r="D10354" t="str">
        <f>VLOOKUP(C10354,'lookup table'!$A$2:$B$19,2,FALSE)</f>
        <v>FS Item</v>
      </c>
      <c r="E10354" t="str">
        <f t="shared" si="161"/>
        <v>R013_17|FS Item</v>
      </c>
    </row>
    <row r="10355" spans="1:5" x14ac:dyDescent="0.2">
      <c r="A10355" t="s">
        <v>2794</v>
      </c>
      <c r="B10355" t="s">
        <v>2795</v>
      </c>
      <c r="C10355" t="s">
        <v>428</v>
      </c>
      <c r="D10355" t="str">
        <f>VLOOKUP(C10355,'lookup table'!$A$2:$B$19,2,FALSE)</f>
        <v>LoB</v>
      </c>
      <c r="E10355" t="str">
        <f t="shared" si="161"/>
        <v>R013_17|LoB</v>
      </c>
    </row>
    <row r="10356" spans="1:5" x14ac:dyDescent="0.2">
      <c r="A10356" t="s">
        <v>2794</v>
      </c>
      <c r="B10356" t="s">
        <v>2795</v>
      </c>
      <c r="C10356" t="s">
        <v>441</v>
      </c>
      <c r="D10356" t="str">
        <f>VLOOKUP(C10356,'lookup table'!$A$2:$B$19,2,FALSE)</f>
        <v>Partner Segment</v>
      </c>
      <c r="E10356" t="str">
        <f t="shared" si="161"/>
        <v>R013_17|Partner Segment</v>
      </c>
    </row>
    <row r="10357" spans="1:5" x14ac:dyDescent="0.2">
      <c r="A10357" t="s">
        <v>2794</v>
      </c>
      <c r="B10357" t="s">
        <v>2795</v>
      </c>
      <c r="C10357" t="s">
        <v>442</v>
      </c>
      <c r="D10357" t="str">
        <f>VLOOKUP(C10357,'lookup table'!$A$2:$B$19,2,FALSE)</f>
        <v>Partner Unit</v>
      </c>
      <c r="E10357" t="str">
        <f t="shared" si="161"/>
        <v>R013_17|Partner Unit</v>
      </c>
    </row>
    <row r="10358" spans="1:5" x14ac:dyDescent="0.2">
      <c r="A10358" t="s">
        <v>2794</v>
      </c>
      <c r="B10358" t="s">
        <v>2795</v>
      </c>
      <c r="C10358" t="s">
        <v>451</v>
      </c>
      <c r="D10358" t="str">
        <f>VLOOKUP(C10358,'lookup table'!$A$2:$B$19,2,FALSE)</f>
        <v>Segment</v>
      </c>
      <c r="E10358" t="str">
        <f t="shared" si="161"/>
        <v>R013_17|Segment</v>
      </c>
    </row>
    <row r="10359" spans="1:5" x14ac:dyDescent="0.2">
      <c r="A10359" t="s">
        <v>2796</v>
      </c>
      <c r="B10359" t="s">
        <v>2797</v>
      </c>
      <c r="C10359" t="s">
        <v>20</v>
      </c>
      <c r="D10359" t="str">
        <f>VLOOKUP(C10359,'lookup table'!$A$2:$B$19,2,FALSE)</f>
        <v>AY</v>
      </c>
      <c r="E10359" t="str">
        <f t="shared" si="161"/>
        <v>R014_17|AY</v>
      </c>
    </row>
    <row r="10360" spans="1:5" x14ac:dyDescent="0.2">
      <c r="A10360" t="s">
        <v>2796</v>
      </c>
      <c r="B10360" t="s">
        <v>2797</v>
      </c>
      <c r="C10360" t="s">
        <v>331</v>
      </c>
      <c r="D10360" t="str">
        <f>VLOOKUP(C10360,'lookup table'!$A$2:$B$19,2,FALSE)</f>
        <v>FS Item</v>
      </c>
      <c r="E10360" t="str">
        <f t="shared" si="161"/>
        <v>R014_17|FS Item</v>
      </c>
    </row>
    <row r="10361" spans="1:5" x14ac:dyDescent="0.2">
      <c r="A10361" t="s">
        <v>2796</v>
      </c>
      <c r="B10361" t="s">
        <v>2797</v>
      </c>
      <c r="C10361" t="s">
        <v>428</v>
      </c>
      <c r="D10361" t="str">
        <f>VLOOKUP(C10361,'lookup table'!$A$2:$B$19,2,FALSE)</f>
        <v>LoB</v>
      </c>
      <c r="E10361" t="str">
        <f t="shared" si="161"/>
        <v>R014_17|LoB</v>
      </c>
    </row>
    <row r="10362" spans="1:5" x14ac:dyDescent="0.2">
      <c r="A10362" t="s">
        <v>2796</v>
      </c>
      <c r="B10362" t="s">
        <v>2797</v>
      </c>
      <c r="C10362" t="s">
        <v>441</v>
      </c>
      <c r="D10362" t="str">
        <f>VLOOKUP(C10362,'lookup table'!$A$2:$B$19,2,FALSE)</f>
        <v>Partner Segment</v>
      </c>
      <c r="E10362" t="str">
        <f t="shared" si="161"/>
        <v>R014_17|Partner Segment</v>
      </c>
    </row>
    <row r="10363" spans="1:5" x14ac:dyDescent="0.2">
      <c r="A10363" t="s">
        <v>2796</v>
      </c>
      <c r="B10363" t="s">
        <v>2797</v>
      </c>
      <c r="C10363" t="s">
        <v>442</v>
      </c>
      <c r="D10363" t="str">
        <f>VLOOKUP(C10363,'lookup table'!$A$2:$B$19,2,FALSE)</f>
        <v>Partner Unit</v>
      </c>
      <c r="E10363" t="str">
        <f t="shared" si="161"/>
        <v>R014_17|Partner Unit</v>
      </c>
    </row>
    <row r="10364" spans="1:5" x14ac:dyDescent="0.2">
      <c r="A10364" t="s">
        <v>2796</v>
      </c>
      <c r="B10364" t="s">
        <v>2797</v>
      </c>
      <c r="C10364" t="s">
        <v>451</v>
      </c>
      <c r="D10364" t="str">
        <f>VLOOKUP(C10364,'lookup table'!$A$2:$B$19,2,FALSE)</f>
        <v>Segment</v>
      </c>
      <c r="E10364" t="str">
        <f t="shared" si="161"/>
        <v>R014_17|Segment</v>
      </c>
    </row>
    <row r="10365" spans="1:5" x14ac:dyDescent="0.2">
      <c r="A10365" t="s">
        <v>2798</v>
      </c>
      <c r="B10365" t="s">
        <v>2799</v>
      </c>
      <c r="C10365" t="s">
        <v>428</v>
      </c>
      <c r="D10365" t="str">
        <f>VLOOKUP(C10365,'lookup table'!$A$2:$B$19,2,FALSE)</f>
        <v>LoB</v>
      </c>
      <c r="E10365" t="str">
        <f t="shared" si="161"/>
        <v>R100_70|LoB</v>
      </c>
    </row>
    <row r="10366" spans="1:5" x14ac:dyDescent="0.2">
      <c r="A10366" t="s">
        <v>2800</v>
      </c>
      <c r="B10366" t="s">
        <v>2801</v>
      </c>
      <c r="C10366" t="s">
        <v>428</v>
      </c>
      <c r="D10366" t="str">
        <f>VLOOKUP(C10366,'lookup table'!$A$2:$B$19,2,FALSE)</f>
        <v>LoB</v>
      </c>
      <c r="E10366" t="str">
        <f t="shared" si="161"/>
        <v>R101_70|LoB</v>
      </c>
    </row>
    <row r="10367" spans="1:5" x14ac:dyDescent="0.2">
      <c r="A10367" t="s">
        <v>2802</v>
      </c>
      <c r="B10367" t="s">
        <v>2803</v>
      </c>
      <c r="C10367" t="s">
        <v>331</v>
      </c>
      <c r="D10367" t="str">
        <f>VLOOKUP(C10367,'lookup table'!$A$2:$B$19,2,FALSE)</f>
        <v>FS Item</v>
      </c>
      <c r="E10367" t="str">
        <f t="shared" si="161"/>
        <v>R600_00|FS Item</v>
      </c>
    </row>
    <row r="10368" spans="1:5" x14ac:dyDescent="0.2">
      <c r="A10368" t="s">
        <v>2802</v>
      </c>
      <c r="B10368" t="s">
        <v>2803</v>
      </c>
      <c r="C10368" t="s">
        <v>423</v>
      </c>
      <c r="D10368" t="str">
        <f>VLOOKUP(C10368,'lookup table'!$A$2:$B$19,2,FALSE)</f>
        <v>ignore</v>
      </c>
      <c r="E10368" t="str">
        <f t="shared" si="161"/>
        <v>R600_00|ignore</v>
      </c>
    </row>
    <row r="10369" spans="1:5" x14ac:dyDescent="0.2">
      <c r="A10369" t="s">
        <v>2804</v>
      </c>
      <c r="B10369" t="s">
        <v>2805</v>
      </c>
      <c r="C10369" t="s">
        <v>451</v>
      </c>
      <c r="D10369" t="str">
        <f>VLOOKUP(C10369,'lookup table'!$A$2:$B$19,2,FALSE)</f>
        <v>Segment</v>
      </c>
      <c r="E10369" t="str">
        <f t="shared" si="161"/>
        <v>RE001_17|Segment</v>
      </c>
    </row>
    <row r="10370" spans="1:5" x14ac:dyDescent="0.2">
      <c r="A10370" t="s">
        <v>2806</v>
      </c>
      <c r="B10370" t="s">
        <v>2807</v>
      </c>
      <c r="C10370" t="s">
        <v>451</v>
      </c>
      <c r="D10370" t="str">
        <f>VLOOKUP(C10370,'lookup table'!$A$2:$B$19,2,FALSE)</f>
        <v>Segment</v>
      </c>
      <c r="E10370" t="str">
        <f t="shared" si="161"/>
        <v>RE001_60|Segment</v>
      </c>
    </row>
    <row r="10371" spans="1:5" x14ac:dyDescent="0.2">
      <c r="A10371" t="s">
        <v>2808</v>
      </c>
      <c r="B10371" t="s">
        <v>2809</v>
      </c>
      <c r="C10371" t="s">
        <v>331</v>
      </c>
      <c r="D10371" t="str">
        <f>VLOOKUP(C10371,'lookup table'!$A$2:$B$19,2,FALSE)</f>
        <v>FS Item</v>
      </c>
      <c r="E10371" t="str">
        <f t="shared" ref="E10371:E10434" si="162">IF(ISNA(D10371),"",IF(A10371="","",A10371) &amp; "|" &amp; D10371)</f>
        <v>RE005_17|FS Item</v>
      </c>
    </row>
    <row r="10372" spans="1:5" x14ac:dyDescent="0.2">
      <c r="A10372" t="s">
        <v>2808</v>
      </c>
      <c r="B10372" t="s">
        <v>2809</v>
      </c>
      <c r="C10372" t="s">
        <v>423</v>
      </c>
      <c r="D10372" t="str">
        <f>VLOOKUP(C10372,'lookup table'!$A$2:$B$19,2,FALSE)</f>
        <v>ignore</v>
      </c>
      <c r="E10372" t="str">
        <f t="shared" si="162"/>
        <v>RE005_17|ignore</v>
      </c>
    </row>
    <row r="10373" spans="1:5" x14ac:dyDescent="0.2">
      <c r="A10373" t="s">
        <v>2810</v>
      </c>
      <c r="B10373" t="s">
        <v>2811</v>
      </c>
      <c r="C10373" t="s">
        <v>331</v>
      </c>
      <c r="D10373" t="str">
        <f>VLOOKUP(C10373,'lookup table'!$A$2:$B$19,2,FALSE)</f>
        <v>FS Item</v>
      </c>
      <c r="E10373" t="str">
        <f t="shared" si="162"/>
        <v>RE006_17|FS Item</v>
      </c>
    </row>
    <row r="10374" spans="1:5" x14ac:dyDescent="0.2">
      <c r="A10374" t="s">
        <v>2810</v>
      </c>
      <c r="B10374" t="s">
        <v>2811</v>
      </c>
      <c r="C10374" t="s">
        <v>423</v>
      </c>
      <c r="D10374" t="str">
        <f>VLOOKUP(C10374,'lookup table'!$A$2:$B$19,2,FALSE)</f>
        <v>ignore</v>
      </c>
      <c r="E10374" t="str">
        <f t="shared" si="162"/>
        <v>RE006_17|ignore</v>
      </c>
    </row>
    <row r="10375" spans="1:5" x14ac:dyDescent="0.2">
      <c r="A10375" t="s">
        <v>2810</v>
      </c>
      <c r="B10375" t="s">
        <v>2811</v>
      </c>
      <c r="C10375" t="s">
        <v>451</v>
      </c>
      <c r="D10375" t="str">
        <f>VLOOKUP(C10375,'lookup table'!$A$2:$B$19,2,FALSE)</f>
        <v>Segment</v>
      </c>
      <c r="E10375" t="str">
        <f t="shared" si="162"/>
        <v>RE006_17|Segment</v>
      </c>
    </row>
    <row r="10376" spans="1:5" x14ac:dyDescent="0.2">
      <c r="A10376" t="s">
        <v>2812</v>
      </c>
      <c r="B10376" t="s">
        <v>2813</v>
      </c>
      <c r="C10376" t="s">
        <v>451</v>
      </c>
      <c r="D10376" t="str">
        <f>VLOOKUP(C10376,'lookup table'!$A$2:$B$19,2,FALSE)</f>
        <v>Segment</v>
      </c>
      <c r="E10376" t="str">
        <f t="shared" si="162"/>
        <v>RE100_70|Segment</v>
      </c>
    </row>
    <row r="10377" spans="1:5" x14ac:dyDescent="0.2">
      <c r="A10377" t="s">
        <v>2814</v>
      </c>
      <c r="B10377" t="s">
        <v>2815</v>
      </c>
      <c r="C10377" t="s">
        <v>428</v>
      </c>
      <c r="D10377" t="str">
        <f>VLOOKUP(C10377,'lookup table'!$A$2:$B$19,2,FALSE)</f>
        <v>LoB</v>
      </c>
      <c r="E10377" t="str">
        <f t="shared" si="162"/>
        <v>RS101_70|LoB</v>
      </c>
    </row>
    <row r="10378" spans="1:5" x14ac:dyDescent="0.2">
      <c r="A10378" t="s">
        <v>2816</v>
      </c>
      <c r="B10378" t="s">
        <v>2817</v>
      </c>
      <c r="C10378" t="s">
        <v>428</v>
      </c>
      <c r="D10378" t="str">
        <f>VLOOKUP(C10378,'lookup table'!$A$2:$B$19,2,FALSE)</f>
        <v>LoB</v>
      </c>
      <c r="E10378" t="str">
        <f t="shared" si="162"/>
        <v>RS102_70|LoB</v>
      </c>
    </row>
    <row r="10379" spans="1:5" x14ac:dyDescent="0.2">
      <c r="A10379" t="s">
        <v>2818</v>
      </c>
      <c r="B10379" t="s">
        <v>2819</v>
      </c>
      <c r="C10379" t="s">
        <v>428</v>
      </c>
      <c r="D10379" t="str">
        <f>VLOOKUP(C10379,'lookup table'!$A$2:$B$19,2,FALSE)</f>
        <v>LoB</v>
      </c>
      <c r="E10379" t="str">
        <f t="shared" si="162"/>
        <v>RS103_70|LoB</v>
      </c>
    </row>
    <row r="10380" spans="1:5" x14ac:dyDescent="0.2">
      <c r="A10380" t="s">
        <v>2820</v>
      </c>
      <c r="B10380" t="s">
        <v>2821</v>
      </c>
      <c r="C10380" t="s">
        <v>428</v>
      </c>
      <c r="D10380" t="str">
        <f>VLOOKUP(C10380,'lookup table'!$A$2:$B$19,2,FALSE)</f>
        <v>LoB</v>
      </c>
      <c r="E10380" t="str">
        <f t="shared" si="162"/>
        <v>RS104_70|LoB</v>
      </c>
    </row>
    <row r="10381" spans="1:5" x14ac:dyDescent="0.2">
      <c r="A10381" t="s">
        <v>2822</v>
      </c>
      <c r="B10381" t="s">
        <v>2823</v>
      </c>
      <c r="C10381" t="s">
        <v>428</v>
      </c>
      <c r="D10381" t="str">
        <f>VLOOKUP(C10381,'lookup table'!$A$2:$B$19,2,FALSE)</f>
        <v>LoB</v>
      </c>
      <c r="E10381" t="str">
        <f t="shared" si="162"/>
        <v>RS105_70|LoB</v>
      </c>
    </row>
    <row r="10382" spans="1:5" x14ac:dyDescent="0.2">
      <c r="A10382" t="s">
        <v>2824</v>
      </c>
      <c r="B10382" t="s">
        <v>2825</v>
      </c>
      <c r="C10382" t="s">
        <v>428</v>
      </c>
      <c r="D10382" t="str">
        <f>VLOOKUP(C10382,'lookup table'!$A$2:$B$19,2,FALSE)</f>
        <v>LoB</v>
      </c>
      <c r="E10382" t="str">
        <f t="shared" si="162"/>
        <v>RS106_70|LoB</v>
      </c>
    </row>
    <row r="10383" spans="1:5" x14ac:dyDescent="0.2">
      <c r="A10383" t="s">
        <v>2826</v>
      </c>
      <c r="B10383" t="s">
        <v>412</v>
      </c>
      <c r="C10383" t="s">
        <v>331</v>
      </c>
      <c r="D10383" t="str">
        <f>VLOOKUP(C10383,'lookup table'!$A$2:$B$19,2,FALSE)</f>
        <v>FS Item</v>
      </c>
      <c r="E10383" t="str">
        <f t="shared" si="162"/>
        <v>S001_17|FS Item</v>
      </c>
    </row>
    <row r="10384" spans="1:5" x14ac:dyDescent="0.2">
      <c r="A10384" t="s">
        <v>2826</v>
      </c>
      <c r="B10384" t="s">
        <v>412</v>
      </c>
      <c r="C10384" t="s">
        <v>423</v>
      </c>
      <c r="D10384" t="str">
        <f>VLOOKUP(C10384,'lookup table'!$A$2:$B$19,2,FALSE)</f>
        <v>ignore</v>
      </c>
      <c r="E10384" t="str">
        <f t="shared" si="162"/>
        <v>S001_17|ignore</v>
      </c>
    </row>
    <row r="10385" spans="1:5" x14ac:dyDescent="0.2">
      <c r="A10385" t="s">
        <v>2826</v>
      </c>
      <c r="B10385" t="s">
        <v>412</v>
      </c>
      <c r="C10385" t="s">
        <v>438</v>
      </c>
      <c r="D10385" t="str">
        <f>VLOOKUP(C10385,'lookup table'!$A$2:$B$19,2,FALSE)</f>
        <v>ToM</v>
      </c>
      <c r="E10385" t="str">
        <f t="shared" si="162"/>
        <v>S001_17|ToM</v>
      </c>
    </row>
    <row r="10386" spans="1:5" x14ac:dyDescent="0.2">
      <c r="A10386" t="s">
        <v>2827</v>
      </c>
      <c r="B10386" t="s">
        <v>2828</v>
      </c>
      <c r="C10386" t="s">
        <v>331</v>
      </c>
      <c r="D10386" t="str">
        <f>VLOOKUP(C10386,'lookup table'!$A$2:$B$19,2,FALSE)</f>
        <v>FS Item</v>
      </c>
      <c r="E10386" t="str">
        <f t="shared" si="162"/>
        <v>S001_70|FS Item</v>
      </c>
    </row>
    <row r="10387" spans="1:5" x14ac:dyDescent="0.2">
      <c r="A10387" t="s">
        <v>2827</v>
      </c>
      <c r="B10387" t="s">
        <v>2828</v>
      </c>
      <c r="C10387" t="s">
        <v>423</v>
      </c>
      <c r="D10387" t="str">
        <f>VLOOKUP(C10387,'lookup table'!$A$2:$B$19,2,FALSE)</f>
        <v>ignore</v>
      </c>
      <c r="E10387" t="str">
        <f t="shared" si="162"/>
        <v>S001_70|ignore</v>
      </c>
    </row>
    <row r="10388" spans="1:5" x14ac:dyDescent="0.2">
      <c r="A10388" t="s">
        <v>2829</v>
      </c>
      <c r="B10388" t="s">
        <v>2830</v>
      </c>
      <c r="C10388" t="s">
        <v>331</v>
      </c>
      <c r="D10388" t="str">
        <f>VLOOKUP(C10388,'lookup table'!$A$2:$B$19,2,FALSE)</f>
        <v>FS Item</v>
      </c>
      <c r="E10388" t="str">
        <f t="shared" si="162"/>
        <v>S003_17|FS Item</v>
      </c>
    </row>
    <row r="10389" spans="1:5" x14ac:dyDescent="0.2">
      <c r="A10389" t="s">
        <v>2829</v>
      </c>
      <c r="B10389" t="s">
        <v>2830</v>
      </c>
      <c r="C10389" t="s">
        <v>423</v>
      </c>
      <c r="D10389" t="str">
        <f>VLOOKUP(C10389,'lookup table'!$A$2:$B$19,2,FALSE)</f>
        <v>ignore</v>
      </c>
      <c r="E10389" t="str">
        <f t="shared" si="162"/>
        <v>S003_17|ignore</v>
      </c>
    </row>
    <row r="10390" spans="1:5" x14ac:dyDescent="0.2">
      <c r="A10390" t="s">
        <v>2829</v>
      </c>
      <c r="B10390" t="s">
        <v>2830</v>
      </c>
      <c r="C10390" t="s">
        <v>436</v>
      </c>
      <c r="D10390" t="str">
        <f>VLOOKUP(C10390,'lookup table'!$A$2:$B$19,2,FALSE)</f>
        <v>MAT</v>
      </c>
      <c r="E10390" t="str">
        <f t="shared" si="162"/>
        <v>S003_17|MAT</v>
      </c>
    </row>
    <row r="10391" spans="1:5" x14ac:dyDescent="0.2">
      <c r="A10391" t="s">
        <v>2831</v>
      </c>
      <c r="B10391" t="s">
        <v>2832</v>
      </c>
      <c r="C10391" t="s">
        <v>331</v>
      </c>
      <c r="D10391" t="str">
        <f>VLOOKUP(C10391,'lookup table'!$A$2:$B$19,2,FALSE)</f>
        <v>FS Item</v>
      </c>
      <c r="E10391" t="str">
        <f t="shared" si="162"/>
        <v>S006_17|FS Item</v>
      </c>
    </row>
    <row r="10392" spans="1:5" x14ac:dyDescent="0.2">
      <c r="A10392" t="s">
        <v>2831</v>
      </c>
      <c r="B10392" t="s">
        <v>2832</v>
      </c>
      <c r="C10392" t="s">
        <v>423</v>
      </c>
      <c r="D10392" t="str">
        <f>VLOOKUP(C10392,'lookup table'!$A$2:$B$19,2,FALSE)</f>
        <v>ignore</v>
      </c>
      <c r="E10392" t="str">
        <f t="shared" si="162"/>
        <v>S006_17|ignore</v>
      </c>
    </row>
    <row r="10393" spans="1:5" x14ac:dyDescent="0.2">
      <c r="A10393" t="s">
        <v>2833</v>
      </c>
      <c r="B10393" t="s">
        <v>2834</v>
      </c>
      <c r="C10393" t="s">
        <v>331</v>
      </c>
      <c r="D10393" t="str">
        <f>VLOOKUP(C10393,'lookup table'!$A$2:$B$19,2,FALSE)</f>
        <v>FS Item</v>
      </c>
      <c r="E10393" t="str">
        <f t="shared" si="162"/>
        <v>S014_17|FS Item</v>
      </c>
    </row>
    <row r="10394" spans="1:5" x14ac:dyDescent="0.2">
      <c r="A10394" t="s">
        <v>2833</v>
      </c>
      <c r="B10394" t="s">
        <v>2834</v>
      </c>
      <c r="C10394" t="s">
        <v>423</v>
      </c>
      <c r="D10394" t="str">
        <f>VLOOKUP(C10394,'lookup table'!$A$2:$B$19,2,FALSE)</f>
        <v>ignore</v>
      </c>
      <c r="E10394" t="str">
        <f t="shared" si="162"/>
        <v>S014_17|ignore</v>
      </c>
    </row>
    <row r="10395" spans="1:5" x14ac:dyDescent="0.2">
      <c r="A10395" t="s">
        <v>2835</v>
      </c>
      <c r="B10395" t="s">
        <v>2836</v>
      </c>
      <c r="C10395" t="s">
        <v>331</v>
      </c>
      <c r="D10395" t="str">
        <f>VLOOKUP(C10395,'lookup table'!$A$2:$B$19,2,FALSE)</f>
        <v>FS Item</v>
      </c>
      <c r="E10395" t="str">
        <f t="shared" si="162"/>
        <v>S030_70|FS Item</v>
      </c>
    </row>
    <row r="10396" spans="1:5" x14ac:dyDescent="0.2">
      <c r="A10396" t="s">
        <v>2835</v>
      </c>
      <c r="B10396" t="s">
        <v>2836</v>
      </c>
      <c r="C10396" t="s">
        <v>423</v>
      </c>
      <c r="D10396" t="str">
        <f>VLOOKUP(C10396,'lookup table'!$A$2:$B$19,2,FALSE)</f>
        <v>ignore</v>
      </c>
      <c r="E10396" t="str">
        <f t="shared" si="162"/>
        <v>S030_70|ignore</v>
      </c>
    </row>
    <row r="10397" spans="1:5" x14ac:dyDescent="0.2">
      <c r="A10397" t="s">
        <v>2837</v>
      </c>
      <c r="B10397" t="s">
        <v>2838</v>
      </c>
      <c r="C10397" t="s">
        <v>442</v>
      </c>
      <c r="D10397" t="str">
        <f>VLOOKUP(C10397,'lookup table'!$A$2:$B$19,2,FALSE)</f>
        <v>Partner Unit</v>
      </c>
      <c r="E10397" t="str">
        <f t="shared" si="162"/>
        <v>S053_00|Partner Unit</v>
      </c>
    </row>
    <row r="10398" spans="1:5" x14ac:dyDescent="0.2">
      <c r="A10398" t="s">
        <v>2839</v>
      </c>
      <c r="B10398" t="s">
        <v>2840</v>
      </c>
      <c r="C10398" t="s">
        <v>331</v>
      </c>
      <c r="D10398" t="str">
        <f>VLOOKUP(C10398,'lookup table'!$A$2:$B$19,2,FALSE)</f>
        <v>FS Item</v>
      </c>
      <c r="E10398" t="str">
        <f t="shared" si="162"/>
        <v>S057_09|FS Item</v>
      </c>
    </row>
    <row r="10399" spans="1:5" x14ac:dyDescent="0.2">
      <c r="A10399" t="s">
        <v>2839</v>
      </c>
      <c r="B10399" t="s">
        <v>2840</v>
      </c>
      <c r="C10399" t="s">
        <v>423</v>
      </c>
      <c r="D10399" t="str">
        <f>VLOOKUP(C10399,'lookup table'!$A$2:$B$19,2,FALSE)</f>
        <v>ignore</v>
      </c>
      <c r="E10399" t="str">
        <f t="shared" si="162"/>
        <v>S057_09|ignore</v>
      </c>
    </row>
    <row r="10400" spans="1:5" x14ac:dyDescent="0.2">
      <c r="A10400" t="s">
        <v>2839</v>
      </c>
      <c r="B10400" t="s">
        <v>2840</v>
      </c>
      <c r="C10400" t="s">
        <v>438</v>
      </c>
      <c r="D10400" t="str">
        <f>VLOOKUP(C10400,'lookup table'!$A$2:$B$19,2,FALSE)</f>
        <v>ToM</v>
      </c>
      <c r="E10400" t="str">
        <f t="shared" si="162"/>
        <v>S057_09|ToM</v>
      </c>
    </row>
    <row r="10401" spans="1:5" x14ac:dyDescent="0.2">
      <c r="A10401" t="s">
        <v>2839</v>
      </c>
      <c r="B10401" t="s">
        <v>2840</v>
      </c>
      <c r="C10401" t="s">
        <v>442</v>
      </c>
      <c r="D10401" t="str">
        <f>VLOOKUP(C10401,'lookup table'!$A$2:$B$19,2,FALSE)</f>
        <v>Partner Unit</v>
      </c>
      <c r="E10401" t="str">
        <f t="shared" si="162"/>
        <v>S057_09|Partner Unit</v>
      </c>
    </row>
    <row r="10402" spans="1:5" x14ac:dyDescent="0.2">
      <c r="A10402" t="s">
        <v>2839</v>
      </c>
      <c r="B10402" t="s">
        <v>2840</v>
      </c>
      <c r="C10402" t="s">
        <v>451</v>
      </c>
      <c r="D10402" t="str">
        <f>VLOOKUP(C10402,'lookup table'!$A$2:$B$19,2,FALSE)</f>
        <v>Segment</v>
      </c>
      <c r="E10402" t="str">
        <f t="shared" si="162"/>
        <v>S057_09|Segment</v>
      </c>
    </row>
    <row r="10403" spans="1:5" x14ac:dyDescent="0.2">
      <c r="A10403" t="s">
        <v>2841</v>
      </c>
      <c r="B10403" t="s">
        <v>2842</v>
      </c>
      <c r="C10403" t="s">
        <v>14</v>
      </c>
      <c r="D10403" t="str">
        <f>VLOOKUP(C10403,'lookup table'!$A$2:$B$19,2,FALSE)</f>
        <v>ALC</v>
      </c>
      <c r="E10403" t="str">
        <f t="shared" si="162"/>
        <v>S094_09|ALC</v>
      </c>
    </row>
    <row r="10404" spans="1:5" x14ac:dyDescent="0.2">
      <c r="A10404" t="s">
        <v>2841</v>
      </c>
      <c r="B10404" t="s">
        <v>2842</v>
      </c>
      <c r="C10404" t="s">
        <v>331</v>
      </c>
      <c r="D10404" t="str">
        <f>VLOOKUP(C10404,'lookup table'!$A$2:$B$19,2,FALSE)</f>
        <v>FS Item</v>
      </c>
      <c r="E10404" t="str">
        <f t="shared" si="162"/>
        <v>S094_09|FS Item</v>
      </c>
    </row>
    <row r="10405" spans="1:5" x14ac:dyDescent="0.2">
      <c r="A10405" t="s">
        <v>2841</v>
      </c>
      <c r="B10405" t="s">
        <v>2842</v>
      </c>
      <c r="C10405" t="s">
        <v>423</v>
      </c>
      <c r="D10405" t="str">
        <f>VLOOKUP(C10405,'lookup table'!$A$2:$B$19,2,FALSE)</f>
        <v>ignore</v>
      </c>
      <c r="E10405" t="str">
        <f t="shared" si="162"/>
        <v>S094_09|ignore</v>
      </c>
    </row>
    <row r="10406" spans="1:5" x14ac:dyDescent="0.2">
      <c r="A10406" t="s">
        <v>2843</v>
      </c>
      <c r="B10406" t="s">
        <v>2844</v>
      </c>
      <c r="C10406" t="s">
        <v>14</v>
      </c>
      <c r="D10406" t="str">
        <f>VLOOKUP(C10406,'lookup table'!$A$2:$B$19,2,FALSE)</f>
        <v>ALC</v>
      </c>
      <c r="E10406" t="str">
        <f t="shared" si="162"/>
        <v>S095_09|ALC</v>
      </c>
    </row>
    <row r="10407" spans="1:5" x14ac:dyDescent="0.2">
      <c r="A10407" t="s">
        <v>2843</v>
      </c>
      <c r="B10407" t="s">
        <v>2844</v>
      </c>
      <c r="C10407" t="s">
        <v>331</v>
      </c>
      <c r="D10407" t="str">
        <f>VLOOKUP(C10407,'lookup table'!$A$2:$B$19,2,FALSE)</f>
        <v>FS Item</v>
      </c>
      <c r="E10407" t="str">
        <f t="shared" si="162"/>
        <v>S095_09|FS Item</v>
      </c>
    </row>
    <row r="10408" spans="1:5" x14ac:dyDescent="0.2">
      <c r="A10408" t="s">
        <v>2843</v>
      </c>
      <c r="B10408" t="s">
        <v>2844</v>
      </c>
      <c r="C10408" t="s">
        <v>423</v>
      </c>
      <c r="D10408" t="str">
        <f>VLOOKUP(C10408,'lookup table'!$A$2:$B$19,2,FALSE)</f>
        <v>ignore</v>
      </c>
      <c r="E10408" t="str">
        <f t="shared" si="162"/>
        <v>S095_09|ignore</v>
      </c>
    </row>
    <row r="10409" spans="1:5" x14ac:dyDescent="0.2">
      <c r="A10409" t="s">
        <v>2845</v>
      </c>
      <c r="B10409" t="s">
        <v>2846</v>
      </c>
      <c r="C10409" t="s">
        <v>331</v>
      </c>
      <c r="D10409" t="str">
        <f>VLOOKUP(C10409,'lookup table'!$A$2:$B$19,2,FALSE)</f>
        <v>FS Item</v>
      </c>
      <c r="E10409" t="str">
        <f t="shared" si="162"/>
        <v>S098_80|FS Item</v>
      </c>
    </row>
    <row r="10410" spans="1:5" x14ac:dyDescent="0.2">
      <c r="A10410" t="s">
        <v>2845</v>
      </c>
      <c r="B10410" t="s">
        <v>2846</v>
      </c>
      <c r="C10410" t="s">
        <v>423</v>
      </c>
      <c r="D10410" t="str">
        <f>VLOOKUP(C10410,'lookup table'!$A$2:$B$19,2,FALSE)</f>
        <v>ignore</v>
      </c>
      <c r="E10410" t="str">
        <f t="shared" si="162"/>
        <v>S098_80|ignore</v>
      </c>
    </row>
    <row r="10411" spans="1:5" x14ac:dyDescent="0.2">
      <c r="A10411" t="s">
        <v>2847</v>
      </c>
      <c r="B10411" t="s">
        <v>2848</v>
      </c>
      <c r="C10411" t="s">
        <v>428</v>
      </c>
      <c r="D10411" t="str">
        <f>VLOOKUP(C10411,'lookup table'!$A$2:$B$19,2,FALSE)</f>
        <v>LoB</v>
      </c>
      <c r="E10411" t="str">
        <f t="shared" si="162"/>
        <v>S100_70|LoB</v>
      </c>
    </row>
    <row r="10412" spans="1:5" x14ac:dyDescent="0.2">
      <c r="A10412" t="s">
        <v>2849</v>
      </c>
      <c r="B10412" t="s">
        <v>2850</v>
      </c>
      <c r="C10412" t="s">
        <v>428</v>
      </c>
      <c r="D10412" t="str">
        <f>VLOOKUP(C10412,'lookup table'!$A$2:$B$19,2,FALSE)</f>
        <v>LoB</v>
      </c>
      <c r="E10412" t="str">
        <f t="shared" si="162"/>
        <v>S101_70|LoB</v>
      </c>
    </row>
    <row r="10413" spans="1:5" x14ac:dyDescent="0.2">
      <c r="A10413" t="s">
        <v>2851</v>
      </c>
      <c r="B10413" t="s">
        <v>2852</v>
      </c>
      <c r="C10413" t="s">
        <v>428</v>
      </c>
      <c r="D10413" t="str">
        <f>VLOOKUP(C10413,'lookup table'!$A$2:$B$19,2,FALSE)</f>
        <v>LoB</v>
      </c>
      <c r="E10413" t="str">
        <f t="shared" si="162"/>
        <v>S102_70|LoB</v>
      </c>
    </row>
    <row r="10414" spans="1:5" x14ac:dyDescent="0.2">
      <c r="A10414" t="s">
        <v>2853</v>
      </c>
      <c r="B10414" t="s">
        <v>2854</v>
      </c>
      <c r="C10414" t="s">
        <v>428</v>
      </c>
      <c r="D10414" t="str">
        <f>VLOOKUP(C10414,'lookup table'!$A$2:$B$19,2,FALSE)</f>
        <v>LoB</v>
      </c>
      <c r="E10414" t="str">
        <f t="shared" si="162"/>
        <v>S103_70|LoB</v>
      </c>
    </row>
    <row r="10415" spans="1:5" x14ac:dyDescent="0.2">
      <c r="A10415" t="s">
        <v>2855</v>
      </c>
      <c r="B10415" t="s">
        <v>2856</v>
      </c>
      <c r="C10415" t="s">
        <v>428</v>
      </c>
      <c r="D10415" t="str">
        <f>VLOOKUP(C10415,'lookup table'!$A$2:$B$19,2,FALSE)</f>
        <v>LoB</v>
      </c>
      <c r="E10415" t="str">
        <f t="shared" si="162"/>
        <v>S104_70|LoB</v>
      </c>
    </row>
    <row r="10416" spans="1:5" x14ac:dyDescent="0.2">
      <c r="A10416" t="s">
        <v>2857</v>
      </c>
      <c r="B10416" t="s">
        <v>2858</v>
      </c>
      <c r="C10416" t="s">
        <v>428</v>
      </c>
      <c r="D10416" t="str">
        <f>VLOOKUP(C10416,'lookup table'!$A$2:$B$19,2,FALSE)</f>
        <v>LoB</v>
      </c>
      <c r="E10416" t="str">
        <f t="shared" si="162"/>
        <v>S105_70|LoB</v>
      </c>
    </row>
    <row r="10417" spans="1:5" x14ac:dyDescent="0.2">
      <c r="A10417" t="s">
        <v>2859</v>
      </c>
      <c r="B10417" t="s">
        <v>2860</v>
      </c>
      <c r="C10417" t="s">
        <v>428</v>
      </c>
      <c r="D10417" t="str">
        <f>VLOOKUP(C10417,'lookup table'!$A$2:$B$19,2,FALSE)</f>
        <v>LoB</v>
      </c>
      <c r="E10417" t="str">
        <f t="shared" si="162"/>
        <v>S106_70|LoB</v>
      </c>
    </row>
    <row r="10418" spans="1:5" x14ac:dyDescent="0.2">
      <c r="A10418" t="s">
        <v>2861</v>
      </c>
      <c r="B10418" t="s">
        <v>2862</v>
      </c>
      <c r="C10418" t="s">
        <v>428</v>
      </c>
      <c r="D10418" t="str">
        <f>VLOOKUP(C10418,'lookup table'!$A$2:$B$19,2,FALSE)</f>
        <v>LoB</v>
      </c>
      <c r="E10418" t="str">
        <f t="shared" si="162"/>
        <v>S107_70|LoB</v>
      </c>
    </row>
    <row r="10419" spans="1:5" x14ac:dyDescent="0.2">
      <c r="A10419" t="s">
        <v>2863</v>
      </c>
      <c r="B10419" t="s">
        <v>2864</v>
      </c>
      <c r="C10419" t="s">
        <v>331</v>
      </c>
      <c r="D10419" t="str">
        <f>VLOOKUP(C10419,'lookup table'!$A$2:$B$19,2,FALSE)</f>
        <v>FS Item</v>
      </c>
      <c r="E10419" t="str">
        <f t="shared" si="162"/>
        <v>S108_70|FS Item</v>
      </c>
    </row>
    <row r="10420" spans="1:5" x14ac:dyDescent="0.2">
      <c r="A10420" t="s">
        <v>2863</v>
      </c>
      <c r="B10420" t="s">
        <v>2864</v>
      </c>
      <c r="C10420" t="s">
        <v>423</v>
      </c>
      <c r="D10420" t="str">
        <f>VLOOKUP(C10420,'lookup table'!$A$2:$B$19,2,FALSE)</f>
        <v>ignore</v>
      </c>
      <c r="E10420" t="str">
        <f t="shared" si="162"/>
        <v>S108_70|ignore</v>
      </c>
    </row>
    <row r="10421" spans="1:5" x14ac:dyDescent="0.2">
      <c r="A10421" t="s">
        <v>2865</v>
      </c>
      <c r="B10421" t="s">
        <v>2866</v>
      </c>
      <c r="C10421" t="s">
        <v>20</v>
      </c>
      <c r="D10421" t="str">
        <f>VLOOKUP(C10421,'lookup table'!$A$2:$B$19,2,FALSE)</f>
        <v>AY</v>
      </c>
      <c r="E10421" t="str">
        <f t="shared" si="162"/>
        <v>S109_70|AY</v>
      </c>
    </row>
    <row r="10422" spans="1:5" x14ac:dyDescent="0.2">
      <c r="A10422" t="s">
        <v>2865</v>
      </c>
      <c r="B10422" t="s">
        <v>2866</v>
      </c>
      <c r="C10422" t="s">
        <v>428</v>
      </c>
      <c r="D10422" t="str">
        <f>VLOOKUP(C10422,'lookup table'!$A$2:$B$19,2,FALSE)</f>
        <v>LoB</v>
      </c>
      <c r="E10422" t="str">
        <f t="shared" si="162"/>
        <v>S109_70|LoB</v>
      </c>
    </row>
    <row r="10423" spans="1:5" x14ac:dyDescent="0.2">
      <c r="A10423" t="s">
        <v>2867</v>
      </c>
      <c r="B10423" t="s">
        <v>2868</v>
      </c>
      <c r="C10423" t="s">
        <v>20</v>
      </c>
      <c r="D10423" t="str">
        <f>VLOOKUP(C10423,'lookup table'!$A$2:$B$19,2,FALSE)</f>
        <v>AY</v>
      </c>
      <c r="E10423" t="str">
        <f t="shared" si="162"/>
        <v>S110_70|AY</v>
      </c>
    </row>
    <row r="10424" spans="1:5" x14ac:dyDescent="0.2">
      <c r="A10424" t="s">
        <v>2867</v>
      </c>
      <c r="B10424" t="s">
        <v>2868</v>
      </c>
      <c r="C10424" t="s">
        <v>428</v>
      </c>
      <c r="D10424" t="str">
        <f>VLOOKUP(C10424,'lookup table'!$A$2:$B$19,2,FALSE)</f>
        <v>LoB</v>
      </c>
      <c r="E10424" t="str">
        <f t="shared" si="162"/>
        <v>S110_70|LoB</v>
      </c>
    </row>
    <row r="10425" spans="1:5" x14ac:dyDescent="0.2">
      <c r="A10425" t="s">
        <v>2869</v>
      </c>
      <c r="B10425" t="s">
        <v>2870</v>
      </c>
      <c r="C10425" t="s">
        <v>20</v>
      </c>
      <c r="D10425" t="str">
        <f>VLOOKUP(C10425,'lookup table'!$A$2:$B$19,2,FALSE)</f>
        <v>AY</v>
      </c>
      <c r="E10425" t="str">
        <f t="shared" si="162"/>
        <v>S111_70|AY</v>
      </c>
    </row>
    <row r="10426" spans="1:5" x14ac:dyDescent="0.2">
      <c r="A10426" t="s">
        <v>2869</v>
      </c>
      <c r="B10426" t="s">
        <v>2870</v>
      </c>
      <c r="C10426" t="s">
        <v>428</v>
      </c>
      <c r="D10426" t="str">
        <f>VLOOKUP(C10426,'lookup table'!$A$2:$B$19,2,FALSE)</f>
        <v>LoB</v>
      </c>
      <c r="E10426" t="str">
        <f t="shared" si="162"/>
        <v>S111_70|LoB</v>
      </c>
    </row>
    <row r="10427" spans="1:5" x14ac:dyDescent="0.2">
      <c r="A10427" t="s">
        <v>2871</v>
      </c>
      <c r="B10427" t="s">
        <v>2872</v>
      </c>
      <c r="C10427" t="s">
        <v>428</v>
      </c>
      <c r="D10427" t="str">
        <f>VLOOKUP(C10427,'lookup table'!$A$2:$B$19,2,FALSE)</f>
        <v>LoB</v>
      </c>
      <c r="E10427" t="str">
        <f t="shared" si="162"/>
        <v>S112_70|LoB</v>
      </c>
    </row>
    <row r="10428" spans="1:5" x14ac:dyDescent="0.2">
      <c r="A10428" t="s">
        <v>2873</v>
      </c>
      <c r="B10428" t="s">
        <v>2874</v>
      </c>
      <c r="C10428" t="s">
        <v>428</v>
      </c>
      <c r="D10428" t="str">
        <f>VLOOKUP(C10428,'lookup table'!$A$2:$B$19,2,FALSE)</f>
        <v>LoB</v>
      </c>
      <c r="E10428" t="str">
        <f t="shared" si="162"/>
        <v>S113_70|LoB</v>
      </c>
    </row>
    <row r="10429" spans="1:5" x14ac:dyDescent="0.2">
      <c r="A10429" t="s">
        <v>2875</v>
      </c>
      <c r="B10429" t="s">
        <v>2876</v>
      </c>
      <c r="C10429" t="s">
        <v>428</v>
      </c>
      <c r="D10429" t="str">
        <f>VLOOKUP(C10429,'lookup table'!$A$2:$B$19,2,FALSE)</f>
        <v>LoB</v>
      </c>
      <c r="E10429" t="str">
        <f t="shared" si="162"/>
        <v>S114_70|LoB</v>
      </c>
    </row>
    <row r="10430" spans="1:5" x14ac:dyDescent="0.2">
      <c r="A10430" t="s">
        <v>2877</v>
      </c>
      <c r="B10430" t="s">
        <v>2878</v>
      </c>
      <c r="C10430" t="s">
        <v>428</v>
      </c>
      <c r="D10430" t="str">
        <f>VLOOKUP(C10430,'lookup table'!$A$2:$B$19,2,FALSE)</f>
        <v>LoB</v>
      </c>
      <c r="E10430" t="str">
        <f t="shared" si="162"/>
        <v>S115_70|LoB</v>
      </c>
    </row>
    <row r="10431" spans="1:5" x14ac:dyDescent="0.2">
      <c r="A10431" t="s">
        <v>2879</v>
      </c>
      <c r="B10431" t="s">
        <v>2880</v>
      </c>
      <c r="C10431" t="s">
        <v>428</v>
      </c>
      <c r="D10431" t="str">
        <f>VLOOKUP(C10431,'lookup table'!$A$2:$B$19,2,FALSE)</f>
        <v>LoB</v>
      </c>
      <c r="E10431" t="str">
        <f t="shared" si="162"/>
        <v>S116_70|LoB</v>
      </c>
    </row>
    <row r="10432" spans="1:5" x14ac:dyDescent="0.2">
      <c r="A10432" t="s">
        <v>2881</v>
      </c>
      <c r="B10432" t="s">
        <v>2882</v>
      </c>
      <c r="C10432" t="s">
        <v>428</v>
      </c>
      <c r="D10432" t="str">
        <f>VLOOKUP(C10432,'lookup table'!$A$2:$B$19,2,FALSE)</f>
        <v>LoB</v>
      </c>
      <c r="E10432" t="str">
        <f t="shared" si="162"/>
        <v>S117_70|LoB</v>
      </c>
    </row>
    <row r="10433" spans="1:5" x14ac:dyDescent="0.2">
      <c r="A10433" t="s">
        <v>2883</v>
      </c>
      <c r="B10433" t="s">
        <v>2884</v>
      </c>
      <c r="C10433" t="s">
        <v>428</v>
      </c>
      <c r="D10433" t="str">
        <f>VLOOKUP(C10433,'lookup table'!$A$2:$B$19,2,FALSE)</f>
        <v>LoB</v>
      </c>
      <c r="E10433" t="str">
        <f t="shared" si="162"/>
        <v>S118_70|LoB</v>
      </c>
    </row>
    <row r="10434" spans="1:5" x14ac:dyDescent="0.2">
      <c r="A10434" t="s">
        <v>2885</v>
      </c>
      <c r="B10434" t="s">
        <v>2886</v>
      </c>
      <c r="C10434" t="s">
        <v>428</v>
      </c>
      <c r="D10434" t="str">
        <f>VLOOKUP(C10434,'lookup table'!$A$2:$B$19,2,FALSE)</f>
        <v>LoB</v>
      </c>
      <c r="E10434" t="str">
        <f t="shared" si="162"/>
        <v>S119_70|LoB</v>
      </c>
    </row>
    <row r="10435" spans="1:5" x14ac:dyDescent="0.2">
      <c r="A10435" t="s">
        <v>2887</v>
      </c>
      <c r="B10435" t="s">
        <v>2888</v>
      </c>
      <c r="C10435" t="s">
        <v>428</v>
      </c>
      <c r="D10435" t="str">
        <f>VLOOKUP(C10435,'lookup table'!$A$2:$B$19,2,FALSE)</f>
        <v>LoB</v>
      </c>
      <c r="E10435" t="str">
        <f t="shared" ref="E10435:E10498" si="163">IF(ISNA(D10435),"",IF(A10435="","",A10435) &amp; "|" &amp; D10435)</f>
        <v>S120_70|LoB</v>
      </c>
    </row>
    <row r="10436" spans="1:5" x14ac:dyDescent="0.2">
      <c r="A10436" t="s">
        <v>2889</v>
      </c>
      <c r="B10436" t="s">
        <v>2890</v>
      </c>
      <c r="C10436" t="s">
        <v>428</v>
      </c>
      <c r="D10436" t="str">
        <f>VLOOKUP(C10436,'lookup table'!$A$2:$B$19,2,FALSE)</f>
        <v>LoB</v>
      </c>
      <c r="E10436" t="str">
        <f t="shared" si="163"/>
        <v>S121_70|LoB</v>
      </c>
    </row>
    <row r="10437" spans="1:5" x14ac:dyDescent="0.2">
      <c r="A10437" t="s">
        <v>2891</v>
      </c>
      <c r="B10437" t="s">
        <v>2892</v>
      </c>
      <c r="C10437" t="s">
        <v>331</v>
      </c>
      <c r="D10437" t="str">
        <f>VLOOKUP(C10437,'lookup table'!$A$2:$B$19,2,FALSE)</f>
        <v>FS Item</v>
      </c>
      <c r="E10437" t="str">
        <f t="shared" si="163"/>
        <v>S122_00|FS Item</v>
      </c>
    </row>
    <row r="10438" spans="1:5" x14ac:dyDescent="0.2">
      <c r="A10438" t="s">
        <v>2891</v>
      </c>
      <c r="B10438" t="s">
        <v>2892</v>
      </c>
      <c r="C10438" t="s">
        <v>423</v>
      </c>
      <c r="D10438" t="str">
        <f>VLOOKUP(C10438,'lookup table'!$A$2:$B$19,2,FALSE)</f>
        <v>ignore</v>
      </c>
      <c r="E10438" t="str">
        <f t="shared" si="163"/>
        <v>S122_00|ignore</v>
      </c>
    </row>
    <row r="10439" spans="1:5" x14ac:dyDescent="0.2">
      <c r="A10439" t="s">
        <v>2891</v>
      </c>
      <c r="B10439" t="s">
        <v>2892</v>
      </c>
      <c r="C10439" t="s">
        <v>436</v>
      </c>
      <c r="D10439" t="str">
        <f>VLOOKUP(C10439,'lookup table'!$A$2:$B$19,2,FALSE)</f>
        <v>MAT</v>
      </c>
      <c r="E10439" t="str">
        <f t="shared" si="163"/>
        <v>S122_00|MAT</v>
      </c>
    </row>
    <row r="10440" spans="1:5" x14ac:dyDescent="0.2">
      <c r="A10440" t="s">
        <v>2893</v>
      </c>
      <c r="B10440" t="s">
        <v>2894</v>
      </c>
      <c r="C10440" t="s">
        <v>331</v>
      </c>
      <c r="D10440" t="str">
        <f>VLOOKUP(C10440,'lookup table'!$A$2:$B$19,2,FALSE)</f>
        <v>FS Item</v>
      </c>
      <c r="E10440" t="str">
        <f t="shared" si="163"/>
        <v>S123_70|FS Item</v>
      </c>
    </row>
    <row r="10441" spans="1:5" x14ac:dyDescent="0.2">
      <c r="A10441" t="s">
        <v>2893</v>
      </c>
      <c r="B10441" t="s">
        <v>2894</v>
      </c>
      <c r="C10441" t="s">
        <v>423</v>
      </c>
      <c r="D10441" t="str">
        <f>VLOOKUP(C10441,'lookup table'!$A$2:$B$19,2,FALSE)</f>
        <v>ignore</v>
      </c>
      <c r="E10441" t="str">
        <f t="shared" si="163"/>
        <v>S123_70|ignore</v>
      </c>
    </row>
    <row r="10442" spans="1:5" x14ac:dyDescent="0.2">
      <c r="A10442" t="s">
        <v>2893</v>
      </c>
      <c r="B10442" t="s">
        <v>2894</v>
      </c>
      <c r="C10442" t="s">
        <v>428</v>
      </c>
      <c r="D10442" t="str">
        <f>VLOOKUP(C10442,'lookup table'!$A$2:$B$19,2,FALSE)</f>
        <v>LoB</v>
      </c>
      <c r="E10442" t="str">
        <f t="shared" si="163"/>
        <v>S123_70|LoB</v>
      </c>
    </row>
    <row r="10443" spans="1:5" x14ac:dyDescent="0.2">
      <c r="A10443" t="s">
        <v>2895</v>
      </c>
      <c r="B10443" t="s">
        <v>2896</v>
      </c>
      <c r="C10443" t="s">
        <v>428</v>
      </c>
      <c r="D10443" t="str">
        <f>VLOOKUP(C10443,'lookup table'!$A$2:$B$19,2,FALSE)</f>
        <v>LoB</v>
      </c>
      <c r="E10443" t="str">
        <f t="shared" si="163"/>
        <v>S124_70|LoB</v>
      </c>
    </row>
    <row r="10444" spans="1:5" x14ac:dyDescent="0.2">
      <c r="A10444" t="s">
        <v>2897</v>
      </c>
      <c r="B10444" t="s">
        <v>2898</v>
      </c>
      <c r="C10444" t="s">
        <v>428</v>
      </c>
      <c r="D10444" t="str">
        <f>VLOOKUP(C10444,'lookup table'!$A$2:$B$19,2,FALSE)</f>
        <v>LoB</v>
      </c>
      <c r="E10444" t="str">
        <f t="shared" si="163"/>
        <v>S125_70|LoB</v>
      </c>
    </row>
    <row r="10445" spans="1:5" x14ac:dyDescent="0.2">
      <c r="A10445" t="s">
        <v>2899</v>
      </c>
      <c r="B10445" t="s">
        <v>2900</v>
      </c>
      <c r="C10445" t="s">
        <v>428</v>
      </c>
      <c r="D10445" t="str">
        <f>VLOOKUP(C10445,'lookup table'!$A$2:$B$19,2,FALSE)</f>
        <v>LoB</v>
      </c>
      <c r="E10445" t="str">
        <f t="shared" si="163"/>
        <v>S126_70|LoB</v>
      </c>
    </row>
    <row r="10446" spans="1:5" x14ac:dyDescent="0.2">
      <c r="A10446" t="s">
        <v>2901</v>
      </c>
      <c r="B10446" t="s">
        <v>2902</v>
      </c>
      <c r="C10446" t="s">
        <v>428</v>
      </c>
      <c r="D10446" t="str">
        <f>VLOOKUP(C10446,'lookup table'!$A$2:$B$19,2,FALSE)</f>
        <v>LoB</v>
      </c>
      <c r="E10446" t="str">
        <f t="shared" si="163"/>
        <v>S127_70|LoB</v>
      </c>
    </row>
    <row r="10447" spans="1:5" x14ac:dyDescent="0.2">
      <c r="A10447" t="s">
        <v>2903</v>
      </c>
      <c r="B10447" t="s">
        <v>2904</v>
      </c>
      <c r="C10447" t="s">
        <v>428</v>
      </c>
      <c r="D10447" t="str">
        <f>VLOOKUP(C10447,'lookup table'!$A$2:$B$19,2,FALSE)</f>
        <v>LoB</v>
      </c>
      <c r="E10447" t="str">
        <f t="shared" si="163"/>
        <v>S129_70|LoB</v>
      </c>
    </row>
    <row r="10448" spans="1:5" x14ac:dyDescent="0.2">
      <c r="A10448" t="s">
        <v>2905</v>
      </c>
      <c r="B10448" t="s">
        <v>2906</v>
      </c>
      <c r="C10448" t="s">
        <v>428</v>
      </c>
      <c r="D10448" t="str">
        <f>VLOOKUP(C10448,'lookup table'!$A$2:$B$19,2,FALSE)</f>
        <v>LoB</v>
      </c>
      <c r="E10448" t="str">
        <f t="shared" si="163"/>
        <v>S130_70|LoB</v>
      </c>
    </row>
    <row r="10449" spans="1:5" x14ac:dyDescent="0.2">
      <c r="A10449" t="s">
        <v>2907</v>
      </c>
      <c r="B10449" t="s">
        <v>2908</v>
      </c>
      <c r="C10449" t="s">
        <v>20</v>
      </c>
      <c r="D10449" t="str">
        <f>VLOOKUP(C10449,'lookup table'!$A$2:$B$19,2,FALSE)</f>
        <v>AY</v>
      </c>
      <c r="E10449" t="str">
        <f t="shared" si="163"/>
        <v>S136_70|AY</v>
      </c>
    </row>
    <row r="10450" spans="1:5" x14ac:dyDescent="0.2">
      <c r="A10450" t="s">
        <v>2907</v>
      </c>
      <c r="B10450" t="s">
        <v>2908</v>
      </c>
      <c r="C10450" t="s">
        <v>428</v>
      </c>
      <c r="D10450" t="str">
        <f>VLOOKUP(C10450,'lookup table'!$A$2:$B$19,2,FALSE)</f>
        <v>LoB</v>
      </c>
      <c r="E10450" t="str">
        <f t="shared" si="163"/>
        <v>S136_70|LoB</v>
      </c>
    </row>
    <row r="10451" spans="1:5" x14ac:dyDescent="0.2">
      <c r="A10451" t="s">
        <v>2909</v>
      </c>
      <c r="B10451" t="s">
        <v>2910</v>
      </c>
      <c r="C10451" t="s">
        <v>20</v>
      </c>
      <c r="D10451" t="str">
        <f>VLOOKUP(C10451,'lookup table'!$A$2:$B$19,2,FALSE)</f>
        <v>AY</v>
      </c>
      <c r="E10451" t="str">
        <f t="shared" si="163"/>
        <v>S137_70|AY</v>
      </c>
    </row>
    <row r="10452" spans="1:5" x14ac:dyDescent="0.2">
      <c r="A10452" t="s">
        <v>2909</v>
      </c>
      <c r="B10452" t="s">
        <v>2910</v>
      </c>
      <c r="C10452" t="s">
        <v>428</v>
      </c>
      <c r="D10452" t="str">
        <f>VLOOKUP(C10452,'lookup table'!$A$2:$B$19,2,FALSE)</f>
        <v>LoB</v>
      </c>
      <c r="E10452" t="str">
        <f t="shared" si="163"/>
        <v>S137_70|LoB</v>
      </c>
    </row>
    <row r="10453" spans="1:5" x14ac:dyDescent="0.2">
      <c r="A10453" t="s">
        <v>2911</v>
      </c>
      <c r="B10453" t="s">
        <v>2912</v>
      </c>
      <c r="C10453" t="s">
        <v>428</v>
      </c>
      <c r="D10453" t="str">
        <f>VLOOKUP(C10453,'lookup table'!$A$2:$B$19,2,FALSE)</f>
        <v>LoB</v>
      </c>
      <c r="E10453" t="str">
        <f t="shared" si="163"/>
        <v>S138_70|LoB</v>
      </c>
    </row>
    <row r="10454" spans="1:5" x14ac:dyDescent="0.2">
      <c r="A10454" t="s">
        <v>2913</v>
      </c>
      <c r="B10454" t="s">
        <v>2914</v>
      </c>
      <c r="C10454" t="s">
        <v>428</v>
      </c>
      <c r="D10454" t="str">
        <f>VLOOKUP(C10454,'lookup table'!$A$2:$B$19,2,FALSE)</f>
        <v>LoB</v>
      </c>
      <c r="E10454" t="str">
        <f t="shared" si="163"/>
        <v>S139_70|LoB</v>
      </c>
    </row>
    <row r="10455" spans="1:5" x14ac:dyDescent="0.2">
      <c r="A10455" t="s">
        <v>2915</v>
      </c>
      <c r="B10455" t="s">
        <v>2916</v>
      </c>
      <c r="C10455" t="s">
        <v>428</v>
      </c>
      <c r="D10455" t="str">
        <f>VLOOKUP(C10455,'lookup table'!$A$2:$B$19,2,FALSE)</f>
        <v>LoB</v>
      </c>
      <c r="E10455" t="str">
        <f t="shared" si="163"/>
        <v>S140_70|LoB</v>
      </c>
    </row>
    <row r="10456" spans="1:5" x14ac:dyDescent="0.2">
      <c r="A10456" t="s">
        <v>2917</v>
      </c>
      <c r="B10456" t="s">
        <v>2918</v>
      </c>
      <c r="C10456" t="s">
        <v>428</v>
      </c>
      <c r="D10456" t="str">
        <f>VLOOKUP(C10456,'lookup table'!$A$2:$B$19,2,FALSE)</f>
        <v>LoB</v>
      </c>
      <c r="E10456" t="str">
        <f t="shared" si="163"/>
        <v>S141_70|LoB</v>
      </c>
    </row>
    <row r="10457" spans="1:5" x14ac:dyDescent="0.2">
      <c r="A10457" t="s">
        <v>2919</v>
      </c>
      <c r="B10457" t="s">
        <v>389</v>
      </c>
      <c r="C10457" t="s">
        <v>331</v>
      </c>
      <c r="D10457" t="str">
        <f>VLOOKUP(C10457,'lookup table'!$A$2:$B$19,2,FALSE)</f>
        <v>FS Item</v>
      </c>
      <c r="E10457" t="str">
        <f t="shared" si="163"/>
        <v>S142_00|FS Item</v>
      </c>
    </row>
    <row r="10458" spans="1:5" x14ac:dyDescent="0.2">
      <c r="A10458" t="s">
        <v>2919</v>
      </c>
      <c r="B10458" t="s">
        <v>389</v>
      </c>
      <c r="C10458" t="s">
        <v>423</v>
      </c>
      <c r="D10458" t="str">
        <f>VLOOKUP(C10458,'lookup table'!$A$2:$B$19,2,FALSE)</f>
        <v>ignore</v>
      </c>
      <c r="E10458" t="str">
        <f t="shared" si="163"/>
        <v>S142_00|ignore</v>
      </c>
    </row>
    <row r="10459" spans="1:5" x14ac:dyDescent="0.2">
      <c r="A10459" t="s">
        <v>2920</v>
      </c>
      <c r="B10459" t="s">
        <v>2921</v>
      </c>
      <c r="C10459" t="s">
        <v>428</v>
      </c>
      <c r="D10459" t="str">
        <f>VLOOKUP(C10459,'lookup table'!$A$2:$B$19,2,FALSE)</f>
        <v>LoB</v>
      </c>
      <c r="E10459" t="str">
        <f t="shared" si="163"/>
        <v>S142_70|LoB</v>
      </c>
    </row>
    <row r="10460" spans="1:5" x14ac:dyDescent="0.2">
      <c r="A10460" t="s">
        <v>2922</v>
      </c>
      <c r="B10460" t="s">
        <v>2923</v>
      </c>
      <c r="C10460" t="s">
        <v>428</v>
      </c>
      <c r="D10460" t="str">
        <f>VLOOKUP(C10460,'lookup table'!$A$2:$B$19,2,FALSE)</f>
        <v>LoB</v>
      </c>
      <c r="E10460" t="str">
        <f t="shared" si="163"/>
        <v>S143_70|LoB</v>
      </c>
    </row>
    <row r="10461" spans="1:5" x14ac:dyDescent="0.2">
      <c r="A10461" t="s">
        <v>2924</v>
      </c>
      <c r="B10461" t="s">
        <v>2925</v>
      </c>
      <c r="C10461" t="s">
        <v>428</v>
      </c>
      <c r="D10461" t="str">
        <f>VLOOKUP(C10461,'lookup table'!$A$2:$B$19,2,FALSE)</f>
        <v>LoB</v>
      </c>
      <c r="E10461" t="str">
        <f t="shared" si="163"/>
        <v>S144_70|LoB</v>
      </c>
    </row>
    <row r="10462" spans="1:5" x14ac:dyDescent="0.2">
      <c r="A10462" t="s">
        <v>2926</v>
      </c>
      <c r="B10462" t="s">
        <v>2927</v>
      </c>
      <c r="C10462" t="s">
        <v>428</v>
      </c>
      <c r="D10462" t="str">
        <f>VLOOKUP(C10462,'lookup table'!$A$2:$B$19,2,FALSE)</f>
        <v>LoB</v>
      </c>
      <c r="E10462" t="str">
        <f t="shared" si="163"/>
        <v>S145_70|LoB</v>
      </c>
    </row>
    <row r="10463" spans="1:5" x14ac:dyDescent="0.2">
      <c r="A10463" t="s">
        <v>2928</v>
      </c>
      <c r="B10463" t="s">
        <v>2929</v>
      </c>
      <c r="C10463" t="s">
        <v>428</v>
      </c>
      <c r="D10463" t="str">
        <f>VLOOKUP(C10463,'lookup table'!$A$2:$B$19,2,FALSE)</f>
        <v>LoB</v>
      </c>
      <c r="E10463" t="str">
        <f t="shared" si="163"/>
        <v>S146_70|LoB</v>
      </c>
    </row>
    <row r="10464" spans="1:5" x14ac:dyDescent="0.2">
      <c r="A10464" t="s">
        <v>2930</v>
      </c>
      <c r="B10464" t="s">
        <v>2931</v>
      </c>
      <c r="C10464" t="s">
        <v>428</v>
      </c>
      <c r="D10464" t="str">
        <f>VLOOKUP(C10464,'lookup table'!$A$2:$B$19,2,FALSE)</f>
        <v>LoB</v>
      </c>
      <c r="E10464" t="str">
        <f t="shared" si="163"/>
        <v>S147_70|LoB</v>
      </c>
    </row>
    <row r="10465" spans="1:5" x14ac:dyDescent="0.2">
      <c r="A10465" t="s">
        <v>2932</v>
      </c>
      <c r="B10465" t="s">
        <v>2933</v>
      </c>
      <c r="C10465" t="s">
        <v>428</v>
      </c>
      <c r="D10465" t="str">
        <f>VLOOKUP(C10465,'lookup table'!$A$2:$B$19,2,FALSE)</f>
        <v>LoB</v>
      </c>
      <c r="E10465" t="str">
        <f t="shared" si="163"/>
        <v>S148_70|LoB</v>
      </c>
    </row>
    <row r="10466" spans="1:5" x14ac:dyDescent="0.2">
      <c r="A10466" t="s">
        <v>2934</v>
      </c>
      <c r="B10466" t="s">
        <v>2935</v>
      </c>
      <c r="C10466" t="s">
        <v>428</v>
      </c>
      <c r="D10466" t="str">
        <f>VLOOKUP(C10466,'lookup table'!$A$2:$B$19,2,FALSE)</f>
        <v>LoB</v>
      </c>
      <c r="E10466" t="str">
        <f t="shared" si="163"/>
        <v>S149_70|LoB</v>
      </c>
    </row>
    <row r="10467" spans="1:5" x14ac:dyDescent="0.2">
      <c r="A10467" t="s">
        <v>2936</v>
      </c>
      <c r="B10467" t="s">
        <v>2937</v>
      </c>
      <c r="C10467" t="s">
        <v>428</v>
      </c>
      <c r="D10467" t="str">
        <f>VLOOKUP(C10467,'lookup table'!$A$2:$B$19,2,FALSE)</f>
        <v>LoB</v>
      </c>
      <c r="E10467" t="str">
        <f t="shared" si="163"/>
        <v>S150_70|LoB</v>
      </c>
    </row>
    <row r="10468" spans="1:5" x14ac:dyDescent="0.2">
      <c r="A10468" t="s">
        <v>2938</v>
      </c>
      <c r="B10468" t="s">
        <v>2939</v>
      </c>
      <c r="C10468" t="s">
        <v>331</v>
      </c>
      <c r="D10468" t="str">
        <f>VLOOKUP(C10468,'lookup table'!$A$2:$B$19,2,FALSE)</f>
        <v>FS Item</v>
      </c>
      <c r="E10468" t="str">
        <f t="shared" si="163"/>
        <v>S203_00|FS Item</v>
      </c>
    </row>
    <row r="10469" spans="1:5" x14ac:dyDescent="0.2">
      <c r="A10469" t="s">
        <v>2938</v>
      </c>
      <c r="B10469" t="s">
        <v>2939</v>
      </c>
      <c r="C10469" t="s">
        <v>423</v>
      </c>
      <c r="D10469" t="str">
        <f>VLOOKUP(C10469,'lookup table'!$A$2:$B$19,2,FALSE)</f>
        <v>ignore</v>
      </c>
      <c r="E10469" t="str">
        <f t="shared" si="163"/>
        <v>S203_00|ignore</v>
      </c>
    </row>
    <row r="10470" spans="1:5" x14ac:dyDescent="0.2">
      <c r="A10470" t="s">
        <v>2940</v>
      </c>
      <c r="B10470" t="s">
        <v>2941</v>
      </c>
      <c r="C10470" t="s">
        <v>331</v>
      </c>
      <c r="D10470" t="str">
        <f>VLOOKUP(C10470,'lookup table'!$A$2:$B$19,2,FALSE)</f>
        <v>FS Item</v>
      </c>
      <c r="E10470" t="str">
        <f t="shared" si="163"/>
        <v>S204_00|FS Item</v>
      </c>
    </row>
    <row r="10471" spans="1:5" x14ac:dyDescent="0.2">
      <c r="A10471" t="s">
        <v>2940</v>
      </c>
      <c r="B10471" t="s">
        <v>2941</v>
      </c>
      <c r="C10471" t="s">
        <v>423</v>
      </c>
      <c r="D10471" t="str">
        <f>VLOOKUP(C10471,'lookup table'!$A$2:$B$19,2,FALSE)</f>
        <v>ignore</v>
      </c>
      <c r="E10471" t="str">
        <f t="shared" si="163"/>
        <v>S204_00|ignore</v>
      </c>
    </row>
    <row r="10472" spans="1:5" x14ac:dyDescent="0.2">
      <c r="A10472" t="s">
        <v>2942</v>
      </c>
      <c r="B10472" t="s">
        <v>354</v>
      </c>
      <c r="C10472" t="s">
        <v>331</v>
      </c>
      <c r="D10472" t="str">
        <f>VLOOKUP(C10472,'lookup table'!$A$2:$B$19,2,FALSE)</f>
        <v>FS Item</v>
      </c>
      <c r="E10472" t="str">
        <f t="shared" si="163"/>
        <v>S238_00|FS Item</v>
      </c>
    </row>
    <row r="10473" spans="1:5" x14ac:dyDescent="0.2">
      <c r="A10473" t="s">
        <v>2942</v>
      </c>
      <c r="B10473" t="s">
        <v>354</v>
      </c>
      <c r="C10473" t="s">
        <v>423</v>
      </c>
      <c r="D10473" t="str">
        <f>VLOOKUP(C10473,'lookup table'!$A$2:$B$19,2,FALSE)</f>
        <v>ignore</v>
      </c>
      <c r="E10473" t="str">
        <f t="shared" si="163"/>
        <v>S238_00|ignore</v>
      </c>
    </row>
    <row r="10474" spans="1:5" x14ac:dyDescent="0.2">
      <c r="A10474" t="s">
        <v>2943</v>
      </c>
      <c r="B10474" t="s">
        <v>2944</v>
      </c>
      <c r="C10474" t="s">
        <v>331</v>
      </c>
      <c r="D10474" t="str">
        <f>VLOOKUP(C10474,'lookup table'!$A$2:$B$19,2,FALSE)</f>
        <v>FS Item</v>
      </c>
      <c r="E10474" t="str">
        <f t="shared" si="163"/>
        <v>S238_17|FS Item</v>
      </c>
    </row>
    <row r="10475" spans="1:5" x14ac:dyDescent="0.2">
      <c r="A10475" t="s">
        <v>2943</v>
      </c>
      <c r="B10475" t="s">
        <v>2944</v>
      </c>
      <c r="C10475" t="s">
        <v>423</v>
      </c>
      <c r="D10475" t="str">
        <f>VLOOKUP(C10475,'lookup table'!$A$2:$B$19,2,FALSE)</f>
        <v>ignore</v>
      </c>
      <c r="E10475" t="str">
        <f t="shared" si="163"/>
        <v>S238_17|ignore</v>
      </c>
    </row>
    <row r="10476" spans="1:5" x14ac:dyDescent="0.2">
      <c r="A10476" t="s">
        <v>2945</v>
      </c>
      <c r="B10476" t="s">
        <v>355</v>
      </c>
      <c r="C10476" t="s">
        <v>331</v>
      </c>
      <c r="D10476" t="str">
        <f>VLOOKUP(C10476,'lookup table'!$A$2:$B$19,2,FALSE)</f>
        <v>FS Item</v>
      </c>
      <c r="E10476" t="str">
        <f t="shared" si="163"/>
        <v>S239_00|FS Item</v>
      </c>
    </row>
    <row r="10477" spans="1:5" x14ac:dyDescent="0.2">
      <c r="A10477" t="s">
        <v>2945</v>
      </c>
      <c r="B10477" t="s">
        <v>355</v>
      </c>
      <c r="C10477" t="s">
        <v>423</v>
      </c>
      <c r="D10477" t="str">
        <f>VLOOKUP(C10477,'lookup table'!$A$2:$B$19,2,FALSE)</f>
        <v>ignore</v>
      </c>
      <c r="E10477" t="str">
        <f t="shared" si="163"/>
        <v>S239_00|ignore</v>
      </c>
    </row>
    <row r="10478" spans="1:5" x14ac:dyDescent="0.2">
      <c r="A10478" t="s">
        <v>2946</v>
      </c>
      <c r="B10478" t="s">
        <v>2947</v>
      </c>
      <c r="C10478" t="s">
        <v>331</v>
      </c>
      <c r="D10478" t="str">
        <f>VLOOKUP(C10478,'lookup table'!$A$2:$B$19,2,FALSE)</f>
        <v>FS Item</v>
      </c>
      <c r="E10478" t="str">
        <f t="shared" si="163"/>
        <v>S239_17|FS Item</v>
      </c>
    </row>
    <row r="10479" spans="1:5" x14ac:dyDescent="0.2">
      <c r="A10479" t="s">
        <v>2946</v>
      </c>
      <c r="B10479" t="s">
        <v>2947</v>
      </c>
      <c r="C10479" t="s">
        <v>423</v>
      </c>
      <c r="D10479" t="str">
        <f>VLOOKUP(C10479,'lookup table'!$A$2:$B$19,2,FALSE)</f>
        <v>ignore</v>
      </c>
      <c r="E10479" t="str">
        <f t="shared" si="163"/>
        <v>S239_17|ignore</v>
      </c>
    </row>
    <row r="10480" spans="1:5" x14ac:dyDescent="0.2">
      <c r="A10480" t="s">
        <v>2948</v>
      </c>
      <c r="B10480" t="s">
        <v>356</v>
      </c>
      <c r="C10480" t="s">
        <v>331</v>
      </c>
      <c r="D10480" t="str">
        <f>VLOOKUP(C10480,'lookup table'!$A$2:$B$19,2,FALSE)</f>
        <v>FS Item</v>
      </c>
      <c r="E10480" t="str">
        <f t="shared" si="163"/>
        <v>S240_00|FS Item</v>
      </c>
    </row>
    <row r="10481" spans="1:5" x14ac:dyDescent="0.2">
      <c r="A10481" t="s">
        <v>2948</v>
      </c>
      <c r="B10481" t="s">
        <v>356</v>
      </c>
      <c r="C10481" t="s">
        <v>423</v>
      </c>
      <c r="D10481" t="str">
        <f>VLOOKUP(C10481,'lookup table'!$A$2:$B$19,2,FALSE)</f>
        <v>ignore</v>
      </c>
      <c r="E10481" t="str">
        <f t="shared" si="163"/>
        <v>S240_00|ignore</v>
      </c>
    </row>
    <row r="10482" spans="1:5" x14ac:dyDescent="0.2">
      <c r="A10482" t="s">
        <v>2949</v>
      </c>
      <c r="B10482" t="s">
        <v>2950</v>
      </c>
      <c r="C10482" t="s">
        <v>331</v>
      </c>
      <c r="D10482" t="str">
        <f>VLOOKUP(C10482,'lookup table'!$A$2:$B$19,2,FALSE)</f>
        <v>FS Item</v>
      </c>
      <c r="E10482" t="str">
        <f t="shared" si="163"/>
        <v>S240_17|FS Item</v>
      </c>
    </row>
    <row r="10483" spans="1:5" x14ac:dyDescent="0.2">
      <c r="A10483" t="s">
        <v>2949</v>
      </c>
      <c r="B10483" t="s">
        <v>2950</v>
      </c>
      <c r="C10483" t="s">
        <v>423</v>
      </c>
      <c r="D10483" t="str">
        <f>VLOOKUP(C10483,'lookup table'!$A$2:$B$19,2,FALSE)</f>
        <v>ignore</v>
      </c>
      <c r="E10483" t="str">
        <f t="shared" si="163"/>
        <v>S240_17|ignore</v>
      </c>
    </row>
    <row r="10484" spans="1:5" x14ac:dyDescent="0.2">
      <c r="A10484" t="s">
        <v>2951</v>
      </c>
      <c r="B10484" t="s">
        <v>357</v>
      </c>
      <c r="C10484" t="s">
        <v>331</v>
      </c>
      <c r="D10484" t="str">
        <f>VLOOKUP(C10484,'lookup table'!$A$2:$B$19,2,FALSE)</f>
        <v>FS Item</v>
      </c>
      <c r="E10484" t="str">
        <f t="shared" si="163"/>
        <v>S241_00|FS Item</v>
      </c>
    </row>
    <row r="10485" spans="1:5" x14ac:dyDescent="0.2">
      <c r="A10485" t="s">
        <v>2951</v>
      </c>
      <c r="B10485" t="s">
        <v>357</v>
      </c>
      <c r="C10485" t="s">
        <v>423</v>
      </c>
      <c r="D10485" t="str">
        <f>VLOOKUP(C10485,'lookup table'!$A$2:$B$19,2,FALSE)</f>
        <v>ignore</v>
      </c>
      <c r="E10485" t="str">
        <f t="shared" si="163"/>
        <v>S241_00|ignore</v>
      </c>
    </row>
    <row r="10486" spans="1:5" x14ac:dyDescent="0.2">
      <c r="A10486" t="s">
        <v>2952</v>
      </c>
      <c r="B10486" t="s">
        <v>2953</v>
      </c>
      <c r="C10486" t="s">
        <v>331</v>
      </c>
      <c r="D10486" t="str">
        <f>VLOOKUP(C10486,'lookup table'!$A$2:$B$19,2,FALSE)</f>
        <v>FS Item</v>
      </c>
      <c r="E10486" t="str">
        <f t="shared" si="163"/>
        <v>S241_17|FS Item</v>
      </c>
    </row>
    <row r="10487" spans="1:5" x14ac:dyDescent="0.2">
      <c r="A10487" t="s">
        <v>2952</v>
      </c>
      <c r="B10487" t="s">
        <v>2953</v>
      </c>
      <c r="C10487" t="s">
        <v>423</v>
      </c>
      <c r="D10487" t="str">
        <f>VLOOKUP(C10487,'lookup table'!$A$2:$B$19,2,FALSE)</f>
        <v>ignore</v>
      </c>
      <c r="E10487" t="str">
        <f t="shared" si="163"/>
        <v>S241_17|ignore</v>
      </c>
    </row>
    <row r="10488" spans="1:5" x14ac:dyDescent="0.2">
      <c r="A10488" t="s">
        <v>2954</v>
      </c>
      <c r="B10488" t="s">
        <v>358</v>
      </c>
      <c r="C10488" t="s">
        <v>331</v>
      </c>
      <c r="D10488" t="str">
        <f>VLOOKUP(C10488,'lookup table'!$A$2:$B$19,2,FALSE)</f>
        <v>FS Item</v>
      </c>
      <c r="E10488" t="str">
        <f t="shared" si="163"/>
        <v>S242_00|FS Item</v>
      </c>
    </row>
    <row r="10489" spans="1:5" x14ac:dyDescent="0.2">
      <c r="A10489" t="s">
        <v>2954</v>
      </c>
      <c r="B10489" t="s">
        <v>358</v>
      </c>
      <c r="C10489" t="s">
        <v>423</v>
      </c>
      <c r="D10489" t="str">
        <f>VLOOKUP(C10489,'lookup table'!$A$2:$B$19,2,FALSE)</f>
        <v>ignore</v>
      </c>
      <c r="E10489" t="str">
        <f t="shared" si="163"/>
        <v>S242_00|ignore</v>
      </c>
    </row>
    <row r="10490" spans="1:5" x14ac:dyDescent="0.2">
      <c r="A10490" t="s">
        <v>2955</v>
      </c>
      <c r="B10490" t="s">
        <v>2956</v>
      </c>
      <c r="C10490" t="s">
        <v>331</v>
      </c>
      <c r="D10490" t="str">
        <f>VLOOKUP(C10490,'lookup table'!$A$2:$B$19,2,FALSE)</f>
        <v>FS Item</v>
      </c>
      <c r="E10490" t="str">
        <f t="shared" si="163"/>
        <v>S242_17|FS Item</v>
      </c>
    </row>
    <row r="10491" spans="1:5" x14ac:dyDescent="0.2">
      <c r="A10491" t="s">
        <v>2955</v>
      </c>
      <c r="B10491" t="s">
        <v>2956</v>
      </c>
      <c r="C10491" t="s">
        <v>423</v>
      </c>
      <c r="D10491" t="str">
        <f>VLOOKUP(C10491,'lookup table'!$A$2:$B$19,2,FALSE)</f>
        <v>ignore</v>
      </c>
      <c r="E10491" t="str">
        <f t="shared" si="163"/>
        <v>S242_17|ignore</v>
      </c>
    </row>
    <row r="10492" spans="1:5" x14ac:dyDescent="0.2">
      <c r="A10492" t="s">
        <v>2957</v>
      </c>
      <c r="B10492" t="s">
        <v>359</v>
      </c>
      <c r="C10492" t="s">
        <v>331</v>
      </c>
      <c r="D10492" t="str">
        <f>VLOOKUP(C10492,'lookup table'!$A$2:$B$19,2,FALSE)</f>
        <v>FS Item</v>
      </c>
      <c r="E10492" t="str">
        <f t="shared" si="163"/>
        <v>S243_00|FS Item</v>
      </c>
    </row>
    <row r="10493" spans="1:5" x14ac:dyDescent="0.2">
      <c r="A10493" t="s">
        <v>2957</v>
      </c>
      <c r="B10493" t="s">
        <v>359</v>
      </c>
      <c r="C10493" t="s">
        <v>423</v>
      </c>
      <c r="D10493" t="str">
        <f>VLOOKUP(C10493,'lookup table'!$A$2:$B$19,2,FALSE)</f>
        <v>ignore</v>
      </c>
      <c r="E10493" t="str">
        <f t="shared" si="163"/>
        <v>S243_00|ignore</v>
      </c>
    </row>
    <row r="10494" spans="1:5" x14ac:dyDescent="0.2">
      <c r="A10494" t="s">
        <v>2958</v>
      </c>
      <c r="B10494" t="s">
        <v>2959</v>
      </c>
      <c r="C10494" t="s">
        <v>331</v>
      </c>
      <c r="D10494" t="str">
        <f>VLOOKUP(C10494,'lookup table'!$A$2:$B$19,2,FALSE)</f>
        <v>FS Item</v>
      </c>
      <c r="E10494" t="str">
        <f t="shared" si="163"/>
        <v>S243_17|FS Item</v>
      </c>
    </row>
    <row r="10495" spans="1:5" x14ac:dyDescent="0.2">
      <c r="A10495" t="s">
        <v>2958</v>
      </c>
      <c r="B10495" t="s">
        <v>2959</v>
      </c>
      <c r="C10495" t="s">
        <v>423</v>
      </c>
      <c r="D10495" t="str">
        <f>VLOOKUP(C10495,'lookup table'!$A$2:$B$19,2,FALSE)</f>
        <v>ignore</v>
      </c>
      <c r="E10495" t="str">
        <f t="shared" si="163"/>
        <v>S243_17|ignore</v>
      </c>
    </row>
    <row r="10496" spans="1:5" x14ac:dyDescent="0.2">
      <c r="A10496" t="s">
        <v>2960</v>
      </c>
      <c r="B10496" t="s">
        <v>360</v>
      </c>
      <c r="C10496" t="s">
        <v>331</v>
      </c>
      <c r="D10496" t="str">
        <f>VLOOKUP(C10496,'lookup table'!$A$2:$B$19,2,FALSE)</f>
        <v>FS Item</v>
      </c>
      <c r="E10496" t="str">
        <f t="shared" si="163"/>
        <v>S244_00|FS Item</v>
      </c>
    </row>
    <row r="10497" spans="1:5" x14ac:dyDescent="0.2">
      <c r="A10497" t="s">
        <v>2960</v>
      </c>
      <c r="B10497" t="s">
        <v>360</v>
      </c>
      <c r="C10497" t="s">
        <v>423</v>
      </c>
      <c r="D10497" t="str">
        <f>VLOOKUP(C10497,'lookup table'!$A$2:$B$19,2,FALSE)</f>
        <v>ignore</v>
      </c>
      <c r="E10497" t="str">
        <f t="shared" si="163"/>
        <v>S244_00|ignore</v>
      </c>
    </row>
    <row r="10498" spans="1:5" x14ac:dyDescent="0.2">
      <c r="A10498" t="s">
        <v>2961</v>
      </c>
      <c r="B10498" t="s">
        <v>361</v>
      </c>
      <c r="C10498" t="s">
        <v>331</v>
      </c>
      <c r="D10498" t="str">
        <f>VLOOKUP(C10498,'lookup table'!$A$2:$B$19,2,FALSE)</f>
        <v>FS Item</v>
      </c>
      <c r="E10498" t="str">
        <f t="shared" si="163"/>
        <v>S245_00|FS Item</v>
      </c>
    </row>
    <row r="10499" spans="1:5" x14ac:dyDescent="0.2">
      <c r="A10499" t="s">
        <v>2961</v>
      </c>
      <c r="B10499" t="s">
        <v>361</v>
      </c>
      <c r="C10499" t="s">
        <v>423</v>
      </c>
      <c r="D10499" t="str">
        <f>VLOOKUP(C10499,'lookup table'!$A$2:$B$19,2,FALSE)</f>
        <v>ignore</v>
      </c>
      <c r="E10499" t="str">
        <f t="shared" ref="E10499:E10562" si="164">IF(ISNA(D10499),"",IF(A10499="","",A10499) &amp; "|" &amp; D10499)</f>
        <v>S245_00|ignore</v>
      </c>
    </row>
    <row r="10500" spans="1:5" x14ac:dyDescent="0.2">
      <c r="A10500" t="s">
        <v>2962</v>
      </c>
      <c r="B10500" t="s">
        <v>362</v>
      </c>
      <c r="C10500" t="s">
        <v>331</v>
      </c>
      <c r="D10500" t="str">
        <f>VLOOKUP(C10500,'lookup table'!$A$2:$B$19,2,FALSE)</f>
        <v>FS Item</v>
      </c>
      <c r="E10500" t="str">
        <f t="shared" si="164"/>
        <v>S246_00|FS Item</v>
      </c>
    </row>
    <row r="10501" spans="1:5" x14ac:dyDescent="0.2">
      <c r="A10501" t="s">
        <v>2962</v>
      </c>
      <c r="B10501" t="s">
        <v>362</v>
      </c>
      <c r="C10501" t="s">
        <v>423</v>
      </c>
      <c r="D10501" t="str">
        <f>VLOOKUP(C10501,'lookup table'!$A$2:$B$19,2,FALSE)</f>
        <v>ignore</v>
      </c>
      <c r="E10501" t="str">
        <f t="shared" si="164"/>
        <v>S246_00|ignore</v>
      </c>
    </row>
    <row r="10502" spans="1:5" x14ac:dyDescent="0.2">
      <c r="A10502" t="s">
        <v>2963</v>
      </c>
      <c r="B10502" t="s">
        <v>363</v>
      </c>
      <c r="C10502" t="s">
        <v>331</v>
      </c>
      <c r="D10502" t="str">
        <f>VLOOKUP(C10502,'lookup table'!$A$2:$B$19,2,FALSE)</f>
        <v>FS Item</v>
      </c>
      <c r="E10502" t="str">
        <f t="shared" si="164"/>
        <v>S247_00|FS Item</v>
      </c>
    </row>
    <row r="10503" spans="1:5" x14ac:dyDescent="0.2">
      <c r="A10503" t="s">
        <v>2963</v>
      </c>
      <c r="B10503" t="s">
        <v>363</v>
      </c>
      <c r="C10503" t="s">
        <v>423</v>
      </c>
      <c r="D10503" t="str">
        <f>VLOOKUP(C10503,'lookup table'!$A$2:$B$19,2,FALSE)</f>
        <v>ignore</v>
      </c>
      <c r="E10503" t="str">
        <f t="shared" si="164"/>
        <v>S247_00|ignore</v>
      </c>
    </row>
    <row r="10504" spans="1:5" x14ac:dyDescent="0.2">
      <c r="A10504" t="s">
        <v>2964</v>
      </c>
      <c r="B10504" t="s">
        <v>364</v>
      </c>
      <c r="C10504" t="s">
        <v>331</v>
      </c>
      <c r="D10504" t="str">
        <f>VLOOKUP(C10504,'lookup table'!$A$2:$B$19,2,FALSE)</f>
        <v>FS Item</v>
      </c>
      <c r="E10504" t="str">
        <f t="shared" si="164"/>
        <v>S248_00|FS Item</v>
      </c>
    </row>
    <row r="10505" spans="1:5" x14ac:dyDescent="0.2">
      <c r="A10505" t="s">
        <v>2964</v>
      </c>
      <c r="B10505" t="s">
        <v>364</v>
      </c>
      <c r="C10505" t="s">
        <v>423</v>
      </c>
      <c r="D10505" t="str">
        <f>VLOOKUP(C10505,'lookup table'!$A$2:$B$19,2,FALSE)</f>
        <v>ignore</v>
      </c>
      <c r="E10505" t="str">
        <f t="shared" si="164"/>
        <v>S248_00|ignore</v>
      </c>
    </row>
    <row r="10506" spans="1:5" x14ac:dyDescent="0.2">
      <c r="A10506" t="s">
        <v>2965</v>
      </c>
      <c r="B10506" t="s">
        <v>365</v>
      </c>
      <c r="C10506" t="s">
        <v>331</v>
      </c>
      <c r="D10506" t="str">
        <f>VLOOKUP(C10506,'lookup table'!$A$2:$B$19,2,FALSE)</f>
        <v>FS Item</v>
      </c>
      <c r="E10506" t="str">
        <f t="shared" si="164"/>
        <v>S249_00|FS Item</v>
      </c>
    </row>
    <row r="10507" spans="1:5" x14ac:dyDescent="0.2">
      <c r="A10507" t="s">
        <v>2965</v>
      </c>
      <c r="B10507" t="s">
        <v>365</v>
      </c>
      <c r="C10507" t="s">
        <v>423</v>
      </c>
      <c r="D10507" t="str">
        <f>VLOOKUP(C10507,'lookup table'!$A$2:$B$19,2,FALSE)</f>
        <v>ignore</v>
      </c>
      <c r="E10507" t="str">
        <f t="shared" si="164"/>
        <v>S249_00|ignore</v>
      </c>
    </row>
    <row r="10508" spans="1:5" x14ac:dyDescent="0.2">
      <c r="A10508" t="s">
        <v>2966</v>
      </c>
      <c r="B10508" t="s">
        <v>366</v>
      </c>
      <c r="C10508" t="s">
        <v>331</v>
      </c>
      <c r="D10508" t="str">
        <f>VLOOKUP(C10508,'lookup table'!$A$2:$B$19,2,FALSE)</f>
        <v>FS Item</v>
      </c>
      <c r="E10508" t="str">
        <f t="shared" si="164"/>
        <v>S250_00|FS Item</v>
      </c>
    </row>
    <row r="10509" spans="1:5" x14ac:dyDescent="0.2">
      <c r="A10509" t="s">
        <v>2966</v>
      </c>
      <c r="B10509" t="s">
        <v>366</v>
      </c>
      <c r="C10509" t="s">
        <v>423</v>
      </c>
      <c r="D10509" t="str">
        <f>VLOOKUP(C10509,'lookup table'!$A$2:$B$19,2,FALSE)</f>
        <v>ignore</v>
      </c>
      <c r="E10509" t="str">
        <f t="shared" si="164"/>
        <v>S250_00|ignore</v>
      </c>
    </row>
    <row r="10510" spans="1:5" x14ac:dyDescent="0.2">
      <c r="A10510" t="s">
        <v>2967</v>
      </c>
      <c r="B10510" t="s">
        <v>367</v>
      </c>
      <c r="C10510" t="s">
        <v>331</v>
      </c>
      <c r="D10510" t="str">
        <f>VLOOKUP(C10510,'lookup table'!$A$2:$B$19,2,FALSE)</f>
        <v>FS Item</v>
      </c>
      <c r="E10510" t="str">
        <f t="shared" si="164"/>
        <v>S251_00|FS Item</v>
      </c>
    </row>
    <row r="10511" spans="1:5" x14ac:dyDescent="0.2">
      <c r="A10511" t="s">
        <v>2967</v>
      </c>
      <c r="B10511" t="s">
        <v>367</v>
      </c>
      <c r="C10511" t="s">
        <v>423</v>
      </c>
      <c r="D10511" t="str">
        <f>VLOOKUP(C10511,'lookup table'!$A$2:$B$19,2,FALSE)</f>
        <v>ignore</v>
      </c>
      <c r="E10511" t="str">
        <f t="shared" si="164"/>
        <v>S251_00|ignore</v>
      </c>
    </row>
    <row r="10512" spans="1:5" x14ac:dyDescent="0.2">
      <c r="A10512" t="s">
        <v>2968</v>
      </c>
      <c r="B10512" t="s">
        <v>368</v>
      </c>
      <c r="C10512" t="s">
        <v>331</v>
      </c>
      <c r="D10512" t="str">
        <f>VLOOKUP(C10512,'lookup table'!$A$2:$B$19,2,FALSE)</f>
        <v>FS Item</v>
      </c>
      <c r="E10512" t="str">
        <f t="shared" si="164"/>
        <v>S252_00|FS Item</v>
      </c>
    </row>
    <row r="10513" spans="1:5" x14ac:dyDescent="0.2">
      <c r="A10513" t="s">
        <v>2968</v>
      </c>
      <c r="B10513" t="s">
        <v>368</v>
      </c>
      <c r="C10513" t="s">
        <v>423</v>
      </c>
      <c r="D10513" t="str">
        <f>VLOOKUP(C10513,'lookup table'!$A$2:$B$19,2,FALSE)</f>
        <v>ignore</v>
      </c>
      <c r="E10513" t="str">
        <f t="shared" si="164"/>
        <v>S252_00|ignore</v>
      </c>
    </row>
    <row r="10514" spans="1:5" x14ac:dyDescent="0.2">
      <c r="A10514" t="s">
        <v>2969</v>
      </c>
      <c r="B10514" t="s">
        <v>369</v>
      </c>
      <c r="C10514" t="s">
        <v>331</v>
      </c>
      <c r="D10514" t="str">
        <f>VLOOKUP(C10514,'lookup table'!$A$2:$B$19,2,FALSE)</f>
        <v>FS Item</v>
      </c>
      <c r="E10514" t="str">
        <f t="shared" si="164"/>
        <v>S253_00|FS Item</v>
      </c>
    </row>
    <row r="10515" spans="1:5" x14ac:dyDescent="0.2">
      <c r="A10515" t="s">
        <v>2969</v>
      </c>
      <c r="B10515" t="s">
        <v>369</v>
      </c>
      <c r="C10515" t="s">
        <v>423</v>
      </c>
      <c r="D10515" t="str">
        <f>VLOOKUP(C10515,'lookup table'!$A$2:$B$19,2,FALSE)</f>
        <v>ignore</v>
      </c>
      <c r="E10515" t="str">
        <f t="shared" si="164"/>
        <v>S253_00|ignore</v>
      </c>
    </row>
    <row r="10516" spans="1:5" x14ac:dyDescent="0.2">
      <c r="A10516" t="s">
        <v>2970</v>
      </c>
      <c r="B10516" t="s">
        <v>370</v>
      </c>
      <c r="C10516" t="s">
        <v>331</v>
      </c>
      <c r="D10516" t="str">
        <f>VLOOKUP(C10516,'lookup table'!$A$2:$B$19,2,FALSE)</f>
        <v>FS Item</v>
      </c>
      <c r="E10516" t="str">
        <f t="shared" si="164"/>
        <v>S254_00|FS Item</v>
      </c>
    </row>
    <row r="10517" spans="1:5" x14ac:dyDescent="0.2">
      <c r="A10517" t="s">
        <v>2970</v>
      </c>
      <c r="B10517" t="s">
        <v>370</v>
      </c>
      <c r="C10517" t="s">
        <v>423</v>
      </c>
      <c r="D10517" t="str">
        <f>VLOOKUP(C10517,'lookup table'!$A$2:$B$19,2,FALSE)</f>
        <v>ignore</v>
      </c>
      <c r="E10517" t="str">
        <f t="shared" si="164"/>
        <v>S254_00|ignore</v>
      </c>
    </row>
    <row r="10518" spans="1:5" x14ac:dyDescent="0.2">
      <c r="A10518" t="s">
        <v>2971</v>
      </c>
      <c r="B10518" t="s">
        <v>340</v>
      </c>
      <c r="C10518" t="s">
        <v>331</v>
      </c>
      <c r="D10518" t="str">
        <f>VLOOKUP(C10518,'lookup table'!$A$2:$B$19,2,FALSE)</f>
        <v>FS Item</v>
      </c>
      <c r="E10518" t="str">
        <f t="shared" si="164"/>
        <v>S255_00|FS Item</v>
      </c>
    </row>
    <row r="10519" spans="1:5" x14ac:dyDescent="0.2">
      <c r="A10519" t="s">
        <v>2971</v>
      </c>
      <c r="B10519" t="s">
        <v>340</v>
      </c>
      <c r="C10519" t="s">
        <v>423</v>
      </c>
      <c r="D10519" t="str">
        <f>VLOOKUP(C10519,'lookup table'!$A$2:$B$19,2,FALSE)</f>
        <v>ignore</v>
      </c>
      <c r="E10519" t="str">
        <f t="shared" si="164"/>
        <v>S255_00|ignore</v>
      </c>
    </row>
    <row r="10520" spans="1:5" x14ac:dyDescent="0.2">
      <c r="A10520" t="s">
        <v>2972</v>
      </c>
      <c r="B10520" t="s">
        <v>342</v>
      </c>
      <c r="C10520" t="s">
        <v>331</v>
      </c>
      <c r="D10520" t="str">
        <f>VLOOKUP(C10520,'lookup table'!$A$2:$B$19,2,FALSE)</f>
        <v>FS Item</v>
      </c>
      <c r="E10520" t="str">
        <f t="shared" si="164"/>
        <v>S256_00|FS Item</v>
      </c>
    </row>
    <row r="10521" spans="1:5" x14ac:dyDescent="0.2">
      <c r="A10521" t="s">
        <v>2972</v>
      </c>
      <c r="B10521" t="s">
        <v>342</v>
      </c>
      <c r="C10521" t="s">
        <v>423</v>
      </c>
      <c r="D10521" t="str">
        <f>VLOOKUP(C10521,'lookup table'!$A$2:$B$19,2,FALSE)</f>
        <v>ignore</v>
      </c>
      <c r="E10521" t="str">
        <f t="shared" si="164"/>
        <v>S256_00|ignore</v>
      </c>
    </row>
    <row r="10522" spans="1:5" x14ac:dyDescent="0.2">
      <c r="A10522" t="s">
        <v>2973</v>
      </c>
      <c r="B10522" t="s">
        <v>343</v>
      </c>
      <c r="C10522" t="s">
        <v>331</v>
      </c>
      <c r="D10522" t="str">
        <f>VLOOKUP(C10522,'lookup table'!$A$2:$B$19,2,FALSE)</f>
        <v>FS Item</v>
      </c>
      <c r="E10522" t="str">
        <f t="shared" si="164"/>
        <v>S257_00|FS Item</v>
      </c>
    </row>
    <row r="10523" spans="1:5" x14ac:dyDescent="0.2">
      <c r="A10523" t="s">
        <v>2973</v>
      </c>
      <c r="B10523" t="s">
        <v>343</v>
      </c>
      <c r="C10523" t="s">
        <v>423</v>
      </c>
      <c r="D10523" t="str">
        <f>VLOOKUP(C10523,'lookup table'!$A$2:$B$19,2,FALSE)</f>
        <v>ignore</v>
      </c>
      <c r="E10523" t="str">
        <f t="shared" si="164"/>
        <v>S257_00|ignore</v>
      </c>
    </row>
    <row r="10524" spans="1:5" x14ac:dyDescent="0.2">
      <c r="A10524" t="s">
        <v>2974</v>
      </c>
      <c r="B10524" t="s">
        <v>344</v>
      </c>
      <c r="C10524" t="s">
        <v>331</v>
      </c>
      <c r="D10524" t="str">
        <f>VLOOKUP(C10524,'lookup table'!$A$2:$B$19,2,FALSE)</f>
        <v>FS Item</v>
      </c>
      <c r="E10524" t="str">
        <f t="shared" si="164"/>
        <v>S258_00|FS Item</v>
      </c>
    </row>
    <row r="10525" spans="1:5" x14ac:dyDescent="0.2">
      <c r="A10525" t="s">
        <v>2974</v>
      </c>
      <c r="B10525" t="s">
        <v>344</v>
      </c>
      <c r="C10525" t="s">
        <v>423</v>
      </c>
      <c r="D10525" t="str">
        <f>VLOOKUP(C10525,'lookup table'!$A$2:$B$19,2,FALSE)</f>
        <v>ignore</v>
      </c>
      <c r="E10525" t="str">
        <f t="shared" si="164"/>
        <v>S258_00|ignore</v>
      </c>
    </row>
    <row r="10526" spans="1:5" x14ac:dyDescent="0.2">
      <c r="A10526" t="s">
        <v>2975</v>
      </c>
      <c r="B10526" t="s">
        <v>345</v>
      </c>
      <c r="C10526" t="s">
        <v>331</v>
      </c>
      <c r="D10526" t="str">
        <f>VLOOKUP(C10526,'lookup table'!$A$2:$B$19,2,FALSE)</f>
        <v>FS Item</v>
      </c>
      <c r="E10526" t="str">
        <f t="shared" si="164"/>
        <v>S259_00|FS Item</v>
      </c>
    </row>
    <row r="10527" spans="1:5" x14ac:dyDescent="0.2">
      <c r="A10527" t="s">
        <v>2975</v>
      </c>
      <c r="B10527" t="s">
        <v>345</v>
      </c>
      <c r="C10527" t="s">
        <v>423</v>
      </c>
      <c r="D10527" t="str">
        <f>VLOOKUP(C10527,'lookup table'!$A$2:$B$19,2,FALSE)</f>
        <v>ignore</v>
      </c>
      <c r="E10527" t="str">
        <f t="shared" si="164"/>
        <v>S259_00|ignore</v>
      </c>
    </row>
    <row r="10528" spans="1:5" x14ac:dyDescent="0.2">
      <c r="A10528" t="s">
        <v>2976</v>
      </c>
      <c r="B10528" t="s">
        <v>346</v>
      </c>
      <c r="C10528" t="s">
        <v>331</v>
      </c>
      <c r="D10528" t="str">
        <f>VLOOKUP(C10528,'lookup table'!$A$2:$B$19,2,FALSE)</f>
        <v>FS Item</v>
      </c>
      <c r="E10528" t="str">
        <f t="shared" si="164"/>
        <v>S260_00|FS Item</v>
      </c>
    </row>
    <row r="10529" spans="1:5" x14ac:dyDescent="0.2">
      <c r="A10529" t="s">
        <v>2976</v>
      </c>
      <c r="B10529" t="s">
        <v>346</v>
      </c>
      <c r="C10529" t="s">
        <v>423</v>
      </c>
      <c r="D10529" t="str">
        <f>VLOOKUP(C10529,'lookup table'!$A$2:$B$19,2,FALSE)</f>
        <v>ignore</v>
      </c>
      <c r="E10529" t="str">
        <f t="shared" si="164"/>
        <v>S260_00|ignore</v>
      </c>
    </row>
    <row r="10530" spans="1:5" x14ac:dyDescent="0.2">
      <c r="A10530" t="s">
        <v>2977</v>
      </c>
      <c r="B10530" t="s">
        <v>347</v>
      </c>
      <c r="C10530" t="s">
        <v>331</v>
      </c>
      <c r="D10530" t="str">
        <f>VLOOKUP(C10530,'lookup table'!$A$2:$B$19,2,FALSE)</f>
        <v>FS Item</v>
      </c>
      <c r="E10530" t="str">
        <f t="shared" si="164"/>
        <v>S261_00|FS Item</v>
      </c>
    </row>
    <row r="10531" spans="1:5" x14ac:dyDescent="0.2">
      <c r="A10531" t="s">
        <v>2977</v>
      </c>
      <c r="B10531" t="s">
        <v>347</v>
      </c>
      <c r="C10531" t="s">
        <v>423</v>
      </c>
      <c r="D10531" t="str">
        <f>VLOOKUP(C10531,'lookup table'!$A$2:$B$19,2,FALSE)</f>
        <v>ignore</v>
      </c>
      <c r="E10531" t="str">
        <f t="shared" si="164"/>
        <v>S261_00|ignore</v>
      </c>
    </row>
    <row r="10532" spans="1:5" x14ac:dyDescent="0.2">
      <c r="A10532" t="s">
        <v>2978</v>
      </c>
      <c r="B10532" t="s">
        <v>348</v>
      </c>
      <c r="C10532" t="s">
        <v>331</v>
      </c>
      <c r="D10532" t="str">
        <f>VLOOKUP(C10532,'lookup table'!$A$2:$B$19,2,FALSE)</f>
        <v>FS Item</v>
      </c>
      <c r="E10532" t="str">
        <f t="shared" si="164"/>
        <v>S262_00|FS Item</v>
      </c>
    </row>
    <row r="10533" spans="1:5" x14ac:dyDescent="0.2">
      <c r="A10533" t="s">
        <v>2978</v>
      </c>
      <c r="B10533" t="s">
        <v>348</v>
      </c>
      <c r="C10533" t="s">
        <v>423</v>
      </c>
      <c r="D10533" t="str">
        <f>VLOOKUP(C10533,'lookup table'!$A$2:$B$19,2,FALSE)</f>
        <v>ignore</v>
      </c>
      <c r="E10533" t="str">
        <f t="shared" si="164"/>
        <v>S262_00|ignore</v>
      </c>
    </row>
    <row r="10534" spans="1:5" x14ac:dyDescent="0.2">
      <c r="A10534" t="s">
        <v>2979</v>
      </c>
      <c r="B10534" t="s">
        <v>349</v>
      </c>
      <c r="C10534" t="s">
        <v>331</v>
      </c>
      <c r="D10534" t="str">
        <f>VLOOKUP(C10534,'lookup table'!$A$2:$B$19,2,FALSE)</f>
        <v>FS Item</v>
      </c>
      <c r="E10534" t="str">
        <f t="shared" si="164"/>
        <v>S263_00|FS Item</v>
      </c>
    </row>
    <row r="10535" spans="1:5" x14ac:dyDescent="0.2">
      <c r="A10535" t="s">
        <v>2979</v>
      </c>
      <c r="B10535" t="s">
        <v>349</v>
      </c>
      <c r="C10535" t="s">
        <v>423</v>
      </c>
      <c r="D10535" t="str">
        <f>VLOOKUP(C10535,'lookup table'!$A$2:$B$19,2,FALSE)</f>
        <v>ignore</v>
      </c>
      <c r="E10535" t="str">
        <f t="shared" si="164"/>
        <v>S263_00|ignore</v>
      </c>
    </row>
    <row r="10536" spans="1:5" x14ac:dyDescent="0.2">
      <c r="A10536" t="s">
        <v>2980</v>
      </c>
      <c r="B10536" t="s">
        <v>350</v>
      </c>
      <c r="C10536" t="s">
        <v>331</v>
      </c>
      <c r="D10536" t="str">
        <f>VLOOKUP(C10536,'lookup table'!$A$2:$B$19,2,FALSE)</f>
        <v>FS Item</v>
      </c>
      <c r="E10536" t="str">
        <f t="shared" si="164"/>
        <v>S264_00|FS Item</v>
      </c>
    </row>
    <row r="10537" spans="1:5" x14ac:dyDescent="0.2">
      <c r="A10537" t="s">
        <v>2980</v>
      </c>
      <c r="B10537" t="s">
        <v>350</v>
      </c>
      <c r="C10537" t="s">
        <v>423</v>
      </c>
      <c r="D10537" t="str">
        <f>VLOOKUP(C10537,'lookup table'!$A$2:$B$19,2,FALSE)</f>
        <v>ignore</v>
      </c>
      <c r="E10537" t="str">
        <f t="shared" si="164"/>
        <v>S264_00|ignore</v>
      </c>
    </row>
    <row r="10538" spans="1:5" x14ac:dyDescent="0.2">
      <c r="A10538" t="s">
        <v>2981</v>
      </c>
      <c r="B10538" t="s">
        <v>351</v>
      </c>
      <c r="C10538" t="s">
        <v>331</v>
      </c>
      <c r="D10538" t="str">
        <f>VLOOKUP(C10538,'lookup table'!$A$2:$B$19,2,FALSE)</f>
        <v>FS Item</v>
      </c>
      <c r="E10538" t="str">
        <f t="shared" si="164"/>
        <v>S265_00|FS Item</v>
      </c>
    </row>
    <row r="10539" spans="1:5" x14ac:dyDescent="0.2">
      <c r="A10539" t="s">
        <v>2981</v>
      </c>
      <c r="B10539" t="s">
        <v>351</v>
      </c>
      <c r="C10539" t="s">
        <v>423</v>
      </c>
      <c r="D10539" t="str">
        <f>VLOOKUP(C10539,'lookup table'!$A$2:$B$19,2,FALSE)</f>
        <v>ignore</v>
      </c>
      <c r="E10539" t="str">
        <f t="shared" si="164"/>
        <v>S265_00|ignore</v>
      </c>
    </row>
    <row r="10540" spans="1:5" x14ac:dyDescent="0.2">
      <c r="A10540" t="s">
        <v>2982</v>
      </c>
      <c r="B10540" t="s">
        <v>352</v>
      </c>
      <c r="C10540" t="s">
        <v>331</v>
      </c>
      <c r="D10540" t="str">
        <f>VLOOKUP(C10540,'lookup table'!$A$2:$B$19,2,FALSE)</f>
        <v>FS Item</v>
      </c>
      <c r="E10540" t="str">
        <f t="shared" si="164"/>
        <v>S266_00|FS Item</v>
      </c>
    </row>
    <row r="10541" spans="1:5" x14ac:dyDescent="0.2">
      <c r="A10541" t="s">
        <v>2982</v>
      </c>
      <c r="B10541" t="s">
        <v>352</v>
      </c>
      <c r="C10541" t="s">
        <v>423</v>
      </c>
      <c r="D10541" t="str">
        <f>VLOOKUP(C10541,'lookup table'!$A$2:$B$19,2,FALSE)</f>
        <v>ignore</v>
      </c>
      <c r="E10541" t="str">
        <f t="shared" si="164"/>
        <v>S266_00|ignore</v>
      </c>
    </row>
    <row r="10542" spans="1:5" x14ac:dyDescent="0.2">
      <c r="A10542" t="s">
        <v>2983</v>
      </c>
      <c r="B10542" t="s">
        <v>2984</v>
      </c>
      <c r="C10542" t="s">
        <v>331</v>
      </c>
      <c r="D10542" t="str">
        <f>VLOOKUP(C10542,'lookup table'!$A$2:$B$19,2,FALSE)</f>
        <v>FS Item</v>
      </c>
      <c r="E10542" t="str">
        <f t="shared" si="164"/>
        <v>S267_00|FS Item</v>
      </c>
    </row>
    <row r="10543" spans="1:5" x14ac:dyDescent="0.2">
      <c r="A10543" t="s">
        <v>2983</v>
      </c>
      <c r="B10543" t="s">
        <v>2984</v>
      </c>
      <c r="C10543" t="s">
        <v>423</v>
      </c>
      <c r="D10543" t="str">
        <f>VLOOKUP(C10543,'lookup table'!$A$2:$B$19,2,FALSE)</f>
        <v>ignore</v>
      </c>
      <c r="E10543" t="str">
        <f t="shared" si="164"/>
        <v>S267_00|ignore</v>
      </c>
    </row>
    <row r="10544" spans="1:5" x14ac:dyDescent="0.2">
      <c r="A10544" t="s">
        <v>2985</v>
      </c>
      <c r="B10544" t="s">
        <v>2986</v>
      </c>
      <c r="C10544" t="s">
        <v>426</v>
      </c>
      <c r="D10544" t="str">
        <f>VLOOKUP(C10544,'lookup table'!$A$2:$B$19,2,FALSE)</f>
        <v>Investee Unit</v>
      </c>
      <c r="E10544" t="str">
        <f t="shared" si="164"/>
        <v>S268_00|Investee Unit</v>
      </c>
    </row>
    <row r="10545" spans="1:5" x14ac:dyDescent="0.2">
      <c r="A10545" t="s">
        <v>2987</v>
      </c>
      <c r="B10545" t="s">
        <v>2988</v>
      </c>
      <c r="C10545" t="s">
        <v>14</v>
      </c>
      <c r="D10545" t="str">
        <f>VLOOKUP(C10545,'lookup table'!$A$2:$B$19,2,FALSE)</f>
        <v>ALC</v>
      </c>
      <c r="E10545" t="str">
        <f t="shared" si="164"/>
        <v>S269_00|ALC</v>
      </c>
    </row>
    <row r="10546" spans="1:5" x14ac:dyDescent="0.2">
      <c r="A10546" t="s">
        <v>2987</v>
      </c>
      <c r="B10546" t="s">
        <v>2988</v>
      </c>
      <c r="C10546" t="s">
        <v>331</v>
      </c>
      <c r="D10546" t="str">
        <f>VLOOKUP(C10546,'lookup table'!$A$2:$B$19,2,FALSE)</f>
        <v>FS Item</v>
      </c>
      <c r="E10546" t="str">
        <f t="shared" si="164"/>
        <v>S269_00|FS Item</v>
      </c>
    </row>
    <row r="10547" spans="1:5" x14ac:dyDescent="0.2">
      <c r="A10547" t="s">
        <v>2987</v>
      </c>
      <c r="B10547" t="s">
        <v>2988</v>
      </c>
      <c r="C10547" t="s">
        <v>423</v>
      </c>
      <c r="D10547" t="str">
        <f>VLOOKUP(C10547,'lookup table'!$A$2:$B$19,2,FALSE)</f>
        <v>ignore</v>
      </c>
      <c r="E10547" t="str">
        <f t="shared" si="164"/>
        <v>S269_00|ignore</v>
      </c>
    </row>
    <row r="10548" spans="1:5" x14ac:dyDescent="0.2">
      <c r="A10548" t="s">
        <v>2987</v>
      </c>
      <c r="B10548" t="s">
        <v>2988</v>
      </c>
      <c r="C10548" t="s">
        <v>436</v>
      </c>
      <c r="D10548" t="str">
        <f>VLOOKUP(C10548,'lookup table'!$A$2:$B$19,2,FALSE)</f>
        <v>MAT</v>
      </c>
      <c r="E10548" t="str">
        <f t="shared" si="164"/>
        <v>S269_00|MAT</v>
      </c>
    </row>
    <row r="10549" spans="1:5" x14ac:dyDescent="0.2">
      <c r="A10549" t="s">
        <v>2987</v>
      </c>
      <c r="B10549" t="s">
        <v>2988</v>
      </c>
      <c r="C10549" t="s">
        <v>438</v>
      </c>
      <c r="D10549" t="str">
        <f>VLOOKUP(C10549,'lookup table'!$A$2:$B$19,2,FALSE)</f>
        <v>ToM</v>
      </c>
      <c r="E10549" t="str">
        <f t="shared" si="164"/>
        <v>S269_00|ToM</v>
      </c>
    </row>
    <row r="10550" spans="1:5" x14ac:dyDescent="0.2">
      <c r="A10550" t="s">
        <v>2987</v>
      </c>
      <c r="B10550" t="s">
        <v>2988</v>
      </c>
      <c r="C10550" t="s">
        <v>447</v>
      </c>
      <c r="D10550" t="str">
        <f>VLOOKUP(C10550,'lookup table'!$A$2:$B$19,2,FALSE)</f>
        <v>REX</v>
      </c>
      <c r="E10550" t="str">
        <f t="shared" si="164"/>
        <v>S269_00|REX</v>
      </c>
    </row>
    <row r="10551" spans="1:5" x14ac:dyDescent="0.2">
      <c r="A10551" t="s">
        <v>2989</v>
      </c>
      <c r="B10551" t="s">
        <v>2990</v>
      </c>
      <c r="C10551" t="s">
        <v>331</v>
      </c>
      <c r="D10551" t="str">
        <f>VLOOKUP(C10551,'lookup table'!$A$2:$B$19,2,FALSE)</f>
        <v>FS Item</v>
      </c>
      <c r="E10551" t="str">
        <f t="shared" si="164"/>
        <v>S276_00|FS Item</v>
      </c>
    </row>
    <row r="10552" spans="1:5" x14ac:dyDescent="0.2">
      <c r="A10552" t="s">
        <v>2989</v>
      </c>
      <c r="B10552" t="s">
        <v>2990</v>
      </c>
      <c r="C10552" t="s">
        <v>423</v>
      </c>
      <c r="D10552" t="str">
        <f>VLOOKUP(C10552,'lookup table'!$A$2:$B$19,2,FALSE)</f>
        <v>ignore</v>
      </c>
      <c r="E10552" t="str">
        <f t="shared" si="164"/>
        <v>S276_00|ignore</v>
      </c>
    </row>
    <row r="10553" spans="1:5" x14ac:dyDescent="0.2">
      <c r="A10553" t="s">
        <v>2989</v>
      </c>
      <c r="B10553" t="s">
        <v>2990</v>
      </c>
      <c r="C10553" t="s">
        <v>436</v>
      </c>
      <c r="D10553" t="str">
        <f>VLOOKUP(C10553,'lookup table'!$A$2:$B$19,2,FALSE)</f>
        <v>MAT</v>
      </c>
      <c r="E10553" t="str">
        <f t="shared" si="164"/>
        <v>S276_00|MAT</v>
      </c>
    </row>
    <row r="10554" spans="1:5" x14ac:dyDescent="0.2">
      <c r="A10554" t="s">
        <v>2991</v>
      </c>
      <c r="B10554" t="s">
        <v>2992</v>
      </c>
      <c r="C10554" t="s">
        <v>331</v>
      </c>
      <c r="D10554" t="str">
        <f>VLOOKUP(C10554,'lookup table'!$A$2:$B$19,2,FALSE)</f>
        <v>FS Item</v>
      </c>
      <c r="E10554" t="str">
        <f t="shared" si="164"/>
        <v>S277_00|FS Item</v>
      </c>
    </row>
    <row r="10555" spans="1:5" x14ac:dyDescent="0.2">
      <c r="A10555" t="s">
        <v>2991</v>
      </c>
      <c r="B10555" t="s">
        <v>2992</v>
      </c>
      <c r="C10555" t="s">
        <v>423</v>
      </c>
      <c r="D10555" t="str">
        <f>VLOOKUP(C10555,'lookup table'!$A$2:$B$19,2,FALSE)</f>
        <v>ignore</v>
      </c>
      <c r="E10555" t="str">
        <f t="shared" si="164"/>
        <v>S277_00|ignore</v>
      </c>
    </row>
    <row r="10556" spans="1:5" x14ac:dyDescent="0.2">
      <c r="A10556" t="s">
        <v>2991</v>
      </c>
      <c r="B10556" t="s">
        <v>2992</v>
      </c>
      <c r="C10556" t="s">
        <v>436</v>
      </c>
      <c r="D10556" t="str">
        <f>VLOOKUP(C10556,'lookup table'!$A$2:$B$19,2,FALSE)</f>
        <v>MAT</v>
      </c>
      <c r="E10556" t="str">
        <f t="shared" si="164"/>
        <v>S277_00|MAT</v>
      </c>
    </row>
    <row r="10557" spans="1:5" x14ac:dyDescent="0.2">
      <c r="A10557" t="s">
        <v>2993</v>
      </c>
      <c r="B10557" t="s">
        <v>2994</v>
      </c>
      <c r="C10557" t="s">
        <v>331</v>
      </c>
      <c r="D10557" t="str">
        <f>VLOOKUP(C10557,'lookup table'!$A$2:$B$19,2,FALSE)</f>
        <v>FS Item</v>
      </c>
      <c r="E10557" t="str">
        <f t="shared" si="164"/>
        <v>S293_00|FS Item</v>
      </c>
    </row>
    <row r="10558" spans="1:5" x14ac:dyDescent="0.2">
      <c r="A10558" t="s">
        <v>2993</v>
      </c>
      <c r="B10558" t="s">
        <v>2994</v>
      </c>
      <c r="C10558" t="s">
        <v>423</v>
      </c>
      <c r="D10558" t="str">
        <f>VLOOKUP(C10558,'lookup table'!$A$2:$B$19,2,FALSE)</f>
        <v>ignore</v>
      </c>
      <c r="E10558" t="str">
        <f t="shared" si="164"/>
        <v>S293_00|ignore</v>
      </c>
    </row>
    <row r="10559" spans="1:5" x14ac:dyDescent="0.2">
      <c r="A10559" t="s">
        <v>2993</v>
      </c>
      <c r="B10559" t="s">
        <v>2994</v>
      </c>
      <c r="C10559" t="s">
        <v>438</v>
      </c>
      <c r="D10559" t="str">
        <f>VLOOKUP(C10559,'lookup table'!$A$2:$B$19,2,FALSE)</f>
        <v>ToM</v>
      </c>
      <c r="E10559" t="str">
        <f t="shared" si="164"/>
        <v>S293_00|ToM</v>
      </c>
    </row>
    <row r="10560" spans="1:5" x14ac:dyDescent="0.2">
      <c r="A10560" t="s">
        <v>2995</v>
      </c>
      <c r="B10560" t="s">
        <v>2996</v>
      </c>
      <c r="C10560" t="s">
        <v>331</v>
      </c>
      <c r="D10560" t="str">
        <f>VLOOKUP(C10560,'lookup table'!$A$2:$B$19,2,FALSE)</f>
        <v>FS Item</v>
      </c>
      <c r="E10560" t="str">
        <f t="shared" si="164"/>
        <v>S294_00|FS Item</v>
      </c>
    </row>
    <row r="10561" spans="1:5" x14ac:dyDescent="0.2">
      <c r="A10561" t="s">
        <v>2995</v>
      </c>
      <c r="B10561" t="s">
        <v>2996</v>
      </c>
      <c r="C10561" t="s">
        <v>423</v>
      </c>
      <c r="D10561" t="str">
        <f>VLOOKUP(C10561,'lookup table'!$A$2:$B$19,2,FALSE)</f>
        <v>ignore</v>
      </c>
      <c r="E10561" t="str">
        <f t="shared" si="164"/>
        <v>S294_00|ignore</v>
      </c>
    </row>
    <row r="10562" spans="1:5" x14ac:dyDescent="0.2">
      <c r="A10562" t="s">
        <v>2995</v>
      </c>
      <c r="B10562" t="s">
        <v>2996</v>
      </c>
      <c r="C10562" t="s">
        <v>438</v>
      </c>
      <c r="D10562" t="str">
        <f>VLOOKUP(C10562,'lookup table'!$A$2:$B$19,2,FALSE)</f>
        <v>ToM</v>
      </c>
      <c r="E10562" t="str">
        <f t="shared" si="164"/>
        <v>S294_00|ToM</v>
      </c>
    </row>
    <row r="10563" spans="1:5" x14ac:dyDescent="0.2">
      <c r="A10563" t="s">
        <v>2997</v>
      </c>
      <c r="B10563" t="s">
        <v>2998</v>
      </c>
      <c r="C10563" t="s">
        <v>331</v>
      </c>
      <c r="D10563" t="str">
        <f>VLOOKUP(C10563,'lookup table'!$A$2:$B$19,2,FALSE)</f>
        <v>FS Item</v>
      </c>
      <c r="E10563" t="str">
        <f t="shared" ref="E10563:E10626" si="165">IF(ISNA(D10563),"",IF(A10563="","",A10563) &amp; "|" &amp; D10563)</f>
        <v>S295_00|FS Item</v>
      </c>
    </row>
    <row r="10564" spans="1:5" x14ac:dyDescent="0.2">
      <c r="A10564" t="s">
        <v>2997</v>
      </c>
      <c r="B10564" t="s">
        <v>2998</v>
      </c>
      <c r="C10564" t="s">
        <v>423</v>
      </c>
      <c r="D10564" t="str">
        <f>VLOOKUP(C10564,'lookup table'!$A$2:$B$19,2,FALSE)</f>
        <v>ignore</v>
      </c>
      <c r="E10564" t="str">
        <f t="shared" si="165"/>
        <v>S295_00|ignore</v>
      </c>
    </row>
    <row r="10565" spans="1:5" x14ac:dyDescent="0.2">
      <c r="A10565" t="s">
        <v>2997</v>
      </c>
      <c r="B10565" t="s">
        <v>2998</v>
      </c>
      <c r="C10565" t="s">
        <v>438</v>
      </c>
      <c r="D10565" t="str">
        <f>VLOOKUP(C10565,'lookup table'!$A$2:$B$19,2,FALSE)</f>
        <v>ToM</v>
      </c>
      <c r="E10565" t="str">
        <f t="shared" si="165"/>
        <v>S295_00|ToM</v>
      </c>
    </row>
    <row r="10566" spans="1:5" x14ac:dyDescent="0.2">
      <c r="A10566" t="s">
        <v>2999</v>
      </c>
      <c r="B10566" t="s">
        <v>3000</v>
      </c>
      <c r="C10566" t="s">
        <v>14</v>
      </c>
      <c r="D10566" t="str">
        <f>VLOOKUP(C10566,'lookup table'!$A$2:$B$19,2,FALSE)</f>
        <v>ALC</v>
      </c>
      <c r="E10566" t="str">
        <f t="shared" si="165"/>
        <v>S320_00|ALC</v>
      </c>
    </row>
    <row r="10567" spans="1:5" x14ac:dyDescent="0.2">
      <c r="A10567" t="s">
        <v>2999</v>
      </c>
      <c r="B10567" t="s">
        <v>3000</v>
      </c>
      <c r="C10567" t="s">
        <v>331</v>
      </c>
      <c r="D10567" t="str">
        <f>VLOOKUP(C10567,'lookup table'!$A$2:$B$19,2,FALSE)</f>
        <v>FS Item</v>
      </c>
      <c r="E10567" t="str">
        <f t="shared" si="165"/>
        <v>S320_00|FS Item</v>
      </c>
    </row>
    <row r="10568" spans="1:5" x14ac:dyDescent="0.2">
      <c r="A10568" t="s">
        <v>2999</v>
      </c>
      <c r="B10568" t="s">
        <v>3000</v>
      </c>
      <c r="C10568" t="s">
        <v>423</v>
      </c>
      <c r="D10568" t="str">
        <f>VLOOKUP(C10568,'lookup table'!$A$2:$B$19,2,FALSE)</f>
        <v>ignore</v>
      </c>
      <c r="E10568" t="str">
        <f t="shared" si="165"/>
        <v>S320_00|ignore</v>
      </c>
    </row>
    <row r="10569" spans="1:5" x14ac:dyDescent="0.2">
      <c r="A10569" t="s">
        <v>3001</v>
      </c>
      <c r="B10569" t="s">
        <v>3002</v>
      </c>
      <c r="C10569" t="s">
        <v>331</v>
      </c>
      <c r="D10569" t="str">
        <f>VLOOKUP(C10569,'lookup table'!$A$2:$B$19,2,FALSE)</f>
        <v>FS Item</v>
      </c>
      <c r="E10569" t="str">
        <f t="shared" si="165"/>
        <v>S370_00|FS Item</v>
      </c>
    </row>
    <row r="10570" spans="1:5" x14ac:dyDescent="0.2">
      <c r="A10570" t="s">
        <v>3001</v>
      </c>
      <c r="B10570" t="s">
        <v>3002</v>
      </c>
      <c r="C10570" t="s">
        <v>423</v>
      </c>
      <c r="D10570" t="str">
        <f>VLOOKUP(C10570,'lookup table'!$A$2:$B$19,2,FALSE)</f>
        <v>ignore</v>
      </c>
      <c r="E10570" t="str">
        <f t="shared" si="165"/>
        <v>S370_00|ignore</v>
      </c>
    </row>
    <row r="10571" spans="1:5" x14ac:dyDescent="0.2">
      <c r="A10571" t="s">
        <v>3003</v>
      </c>
      <c r="B10571" t="s">
        <v>3004</v>
      </c>
      <c r="C10571" t="s">
        <v>331</v>
      </c>
      <c r="D10571" t="str">
        <f>VLOOKUP(C10571,'lookup table'!$A$2:$B$19,2,FALSE)</f>
        <v>FS Item</v>
      </c>
      <c r="E10571" t="str">
        <f t="shared" si="165"/>
        <v>S372_17|FS Item</v>
      </c>
    </row>
    <row r="10572" spans="1:5" x14ac:dyDescent="0.2">
      <c r="A10572" t="s">
        <v>3003</v>
      </c>
      <c r="B10572" t="s">
        <v>3004</v>
      </c>
      <c r="C10572" t="s">
        <v>423</v>
      </c>
      <c r="D10572" t="str">
        <f>VLOOKUP(C10572,'lookup table'!$A$2:$B$19,2,FALSE)</f>
        <v>ignore</v>
      </c>
      <c r="E10572" t="str">
        <f t="shared" si="165"/>
        <v>S372_17|ignore</v>
      </c>
    </row>
    <row r="10573" spans="1:5" x14ac:dyDescent="0.2">
      <c r="A10573" t="s">
        <v>3003</v>
      </c>
      <c r="B10573" t="s">
        <v>3004</v>
      </c>
      <c r="C10573" t="s">
        <v>447</v>
      </c>
      <c r="D10573" t="str">
        <f>VLOOKUP(C10573,'lookup table'!$A$2:$B$19,2,FALSE)</f>
        <v>REX</v>
      </c>
      <c r="E10573" t="str">
        <f t="shared" si="165"/>
        <v>S372_17|REX</v>
      </c>
    </row>
    <row r="10574" spans="1:5" x14ac:dyDescent="0.2">
      <c r="A10574" t="s">
        <v>3003</v>
      </c>
      <c r="B10574" t="s">
        <v>3004</v>
      </c>
      <c r="C10574" t="s">
        <v>451</v>
      </c>
      <c r="D10574" t="str">
        <f>VLOOKUP(C10574,'lookup table'!$A$2:$B$19,2,FALSE)</f>
        <v>Segment</v>
      </c>
      <c r="E10574" t="str">
        <f t="shared" si="165"/>
        <v>S372_17|Segment</v>
      </c>
    </row>
    <row r="10575" spans="1:5" x14ac:dyDescent="0.2">
      <c r="A10575" t="s">
        <v>3005</v>
      </c>
      <c r="B10575" t="s">
        <v>3006</v>
      </c>
      <c r="C10575" t="s">
        <v>331</v>
      </c>
      <c r="D10575" t="str">
        <f>VLOOKUP(C10575,'lookup table'!$A$2:$B$19,2,FALSE)</f>
        <v>FS Item</v>
      </c>
      <c r="E10575" t="str">
        <f t="shared" si="165"/>
        <v>S377_00|FS Item</v>
      </c>
    </row>
    <row r="10576" spans="1:5" x14ac:dyDescent="0.2">
      <c r="A10576" t="s">
        <v>3005</v>
      </c>
      <c r="B10576" t="s">
        <v>3006</v>
      </c>
      <c r="C10576" t="s">
        <v>423</v>
      </c>
      <c r="D10576" t="str">
        <f>VLOOKUP(C10576,'lookup table'!$A$2:$B$19,2,FALSE)</f>
        <v>ignore</v>
      </c>
      <c r="E10576" t="str">
        <f t="shared" si="165"/>
        <v>S377_00|ignore</v>
      </c>
    </row>
    <row r="10577" spans="1:5" x14ac:dyDescent="0.2">
      <c r="A10577" t="s">
        <v>3005</v>
      </c>
      <c r="B10577" t="s">
        <v>3006</v>
      </c>
      <c r="C10577" t="s">
        <v>438</v>
      </c>
      <c r="D10577" t="str">
        <f>VLOOKUP(C10577,'lookup table'!$A$2:$B$19,2,FALSE)</f>
        <v>ToM</v>
      </c>
      <c r="E10577" t="str">
        <f t="shared" si="165"/>
        <v>S377_00|ToM</v>
      </c>
    </row>
    <row r="10578" spans="1:5" x14ac:dyDescent="0.2">
      <c r="A10578" t="s">
        <v>3007</v>
      </c>
      <c r="B10578" t="s">
        <v>3008</v>
      </c>
      <c r="C10578" t="s">
        <v>331</v>
      </c>
      <c r="D10578" t="str">
        <f>VLOOKUP(C10578,'lookup table'!$A$2:$B$19,2,FALSE)</f>
        <v>FS Item</v>
      </c>
      <c r="E10578" t="str">
        <f t="shared" si="165"/>
        <v>S378_00|FS Item</v>
      </c>
    </row>
    <row r="10579" spans="1:5" x14ac:dyDescent="0.2">
      <c r="A10579" t="s">
        <v>3007</v>
      </c>
      <c r="B10579" t="s">
        <v>3008</v>
      </c>
      <c r="C10579" t="s">
        <v>423</v>
      </c>
      <c r="D10579" t="str">
        <f>VLOOKUP(C10579,'lookup table'!$A$2:$B$19,2,FALSE)</f>
        <v>ignore</v>
      </c>
      <c r="E10579" t="str">
        <f t="shared" si="165"/>
        <v>S378_00|ignore</v>
      </c>
    </row>
    <row r="10580" spans="1:5" x14ac:dyDescent="0.2">
      <c r="A10580" t="s">
        <v>3007</v>
      </c>
      <c r="B10580" t="s">
        <v>3008</v>
      </c>
      <c r="C10580" t="s">
        <v>447</v>
      </c>
      <c r="D10580" t="str">
        <f>VLOOKUP(C10580,'lookup table'!$A$2:$B$19,2,FALSE)</f>
        <v>REX</v>
      </c>
      <c r="E10580" t="str">
        <f t="shared" si="165"/>
        <v>S378_00|REX</v>
      </c>
    </row>
    <row r="10581" spans="1:5" x14ac:dyDescent="0.2">
      <c r="A10581" t="s">
        <v>3009</v>
      </c>
      <c r="B10581" t="s">
        <v>3010</v>
      </c>
      <c r="C10581" t="s">
        <v>331</v>
      </c>
      <c r="D10581" t="str">
        <f>VLOOKUP(C10581,'lookup table'!$A$2:$B$19,2,FALSE)</f>
        <v>FS Item</v>
      </c>
      <c r="E10581" t="str">
        <f t="shared" si="165"/>
        <v>S379_00|FS Item</v>
      </c>
    </row>
    <row r="10582" spans="1:5" x14ac:dyDescent="0.2">
      <c r="A10582" t="s">
        <v>3009</v>
      </c>
      <c r="B10582" t="s">
        <v>3010</v>
      </c>
      <c r="C10582" t="s">
        <v>423</v>
      </c>
      <c r="D10582" t="str">
        <f>VLOOKUP(C10582,'lookup table'!$A$2:$B$19,2,FALSE)</f>
        <v>ignore</v>
      </c>
      <c r="E10582" t="str">
        <f t="shared" si="165"/>
        <v>S379_00|ignore</v>
      </c>
    </row>
    <row r="10583" spans="1:5" x14ac:dyDescent="0.2">
      <c r="A10583" t="s">
        <v>3011</v>
      </c>
      <c r="B10583" t="s">
        <v>3012</v>
      </c>
      <c r="C10583" t="s">
        <v>331</v>
      </c>
      <c r="D10583" t="str">
        <f>VLOOKUP(C10583,'lookup table'!$A$2:$B$19,2,FALSE)</f>
        <v>FS Item</v>
      </c>
      <c r="E10583" t="str">
        <f t="shared" si="165"/>
        <v>S381_00|FS Item</v>
      </c>
    </row>
    <row r="10584" spans="1:5" x14ac:dyDescent="0.2">
      <c r="A10584" t="s">
        <v>3011</v>
      </c>
      <c r="B10584" t="s">
        <v>3012</v>
      </c>
      <c r="C10584" t="s">
        <v>423</v>
      </c>
      <c r="D10584" t="str">
        <f>VLOOKUP(C10584,'lookup table'!$A$2:$B$19,2,FALSE)</f>
        <v>ignore</v>
      </c>
      <c r="E10584" t="str">
        <f t="shared" si="165"/>
        <v>S381_00|ignore</v>
      </c>
    </row>
    <row r="10585" spans="1:5" x14ac:dyDescent="0.2">
      <c r="A10585" t="s">
        <v>3011</v>
      </c>
      <c r="B10585" t="s">
        <v>3012</v>
      </c>
      <c r="C10585" t="s">
        <v>436</v>
      </c>
      <c r="D10585" t="str">
        <f>VLOOKUP(C10585,'lookup table'!$A$2:$B$19,2,FALSE)</f>
        <v>MAT</v>
      </c>
      <c r="E10585" t="str">
        <f t="shared" si="165"/>
        <v>S381_00|MAT</v>
      </c>
    </row>
    <row r="10586" spans="1:5" x14ac:dyDescent="0.2">
      <c r="A10586" t="s">
        <v>3013</v>
      </c>
      <c r="B10586" t="s">
        <v>3014</v>
      </c>
      <c r="C10586" t="s">
        <v>331</v>
      </c>
      <c r="D10586" t="str">
        <f>VLOOKUP(C10586,'lookup table'!$A$2:$B$19,2,FALSE)</f>
        <v>FS Item</v>
      </c>
      <c r="E10586" t="str">
        <f t="shared" si="165"/>
        <v>S387_00|FS Item</v>
      </c>
    </row>
    <row r="10587" spans="1:5" x14ac:dyDescent="0.2">
      <c r="A10587" t="s">
        <v>3013</v>
      </c>
      <c r="B10587" t="s">
        <v>3014</v>
      </c>
      <c r="C10587" t="s">
        <v>423</v>
      </c>
      <c r="D10587" t="str">
        <f>VLOOKUP(C10587,'lookup table'!$A$2:$B$19,2,FALSE)</f>
        <v>ignore</v>
      </c>
      <c r="E10587" t="str">
        <f t="shared" si="165"/>
        <v>S387_00|ignore</v>
      </c>
    </row>
    <row r="10588" spans="1:5" x14ac:dyDescent="0.2">
      <c r="A10588" t="s">
        <v>3013</v>
      </c>
      <c r="B10588" t="s">
        <v>3014</v>
      </c>
      <c r="C10588" t="s">
        <v>438</v>
      </c>
      <c r="D10588" t="str">
        <f>VLOOKUP(C10588,'lookup table'!$A$2:$B$19,2,FALSE)</f>
        <v>ToM</v>
      </c>
      <c r="E10588" t="str">
        <f t="shared" si="165"/>
        <v>S387_00|ToM</v>
      </c>
    </row>
    <row r="10589" spans="1:5" x14ac:dyDescent="0.2">
      <c r="A10589" t="s">
        <v>3015</v>
      </c>
      <c r="B10589" t="s">
        <v>3016</v>
      </c>
      <c r="C10589" t="s">
        <v>331</v>
      </c>
      <c r="D10589" t="str">
        <f>VLOOKUP(C10589,'lookup table'!$A$2:$B$19,2,FALSE)</f>
        <v>FS Item</v>
      </c>
      <c r="E10589" t="str">
        <f t="shared" si="165"/>
        <v>S388_00|FS Item</v>
      </c>
    </row>
    <row r="10590" spans="1:5" x14ac:dyDescent="0.2">
      <c r="A10590" t="s">
        <v>3015</v>
      </c>
      <c r="B10590" t="s">
        <v>3016</v>
      </c>
      <c r="C10590" t="s">
        <v>423</v>
      </c>
      <c r="D10590" t="str">
        <f>VLOOKUP(C10590,'lookup table'!$A$2:$B$19,2,FALSE)</f>
        <v>ignore</v>
      </c>
      <c r="E10590" t="str">
        <f t="shared" si="165"/>
        <v>S388_00|ignore</v>
      </c>
    </row>
    <row r="10591" spans="1:5" x14ac:dyDescent="0.2">
      <c r="A10591" t="s">
        <v>3015</v>
      </c>
      <c r="B10591" t="s">
        <v>3016</v>
      </c>
      <c r="C10591" t="s">
        <v>438</v>
      </c>
      <c r="D10591" t="str">
        <f>VLOOKUP(C10591,'lookup table'!$A$2:$B$19,2,FALSE)</f>
        <v>ToM</v>
      </c>
      <c r="E10591" t="str">
        <f t="shared" si="165"/>
        <v>S388_00|ToM</v>
      </c>
    </row>
    <row r="10592" spans="1:5" x14ac:dyDescent="0.2">
      <c r="A10592" t="s">
        <v>3017</v>
      </c>
      <c r="B10592" t="s">
        <v>3018</v>
      </c>
      <c r="C10592" t="s">
        <v>331</v>
      </c>
      <c r="D10592" t="str">
        <f>VLOOKUP(C10592,'lookup table'!$A$2:$B$19,2,FALSE)</f>
        <v>FS Item</v>
      </c>
      <c r="E10592" t="str">
        <f t="shared" si="165"/>
        <v>S400_00|FS Item</v>
      </c>
    </row>
    <row r="10593" spans="1:5" x14ac:dyDescent="0.2">
      <c r="A10593" t="s">
        <v>3017</v>
      </c>
      <c r="B10593" t="s">
        <v>3018</v>
      </c>
      <c r="C10593" t="s">
        <v>423</v>
      </c>
      <c r="D10593" t="str">
        <f>VLOOKUP(C10593,'lookup table'!$A$2:$B$19,2,FALSE)</f>
        <v>ignore</v>
      </c>
      <c r="E10593" t="str">
        <f t="shared" si="165"/>
        <v>S400_00|ignore</v>
      </c>
    </row>
    <row r="10594" spans="1:5" x14ac:dyDescent="0.2">
      <c r="A10594" t="s">
        <v>3019</v>
      </c>
      <c r="B10594" t="s">
        <v>3020</v>
      </c>
      <c r="C10594" t="s">
        <v>458</v>
      </c>
      <c r="D10594" t="str">
        <f>VLOOKUP(C10594,'lookup table'!$A$2:$B$19,2,FALSE)</f>
        <v>VAR</v>
      </c>
      <c r="E10594" t="str">
        <f t="shared" si="165"/>
        <v>S413_00|VAR</v>
      </c>
    </row>
    <row r="10595" spans="1:5" x14ac:dyDescent="0.2">
      <c r="A10595" t="s">
        <v>3021</v>
      </c>
      <c r="B10595" t="s">
        <v>402</v>
      </c>
      <c r="C10595" t="s">
        <v>331</v>
      </c>
      <c r="D10595" t="str">
        <f>VLOOKUP(C10595,'lookup table'!$A$2:$B$19,2,FALSE)</f>
        <v>FS Item</v>
      </c>
      <c r="E10595" t="str">
        <f t="shared" si="165"/>
        <v>S414_00|FS Item</v>
      </c>
    </row>
    <row r="10596" spans="1:5" x14ac:dyDescent="0.2">
      <c r="A10596" t="s">
        <v>3021</v>
      </c>
      <c r="B10596" t="s">
        <v>402</v>
      </c>
      <c r="C10596" t="s">
        <v>423</v>
      </c>
      <c r="D10596" t="str">
        <f>VLOOKUP(C10596,'lookup table'!$A$2:$B$19,2,FALSE)</f>
        <v>ignore</v>
      </c>
      <c r="E10596" t="str">
        <f t="shared" si="165"/>
        <v>S414_00|ignore</v>
      </c>
    </row>
    <row r="10597" spans="1:5" x14ac:dyDescent="0.2">
      <c r="A10597" t="s">
        <v>3021</v>
      </c>
      <c r="B10597" t="s">
        <v>402</v>
      </c>
      <c r="C10597" t="s">
        <v>436</v>
      </c>
      <c r="D10597" t="str">
        <f>VLOOKUP(C10597,'lookup table'!$A$2:$B$19,2,FALSE)</f>
        <v>MAT</v>
      </c>
      <c r="E10597" t="str">
        <f t="shared" si="165"/>
        <v>S414_00|MAT</v>
      </c>
    </row>
    <row r="10598" spans="1:5" x14ac:dyDescent="0.2">
      <c r="A10598" t="s">
        <v>3022</v>
      </c>
      <c r="B10598" t="s">
        <v>3023</v>
      </c>
      <c r="C10598" t="s">
        <v>458</v>
      </c>
      <c r="D10598" t="str">
        <f>VLOOKUP(C10598,'lookup table'!$A$2:$B$19,2,FALSE)</f>
        <v>VAR</v>
      </c>
      <c r="E10598" t="str">
        <f t="shared" si="165"/>
        <v>S415_00|VAR</v>
      </c>
    </row>
    <row r="10599" spans="1:5" x14ac:dyDescent="0.2">
      <c r="A10599" t="s">
        <v>3024</v>
      </c>
      <c r="B10599" t="s">
        <v>3025</v>
      </c>
      <c r="C10599" t="s">
        <v>331</v>
      </c>
      <c r="D10599" t="str">
        <f>VLOOKUP(C10599,'lookup table'!$A$2:$B$19,2,FALSE)</f>
        <v>FS Item</v>
      </c>
      <c r="E10599" t="str">
        <f t="shared" si="165"/>
        <v>S416_00|FS Item</v>
      </c>
    </row>
    <row r="10600" spans="1:5" x14ac:dyDescent="0.2">
      <c r="A10600" t="s">
        <v>3024</v>
      </c>
      <c r="B10600" t="s">
        <v>3025</v>
      </c>
      <c r="C10600" t="s">
        <v>423</v>
      </c>
      <c r="D10600" t="str">
        <f>VLOOKUP(C10600,'lookup table'!$A$2:$B$19,2,FALSE)</f>
        <v>ignore</v>
      </c>
      <c r="E10600" t="str">
        <f t="shared" si="165"/>
        <v>S416_00|ignore</v>
      </c>
    </row>
    <row r="10601" spans="1:5" x14ac:dyDescent="0.2">
      <c r="A10601" t="s">
        <v>3026</v>
      </c>
      <c r="B10601" t="s">
        <v>3027</v>
      </c>
      <c r="C10601" t="s">
        <v>436</v>
      </c>
      <c r="D10601" t="str">
        <f>VLOOKUP(C10601,'lookup table'!$A$2:$B$19,2,FALSE)</f>
        <v>MAT</v>
      </c>
      <c r="E10601" t="str">
        <f t="shared" si="165"/>
        <v>S417_00|MAT</v>
      </c>
    </row>
    <row r="10602" spans="1:5" x14ac:dyDescent="0.2">
      <c r="A10602" t="s">
        <v>3028</v>
      </c>
      <c r="B10602" t="s">
        <v>3029</v>
      </c>
      <c r="C10602" t="s">
        <v>331</v>
      </c>
      <c r="D10602" t="str">
        <f>VLOOKUP(C10602,'lookup table'!$A$2:$B$19,2,FALSE)</f>
        <v>FS Item</v>
      </c>
      <c r="E10602" t="str">
        <f t="shared" si="165"/>
        <v>S423_00|FS Item</v>
      </c>
    </row>
    <row r="10603" spans="1:5" x14ac:dyDescent="0.2">
      <c r="A10603" t="s">
        <v>3028</v>
      </c>
      <c r="B10603" t="s">
        <v>3029</v>
      </c>
      <c r="C10603" t="s">
        <v>423</v>
      </c>
      <c r="D10603" t="str">
        <f>VLOOKUP(C10603,'lookup table'!$A$2:$B$19,2,FALSE)</f>
        <v>ignore</v>
      </c>
      <c r="E10603" t="str">
        <f t="shared" si="165"/>
        <v>S423_00|ignore</v>
      </c>
    </row>
    <row r="10604" spans="1:5" x14ac:dyDescent="0.2">
      <c r="A10604" t="s">
        <v>3030</v>
      </c>
      <c r="B10604" t="s">
        <v>3031</v>
      </c>
      <c r="C10604" t="s">
        <v>331</v>
      </c>
      <c r="D10604" t="str">
        <f>VLOOKUP(C10604,'lookup table'!$A$2:$B$19,2,FALSE)</f>
        <v>FS Item</v>
      </c>
      <c r="E10604" t="str">
        <f t="shared" si="165"/>
        <v>S424_00|FS Item</v>
      </c>
    </row>
    <row r="10605" spans="1:5" x14ac:dyDescent="0.2">
      <c r="A10605" t="s">
        <v>3030</v>
      </c>
      <c r="B10605" t="s">
        <v>3031</v>
      </c>
      <c r="C10605" t="s">
        <v>423</v>
      </c>
      <c r="D10605" t="str">
        <f>VLOOKUP(C10605,'lookup table'!$A$2:$B$19,2,FALSE)</f>
        <v>ignore</v>
      </c>
      <c r="E10605" t="str">
        <f t="shared" si="165"/>
        <v>S424_00|ignore</v>
      </c>
    </row>
    <row r="10606" spans="1:5" x14ac:dyDescent="0.2">
      <c r="A10606" t="s">
        <v>3032</v>
      </c>
      <c r="B10606" t="s">
        <v>3033</v>
      </c>
      <c r="C10606" t="s">
        <v>442</v>
      </c>
      <c r="D10606" t="str">
        <f>VLOOKUP(C10606,'lookup table'!$A$2:$B$19,2,FALSE)</f>
        <v>Partner Unit</v>
      </c>
      <c r="E10606" t="str">
        <f t="shared" si="165"/>
        <v>S438_00|Partner Unit</v>
      </c>
    </row>
    <row r="10607" spans="1:5" x14ac:dyDescent="0.2">
      <c r="A10607" t="s">
        <v>3034</v>
      </c>
      <c r="B10607" t="s">
        <v>3035</v>
      </c>
      <c r="C10607" t="s">
        <v>442</v>
      </c>
      <c r="D10607" t="str">
        <f>VLOOKUP(C10607,'lookup table'!$A$2:$B$19,2,FALSE)</f>
        <v>Partner Unit</v>
      </c>
      <c r="E10607" t="str">
        <f t="shared" si="165"/>
        <v>S439_00|Partner Unit</v>
      </c>
    </row>
    <row r="10608" spans="1:5" x14ac:dyDescent="0.2">
      <c r="A10608" t="s">
        <v>3036</v>
      </c>
      <c r="B10608" t="s">
        <v>3037</v>
      </c>
      <c r="C10608" t="s">
        <v>442</v>
      </c>
      <c r="D10608" t="str">
        <f>VLOOKUP(C10608,'lookup table'!$A$2:$B$19,2,FALSE)</f>
        <v>Partner Unit</v>
      </c>
      <c r="E10608" t="str">
        <f t="shared" si="165"/>
        <v>S440_00|Partner Unit</v>
      </c>
    </row>
    <row r="10609" spans="1:5" x14ac:dyDescent="0.2">
      <c r="A10609" t="s">
        <v>3038</v>
      </c>
      <c r="B10609" t="s">
        <v>3039</v>
      </c>
      <c r="C10609" t="s">
        <v>442</v>
      </c>
      <c r="D10609" t="str">
        <f>VLOOKUP(C10609,'lookup table'!$A$2:$B$19,2,FALSE)</f>
        <v>Partner Unit</v>
      </c>
      <c r="E10609" t="str">
        <f t="shared" si="165"/>
        <v>S441_00|Partner Unit</v>
      </c>
    </row>
    <row r="10610" spans="1:5" x14ac:dyDescent="0.2">
      <c r="A10610" t="s">
        <v>3040</v>
      </c>
      <c r="B10610" t="s">
        <v>3041</v>
      </c>
      <c r="C10610" t="s">
        <v>442</v>
      </c>
      <c r="D10610" t="str">
        <f>VLOOKUP(C10610,'lookup table'!$A$2:$B$19,2,FALSE)</f>
        <v>Partner Unit</v>
      </c>
      <c r="E10610" t="str">
        <f t="shared" si="165"/>
        <v>S442_00|Partner Unit</v>
      </c>
    </row>
    <row r="10611" spans="1:5" x14ac:dyDescent="0.2">
      <c r="A10611" t="s">
        <v>3042</v>
      </c>
      <c r="B10611" t="s">
        <v>3043</v>
      </c>
      <c r="C10611" t="s">
        <v>442</v>
      </c>
      <c r="D10611" t="str">
        <f>VLOOKUP(C10611,'lookup table'!$A$2:$B$19,2,FALSE)</f>
        <v>Partner Unit</v>
      </c>
      <c r="E10611" t="str">
        <f t="shared" si="165"/>
        <v>S443_00|Partner Unit</v>
      </c>
    </row>
    <row r="10612" spans="1:5" x14ac:dyDescent="0.2">
      <c r="A10612" t="s">
        <v>3044</v>
      </c>
      <c r="B10612" t="s">
        <v>3045</v>
      </c>
      <c r="C10612" t="s">
        <v>442</v>
      </c>
      <c r="D10612" t="str">
        <f>VLOOKUP(C10612,'lookup table'!$A$2:$B$19,2,FALSE)</f>
        <v>Partner Unit</v>
      </c>
      <c r="E10612" t="str">
        <f t="shared" si="165"/>
        <v>S447_00|Partner Unit</v>
      </c>
    </row>
    <row r="10613" spans="1:5" x14ac:dyDescent="0.2">
      <c r="A10613" t="s">
        <v>3046</v>
      </c>
      <c r="B10613" t="s">
        <v>3047</v>
      </c>
      <c r="C10613" t="s">
        <v>442</v>
      </c>
      <c r="D10613" t="str">
        <f>VLOOKUP(C10613,'lookup table'!$A$2:$B$19,2,FALSE)</f>
        <v>Partner Unit</v>
      </c>
      <c r="E10613" t="str">
        <f t="shared" si="165"/>
        <v>S448_00|Partner Unit</v>
      </c>
    </row>
    <row r="10614" spans="1:5" x14ac:dyDescent="0.2">
      <c r="A10614" t="s">
        <v>3048</v>
      </c>
      <c r="B10614" t="s">
        <v>3049</v>
      </c>
      <c r="C10614" t="s">
        <v>331</v>
      </c>
      <c r="D10614" t="str">
        <f>VLOOKUP(C10614,'lookup table'!$A$2:$B$19,2,FALSE)</f>
        <v>FS Item</v>
      </c>
      <c r="E10614" t="str">
        <f t="shared" si="165"/>
        <v>S451_00|FS Item</v>
      </c>
    </row>
    <row r="10615" spans="1:5" x14ac:dyDescent="0.2">
      <c r="A10615" t="s">
        <v>3048</v>
      </c>
      <c r="B10615" t="s">
        <v>3049</v>
      </c>
      <c r="C10615" t="s">
        <v>423</v>
      </c>
      <c r="D10615" t="str">
        <f>VLOOKUP(C10615,'lookup table'!$A$2:$B$19,2,FALSE)</f>
        <v>ignore</v>
      </c>
      <c r="E10615" t="str">
        <f t="shared" si="165"/>
        <v>S451_00|ignore</v>
      </c>
    </row>
    <row r="10616" spans="1:5" x14ac:dyDescent="0.2">
      <c r="A10616" t="s">
        <v>3048</v>
      </c>
      <c r="B10616" t="s">
        <v>3049</v>
      </c>
      <c r="C10616" t="s">
        <v>438</v>
      </c>
      <c r="D10616" t="str">
        <f>VLOOKUP(C10616,'lookup table'!$A$2:$B$19,2,FALSE)</f>
        <v>ToM</v>
      </c>
      <c r="E10616" t="str">
        <f t="shared" si="165"/>
        <v>S451_00|ToM</v>
      </c>
    </row>
    <row r="10617" spans="1:5" x14ac:dyDescent="0.2">
      <c r="A10617" t="s">
        <v>3050</v>
      </c>
      <c r="B10617" t="s">
        <v>3051</v>
      </c>
      <c r="C10617" t="s">
        <v>331</v>
      </c>
      <c r="D10617" t="str">
        <f>VLOOKUP(C10617,'lookup table'!$A$2:$B$19,2,FALSE)</f>
        <v>FS Item</v>
      </c>
      <c r="E10617" t="str">
        <f t="shared" si="165"/>
        <v>S453_00|FS Item</v>
      </c>
    </row>
    <row r="10618" spans="1:5" x14ac:dyDescent="0.2">
      <c r="A10618" t="s">
        <v>3050</v>
      </c>
      <c r="B10618" t="s">
        <v>3051</v>
      </c>
      <c r="C10618" t="s">
        <v>423</v>
      </c>
      <c r="D10618" t="str">
        <f>VLOOKUP(C10618,'lookup table'!$A$2:$B$19,2,FALSE)</f>
        <v>ignore</v>
      </c>
      <c r="E10618" t="str">
        <f t="shared" si="165"/>
        <v>S453_00|ignore</v>
      </c>
    </row>
    <row r="10619" spans="1:5" x14ac:dyDescent="0.2">
      <c r="A10619" t="s">
        <v>3052</v>
      </c>
      <c r="B10619" t="s">
        <v>3053</v>
      </c>
      <c r="C10619" t="s">
        <v>14</v>
      </c>
      <c r="D10619" t="str">
        <f>VLOOKUP(C10619,'lookup table'!$A$2:$B$19,2,FALSE)</f>
        <v>ALC</v>
      </c>
      <c r="E10619" t="str">
        <f t="shared" si="165"/>
        <v>S461_00|ALC</v>
      </c>
    </row>
    <row r="10620" spans="1:5" x14ac:dyDescent="0.2">
      <c r="A10620" t="s">
        <v>3052</v>
      </c>
      <c r="B10620" t="s">
        <v>3053</v>
      </c>
      <c r="C10620" t="s">
        <v>331</v>
      </c>
      <c r="D10620" t="str">
        <f>VLOOKUP(C10620,'lookup table'!$A$2:$B$19,2,FALSE)</f>
        <v>FS Item</v>
      </c>
      <c r="E10620" t="str">
        <f t="shared" si="165"/>
        <v>S461_00|FS Item</v>
      </c>
    </row>
    <row r="10621" spans="1:5" x14ac:dyDescent="0.2">
      <c r="A10621" t="s">
        <v>3052</v>
      </c>
      <c r="B10621" t="s">
        <v>3053</v>
      </c>
      <c r="C10621" t="s">
        <v>423</v>
      </c>
      <c r="D10621" t="str">
        <f>VLOOKUP(C10621,'lookup table'!$A$2:$B$19,2,FALSE)</f>
        <v>ignore</v>
      </c>
      <c r="E10621" t="str">
        <f t="shared" si="165"/>
        <v>S461_00|ignore</v>
      </c>
    </row>
    <row r="10622" spans="1:5" x14ac:dyDescent="0.2">
      <c r="A10622" t="s">
        <v>3054</v>
      </c>
      <c r="B10622" t="s">
        <v>3055</v>
      </c>
      <c r="C10622" t="s">
        <v>331</v>
      </c>
      <c r="D10622" t="str">
        <f>VLOOKUP(C10622,'lookup table'!$A$2:$B$19,2,FALSE)</f>
        <v>FS Item</v>
      </c>
      <c r="E10622" t="str">
        <f t="shared" si="165"/>
        <v>S474_00|FS Item</v>
      </c>
    </row>
    <row r="10623" spans="1:5" x14ac:dyDescent="0.2">
      <c r="A10623" t="s">
        <v>3054</v>
      </c>
      <c r="B10623" t="s">
        <v>3055</v>
      </c>
      <c r="C10623" t="s">
        <v>423</v>
      </c>
      <c r="D10623" t="str">
        <f>VLOOKUP(C10623,'lookup table'!$A$2:$B$19,2,FALSE)</f>
        <v>ignore</v>
      </c>
      <c r="E10623" t="str">
        <f t="shared" si="165"/>
        <v>S474_00|ignore</v>
      </c>
    </row>
    <row r="10624" spans="1:5" x14ac:dyDescent="0.2">
      <c r="A10624" t="s">
        <v>3056</v>
      </c>
      <c r="B10624" t="s">
        <v>3057</v>
      </c>
      <c r="C10624" t="s">
        <v>331</v>
      </c>
      <c r="D10624" t="str">
        <f>VLOOKUP(C10624,'lookup table'!$A$2:$B$19,2,FALSE)</f>
        <v>FS Item</v>
      </c>
      <c r="E10624" t="str">
        <f t="shared" si="165"/>
        <v>S475_00|FS Item</v>
      </c>
    </row>
    <row r="10625" spans="1:5" x14ac:dyDescent="0.2">
      <c r="A10625" t="s">
        <v>3056</v>
      </c>
      <c r="B10625" t="s">
        <v>3057</v>
      </c>
      <c r="C10625" t="s">
        <v>423</v>
      </c>
      <c r="D10625" t="str">
        <f>VLOOKUP(C10625,'lookup table'!$A$2:$B$19,2,FALSE)</f>
        <v>ignore</v>
      </c>
      <c r="E10625" t="str">
        <f t="shared" si="165"/>
        <v>S475_00|ignore</v>
      </c>
    </row>
    <row r="10626" spans="1:5" x14ac:dyDescent="0.2">
      <c r="A10626" t="s">
        <v>3058</v>
      </c>
      <c r="B10626" t="s">
        <v>3059</v>
      </c>
      <c r="C10626" t="s">
        <v>331</v>
      </c>
      <c r="D10626" t="str">
        <f>VLOOKUP(C10626,'lookup table'!$A$2:$B$19,2,FALSE)</f>
        <v>FS Item</v>
      </c>
      <c r="E10626" t="str">
        <f t="shared" si="165"/>
        <v>S484_00|FS Item</v>
      </c>
    </row>
    <row r="10627" spans="1:5" x14ac:dyDescent="0.2">
      <c r="A10627" t="s">
        <v>3058</v>
      </c>
      <c r="B10627" t="s">
        <v>3059</v>
      </c>
      <c r="C10627" t="s">
        <v>423</v>
      </c>
      <c r="D10627" t="str">
        <f>VLOOKUP(C10627,'lookup table'!$A$2:$B$19,2,FALSE)</f>
        <v>ignore</v>
      </c>
      <c r="E10627" t="str">
        <f t="shared" ref="E10627:E10690" si="166">IF(ISNA(D10627),"",IF(A10627="","",A10627) &amp; "|" &amp; D10627)</f>
        <v>S484_00|ignore</v>
      </c>
    </row>
    <row r="10628" spans="1:5" x14ac:dyDescent="0.2">
      <c r="A10628" t="s">
        <v>3058</v>
      </c>
      <c r="B10628" t="s">
        <v>3059</v>
      </c>
      <c r="C10628" t="s">
        <v>438</v>
      </c>
      <c r="D10628" t="str">
        <f>VLOOKUP(C10628,'lookup table'!$A$2:$B$19,2,FALSE)</f>
        <v>ToM</v>
      </c>
      <c r="E10628" t="str">
        <f t="shared" si="166"/>
        <v>S484_00|ToM</v>
      </c>
    </row>
    <row r="10629" spans="1:5" x14ac:dyDescent="0.2">
      <c r="A10629" t="s">
        <v>3060</v>
      </c>
      <c r="B10629" t="s">
        <v>3061</v>
      </c>
      <c r="C10629" t="s">
        <v>331</v>
      </c>
      <c r="D10629" t="str">
        <f>VLOOKUP(C10629,'lookup table'!$A$2:$B$19,2,FALSE)</f>
        <v>FS Item</v>
      </c>
      <c r="E10629" t="str">
        <f t="shared" si="166"/>
        <v>S504_00|FS Item</v>
      </c>
    </row>
    <row r="10630" spans="1:5" x14ac:dyDescent="0.2">
      <c r="A10630" t="s">
        <v>3060</v>
      </c>
      <c r="B10630" t="s">
        <v>3061</v>
      </c>
      <c r="C10630" t="s">
        <v>423</v>
      </c>
      <c r="D10630" t="str">
        <f>VLOOKUP(C10630,'lookup table'!$A$2:$B$19,2,FALSE)</f>
        <v>ignore</v>
      </c>
      <c r="E10630" t="str">
        <f t="shared" si="166"/>
        <v>S504_00|ignore</v>
      </c>
    </row>
    <row r="10631" spans="1:5" x14ac:dyDescent="0.2">
      <c r="A10631" t="s">
        <v>3060</v>
      </c>
      <c r="B10631" t="s">
        <v>3061</v>
      </c>
      <c r="C10631" t="s">
        <v>438</v>
      </c>
      <c r="D10631" t="str">
        <f>VLOOKUP(C10631,'lookup table'!$A$2:$B$19,2,FALSE)</f>
        <v>ToM</v>
      </c>
      <c r="E10631" t="str">
        <f t="shared" si="166"/>
        <v>S504_00|ToM</v>
      </c>
    </row>
    <row r="10632" spans="1:5" x14ac:dyDescent="0.2">
      <c r="A10632" t="s">
        <v>3062</v>
      </c>
      <c r="B10632" t="s">
        <v>3063</v>
      </c>
      <c r="C10632" t="s">
        <v>442</v>
      </c>
      <c r="D10632" t="str">
        <f>VLOOKUP(C10632,'lookup table'!$A$2:$B$19,2,FALSE)</f>
        <v>Partner Unit</v>
      </c>
      <c r="E10632" t="str">
        <f t="shared" si="166"/>
        <v>S505_00|Partner Unit</v>
      </c>
    </row>
    <row r="10633" spans="1:5" x14ac:dyDescent="0.2">
      <c r="A10633" t="s">
        <v>3064</v>
      </c>
      <c r="B10633" t="s">
        <v>3065</v>
      </c>
      <c r="C10633" t="s">
        <v>331</v>
      </c>
      <c r="D10633" t="str">
        <f>VLOOKUP(C10633,'lookup table'!$A$2:$B$19,2,FALSE)</f>
        <v>FS Item</v>
      </c>
      <c r="E10633" t="str">
        <f t="shared" si="166"/>
        <v>S508_00|FS Item</v>
      </c>
    </row>
    <row r="10634" spans="1:5" x14ac:dyDescent="0.2">
      <c r="A10634" t="s">
        <v>3064</v>
      </c>
      <c r="B10634" t="s">
        <v>3065</v>
      </c>
      <c r="C10634" t="s">
        <v>423</v>
      </c>
      <c r="D10634" t="str">
        <f>VLOOKUP(C10634,'lookup table'!$A$2:$B$19,2,FALSE)</f>
        <v>ignore</v>
      </c>
      <c r="E10634" t="str">
        <f t="shared" si="166"/>
        <v>S508_00|ignore</v>
      </c>
    </row>
    <row r="10635" spans="1:5" x14ac:dyDescent="0.2">
      <c r="A10635" t="s">
        <v>3064</v>
      </c>
      <c r="B10635" t="s">
        <v>3065</v>
      </c>
      <c r="C10635" t="s">
        <v>458</v>
      </c>
      <c r="D10635" t="str">
        <f>VLOOKUP(C10635,'lookup table'!$A$2:$B$19,2,FALSE)</f>
        <v>VAR</v>
      </c>
      <c r="E10635" t="str">
        <f t="shared" si="166"/>
        <v>S508_00|VAR</v>
      </c>
    </row>
    <row r="10636" spans="1:5" x14ac:dyDescent="0.2">
      <c r="A10636" t="s">
        <v>3066</v>
      </c>
      <c r="B10636" t="s">
        <v>3067</v>
      </c>
      <c r="C10636" t="s">
        <v>20</v>
      </c>
      <c r="D10636" t="str">
        <f>VLOOKUP(C10636,'lookup table'!$A$2:$B$19,2,FALSE)</f>
        <v>AY</v>
      </c>
      <c r="E10636" t="str">
        <f t="shared" si="166"/>
        <v>S510_00|AY</v>
      </c>
    </row>
    <row r="10637" spans="1:5" x14ac:dyDescent="0.2">
      <c r="A10637" t="s">
        <v>3068</v>
      </c>
      <c r="B10637" t="s">
        <v>3069</v>
      </c>
      <c r="C10637" t="s">
        <v>20</v>
      </c>
      <c r="D10637" t="str">
        <f>VLOOKUP(C10637,'lookup table'!$A$2:$B$19,2,FALSE)</f>
        <v>AY</v>
      </c>
      <c r="E10637" t="str">
        <f t="shared" si="166"/>
        <v>S511_00|AY</v>
      </c>
    </row>
    <row r="10638" spans="1:5" x14ac:dyDescent="0.2">
      <c r="A10638" t="s">
        <v>3070</v>
      </c>
      <c r="B10638" t="s">
        <v>3071</v>
      </c>
      <c r="C10638" t="s">
        <v>20</v>
      </c>
      <c r="D10638" t="str">
        <f>VLOOKUP(C10638,'lookup table'!$A$2:$B$19,2,FALSE)</f>
        <v>AY</v>
      </c>
      <c r="E10638" t="str">
        <f t="shared" si="166"/>
        <v>S517_00|AY</v>
      </c>
    </row>
    <row r="10639" spans="1:5" x14ac:dyDescent="0.2">
      <c r="A10639" t="s">
        <v>3072</v>
      </c>
      <c r="B10639" t="s">
        <v>3073</v>
      </c>
      <c r="C10639" t="s">
        <v>20</v>
      </c>
      <c r="D10639" t="str">
        <f>VLOOKUP(C10639,'lookup table'!$A$2:$B$19,2,FALSE)</f>
        <v>AY</v>
      </c>
      <c r="E10639" t="str">
        <f t="shared" si="166"/>
        <v>S519_00|AY</v>
      </c>
    </row>
    <row r="10640" spans="1:5" x14ac:dyDescent="0.2">
      <c r="A10640" t="s">
        <v>3074</v>
      </c>
      <c r="B10640" t="s">
        <v>3075</v>
      </c>
      <c r="C10640" t="s">
        <v>20</v>
      </c>
      <c r="D10640" t="str">
        <f>VLOOKUP(C10640,'lookup table'!$A$2:$B$19,2,FALSE)</f>
        <v>AY</v>
      </c>
      <c r="E10640" t="str">
        <f t="shared" si="166"/>
        <v>S521_00|AY</v>
      </c>
    </row>
    <row r="10641" spans="1:5" x14ac:dyDescent="0.2">
      <c r="A10641" t="s">
        <v>3076</v>
      </c>
      <c r="B10641" t="s">
        <v>3077</v>
      </c>
      <c r="C10641" t="s">
        <v>20</v>
      </c>
      <c r="D10641" t="str">
        <f>VLOOKUP(C10641,'lookup table'!$A$2:$B$19,2,FALSE)</f>
        <v>AY</v>
      </c>
      <c r="E10641" t="str">
        <f t="shared" si="166"/>
        <v>S523_00|AY</v>
      </c>
    </row>
    <row r="10642" spans="1:5" x14ac:dyDescent="0.2">
      <c r="A10642" t="s">
        <v>3078</v>
      </c>
      <c r="B10642" t="s">
        <v>3079</v>
      </c>
      <c r="C10642" t="s">
        <v>20</v>
      </c>
      <c r="D10642" t="str">
        <f>VLOOKUP(C10642,'lookup table'!$A$2:$B$19,2,FALSE)</f>
        <v>AY</v>
      </c>
      <c r="E10642" t="str">
        <f t="shared" si="166"/>
        <v>S525_00|AY</v>
      </c>
    </row>
    <row r="10643" spans="1:5" x14ac:dyDescent="0.2">
      <c r="A10643" t="s">
        <v>3080</v>
      </c>
      <c r="B10643" t="s">
        <v>3081</v>
      </c>
      <c r="C10643" t="s">
        <v>20</v>
      </c>
      <c r="D10643" t="str">
        <f>VLOOKUP(C10643,'lookup table'!$A$2:$B$19,2,FALSE)</f>
        <v>AY</v>
      </c>
      <c r="E10643" t="str">
        <f t="shared" si="166"/>
        <v>S527_00|AY</v>
      </c>
    </row>
    <row r="10644" spans="1:5" x14ac:dyDescent="0.2">
      <c r="A10644" t="s">
        <v>3082</v>
      </c>
      <c r="B10644" t="s">
        <v>3083</v>
      </c>
      <c r="C10644" t="s">
        <v>20</v>
      </c>
      <c r="D10644" t="str">
        <f>VLOOKUP(C10644,'lookup table'!$A$2:$B$19,2,FALSE)</f>
        <v>AY</v>
      </c>
      <c r="E10644" t="str">
        <f t="shared" si="166"/>
        <v>S529_00|AY</v>
      </c>
    </row>
    <row r="10645" spans="1:5" x14ac:dyDescent="0.2">
      <c r="A10645" t="s">
        <v>3084</v>
      </c>
      <c r="B10645" t="s">
        <v>3085</v>
      </c>
      <c r="C10645" t="s">
        <v>20</v>
      </c>
      <c r="D10645" t="str">
        <f>VLOOKUP(C10645,'lookup table'!$A$2:$B$19,2,FALSE)</f>
        <v>AY</v>
      </c>
      <c r="E10645" t="str">
        <f t="shared" si="166"/>
        <v>S531_00|AY</v>
      </c>
    </row>
    <row r="10646" spans="1:5" x14ac:dyDescent="0.2">
      <c r="A10646" t="s">
        <v>3086</v>
      </c>
      <c r="B10646" t="s">
        <v>3087</v>
      </c>
      <c r="C10646" t="s">
        <v>20</v>
      </c>
      <c r="D10646" t="str">
        <f>VLOOKUP(C10646,'lookup table'!$A$2:$B$19,2,FALSE)</f>
        <v>AY</v>
      </c>
      <c r="E10646" t="str">
        <f t="shared" si="166"/>
        <v>S533_00|AY</v>
      </c>
    </row>
    <row r="10647" spans="1:5" x14ac:dyDescent="0.2">
      <c r="A10647" t="s">
        <v>3088</v>
      </c>
      <c r="B10647" t="s">
        <v>3089</v>
      </c>
      <c r="C10647" t="s">
        <v>20</v>
      </c>
      <c r="D10647" t="str">
        <f>VLOOKUP(C10647,'lookup table'!$A$2:$B$19,2,FALSE)</f>
        <v>AY</v>
      </c>
      <c r="E10647" t="str">
        <f t="shared" si="166"/>
        <v>S535_00|AY</v>
      </c>
    </row>
    <row r="10648" spans="1:5" x14ac:dyDescent="0.2">
      <c r="A10648" t="s">
        <v>3090</v>
      </c>
      <c r="B10648" t="s">
        <v>3091</v>
      </c>
      <c r="C10648" t="s">
        <v>20</v>
      </c>
      <c r="D10648" t="str">
        <f>VLOOKUP(C10648,'lookup table'!$A$2:$B$19,2,FALSE)</f>
        <v>AY</v>
      </c>
      <c r="E10648" t="str">
        <f t="shared" si="166"/>
        <v>S537_00|AY</v>
      </c>
    </row>
    <row r="10649" spans="1:5" x14ac:dyDescent="0.2">
      <c r="A10649" t="s">
        <v>3092</v>
      </c>
      <c r="B10649" t="s">
        <v>3093</v>
      </c>
      <c r="C10649" t="s">
        <v>331</v>
      </c>
      <c r="D10649" t="str">
        <f>VLOOKUP(C10649,'lookup table'!$A$2:$B$19,2,FALSE)</f>
        <v>FS Item</v>
      </c>
      <c r="E10649" t="str">
        <f t="shared" si="166"/>
        <v>S558_00|FS Item</v>
      </c>
    </row>
    <row r="10650" spans="1:5" x14ac:dyDescent="0.2">
      <c r="A10650" t="s">
        <v>3092</v>
      </c>
      <c r="B10650" t="s">
        <v>3093</v>
      </c>
      <c r="C10650" t="s">
        <v>423</v>
      </c>
      <c r="D10650" t="str">
        <f>VLOOKUP(C10650,'lookup table'!$A$2:$B$19,2,FALSE)</f>
        <v>ignore</v>
      </c>
      <c r="E10650" t="str">
        <f t="shared" si="166"/>
        <v>S558_00|ignore</v>
      </c>
    </row>
    <row r="10651" spans="1:5" x14ac:dyDescent="0.2">
      <c r="A10651" t="s">
        <v>3094</v>
      </c>
      <c r="B10651" t="s">
        <v>3095</v>
      </c>
      <c r="C10651" t="s">
        <v>331</v>
      </c>
      <c r="D10651" t="str">
        <f>VLOOKUP(C10651,'lookup table'!$A$2:$B$19,2,FALSE)</f>
        <v>FS Item</v>
      </c>
      <c r="E10651" t="str">
        <f t="shared" si="166"/>
        <v>S576_00|FS Item</v>
      </c>
    </row>
    <row r="10652" spans="1:5" x14ac:dyDescent="0.2">
      <c r="A10652" t="s">
        <v>3094</v>
      </c>
      <c r="B10652" t="s">
        <v>3095</v>
      </c>
      <c r="C10652" t="s">
        <v>423</v>
      </c>
      <c r="D10652" t="str">
        <f>VLOOKUP(C10652,'lookup table'!$A$2:$B$19,2,FALSE)</f>
        <v>ignore</v>
      </c>
      <c r="E10652" t="str">
        <f t="shared" si="166"/>
        <v>S576_00|ignore</v>
      </c>
    </row>
    <row r="10653" spans="1:5" x14ac:dyDescent="0.2">
      <c r="A10653" t="s">
        <v>3094</v>
      </c>
      <c r="B10653" t="s">
        <v>3095</v>
      </c>
      <c r="C10653" t="s">
        <v>436</v>
      </c>
      <c r="D10653" t="str">
        <f>VLOOKUP(C10653,'lookup table'!$A$2:$B$19,2,FALSE)</f>
        <v>MAT</v>
      </c>
      <c r="E10653" t="str">
        <f t="shared" si="166"/>
        <v>S576_00|MAT</v>
      </c>
    </row>
    <row r="10654" spans="1:5" x14ac:dyDescent="0.2">
      <c r="A10654" t="s">
        <v>3096</v>
      </c>
      <c r="B10654" t="s">
        <v>3097</v>
      </c>
      <c r="C10654" t="s">
        <v>331</v>
      </c>
      <c r="D10654" t="str">
        <f>VLOOKUP(C10654,'lookup table'!$A$2:$B$19,2,FALSE)</f>
        <v>FS Item</v>
      </c>
      <c r="E10654" t="str">
        <f t="shared" si="166"/>
        <v>S577_00|FS Item</v>
      </c>
    </row>
    <row r="10655" spans="1:5" x14ac:dyDescent="0.2">
      <c r="A10655" t="s">
        <v>3096</v>
      </c>
      <c r="B10655" t="s">
        <v>3097</v>
      </c>
      <c r="C10655" t="s">
        <v>423</v>
      </c>
      <c r="D10655" t="str">
        <f>VLOOKUP(C10655,'lookup table'!$A$2:$B$19,2,FALSE)</f>
        <v>ignore</v>
      </c>
      <c r="E10655" t="str">
        <f t="shared" si="166"/>
        <v>S577_00|ignore</v>
      </c>
    </row>
    <row r="10656" spans="1:5" x14ac:dyDescent="0.2">
      <c r="A10656" t="s">
        <v>3096</v>
      </c>
      <c r="B10656" t="s">
        <v>3097</v>
      </c>
      <c r="C10656" t="s">
        <v>436</v>
      </c>
      <c r="D10656" t="str">
        <f>VLOOKUP(C10656,'lookup table'!$A$2:$B$19,2,FALSE)</f>
        <v>MAT</v>
      </c>
      <c r="E10656" t="str">
        <f t="shared" si="166"/>
        <v>S577_00|MAT</v>
      </c>
    </row>
    <row r="10657" spans="1:5" x14ac:dyDescent="0.2">
      <c r="A10657" t="s">
        <v>3098</v>
      </c>
      <c r="B10657" t="s">
        <v>3099</v>
      </c>
      <c r="C10657" t="s">
        <v>331</v>
      </c>
      <c r="D10657" t="str">
        <f>VLOOKUP(C10657,'lookup table'!$A$2:$B$19,2,FALSE)</f>
        <v>FS Item</v>
      </c>
      <c r="E10657" t="str">
        <f t="shared" si="166"/>
        <v>S583_00|FS Item</v>
      </c>
    </row>
    <row r="10658" spans="1:5" x14ac:dyDescent="0.2">
      <c r="A10658" t="s">
        <v>3098</v>
      </c>
      <c r="B10658" t="s">
        <v>3099</v>
      </c>
      <c r="C10658" t="s">
        <v>423</v>
      </c>
      <c r="D10658" t="str">
        <f>VLOOKUP(C10658,'lookup table'!$A$2:$B$19,2,FALSE)</f>
        <v>ignore</v>
      </c>
      <c r="E10658" t="str">
        <f t="shared" si="166"/>
        <v>S583_00|ignore</v>
      </c>
    </row>
    <row r="10659" spans="1:5" x14ac:dyDescent="0.2">
      <c r="A10659" t="s">
        <v>3100</v>
      </c>
      <c r="B10659" t="s">
        <v>3101</v>
      </c>
      <c r="C10659" t="s">
        <v>331</v>
      </c>
      <c r="D10659" t="str">
        <f>VLOOKUP(C10659,'lookup table'!$A$2:$B$19,2,FALSE)</f>
        <v>FS Item</v>
      </c>
      <c r="E10659" t="str">
        <f t="shared" si="166"/>
        <v>S633_00|FS Item</v>
      </c>
    </row>
    <row r="10660" spans="1:5" x14ac:dyDescent="0.2">
      <c r="A10660" t="s">
        <v>3100</v>
      </c>
      <c r="B10660" t="s">
        <v>3101</v>
      </c>
      <c r="C10660" t="s">
        <v>423</v>
      </c>
      <c r="D10660" t="str">
        <f>VLOOKUP(C10660,'lookup table'!$A$2:$B$19,2,FALSE)</f>
        <v>ignore</v>
      </c>
      <c r="E10660" t="str">
        <f t="shared" si="166"/>
        <v>S633_00|ignore</v>
      </c>
    </row>
    <row r="10661" spans="1:5" x14ac:dyDescent="0.2">
      <c r="A10661" t="s">
        <v>3102</v>
      </c>
      <c r="B10661" t="s">
        <v>3103</v>
      </c>
      <c r="C10661" t="s">
        <v>428</v>
      </c>
      <c r="D10661" t="str">
        <f>VLOOKUP(C10661,'lookup table'!$A$2:$B$19,2,FALSE)</f>
        <v>LoB</v>
      </c>
      <c r="E10661" t="str">
        <f t="shared" si="166"/>
        <v>S652_00|LoB</v>
      </c>
    </row>
    <row r="10662" spans="1:5" x14ac:dyDescent="0.2">
      <c r="A10662" t="s">
        <v>3104</v>
      </c>
      <c r="B10662" t="s">
        <v>3105</v>
      </c>
      <c r="C10662" t="s">
        <v>428</v>
      </c>
      <c r="D10662" t="str">
        <f>VLOOKUP(C10662,'lookup table'!$A$2:$B$19,2,FALSE)</f>
        <v>LoB</v>
      </c>
      <c r="E10662" t="str">
        <f t="shared" si="166"/>
        <v>S654_00|LoB</v>
      </c>
    </row>
    <row r="10663" spans="1:5" x14ac:dyDescent="0.2">
      <c r="A10663" t="s">
        <v>3106</v>
      </c>
      <c r="B10663" t="s">
        <v>3107</v>
      </c>
      <c r="C10663" t="s">
        <v>428</v>
      </c>
      <c r="D10663" t="str">
        <f>VLOOKUP(C10663,'lookup table'!$A$2:$B$19,2,FALSE)</f>
        <v>LoB</v>
      </c>
      <c r="E10663" t="str">
        <f t="shared" si="166"/>
        <v>S656_00|LoB</v>
      </c>
    </row>
    <row r="10664" spans="1:5" x14ac:dyDescent="0.2">
      <c r="A10664" t="s">
        <v>3108</v>
      </c>
      <c r="B10664" t="s">
        <v>3109</v>
      </c>
      <c r="C10664" t="s">
        <v>428</v>
      </c>
      <c r="D10664" t="str">
        <f>VLOOKUP(C10664,'lookup table'!$A$2:$B$19,2,FALSE)</f>
        <v>LoB</v>
      </c>
      <c r="E10664" t="str">
        <f t="shared" si="166"/>
        <v>S658_00|LoB</v>
      </c>
    </row>
    <row r="10665" spans="1:5" x14ac:dyDescent="0.2">
      <c r="A10665" t="s">
        <v>3110</v>
      </c>
      <c r="B10665" t="s">
        <v>3111</v>
      </c>
      <c r="C10665" t="s">
        <v>428</v>
      </c>
      <c r="D10665" t="str">
        <f>VLOOKUP(C10665,'lookup table'!$A$2:$B$19,2,FALSE)</f>
        <v>LoB</v>
      </c>
      <c r="E10665" t="str">
        <f t="shared" si="166"/>
        <v>S660_00|LoB</v>
      </c>
    </row>
    <row r="10666" spans="1:5" x14ac:dyDescent="0.2">
      <c r="A10666" t="s">
        <v>3112</v>
      </c>
      <c r="B10666" t="s">
        <v>3113</v>
      </c>
      <c r="C10666" t="s">
        <v>428</v>
      </c>
      <c r="D10666" t="str">
        <f>VLOOKUP(C10666,'lookup table'!$A$2:$B$19,2,FALSE)</f>
        <v>LoB</v>
      </c>
      <c r="E10666" t="str">
        <f t="shared" si="166"/>
        <v>S662_00|LoB</v>
      </c>
    </row>
    <row r="10667" spans="1:5" x14ac:dyDescent="0.2">
      <c r="A10667" t="s">
        <v>3114</v>
      </c>
      <c r="B10667" t="s">
        <v>3115</v>
      </c>
      <c r="C10667" t="s">
        <v>331</v>
      </c>
      <c r="D10667" t="str">
        <f>VLOOKUP(C10667,'lookup table'!$A$2:$B$19,2,FALSE)</f>
        <v>FS Item</v>
      </c>
      <c r="E10667" t="str">
        <f t="shared" si="166"/>
        <v>S708_00|FS Item</v>
      </c>
    </row>
    <row r="10668" spans="1:5" x14ac:dyDescent="0.2">
      <c r="A10668" t="s">
        <v>3114</v>
      </c>
      <c r="B10668" t="s">
        <v>3115</v>
      </c>
      <c r="C10668" t="s">
        <v>423</v>
      </c>
      <c r="D10668" t="str">
        <f>VLOOKUP(C10668,'lookup table'!$A$2:$B$19,2,FALSE)</f>
        <v>ignore</v>
      </c>
      <c r="E10668" t="str">
        <f t="shared" si="166"/>
        <v>S708_00|ignore</v>
      </c>
    </row>
    <row r="10669" spans="1:5" x14ac:dyDescent="0.2">
      <c r="A10669" t="s">
        <v>3116</v>
      </c>
      <c r="B10669" t="s">
        <v>3117</v>
      </c>
      <c r="C10669" t="s">
        <v>331</v>
      </c>
      <c r="D10669" t="str">
        <f>VLOOKUP(C10669,'lookup table'!$A$2:$B$19,2,FALSE)</f>
        <v>FS Item</v>
      </c>
      <c r="E10669" t="str">
        <f t="shared" si="166"/>
        <v>S709_00|FS Item</v>
      </c>
    </row>
    <row r="10670" spans="1:5" x14ac:dyDescent="0.2">
      <c r="A10670" t="s">
        <v>3116</v>
      </c>
      <c r="B10670" t="s">
        <v>3117</v>
      </c>
      <c r="C10670" t="s">
        <v>423</v>
      </c>
      <c r="D10670" t="str">
        <f>VLOOKUP(C10670,'lookup table'!$A$2:$B$19,2,FALSE)</f>
        <v>ignore</v>
      </c>
      <c r="E10670" t="str">
        <f t="shared" si="166"/>
        <v>S709_00|ignore</v>
      </c>
    </row>
    <row r="10671" spans="1:5" x14ac:dyDescent="0.2">
      <c r="A10671" t="s">
        <v>3118</v>
      </c>
      <c r="B10671" t="s">
        <v>3119</v>
      </c>
      <c r="C10671" t="s">
        <v>14</v>
      </c>
      <c r="D10671" t="str">
        <f>VLOOKUP(C10671,'lookup table'!$A$2:$B$19,2,FALSE)</f>
        <v>ALC</v>
      </c>
      <c r="E10671" t="str">
        <f t="shared" si="166"/>
        <v>S825_00|ALC</v>
      </c>
    </row>
    <row r="10672" spans="1:5" x14ac:dyDescent="0.2">
      <c r="A10672" t="s">
        <v>3118</v>
      </c>
      <c r="B10672" t="s">
        <v>3119</v>
      </c>
      <c r="C10672" t="s">
        <v>331</v>
      </c>
      <c r="D10672" t="str">
        <f>VLOOKUP(C10672,'lookup table'!$A$2:$B$19,2,FALSE)</f>
        <v>FS Item</v>
      </c>
      <c r="E10672" t="str">
        <f t="shared" si="166"/>
        <v>S825_00|FS Item</v>
      </c>
    </row>
    <row r="10673" spans="1:5" x14ac:dyDescent="0.2">
      <c r="A10673" t="s">
        <v>3118</v>
      </c>
      <c r="B10673" t="s">
        <v>3119</v>
      </c>
      <c r="C10673" t="s">
        <v>423</v>
      </c>
      <c r="D10673" t="str">
        <f>VLOOKUP(C10673,'lookup table'!$A$2:$B$19,2,FALSE)</f>
        <v>ignore</v>
      </c>
      <c r="E10673" t="str">
        <f t="shared" si="166"/>
        <v>S825_00|ignore</v>
      </c>
    </row>
    <row r="10674" spans="1:5" x14ac:dyDescent="0.2">
      <c r="A10674" t="s">
        <v>3120</v>
      </c>
      <c r="B10674" t="s">
        <v>3121</v>
      </c>
      <c r="C10674" t="s">
        <v>331</v>
      </c>
      <c r="D10674" t="str">
        <f>VLOOKUP(C10674,'lookup table'!$A$2:$B$19,2,FALSE)</f>
        <v>FS Item</v>
      </c>
      <c r="E10674" t="str">
        <f t="shared" si="166"/>
        <v>S827_00|FS Item</v>
      </c>
    </row>
    <row r="10675" spans="1:5" x14ac:dyDescent="0.2">
      <c r="A10675" t="s">
        <v>3120</v>
      </c>
      <c r="B10675" t="s">
        <v>3121</v>
      </c>
      <c r="C10675" t="s">
        <v>423</v>
      </c>
      <c r="D10675" t="str">
        <f>VLOOKUP(C10675,'lookup table'!$A$2:$B$19,2,FALSE)</f>
        <v>ignore</v>
      </c>
      <c r="E10675" t="str">
        <f t="shared" si="166"/>
        <v>S827_00|ignore</v>
      </c>
    </row>
    <row r="10676" spans="1:5" x14ac:dyDescent="0.2">
      <c r="A10676" t="s">
        <v>3122</v>
      </c>
      <c r="B10676" t="s">
        <v>408</v>
      </c>
      <c r="C10676" t="s">
        <v>331</v>
      </c>
      <c r="D10676" t="str">
        <f>VLOOKUP(C10676,'lookup table'!$A$2:$B$19,2,FALSE)</f>
        <v>FS Item</v>
      </c>
      <c r="E10676" t="str">
        <f t="shared" si="166"/>
        <v>S900_00|FS Item</v>
      </c>
    </row>
    <row r="10677" spans="1:5" x14ac:dyDescent="0.2">
      <c r="A10677" t="s">
        <v>3123</v>
      </c>
      <c r="B10677" t="s">
        <v>338</v>
      </c>
      <c r="C10677" t="s">
        <v>331</v>
      </c>
      <c r="D10677" t="str">
        <f>VLOOKUP(C10677,'lookup table'!$A$2:$B$19,2,FALSE)</f>
        <v>FS Item</v>
      </c>
      <c r="E10677" t="str">
        <f t="shared" si="166"/>
        <v>S901_00|FS Item</v>
      </c>
    </row>
    <row r="10678" spans="1:5" x14ac:dyDescent="0.2">
      <c r="A10678" t="s">
        <v>3124</v>
      </c>
      <c r="B10678" t="s">
        <v>3125</v>
      </c>
      <c r="C10678" t="s">
        <v>331</v>
      </c>
      <c r="D10678" t="str">
        <f>VLOOKUP(C10678,'lookup table'!$A$2:$B$19,2,FALSE)</f>
        <v>FS Item</v>
      </c>
      <c r="E10678" t="str">
        <f t="shared" si="166"/>
        <v>S914_00|FS Item</v>
      </c>
    </row>
    <row r="10679" spans="1:5" x14ac:dyDescent="0.2">
      <c r="A10679" t="s">
        <v>3126</v>
      </c>
      <c r="B10679" t="s">
        <v>3127</v>
      </c>
      <c r="C10679" t="s">
        <v>14</v>
      </c>
      <c r="D10679" t="str">
        <f>VLOOKUP(C10679,'lookup table'!$A$2:$B$19,2,FALSE)</f>
        <v>ALC</v>
      </c>
      <c r="E10679" t="str">
        <f t="shared" si="166"/>
        <v>S917_00|ALC</v>
      </c>
    </row>
    <row r="10680" spans="1:5" x14ac:dyDescent="0.2">
      <c r="A10680" t="s">
        <v>3128</v>
      </c>
      <c r="B10680" t="s">
        <v>3129</v>
      </c>
      <c r="C10680" t="s">
        <v>14</v>
      </c>
      <c r="D10680" t="str">
        <f>VLOOKUP(C10680,'lookup table'!$A$2:$B$19,2,FALSE)</f>
        <v>ALC</v>
      </c>
      <c r="E10680" t="str">
        <f t="shared" si="166"/>
        <v>S921_00|ALC</v>
      </c>
    </row>
    <row r="10681" spans="1:5" x14ac:dyDescent="0.2">
      <c r="A10681" t="s">
        <v>3128</v>
      </c>
      <c r="B10681" t="s">
        <v>3129</v>
      </c>
      <c r="C10681" t="s">
        <v>331</v>
      </c>
      <c r="D10681" t="str">
        <f>VLOOKUP(C10681,'lookup table'!$A$2:$B$19,2,FALSE)</f>
        <v>FS Item</v>
      </c>
      <c r="E10681" t="str">
        <f t="shared" si="166"/>
        <v>S921_00|FS Item</v>
      </c>
    </row>
    <row r="10682" spans="1:5" x14ac:dyDescent="0.2">
      <c r="A10682" t="s">
        <v>3128</v>
      </c>
      <c r="B10682" t="s">
        <v>3129</v>
      </c>
      <c r="C10682" t="s">
        <v>423</v>
      </c>
      <c r="D10682" t="str">
        <f>VLOOKUP(C10682,'lookup table'!$A$2:$B$19,2,FALSE)</f>
        <v>ignore</v>
      </c>
      <c r="E10682" t="str">
        <f t="shared" si="166"/>
        <v>S921_00|ignore</v>
      </c>
    </row>
    <row r="10683" spans="1:5" x14ac:dyDescent="0.2">
      <c r="A10683" t="s">
        <v>3130</v>
      </c>
      <c r="B10683" t="s">
        <v>3131</v>
      </c>
      <c r="C10683" t="s">
        <v>14</v>
      </c>
      <c r="D10683" t="str">
        <f>VLOOKUP(C10683,'lookup table'!$A$2:$B$19,2,FALSE)</f>
        <v>ALC</v>
      </c>
      <c r="E10683" t="str">
        <f t="shared" si="166"/>
        <v>S922_00|ALC</v>
      </c>
    </row>
    <row r="10684" spans="1:5" x14ac:dyDescent="0.2">
      <c r="A10684" t="s">
        <v>3130</v>
      </c>
      <c r="B10684" t="s">
        <v>3131</v>
      </c>
      <c r="C10684" t="s">
        <v>331</v>
      </c>
      <c r="D10684" t="str">
        <f>VLOOKUP(C10684,'lookup table'!$A$2:$B$19,2,FALSE)</f>
        <v>FS Item</v>
      </c>
      <c r="E10684" t="str">
        <f t="shared" si="166"/>
        <v>S922_00|FS Item</v>
      </c>
    </row>
    <row r="10685" spans="1:5" x14ac:dyDescent="0.2">
      <c r="A10685" t="s">
        <v>3130</v>
      </c>
      <c r="B10685" t="s">
        <v>3131</v>
      </c>
      <c r="C10685" t="s">
        <v>423</v>
      </c>
      <c r="D10685" t="str">
        <f>VLOOKUP(C10685,'lookup table'!$A$2:$B$19,2,FALSE)</f>
        <v>ignore</v>
      </c>
      <c r="E10685" t="str">
        <f t="shared" si="166"/>
        <v>S922_00|ignore</v>
      </c>
    </row>
    <row r="10686" spans="1:5" x14ac:dyDescent="0.2">
      <c r="A10686" t="s">
        <v>3132</v>
      </c>
      <c r="B10686" t="s">
        <v>3133</v>
      </c>
      <c r="C10686" t="s">
        <v>331</v>
      </c>
      <c r="D10686" t="str">
        <f>VLOOKUP(C10686,'lookup table'!$A$2:$B$19,2,FALSE)</f>
        <v>FS Item</v>
      </c>
      <c r="E10686" t="str">
        <f t="shared" si="166"/>
        <v>S924_00|FS Item</v>
      </c>
    </row>
    <row r="10687" spans="1:5" x14ac:dyDescent="0.2">
      <c r="A10687" t="s">
        <v>3134</v>
      </c>
      <c r="B10687" t="s">
        <v>3135</v>
      </c>
      <c r="C10687" t="s">
        <v>331</v>
      </c>
      <c r="D10687" t="str">
        <f>VLOOKUP(C10687,'lookup table'!$A$2:$B$19,2,FALSE)</f>
        <v>FS Item</v>
      </c>
      <c r="E10687" t="str">
        <f t="shared" si="166"/>
        <v>S925_00|FS Item</v>
      </c>
    </row>
    <row r="10688" spans="1:5" x14ac:dyDescent="0.2">
      <c r="A10688" t="s">
        <v>3136</v>
      </c>
      <c r="B10688" t="s">
        <v>3137</v>
      </c>
      <c r="C10688" t="s">
        <v>136</v>
      </c>
      <c r="D10688" t="str">
        <f>VLOOKUP(C10688,'lookup table'!$A$2:$B$19,2,FALSE)</f>
        <v>BBA Set</v>
      </c>
      <c r="E10688" t="str">
        <f t="shared" si="166"/>
        <v>S926_17|BBA Set</v>
      </c>
    </row>
    <row r="10689" spans="1:5" x14ac:dyDescent="0.2">
      <c r="A10689" t="s">
        <v>3138</v>
      </c>
      <c r="B10689" t="s">
        <v>3139</v>
      </c>
      <c r="C10689" t="s">
        <v>136</v>
      </c>
      <c r="D10689" t="str">
        <f>VLOOKUP(C10689,'lookup table'!$A$2:$B$19,2,FALSE)</f>
        <v>BBA Set</v>
      </c>
      <c r="E10689" t="str">
        <f t="shared" si="166"/>
        <v>S927_17|BBA Set</v>
      </c>
    </row>
    <row r="10690" spans="1:5" x14ac:dyDescent="0.2">
      <c r="A10690" t="s">
        <v>3140</v>
      </c>
      <c r="B10690" t="s">
        <v>3141</v>
      </c>
      <c r="C10690" t="s">
        <v>136</v>
      </c>
      <c r="D10690" t="str">
        <f>VLOOKUP(C10690,'lookup table'!$A$2:$B$19,2,FALSE)</f>
        <v>BBA Set</v>
      </c>
      <c r="E10690" t="str">
        <f t="shared" si="166"/>
        <v>S928_17|BBA Set</v>
      </c>
    </row>
    <row r="10691" spans="1:5" x14ac:dyDescent="0.2">
      <c r="A10691" t="s">
        <v>3142</v>
      </c>
      <c r="B10691" t="s">
        <v>3143</v>
      </c>
      <c r="C10691" t="s">
        <v>331</v>
      </c>
      <c r="D10691" t="str">
        <f>VLOOKUP(C10691,'lookup table'!$A$2:$B$19,2,FALSE)</f>
        <v>FS Item</v>
      </c>
      <c r="E10691" t="str">
        <f t="shared" ref="E10691:E10754" si="167">IF(ISNA(D10691),"",IF(A10691="","",A10691) &amp; "|" &amp; D10691)</f>
        <v>S929_17|FS Item</v>
      </c>
    </row>
    <row r="10692" spans="1:5" x14ac:dyDescent="0.2">
      <c r="A10692" t="s">
        <v>3142</v>
      </c>
      <c r="B10692" t="s">
        <v>3143</v>
      </c>
      <c r="C10692" t="s">
        <v>423</v>
      </c>
      <c r="D10692" t="str">
        <f>VLOOKUP(C10692,'lookup table'!$A$2:$B$19,2,FALSE)</f>
        <v>ignore</v>
      </c>
      <c r="E10692" t="str">
        <f t="shared" si="167"/>
        <v>S929_17|ignore</v>
      </c>
    </row>
    <row r="10693" spans="1:5" x14ac:dyDescent="0.2">
      <c r="A10693" t="s">
        <v>3144</v>
      </c>
      <c r="B10693" t="s">
        <v>3145</v>
      </c>
      <c r="C10693" t="s">
        <v>331</v>
      </c>
      <c r="D10693" t="str">
        <f>VLOOKUP(C10693,'lookup table'!$A$2:$B$19,2,FALSE)</f>
        <v>FS Item</v>
      </c>
      <c r="E10693" t="str">
        <f t="shared" si="167"/>
        <v>S933_00|FS Item</v>
      </c>
    </row>
    <row r="10694" spans="1:5" x14ac:dyDescent="0.2">
      <c r="A10694" t="s">
        <v>3144</v>
      </c>
      <c r="B10694" t="s">
        <v>3145</v>
      </c>
      <c r="C10694" t="s">
        <v>423</v>
      </c>
      <c r="D10694" t="str">
        <f>VLOOKUP(C10694,'lookup table'!$A$2:$B$19,2,FALSE)</f>
        <v>ignore</v>
      </c>
      <c r="E10694" t="str">
        <f t="shared" si="167"/>
        <v>S933_00|ignore</v>
      </c>
    </row>
    <row r="10695" spans="1:5" x14ac:dyDescent="0.2">
      <c r="A10695" t="s">
        <v>3146</v>
      </c>
      <c r="B10695" t="s">
        <v>3147</v>
      </c>
      <c r="C10695" t="s">
        <v>331</v>
      </c>
      <c r="D10695" t="str">
        <f>VLOOKUP(C10695,'lookup table'!$A$2:$B$19,2,FALSE)</f>
        <v>FS Item</v>
      </c>
      <c r="E10695" t="str">
        <f t="shared" si="167"/>
        <v>S934_00|FS Item</v>
      </c>
    </row>
    <row r="10696" spans="1:5" x14ac:dyDescent="0.2">
      <c r="A10696" t="s">
        <v>3146</v>
      </c>
      <c r="B10696" t="s">
        <v>3147</v>
      </c>
      <c r="C10696" t="s">
        <v>423</v>
      </c>
      <c r="D10696" t="str">
        <f>VLOOKUP(C10696,'lookup table'!$A$2:$B$19,2,FALSE)</f>
        <v>ignore</v>
      </c>
      <c r="E10696" t="str">
        <f t="shared" si="167"/>
        <v>S934_00|ignore</v>
      </c>
    </row>
    <row r="10697" spans="1:5" x14ac:dyDescent="0.2">
      <c r="A10697" t="s">
        <v>3148</v>
      </c>
      <c r="B10697" t="s">
        <v>3149</v>
      </c>
      <c r="C10697" t="s">
        <v>331</v>
      </c>
      <c r="D10697" t="str">
        <f>VLOOKUP(C10697,'lookup table'!$A$2:$B$19,2,FALSE)</f>
        <v>FS Item</v>
      </c>
      <c r="E10697" t="str">
        <f t="shared" si="167"/>
        <v>S935_00|FS Item</v>
      </c>
    </row>
    <row r="10698" spans="1:5" x14ac:dyDescent="0.2">
      <c r="A10698" t="s">
        <v>3148</v>
      </c>
      <c r="B10698" t="s">
        <v>3149</v>
      </c>
      <c r="C10698" t="s">
        <v>423</v>
      </c>
      <c r="D10698" t="str">
        <f>VLOOKUP(C10698,'lookup table'!$A$2:$B$19,2,FALSE)</f>
        <v>ignore</v>
      </c>
      <c r="E10698" t="str">
        <f t="shared" si="167"/>
        <v>S935_00|ignore</v>
      </c>
    </row>
    <row r="10699" spans="1:5" x14ac:dyDescent="0.2">
      <c r="A10699" t="s">
        <v>3150</v>
      </c>
      <c r="B10699" t="s">
        <v>3151</v>
      </c>
      <c r="C10699" t="s">
        <v>331</v>
      </c>
      <c r="D10699" t="str">
        <f>VLOOKUP(C10699,'lookup table'!$A$2:$B$19,2,FALSE)</f>
        <v>FS Item</v>
      </c>
      <c r="E10699" t="str">
        <f t="shared" si="167"/>
        <v>S936_00|FS Item</v>
      </c>
    </row>
    <row r="10700" spans="1:5" x14ac:dyDescent="0.2">
      <c r="A10700" t="s">
        <v>3150</v>
      </c>
      <c r="B10700" t="s">
        <v>3151</v>
      </c>
      <c r="C10700" t="s">
        <v>423</v>
      </c>
      <c r="D10700" t="str">
        <f>VLOOKUP(C10700,'lookup table'!$A$2:$B$19,2,FALSE)</f>
        <v>ignore</v>
      </c>
      <c r="E10700" t="str">
        <f t="shared" si="167"/>
        <v>S936_00|ignore</v>
      </c>
    </row>
    <row r="10701" spans="1:5" x14ac:dyDescent="0.2">
      <c r="A10701" t="s">
        <v>3152</v>
      </c>
      <c r="B10701" t="s">
        <v>3153</v>
      </c>
      <c r="C10701" t="s">
        <v>331</v>
      </c>
      <c r="D10701" t="str">
        <f>VLOOKUP(C10701,'lookup table'!$A$2:$B$19,2,FALSE)</f>
        <v>FS Item</v>
      </c>
      <c r="E10701" t="str">
        <f t="shared" si="167"/>
        <v>S937_00|FS Item</v>
      </c>
    </row>
    <row r="10702" spans="1:5" x14ac:dyDescent="0.2">
      <c r="A10702" t="s">
        <v>3152</v>
      </c>
      <c r="B10702" t="s">
        <v>3153</v>
      </c>
      <c r="C10702" t="s">
        <v>423</v>
      </c>
      <c r="D10702" t="str">
        <f>VLOOKUP(C10702,'lookup table'!$A$2:$B$19,2,FALSE)</f>
        <v>ignore</v>
      </c>
      <c r="E10702" t="str">
        <f t="shared" si="167"/>
        <v>S937_00|ignore</v>
      </c>
    </row>
    <row r="10703" spans="1:5" x14ac:dyDescent="0.2">
      <c r="A10703" t="s">
        <v>3154</v>
      </c>
      <c r="B10703" t="s">
        <v>3155</v>
      </c>
      <c r="C10703" t="s">
        <v>331</v>
      </c>
      <c r="D10703" t="str">
        <f>VLOOKUP(C10703,'lookup table'!$A$2:$B$19,2,FALSE)</f>
        <v>FS Item</v>
      </c>
      <c r="E10703" t="str">
        <f t="shared" si="167"/>
        <v>S938_00|FS Item</v>
      </c>
    </row>
    <row r="10704" spans="1:5" x14ac:dyDescent="0.2">
      <c r="A10704" t="s">
        <v>3154</v>
      </c>
      <c r="B10704" t="s">
        <v>3155</v>
      </c>
      <c r="C10704" t="s">
        <v>423</v>
      </c>
      <c r="D10704" t="str">
        <f>VLOOKUP(C10704,'lookup table'!$A$2:$B$19,2,FALSE)</f>
        <v>ignore</v>
      </c>
      <c r="E10704" t="str">
        <f t="shared" si="167"/>
        <v>S938_00|ignore</v>
      </c>
    </row>
    <row r="10705" spans="1:5" x14ac:dyDescent="0.2">
      <c r="A10705" t="s">
        <v>3156</v>
      </c>
      <c r="B10705" t="s">
        <v>3157</v>
      </c>
      <c r="C10705" t="s">
        <v>331</v>
      </c>
      <c r="D10705" t="str">
        <f>VLOOKUP(C10705,'lookup table'!$A$2:$B$19,2,FALSE)</f>
        <v>FS Item</v>
      </c>
      <c r="E10705" t="str">
        <f t="shared" si="167"/>
        <v>S939_00|FS Item</v>
      </c>
    </row>
    <row r="10706" spans="1:5" x14ac:dyDescent="0.2">
      <c r="A10706" t="s">
        <v>3156</v>
      </c>
      <c r="B10706" t="s">
        <v>3157</v>
      </c>
      <c r="C10706" t="s">
        <v>423</v>
      </c>
      <c r="D10706" t="str">
        <f>VLOOKUP(C10706,'lookup table'!$A$2:$B$19,2,FALSE)</f>
        <v>ignore</v>
      </c>
      <c r="E10706" t="str">
        <f t="shared" si="167"/>
        <v>S939_00|ignore</v>
      </c>
    </row>
    <row r="10707" spans="1:5" x14ac:dyDescent="0.2">
      <c r="A10707" t="s">
        <v>3158</v>
      </c>
      <c r="B10707" t="s">
        <v>3159</v>
      </c>
      <c r="C10707" t="s">
        <v>331</v>
      </c>
      <c r="D10707" t="str">
        <f>VLOOKUP(C10707,'lookup table'!$A$2:$B$19,2,FALSE)</f>
        <v>FS Item</v>
      </c>
      <c r="E10707" t="str">
        <f t="shared" si="167"/>
        <v>S940_00|FS Item</v>
      </c>
    </row>
    <row r="10708" spans="1:5" x14ac:dyDescent="0.2">
      <c r="A10708" t="s">
        <v>3158</v>
      </c>
      <c r="B10708" t="s">
        <v>3159</v>
      </c>
      <c r="C10708" t="s">
        <v>423</v>
      </c>
      <c r="D10708" t="str">
        <f>VLOOKUP(C10708,'lookup table'!$A$2:$B$19,2,FALSE)</f>
        <v>ignore</v>
      </c>
      <c r="E10708" t="str">
        <f t="shared" si="167"/>
        <v>S940_00|ignore</v>
      </c>
    </row>
    <row r="10709" spans="1:5" x14ac:dyDescent="0.2">
      <c r="A10709" t="s">
        <v>3160</v>
      </c>
      <c r="B10709" t="s">
        <v>3161</v>
      </c>
      <c r="C10709" t="s">
        <v>331</v>
      </c>
      <c r="D10709" t="str">
        <f>VLOOKUP(C10709,'lookup table'!$A$2:$B$19,2,FALSE)</f>
        <v>FS Item</v>
      </c>
      <c r="E10709" t="str">
        <f t="shared" si="167"/>
        <v>S941_00|FS Item</v>
      </c>
    </row>
    <row r="10710" spans="1:5" x14ac:dyDescent="0.2">
      <c r="A10710" t="s">
        <v>3160</v>
      </c>
      <c r="B10710" t="s">
        <v>3161</v>
      </c>
      <c r="C10710" t="s">
        <v>423</v>
      </c>
      <c r="D10710" t="str">
        <f>VLOOKUP(C10710,'lookup table'!$A$2:$B$19,2,FALSE)</f>
        <v>ignore</v>
      </c>
      <c r="E10710" t="str">
        <f t="shared" si="167"/>
        <v>S941_00|ignore</v>
      </c>
    </row>
    <row r="10711" spans="1:5" x14ac:dyDescent="0.2">
      <c r="A10711" t="s">
        <v>3162</v>
      </c>
      <c r="B10711" t="s">
        <v>3163</v>
      </c>
      <c r="C10711" t="s">
        <v>331</v>
      </c>
      <c r="D10711" t="str">
        <f>VLOOKUP(C10711,'lookup table'!$A$2:$B$19,2,FALSE)</f>
        <v>FS Item</v>
      </c>
      <c r="E10711" t="str">
        <f t="shared" si="167"/>
        <v>S942_00|FS Item</v>
      </c>
    </row>
    <row r="10712" spans="1:5" x14ac:dyDescent="0.2">
      <c r="A10712" t="s">
        <v>3162</v>
      </c>
      <c r="B10712" t="s">
        <v>3163</v>
      </c>
      <c r="C10712" t="s">
        <v>423</v>
      </c>
      <c r="D10712" t="str">
        <f>VLOOKUP(C10712,'lookup table'!$A$2:$B$19,2,FALSE)</f>
        <v>ignore</v>
      </c>
      <c r="E10712" t="str">
        <f t="shared" si="167"/>
        <v>S942_00|ignore</v>
      </c>
    </row>
    <row r="10713" spans="1:5" x14ac:dyDescent="0.2">
      <c r="A10713" t="s">
        <v>3164</v>
      </c>
      <c r="B10713" t="s">
        <v>3165</v>
      </c>
      <c r="C10713" t="s">
        <v>331</v>
      </c>
      <c r="D10713" t="str">
        <f>VLOOKUP(C10713,'lookup table'!$A$2:$B$19,2,FALSE)</f>
        <v>FS Item</v>
      </c>
      <c r="E10713" t="str">
        <f t="shared" si="167"/>
        <v>S943_00|FS Item</v>
      </c>
    </row>
    <row r="10714" spans="1:5" x14ac:dyDescent="0.2">
      <c r="A10714" t="s">
        <v>3164</v>
      </c>
      <c r="B10714" t="s">
        <v>3165</v>
      </c>
      <c r="C10714" t="s">
        <v>423</v>
      </c>
      <c r="D10714" t="str">
        <f>VLOOKUP(C10714,'lookup table'!$A$2:$B$19,2,FALSE)</f>
        <v>ignore</v>
      </c>
      <c r="E10714" t="str">
        <f t="shared" si="167"/>
        <v>S943_00|ignore</v>
      </c>
    </row>
    <row r="10715" spans="1:5" x14ac:dyDescent="0.2">
      <c r="A10715" t="s">
        <v>3166</v>
      </c>
      <c r="B10715" t="s">
        <v>3167</v>
      </c>
      <c r="C10715" t="s">
        <v>331</v>
      </c>
      <c r="D10715" t="str">
        <f>VLOOKUP(C10715,'lookup table'!$A$2:$B$19,2,FALSE)</f>
        <v>FS Item</v>
      </c>
      <c r="E10715" t="str">
        <f t="shared" si="167"/>
        <v>S944_00|FS Item</v>
      </c>
    </row>
    <row r="10716" spans="1:5" x14ac:dyDescent="0.2">
      <c r="A10716" t="s">
        <v>3166</v>
      </c>
      <c r="B10716" t="s">
        <v>3167</v>
      </c>
      <c r="C10716" t="s">
        <v>423</v>
      </c>
      <c r="D10716" t="str">
        <f>VLOOKUP(C10716,'lookup table'!$A$2:$B$19,2,FALSE)</f>
        <v>ignore</v>
      </c>
      <c r="E10716" t="str">
        <f t="shared" si="167"/>
        <v>S944_00|ignore</v>
      </c>
    </row>
    <row r="10717" spans="1:5" x14ac:dyDescent="0.2">
      <c r="A10717" t="s">
        <v>3168</v>
      </c>
      <c r="B10717" t="s">
        <v>3169</v>
      </c>
      <c r="C10717" t="s">
        <v>442</v>
      </c>
      <c r="D10717" t="str">
        <f>VLOOKUP(C10717,'lookup table'!$A$2:$B$19,2,FALSE)</f>
        <v>Partner Unit</v>
      </c>
      <c r="E10717" t="str">
        <f t="shared" si="167"/>
        <v>SR001_00|Partner Unit</v>
      </c>
    </row>
    <row r="10718" spans="1:5" x14ac:dyDescent="0.2">
      <c r="A10718" t="s">
        <v>3170</v>
      </c>
      <c r="B10718" t="s">
        <v>3171</v>
      </c>
      <c r="C10718" t="s">
        <v>442</v>
      </c>
      <c r="D10718" t="str">
        <f>VLOOKUP(C10718,'lookup table'!$A$2:$B$19,2,FALSE)</f>
        <v>Partner Unit</v>
      </c>
      <c r="E10718" t="str">
        <f t="shared" si="167"/>
        <v>SR002_00|Partner Unit</v>
      </c>
    </row>
    <row r="10719" spans="1:5" x14ac:dyDescent="0.2">
      <c r="A10719" t="s">
        <v>3172</v>
      </c>
      <c r="B10719" t="s">
        <v>3173</v>
      </c>
      <c r="C10719" t="s">
        <v>442</v>
      </c>
      <c r="D10719" t="str">
        <f>VLOOKUP(C10719,'lookup table'!$A$2:$B$19,2,FALSE)</f>
        <v>Partner Unit</v>
      </c>
      <c r="E10719" t="str">
        <f t="shared" si="167"/>
        <v>SR003_00|Partner Unit</v>
      </c>
    </row>
    <row r="10720" spans="1:5" x14ac:dyDescent="0.2">
      <c r="A10720" t="s">
        <v>3174</v>
      </c>
      <c r="B10720" t="s">
        <v>3175</v>
      </c>
      <c r="C10720" t="s">
        <v>442</v>
      </c>
      <c r="D10720" t="str">
        <f>VLOOKUP(C10720,'lookup table'!$A$2:$B$19,2,FALSE)</f>
        <v>Partner Unit</v>
      </c>
      <c r="E10720" t="str">
        <f t="shared" si="167"/>
        <v>SR004_00|Partner Unit</v>
      </c>
    </row>
    <row r="10721" spans="1:5" x14ac:dyDescent="0.2">
      <c r="A10721" t="s">
        <v>3176</v>
      </c>
      <c r="B10721" t="s">
        <v>3177</v>
      </c>
      <c r="C10721" t="s">
        <v>442</v>
      </c>
      <c r="D10721" t="str">
        <f>VLOOKUP(C10721,'lookup table'!$A$2:$B$19,2,FALSE)</f>
        <v>Partner Unit</v>
      </c>
      <c r="E10721" t="str">
        <f t="shared" si="167"/>
        <v>SR005_00|Partner Unit</v>
      </c>
    </row>
    <row r="10722" spans="1:5" x14ac:dyDescent="0.2">
      <c r="A10722" t="s">
        <v>3178</v>
      </c>
      <c r="B10722" t="s">
        <v>3179</v>
      </c>
      <c r="C10722" t="s">
        <v>442</v>
      </c>
      <c r="D10722" t="str">
        <f>VLOOKUP(C10722,'lookup table'!$A$2:$B$19,2,FALSE)</f>
        <v>Partner Unit</v>
      </c>
      <c r="E10722" t="str">
        <f t="shared" si="167"/>
        <v>SR006_00|Partner Unit</v>
      </c>
    </row>
    <row r="10723" spans="1:5" x14ac:dyDescent="0.2">
      <c r="A10723" t="s">
        <v>3180</v>
      </c>
      <c r="B10723" t="s">
        <v>3181</v>
      </c>
      <c r="C10723" t="s">
        <v>442</v>
      </c>
      <c r="D10723" t="str">
        <f>VLOOKUP(C10723,'lookup table'!$A$2:$B$19,2,FALSE)</f>
        <v>Partner Unit</v>
      </c>
      <c r="E10723" t="str">
        <f t="shared" si="167"/>
        <v>SR007_00|Partner Unit</v>
      </c>
    </row>
    <row r="10724" spans="1:5" x14ac:dyDescent="0.2">
      <c r="A10724" t="s">
        <v>3182</v>
      </c>
      <c r="B10724" t="s">
        <v>3183</v>
      </c>
      <c r="C10724" t="s">
        <v>442</v>
      </c>
      <c r="D10724" t="str">
        <f>VLOOKUP(C10724,'lookup table'!$A$2:$B$19,2,FALSE)</f>
        <v>Partner Unit</v>
      </c>
      <c r="E10724" t="str">
        <f t="shared" si="167"/>
        <v>SR008_00|Partner Unit</v>
      </c>
    </row>
    <row r="10725" spans="1:5" x14ac:dyDescent="0.2">
      <c r="A10725" t="s">
        <v>3184</v>
      </c>
      <c r="B10725" t="s">
        <v>3185</v>
      </c>
      <c r="C10725" t="s">
        <v>442</v>
      </c>
      <c r="D10725" t="str">
        <f>VLOOKUP(C10725,'lookup table'!$A$2:$B$19,2,FALSE)</f>
        <v>Partner Unit</v>
      </c>
      <c r="E10725" t="str">
        <f t="shared" si="167"/>
        <v>SR009_00|Partner Unit</v>
      </c>
    </row>
    <row r="10726" spans="1:5" x14ac:dyDescent="0.2">
      <c r="A10726" t="s">
        <v>3186</v>
      </c>
      <c r="B10726" t="s">
        <v>3187</v>
      </c>
      <c r="C10726" t="s">
        <v>442</v>
      </c>
      <c r="D10726" t="str">
        <f>VLOOKUP(C10726,'lookup table'!$A$2:$B$19,2,FALSE)</f>
        <v>Partner Unit</v>
      </c>
      <c r="E10726" t="str">
        <f t="shared" si="167"/>
        <v>SR010_00|Partner Unit</v>
      </c>
    </row>
    <row r="10727" spans="1:5" x14ac:dyDescent="0.2">
      <c r="A10727" t="s">
        <v>3188</v>
      </c>
      <c r="B10727" t="s">
        <v>3189</v>
      </c>
      <c r="C10727" t="s">
        <v>14</v>
      </c>
      <c r="D10727" t="str">
        <f>VLOOKUP(C10727,'lookup table'!$A$2:$B$19,2,FALSE)</f>
        <v>ALC</v>
      </c>
      <c r="E10727" t="str">
        <f t="shared" si="167"/>
        <v>SR107_00|ALC</v>
      </c>
    </row>
    <row r="10728" spans="1:5" x14ac:dyDescent="0.2">
      <c r="A10728" t="s">
        <v>3188</v>
      </c>
      <c r="B10728" t="s">
        <v>3189</v>
      </c>
      <c r="C10728" t="s">
        <v>331</v>
      </c>
      <c r="D10728" t="str">
        <f>VLOOKUP(C10728,'lookup table'!$A$2:$B$19,2,FALSE)</f>
        <v>FS Item</v>
      </c>
      <c r="E10728" t="str">
        <f t="shared" si="167"/>
        <v>SR107_00|FS Item</v>
      </c>
    </row>
    <row r="10729" spans="1:5" x14ac:dyDescent="0.2">
      <c r="A10729" t="s">
        <v>3188</v>
      </c>
      <c r="B10729" t="s">
        <v>3189</v>
      </c>
      <c r="C10729" t="s">
        <v>423</v>
      </c>
      <c r="D10729" t="str">
        <f>VLOOKUP(C10729,'lookup table'!$A$2:$B$19,2,FALSE)</f>
        <v>ignore</v>
      </c>
      <c r="E10729" t="str">
        <f t="shared" si="167"/>
        <v>SR107_00|ignore</v>
      </c>
    </row>
    <row r="10730" spans="1:5" x14ac:dyDescent="0.2">
      <c r="A10730" t="s">
        <v>3190</v>
      </c>
      <c r="B10730" t="s">
        <v>3191</v>
      </c>
      <c r="C10730" t="s">
        <v>14</v>
      </c>
      <c r="D10730" t="str">
        <f>VLOOKUP(C10730,'lookup table'!$A$2:$B$19,2,FALSE)</f>
        <v>ALC</v>
      </c>
      <c r="E10730" t="str">
        <f t="shared" si="167"/>
        <v>SR108_00|ALC</v>
      </c>
    </row>
    <row r="10731" spans="1:5" x14ac:dyDescent="0.2">
      <c r="A10731" t="s">
        <v>3190</v>
      </c>
      <c r="B10731" t="s">
        <v>3191</v>
      </c>
      <c r="C10731" t="s">
        <v>331</v>
      </c>
      <c r="D10731" t="str">
        <f>VLOOKUP(C10731,'lookup table'!$A$2:$B$19,2,FALSE)</f>
        <v>FS Item</v>
      </c>
      <c r="E10731" t="str">
        <f t="shared" si="167"/>
        <v>SR108_00|FS Item</v>
      </c>
    </row>
    <row r="10732" spans="1:5" x14ac:dyDescent="0.2">
      <c r="A10732" t="s">
        <v>3190</v>
      </c>
      <c r="B10732" t="s">
        <v>3191</v>
      </c>
      <c r="C10732" t="s">
        <v>423</v>
      </c>
      <c r="D10732" t="str">
        <f>VLOOKUP(C10732,'lookup table'!$A$2:$B$19,2,FALSE)</f>
        <v>ignore</v>
      </c>
      <c r="E10732" t="str">
        <f t="shared" si="167"/>
        <v>SR108_00|ignore</v>
      </c>
    </row>
    <row r="10733" spans="1:5" x14ac:dyDescent="0.2">
      <c r="A10733" t="s">
        <v>3192</v>
      </c>
      <c r="B10733" t="s">
        <v>3193</v>
      </c>
      <c r="C10733" t="s">
        <v>14</v>
      </c>
      <c r="D10733" t="str">
        <f>VLOOKUP(C10733,'lookup table'!$A$2:$B$19,2,FALSE)</f>
        <v>ALC</v>
      </c>
      <c r="E10733" t="str">
        <f t="shared" si="167"/>
        <v>SROE001_00|ALC</v>
      </c>
    </row>
    <row r="10734" spans="1:5" x14ac:dyDescent="0.2">
      <c r="A10734" t="s">
        <v>3192</v>
      </c>
      <c r="B10734" t="s">
        <v>3193</v>
      </c>
      <c r="C10734" t="s">
        <v>20</v>
      </c>
      <c r="D10734" t="str">
        <f>VLOOKUP(C10734,'lookup table'!$A$2:$B$19,2,FALSE)</f>
        <v>AY</v>
      </c>
      <c r="E10734" t="str">
        <f t="shared" si="167"/>
        <v>SROE001_00|AY</v>
      </c>
    </row>
    <row r="10735" spans="1:5" x14ac:dyDescent="0.2">
      <c r="A10735" t="s">
        <v>3192</v>
      </c>
      <c r="B10735" t="s">
        <v>3193</v>
      </c>
      <c r="C10735" t="s">
        <v>331</v>
      </c>
      <c r="D10735" t="str">
        <f>VLOOKUP(C10735,'lookup table'!$A$2:$B$19,2,FALSE)</f>
        <v>FS Item</v>
      </c>
      <c r="E10735" t="str">
        <f t="shared" si="167"/>
        <v>SROE001_00|FS Item</v>
      </c>
    </row>
    <row r="10736" spans="1:5" x14ac:dyDescent="0.2">
      <c r="A10736" t="s">
        <v>3192</v>
      </c>
      <c r="B10736" t="s">
        <v>3193</v>
      </c>
      <c r="C10736" t="s">
        <v>423</v>
      </c>
      <c r="D10736" t="str">
        <f>VLOOKUP(C10736,'lookup table'!$A$2:$B$19,2,FALSE)</f>
        <v>ignore</v>
      </c>
      <c r="E10736" t="str">
        <f t="shared" si="167"/>
        <v>SROE001_00|ignore</v>
      </c>
    </row>
    <row r="10737" spans="1:5" x14ac:dyDescent="0.2">
      <c r="A10737" t="s">
        <v>3192</v>
      </c>
      <c r="B10737" t="s">
        <v>3193</v>
      </c>
      <c r="C10737" t="s">
        <v>424</v>
      </c>
      <c r="D10737" t="str">
        <f>VLOOKUP(C10737,'lookup table'!$A$2:$B$19,2,FALSE)</f>
        <v>GRC</v>
      </c>
      <c r="E10737" t="str">
        <f t="shared" si="167"/>
        <v>SROE001_00|GRC</v>
      </c>
    </row>
    <row r="10738" spans="1:5" x14ac:dyDescent="0.2">
      <c r="A10738" t="s">
        <v>3192</v>
      </c>
      <c r="B10738" t="s">
        <v>3193</v>
      </c>
      <c r="C10738" t="s">
        <v>425</v>
      </c>
      <c r="D10738" t="str">
        <f>VLOOKUP(C10738,'lookup table'!$A$2:$B$19,2,FALSE)</f>
        <v>Investee Segment</v>
      </c>
      <c r="E10738" t="str">
        <f t="shared" si="167"/>
        <v>SROE001_00|Investee Segment</v>
      </c>
    </row>
    <row r="10739" spans="1:5" x14ac:dyDescent="0.2">
      <c r="A10739" t="s">
        <v>3192</v>
      </c>
      <c r="B10739" t="s">
        <v>3193</v>
      </c>
      <c r="C10739" t="s">
        <v>426</v>
      </c>
      <c r="D10739" t="str">
        <f>VLOOKUP(C10739,'lookup table'!$A$2:$B$19,2,FALSE)</f>
        <v>Investee Unit</v>
      </c>
      <c r="E10739" t="str">
        <f t="shared" si="167"/>
        <v>SROE001_00|Investee Unit</v>
      </c>
    </row>
    <row r="10740" spans="1:5" x14ac:dyDescent="0.2">
      <c r="A10740" t="s">
        <v>3192</v>
      </c>
      <c r="B10740" t="s">
        <v>3193</v>
      </c>
      <c r="C10740" t="s">
        <v>428</v>
      </c>
      <c r="D10740" t="str">
        <f>VLOOKUP(C10740,'lookup table'!$A$2:$B$19,2,FALSE)</f>
        <v>LoB</v>
      </c>
      <c r="E10740" t="str">
        <f t="shared" si="167"/>
        <v>SROE001_00|LoB</v>
      </c>
    </row>
    <row r="10741" spans="1:5" x14ac:dyDescent="0.2">
      <c r="A10741" t="s">
        <v>3192</v>
      </c>
      <c r="B10741" t="s">
        <v>3193</v>
      </c>
      <c r="C10741" t="s">
        <v>436</v>
      </c>
      <c r="D10741" t="str">
        <f>VLOOKUP(C10741,'lookup table'!$A$2:$B$19,2,FALSE)</f>
        <v>MAT</v>
      </c>
      <c r="E10741" t="str">
        <f t="shared" si="167"/>
        <v>SROE001_00|MAT</v>
      </c>
    </row>
    <row r="10742" spans="1:5" x14ac:dyDescent="0.2">
      <c r="A10742" t="s">
        <v>3192</v>
      </c>
      <c r="B10742" t="s">
        <v>3193</v>
      </c>
      <c r="C10742" t="s">
        <v>438</v>
      </c>
      <c r="D10742" t="str">
        <f>VLOOKUP(C10742,'lookup table'!$A$2:$B$19,2,FALSE)</f>
        <v>ToM</v>
      </c>
      <c r="E10742" t="str">
        <f t="shared" si="167"/>
        <v>SROE001_00|ToM</v>
      </c>
    </row>
    <row r="10743" spans="1:5" x14ac:dyDescent="0.2">
      <c r="A10743" t="s">
        <v>3192</v>
      </c>
      <c r="B10743" t="s">
        <v>3193</v>
      </c>
      <c r="C10743" t="s">
        <v>447</v>
      </c>
      <c r="D10743" t="str">
        <f>VLOOKUP(C10743,'lookup table'!$A$2:$B$19,2,FALSE)</f>
        <v>REX</v>
      </c>
      <c r="E10743" t="str">
        <f t="shared" si="167"/>
        <v>SROE001_00|REX</v>
      </c>
    </row>
    <row r="10744" spans="1:5" x14ac:dyDescent="0.2">
      <c r="A10744" t="s">
        <v>3192</v>
      </c>
      <c r="B10744" t="s">
        <v>3193</v>
      </c>
      <c r="C10744" t="s">
        <v>451</v>
      </c>
      <c r="D10744" t="str">
        <f>VLOOKUP(C10744,'lookup table'!$A$2:$B$19,2,FALSE)</f>
        <v>Segment</v>
      </c>
      <c r="E10744" t="str">
        <f t="shared" si="167"/>
        <v>SROE001_00|Segment</v>
      </c>
    </row>
    <row r="10745" spans="1:5" x14ac:dyDescent="0.2">
      <c r="A10745" t="s">
        <v>3192</v>
      </c>
      <c r="B10745" t="s">
        <v>3193</v>
      </c>
      <c r="C10745" t="s">
        <v>457</v>
      </c>
      <c r="D10745" t="str">
        <f>VLOOKUP(C10745,'lookup table'!$A$2:$B$19,2,FALSE)</f>
        <v>VLT</v>
      </c>
      <c r="E10745" t="str">
        <f t="shared" si="167"/>
        <v>SROE001_00|VLT</v>
      </c>
    </row>
    <row r="10746" spans="1:5" x14ac:dyDescent="0.2">
      <c r="A10746" t="s">
        <v>3192</v>
      </c>
      <c r="B10746" t="s">
        <v>3193</v>
      </c>
      <c r="C10746" t="s">
        <v>458</v>
      </c>
      <c r="D10746" t="str">
        <f>VLOOKUP(C10746,'lookup table'!$A$2:$B$19,2,FALSE)</f>
        <v>VAR</v>
      </c>
      <c r="E10746" t="str">
        <f t="shared" si="167"/>
        <v>SROE001_00|VAR</v>
      </c>
    </row>
    <row r="10747" spans="1:5" x14ac:dyDescent="0.2">
      <c r="A10747" t="s">
        <v>3194</v>
      </c>
      <c r="B10747" t="s">
        <v>3195</v>
      </c>
      <c r="C10747" t="s">
        <v>14</v>
      </c>
      <c r="D10747" t="str">
        <f>VLOOKUP(C10747,'lookup table'!$A$2:$B$19,2,FALSE)</f>
        <v>ALC</v>
      </c>
      <c r="E10747" t="str">
        <f t="shared" si="167"/>
        <v>SROE002_00|ALC</v>
      </c>
    </row>
    <row r="10748" spans="1:5" x14ac:dyDescent="0.2">
      <c r="A10748" t="s">
        <v>3194</v>
      </c>
      <c r="B10748" t="s">
        <v>3195</v>
      </c>
      <c r="C10748" t="s">
        <v>20</v>
      </c>
      <c r="D10748" t="str">
        <f>VLOOKUP(C10748,'lookup table'!$A$2:$B$19,2,FALSE)</f>
        <v>AY</v>
      </c>
      <c r="E10748" t="str">
        <f t="shared" si="167"/>
        <v>SROE002_00|AY</v>
      </c>
    </row>
    <row r="10749" spans="1:5" x14ac:dyDescent="0.2">
      <c r="A10749" t="s">
        <v>3194</v>
      </c>
      <c r="B10749" t="s">
        <v>3195</v>
      </c>
      <c r="C10749" t="s">
        <v>331</v>
      </c>
      <c r="D10749" t="str">
        <f>VLOOKUP(C10749,'lookup table'!$A$2:$B$19,2,FALSE)</f>
        <v>FS Item</v>
      </c>
      <c r="E10749" t="str">
        <f t="shared" si="167"/>
        <v>SROE002_00|FS Item</v>
      </c>
    </row>
    <row r="10750" spans="1:5" x14ac:dyDescent="0.2">
      <c r="A10750" t="s">
        <v>3194</v>
      </c>
      <c r="B10750" t="s">
        <v>3195</v>
      </c>
      <c r="C10750" t="s">
        <v>423</v>
      </c>
      <c r="D10750" t="str">
        <f>VLOOKUP(C10750,'lookup table'!$A$2:$B$19,2,FALSE)</f>
        <v>ignore</v>
      </c>
      <c r="E10750" t="str">
        <f t="shared" si="167"/>
        <v>SROE002_00|ignore</v>
      </c>
    </row>
    <row r="10751" spans="1:5" x14ac:dyDescent="0.2">
      <c r="A10751" t="s">
        <v>3194</v>
      </c>
      <c r="B10751" t="s">
        <v>3195</v>
      </c>
      <c r="C10751" t="s">
        <v>424</v>
      </c>
      <c r="D10751" t="str">
        <f>VLOOKUP(C10751,'lookup table'!$A$2:$B$19,2,FALSE)</f>
        <v>GRC</v>
      </c>
      <c r="E10751" t="str">
        <f t="shared" si="167"/>
        <v>SROE002_00|GRC</v>
      </c>
    </row>
    <row r="10752" spans="1:5" x14ac:dyDescent="0.2">
      <c r="A10752" t="s">
        <v>3194</v>
      </c>
      <c r="B10752" t="s">
        <v>3195</v>
      </c>
      <c r="C10752" t="s">
        <v>425</v>
      </c>
      <c r="D10752" t="str">
        <f>VLOOKUP(C10752,'lookup table'!$A$2:$B$19,2,FALSE)</f>
        <v>Investee Segment</v>
      </c>
      <c r="E10752" t="str">
        <f t="shared" si="167"/>
        <v>SROE002_00|Investee Segment</v>
      </c>
    </row>
    <row r="10753" spans="1:5" x14ac:dyDescent="0.2">
      <c r="A10753" t="s">
        <v>3194</v>
      </c>
      <c r="B10753" t="s">
        <v>3195</v>
      </c>
      <c r="C10753" t="s">
        <v>426</v>
      </c>
      <c r="D10753" t="str">
        <f>VLOOKUP(C10753,'lookup table'!$A$2:$B$19,2,FALSE)</f>
        <v>Investee Unit</v>
      </c>
      <c r="E10753" t="str">
        <f t="shared" si="167"/>
        <v>SROE002_00|Investee Unit</v>
      </c>
    </row>
    <row r="10754" spans="1:5" x14ac:dyDescent="0.2">
      <c r="A10754" t="s">
        <v>3194</v>
      </c>
      <c r="B10754" t="s">
        <v>3195</v>
      </c>
      <c r="C10754" t="s">
        <v>428</v>
      </c>
      <c r="D10754" t="str">
        <f>VLOOKUP(C10754,'lookup table'!$A$2:$B$19,2,FALSE)</f>
        <v>LoB</v>
      </c>
      <c r="E10754" t="str">
        <f t="shared" si="167"/>
        <v>SROE002_00|LoB</v>
      </c>
    </row>
    <row r="10755" spans="1:5" x14ac:dyDescent="0.2">
      <c r="A10755" t="s">
        <v>3194</v>
      </c>
      <c r="B10755" t="s">
        <v>3195</v>
      </c>
      <c r="C10755" t="s">
        <v>436</v>
      </c>
      <c r="D10755" t="str">
        <f>VLOOKUP(C10755,'lookup table'!$A$2:$B$19,2,FALSE)</f>
        <v>MAT</v>
      </c>
      <c r="E10755" t="str">
        <f t="shared" ref="E10755:E10818" si="168">IF(ISNA(D10755),"",IF(A10755="","",A10755) &amp; "|" &amp; D10755)</f>
        <v>SROE002_00|MAT</v>
      </c>
    </row>
    <row r="10756" spans="1:5" x14ac:dyDescent="0.2">
      <c r="A10756" t="s">
        <v>3194</v>
      </c>
      <c r="B10756" t="s">
        <v>3195</v>
      </c>
      <c r="C10756" t="s">
        <v>438</v>
      </c>
      <c r="D10756" t="str">
        <f>VLOOKUP(C10756,'lookup table'!$A$2:$B$19,2,FALSE)</f>
        <v>ToM</v>
      </c>
      <c r="E10756" t="str">
        <f t="shared" si="168"/>
        <v>SROE002_00|ToM</v>
      </c>
    </row>
    <row r="10757" spans="1:5" x14ac:dyDescent="0.2">
      <c r="A10757" t="s">
        <v>3194</v>
      </c>
      <c r="B10757" t="s">
        <v>3195</v>
      </c>
      <c r="C10757" t="s">
        <v>447</v>
      </c>
      <c r="D10757" t="str">
        <f>VLOOKUP(C10757,'lookup table'!$A$2:$B$19,2,FALSE)</f>
        <v>REX</v>
      </c>
      <c r="E10757" t="str">
        <f t="shared" si="168"/>
        <v>SROE002_00|REX</v>
      </c>
    </row>
    <row r="10758" spans="1:5" x14ac:dyDescent="0.2">
      <c r="A10758" t="s">
        <v>3194</v>
      </c>
      <c r="B10758" t="s">
        <v>3195</v>
      </c>
      <c r="C10758" t="s">
        <v>451</v>
      </c>
      <c r="D10758" t="str">
        <f>VLOOKUP(C10758,'lookup table'!$A$2:$B$19,2,FALSE)</f>
        <v>Segment</v>
      </c>
      <c r="E10758" t="str">
        <f t="shared" si="168"/>
        <v>SROE002_00|Segment</v>
      </c>
    </row>
    <row r="10759" spans="1:5" x14ac:dyDescent="0.2">
      <c r="A10759" t="s">
        <v>3194</v>
      </c>
      <c r="B10759" t="s">
        <v>3195</v>
      </c>
      <c r="C10759" t="s">
        <v>457</v>
      </c>
      <c r="D10759" t="str">
        <f>VLOOKUP(C10759,'lookup table'!$A$2:$B$19,2,FALSE)</f>
        <v>VLT</v>
      </c>
      <c r="E10759" t="str">
        <f t="shared" si="168"/>
        <v>SROE002_00|VLT</v>
      </c>
    </row>
    <row r="10760" spans="1:5" x14ac:dyDescent="0.2">
      <c r="A10760" t="s">
        <v>3194</v>
      </c>
      <c r="B10760" t="s">
        <v>3195</v>
      </c>
      <c r="C10760" t="s">
        <v>458</v>
      </c>
      <c r="D10760" t="str">
        <f>VLOOKUP(C10760,'lookup table'!$A$2:$B$19,2,FALSE)</f>
        <v>VAR</v>
      </c>
      <c r="E10760" t="str">
        <f t="shared" si="168"/>
        <v>SROE002_00|VAR</v>
      </c>
    </row>
    <row r="10761" spans="1:5" x14ac:dyDescent="0.2">
      <c r="A10761" t="s">
        <v>3196</v>
      </c>
      <c r="B10761" t="s">
        <v>3197</v>
      </c>
      <c r="C10761" t="s">
        <v>14</v>
      </c>
      <c r="D10761" t="str">
        <f>VLOOKUP(C10761,'lookup table'!$A$2:$B$19,2,FALSE)</f>
        <v>ALC</v>
      </c>
      <c r="E10761" t="str">
        <f t="shared" si="168"/>
        <v>SROE002_60|ALC</v>
      </c>
    </row>
    <row r="10762" spans="1:5" x14ac:dyDescent="0.2">
      <c r="A10762" t="s">
        <v>3196</v>
      </c>
      <c r="B10762" t="s">
        <v>3197</v>
      </c>
      <c r="C10762" t="s">
        <v>20</v>
      </c>
      <c r="D10762" t="str">
        <f>VLOOKUP(C10762,'lookup table'!$A$2:$B$19,2,FALSE)</f>
        <v>AY</v>
      </c>
      <c r="E10762" t="str">
        <f t="shared" si="168"/>
        <v>SROE002_60|AY</v>
      </c>
    </row>
    <row r="10763" spans="1:5" x14ac:dyDescent="0.2">
      <c r="A10763" t="s">
        <v>3196</v>
      </c>
      <c r="B10763" t="s">
        <v>3197</v>
      </c>
      <c r="C10763" t="s">
        <v>331</v>
      </c>
      <c r="D10763" t="str">
        <f>VLOOKUP(C10763,'lookup table'!$A$2:$B$19,2,FALSE)</f>
        <v>FS Item</v>
      </c>
      <c r="E10763" t="str">
        <f t="shared" si="168"/>
        <v>SROE002_60|FS Item</v>
      </c>
    </row>
    <row r="10764" spans="1:5" x14ac:dyDescent="0.2">
      <c r="A10764" t="s">
        <v>3196</v>
      </c>
      <c r="B10764" t="s">
        <v>3197</v>
      </c>
      <c r="C10764" t="s">
        <v>423</v>
      </c>
      <c r="D10764" t="str">
        <f>VLOOKUP(C10764,'lookup table'!$A$2:$B$19,2,FALSE)</f>
        <v>ignore</v>
      </c>
      <c r="E10764" t="str">
        <f t="shared" si="168"/>
        <v>SROE002_60|ignore</v>
      </c>
    </row>
    <row r="10765" spans="1:5" x14ac:dyDescent="0.2">
      <c r="A10765" t="s">
        <v>3196</v>
      </c>
      <c r="B10765" t="s">
        <v>3197</v>
      </c>
      <c r="C10765" t="s">
        <v>424</v>
      </c>
      <c r="D10765" t="str">
        <f>VLOOKUP(C10765,'lookup table'!$A$2:$B$19,2,FALSE)</f>
        <v>GRC</v>
      </c>
      <c r="E10765" t="str">
        <f t="shared" si="168"/>
        <v>SROE002_60|GRC</v>
      </c>
    </row>
    <row r="10766" spans="1:5" x14ac:dyDescent="0.2">
      <c r="A10766" t="s">
        <v>3196</v>
      </c>
      <c r="B10766" t="s">
        <v>3197</v>
      </c>
      <c r="C10766" t="s">
        <v>425</v>
      </c>
      <c r="D10766" t="str">
        <f>VLOOKUP(C10766,'lookup table'!$A$2:$B$19,2,FALSE)</f>
        <v>Investee Segment</v>
      </c>
      <c r="E10766" t="str">
        <f t="shared" si="168"/>
        <v>SROE002_60|Investee Segment</v>
      </c>
    </row>
    <row r="10767" spans="1:5" x14ac:dyDescent="0.2">
      <c r="A10767" t="s">
        <v>3196</v>
      </c>
      <c r="B10767" t="s">
        <v>3197</v>
      </c>
      <c r="C10767" t="s">
        <v>426</v>
      </c>
      <c r="D10767" t="str">
        <f>VLOOKUP(C10767,'lookup table'!$A$2:$B$19,2,FALSE)</f>
        <v>Investee Unit</v>
      </c>
      <c r="E10767" t="str">
        <f t="shared" si="168"/>
        <v>SROE002_60|Investee Unit</v>
      </c>
    </row>
    <row r="10768" spans="1:5" x14ac:dyDescent="0.2">
      <c r="A10768" t="s">
        <v>3196</v>
      </c>
      <c r="B10768" t="s">
        <v>3197</v>
      </c>
      <c r="C10768" t="s">
        <v>428</v>
      </c>
      <c r="D10768" t="str">
        <f>VLOOKUP(C10768,'lookup table'!$A$2:$B$19,2,FALSE)</f>
        <v>LoB</v>
      </c>
      <c r="E10768" t="str">
        <f t="shared" si="168"/>
        <v>SROE002_60|LoB</v>
      </c>
    </row>
    <row r="10769" spans="1:5" x14ac:dyDescent="0.2">
      <c r="A10769" t="s">
        <v>3196</v>
      </c>
      <c r="B10769" t="s">
        <v>3197</v>
      </c>
      <c r="C10769" t="s">
        <v>436</v>
      </c>
      <c r="D10769" t="str">
        <f>VLOOKUP(C10769,'lookup table'!$A$2:$B$19,2,FALSE)</f>
        <v>MAT</v>
      </c>
      <c r="E10769" t="str">
        <f t="shared" si="168"/>
        <v>SROE002_60|MAT</v>
      </c>
    </row>
    <row r="10770" spans="1:5" x14ac:dyDescent="0.2">
      <c r="A10770" t="s">
        <v>3196</v>
      </c>
      <c r="B10770" t="s">
        <v>3197</v>
      </c>
      <c r="C10770" t="s">
        <v>438</v>
      </c>
      <c r="D10770" t="str">
        <f>VLOOKUP(C10770,'lookup table'!$A$2:$B$19,2,FALSE)</f>
        <v>ToM</v>
      </c>
      <c r="E10770" t="str">
        <f t="shared" si="168"/>
        <v>SROE002_60|ToM</v>
      </c>
    </row>
    <row r="10771" spans="1:5" x14ac:dyDescent="0.2">
      <c r="A10771" t="s">
        <v>3196</v>
      </c>
      <c r="B10771" t="s">
        <v>3197</v>
      </c>
      <c r="C10771" t="s">
        <v>447</v>
      </c>
      <c r="D10771" t="str">
        <f>VLOOKUP(C10771,'lookup table'!$A$2:$B$19,2,FALSE)</f>
        <v>REX</v>
      </c>
      <c r="E10771" t="str">
        <f t="shared" si="168"/>
        <v>SROE002_60|REX</v>
      </c>
    </row>
    <row r="10772" spans="1:5" x14ac:dyDescent="0.2">
      <c r="A10772" t="s">
        <v>3196</v>
      </c>
      <c r="B10772" t="s">
        <v>3197</v>
      </c>
      <c r="C10772" t="s">
        <v>451</v>
      </c>
      <c r="D10772" t="str">
        <f>VLOOKUP(C10772,'lookup table'!$A$2:$B$19,2,FALSE)</f>
        <v>Segment</v>
      </c>
      <c r="E10772" t="str">
        <f t="shared" si="168"/>
        <v>SROE002_60|Segment</v>
      </c>
    </row>
    <row r="10773" spans="1:5" x14ac:dyDescent="0.2">
      <c r="A10773" t="s">
        <v>3196</v>
      </c>
      <c r="B10773" t="s">
        <v>3197</v>
      </c>
      <c r="C10773" t="s">
        <v>457</v>
      </c>
      <c r="D10773" t="str">
        <f>VLOOKUP(C10773,'lookup table'!$A$2:$B$19,2,FALSE)</f>
        <v>VLT</v>
      </c>
      <c r="E10773" t="str">
        <f t="shared" si="168"/>
        <v>SROE002_60|VLT</v>
      </c>
    </row>
    <row r="10774" spans="1:5" x14ac:dyDescent="0.2">
      <c r="A10774" t="s">
        <v>3196</v>
      </c>
      <c r="B10774" t="s">
        <v>3197</v>
      </c>
      <c r="C10774" t="s">
        <v>458</v>
      </c>
      <c r="D10774" t="str">
        <f>VLOOKUP(C10774,'lookup table'!$A$2:$B$19,2,FALSE)</f>
        <v>VAR</v>
      </c>
      <c r="E10774" t="str">
        <f t="shared" si="168"/>
        <v>SROE002_60|VAR</v>
      </c>
    </row>
    <row r="10775" spans="1:5" x14ac:dyDescent="0.2">
      <c r="A10775" t="s">
        <v>3198</v>
      </c>
      <c r="B10775" t="s">
        <v>3199</v>
      </c>
      <c r="C10775" t="s">
        <v>14</v>
      </c>
      <c r="D10775" t="str">
        <f>VLOOKUP(C10775,'lookup table'!$A$2:$B$19,2,FALSE)</f>
        <v>ALC</v>
      </c>
      <c r="E10775" t="str">
        <f t="shared" si="168"/>
        <v>SROE003_00|ALC</v>
      </c>
    </row>
    <row r="10776" spans="1:5" x14ac:dyDescent="0.2">
      <c r="A10776" t="s">
        <v>3198</v>
      </c>
      <c r="B10776" t="s">
        <v>3199</v>
      </c>
      <c r="C10776" t="s">
        <v>20</v>
      </c>
      <c r="D10776" t="str">
        <f>VLOOKUP(C10776,'lookup table'!$A$2:$B$19,2,FALSE)</f>
        <v>AY</v>
      </c>
      <c r="E10776" t="str">
        <f t="shared" si="168"/>
        <v>SROE003_00|AY</v>
      </c>
    </row>
    <row r="10777" spans="1:5" x14ac:dyDescent="0.2">
      <c r="A10777" t="s">
        <v>3198</v>
      </c>
      <c r="B10777" t="s">
        <v>3199</v>
      </c>
      <c r="C10777" t="s">
        <v>331</v>
      </c>
      <c r="D10777" t="str">
        <f>VLOOKUP(C10777,'lookup table'!$A$2:$B$19,2,FALSE)</f>
        <v>FS Item</v>
      </c>
      <c r="E10777" t="str">
        <f t="shared" si="168"/>
        <v>SROE003_00|FS Item</v>
      </c>
    </row>
    <row r="10778" spans="1:5" x14ac:dyDescent="0.2">
      <c r="A10778" t="s">
        <v>3198</v>
      </c>
      <c r="B10778" t="s">
        <v>3199</v>
      </c>
      <c r="C10778" t="s">
        <v>423</v>
      </c>
      <c r="D10778" t="str">
        <f>VLOOKUP(C10778,'lookup table'!$A$2:$B$19,2,FALSE)</f>
        <v>ignore</v>
      </c>
      <c r="E10778" t="str">
        <f t="shared" si="168"/>
        <v>SROE003_00|ignore</v>
      </c>
    </row>
    <row r="10779" spans="1:5" x14ac:dyDescent="0.2">
      <c r="A10779" t="s">
        <v>3198</v>
      </c>
      <c r="B10779" t="s">
        <v>3199</v>
      </c>
      <c r="C10779" t="s">
        <v>424</v>
      </c>
      <c r="D10779" t="str">
        <f>VLOOKUP(C10779,'lookup table'!$A$2:$B$19,2,FALSE)</f>
        <v>GRC</v>
      </c>
      <c r="E10779" t="str">
        <f t="shared" si="168"/>
        <v>SROE003_00|GRC</v>
      </c>
    </row>
    <row r="10780" spans="1:5" x14ac:dyDescent="0.2">
      <c r="A10780" t="s">
        <v>3198</v>
      </c>
      <c r="B10780" t="s">
        <v>3199</v>
      </c>
      <c r="C10780" t="s">
        <v>425</v>
      </c>
      <c r="D10780" t="str">
        <f>VLOOKUP(C10780,'lookup table'!$A$2:$B$19,2,FALSE)</f>
        <v>Investee Segment</v>
      </c>
      <c r="E10780" t="str">
        <f t="shared" si="168"/>
        <v>SROE003_00|Investee Segment</v>
      </c>
    </row>
    <row r="10781" spans="1:5" x14ac:dyDescent="0.2">
      <c r="A10781" t="s">
        <v>3198</v>
      </c>
      <c r="B10781" t="s">
        <v>3199</v>
      </c>
      <c r="C10781" t="s">
        <v>426</v>
      </c>
      <c r="D10781" t="str">
        <f>VLOOKUP(C10781,'lookup table'!$A$2:$B$19,2,FALSE)</f>
        <v>Investee Unit</v>
      </c>
      <c r="E10781" t="str">
        <f t="shared" si="168"/>
        <v>SROE003_00|Investee Unit</v>
      </c>
    </row>
    <row r="10782" spans="1:5" x14ac:dyDescent="0.2">
      <c r="A10782" t="s">
        <v>3198</v>
      </c>
      <c r="B10782" t="s">
        <v>3199</v>
      </c>
      <c r="C10782" t="s">
        <v>428</v>
      </c>
      <c r="D10782" t="str">
        <f>VLOOKUP(C10782,'lookup table'!$A$2:$B$19,2,FALSE)</f>
        <v>LoB</v>
      </c>
      <c r="E10782" t="str">
        <f t="shared" si="168"/>
        <v>SROE003_00|LoB</v>
      </c>
    </row>
    <row r="10783" spans="1:5" x14ac:dyDescent="0.2">
      <c r="A10783" t="s">
        <v>3198</v>
      </c>
      <c r="B10783" t="s">
        <v>3199</v>
      </c>
      <c r="C10783" t="s">
        <v>436</v>
      </c>
      <c r="D10783" t="str">
        <f>VLOOKUP(C10783,'lookup table'!$A$2:$B$19,2,FALSE)</f>
        <v>MAT</v>
      </c>
      <c r="E10783" t="str">
        <f t="shared" si="168"/>
        <v>SROE003_00|MAT</v>
      </c>
    </row>
    <row r="10784" spans="1:5" x14ac:dyDescent="0.2">
      <c r="A10784" t="s">
        <v>3198</v>
      </c>
      <c r="B10784" t="s">
        <v>3199</v>
      </c>
      <c r="C10784" t="s">
        <v>438</v>
      </c>
      <c r="D10784" t="str">
        <f>VLOOKUP(C10784,'lookup table'!$A$2:$B$19,2,FALSE)</f>
        <v>ToM</v>
      </c>
      <c r="E10784" t="str">
        <f t="shared" si="168"/>
        <v>SROE003_00|ToM</v>
      </c>
    </row>
    <row r="10785" spans="1:5" x14ac:dyDescent="0.2">
      <c r="A10785" t="s">
        <v>3198</v>
      </c>
      <c r="B10785" t="s">
        <v>3199</v>
      </c>
      <c r="C10785" t="s">
        <v>447</v>
      </c>
      <c r="D10785" t="str">
        <f>VLOOKUP(C10785,'lookup table'!$A$2:$B$19,2,FALSE)</f>
        <v>REX</v>
      </c>
      <c r="E10785" t="str">
        <f t="shared" si="168"/>
        <v>SROE003_00|REX</v>
      </c>
    </row>
    <row r="10786" spans="1:5" x14ac:dyDescent="0.2">
      <c r="A10786" t="s">
        <v>3198</v>
      </c>
      <c r="B10786" t="s">
        <v>3199</v>
      </c>
      <c r="C10786" t="s">
        <v>451</v>
      </c>
      <c r="D10786" t="str">
        <f>VLOOKUP(C10786,'lookup table'!$A$2:$B$19,2,FALSE)</f>
        <v>Segment</v>
      </c>
      <c r="E10786" t="str">
        <f t="shared" si="168"/>
        <v>SROE003_00|Segment</v>
      </c>
    </row>
    <row r="10787" spans="1:5" x14ac:dyDescent="0.2">
      <c r="A10787" t="s">
        <v>3198</v>
      </c>
      <c r="B10787" t="s">
        <v>3199</v>
      </c>
      <c r="C10787" t="s">
        <v>457</v>
      </c>
      <c r="D10787" t="str">
        <f>VLOOKUP(C10787,'lookup table'!$A$2:$B$19,2,FALSE)</f>
        <v>VLT</v>
      </c>
      <c r="E10787" t="str">
        <f t="shared" si="168"/>
        <v>SROE003_00|VLT</v>
      </c>
    </row>
    <row r="10788" spans="1:5" x14ac:dyDescent="0.2">
      <c r="A10788" t="s">
        <v>3198</v>
      </c>
      <c r="B10788" t="s">
        <v>3199</v>
      </c>
      <c r="C10788" t="s">
        <v>458</v>
      </c>
      <c r="D10788" t="str">
        <f>VLOOKUP(C10788,'lookup table'!$A$2:$B$19,2,FALSE)</f>
        <v>VAR</v>
      </c>
      <c r="E10788" t="str">
        <f t="shared" si="168"/>
        <v>SROE003_00|VAR</v>
      </c>
    </row>
    <row r="10789" spans="1:5" x14ac:dyDescent="0.2">
      <c r="A10789" t="s">
        <v>3200</v>
      </c>
      <c r="B10789" t="s">
        <v>3201</v>
      </c>
      <c r="C10789" t="s">
        <v>14</v>
      </c>
      <c r="D10789" t="str">
        <f>VLOOKUP(C10789,'lookup table'!$A$2:$B$19,2,FALSE)</f>
        <v>ALC</v>
      </c>
      <c r="E10789" t="str">
        <f t="shared" si="168"/>
        <v>SROE003_60|ALC</v>
      </c>
    </row>
    <row r="10790" spans="1:5" x14ac:dyDescent="0.2">
      <c r="A10790" t="s">
        <v>3200</v>
      </c>
      <c r="B10790" t="s">
        <v>3201</v>
      </c>
      <c r="C10790" t="s">
        <v>20</v>
      </c>
      <c r="D10790" t="str">
        <f>VLOOKUP(C10790,'lookup table'!$A$2:$B$19,2,FALSE)</f>
        <v>AY</v>
      </c>
      <c r="E10790" t="str">
        <f t="shared" si="168"/>
        <v>SROE003_60|AY</v>
      </c>
    </row>
    <row r="10791" spans="1:5" x14ac:dyDescent="0.2">
      <c r="A10791" t="s">
        <v>3200</v>
      </c>
      <c r="B10791" t="s">
        <v>3201</v>
      </c>
      <c r="C10791" t="s">
        <v>331</v>
      </c>
      <c r="D10791" t="str">
        <f>VLOOKUP(C10791,'lookup table'!$A$2:$B$19,2,FALSE)</f>
        <v>FS Item</v>
      </c>
      <c r="E10791" t="str">
        <f t="shared" si="168"/>
        <v>SROE003_60|FS Item</v>
      </c>
    </row>
    <row r="10792" spans="1:5" x14ac:dyDescent="0.2">
      <c r="A10792" t="s">
        <v>3200</v>
      </c>
      <c r="B10792" t="s">
        <v>3201</v>
      </c>
      <c r="C10792" t="s">
        <v>423</v>
      </c>
      <c r="D10792" t="str">
        <f>VLOOKUP(C10792,'lookup table'!$A$2:$B$19,2,FALSE)</f>
        <v>ignore</v>
      </c>
      <c r="E10792" t="str">
        <f t="shared" si="168"/>
        <v>SROE003_60|ignore</v>
      </c>
    </row>
    <row r="10793" spans="1:5" x14ac:dyDescent="0.2">
      <c r="A10793" t="s">
        <v>3200</v>
      </c>
      <c r="B10793" t="s">
        <v>3201</v>
      </c>
      <c r="C10793" t="s">
        <v>424</v>
      </c>
      <c r="D10793" t="str">
        <f>VLOOKUP(C10793,'lookup table'!$A$2:$B$19,2,FALSE)</f>
        <v>GRC</v>
      </c>
      <c r="E10793" t="str">
        <f t="shared" si="168"/>
        <v>SROE003_60|GRC</v>
      </c>
    </row>
    <row r="10794" spans="1:5" x14ac:dyDescent="0.2">
      <c r="A10794" t="s">
        <v>3200</v>
      </c>
      <c r="B10794" t="s">
        <v>3201</v>
      </c>
      <c r="C10794" t="s">
        <v>425</v>
      </c>
      <c r="D10794" t="str">
        <f>VLOOKUP(C10794,'lookup table'!$A$2:$B$19,2,FALSE)</f>
        <v>Investee Segment</v>
      </c>
      <c r="E10794" t="str">
        <f t="shared" si="168"/>
        <v>SROE003_60|Investee Segment</v>
      </c>
    </row>
    <row r="10795" spans="1:5" x14ac:dyDescent="0.2">
      <c r="A10795" t="s">
        <v>3200</v>
      </c>
      <c r="B10795" t="s">
        <v>3201</v>
      </c>
      <c r="C10795" t="s">
        <v>426</v>
      </c>
      <c r="D10795" t="str">
        <f>VLOOKUP(C10795,'lookup table'!$A$2:$B$19,2,FALSE)</f>
        <v>Investee Unit</v>
      </c>
      <c r="E10795" t="str">
        <f t="shared" si="168"/>
        <v>SROE003_60|Investee Unit</v>
      </c>
    </row>
    <row r="10796" spans="1:5" x14ac:dyDescent="0.2">
      <c r="A10796" t="s">
        <v>3200</v>
      </c>
      <c r="B10796" t="s">
        <v>3201</v>
      </c>
      <c r="C10796" t="s">
        <v>428</v>
      </c>
      <c r="D10796" t="str">
        <f>VLOOKUP(C10796,'lookup table'!$A$2:$B$19,2,FALSE)</f>
        <v>LoB</v>
      </c>
      <c r="E10796" t="str">
        <f t="shared" si="168"/>
        <v>SROE003_60|LoB</v>
      </c>
    </row>
    <row r="10797" spans="1:5" x14ac:dyDescent="0.2">
      <c r="A10797" t="s">
        <v>3200</v>
      </c>
      <c r="B10797" t="s">
        <v>3201</v>
      </c>
      <c r="C10797" t="s">
        <v>436</v>
      </c>
      <c r="D10797" t="str">
        <f>VLOOKUP(C10797,'lookup table'!$A$2:$B$19,2,FALSE)</f>
        <v>MAT</v>
      </c>
      <c r="E10797" t="str">
        <f t="shared" si="168"/>
        <v>SROE003_60|MAT</v>
      </c>
    </row>
    <row r="10798" spans="1:5" x14ac:dyDescent="0.2">
      <c r="A10798" t="s">
        <v>3200</v>
      </c>
      <c r="B10798" t="s">
        <v>3201</v>
      </c>
      <c r="C10798" t="s">
        <v>438</v>
      </c>
      <c r="D10798" t="str">
        <f>VLOOKUP(C10798,'lookup table'!$A$2:$B$19,2,FALSE)</f>
        <v>ToM</v>
      </c>
      <c r="E10798" t="str">
        <f t="shared" si="168"/>
        <v>SROE003_60|ToM</v>
      </c>
    </row>
    <row r="10799" spans="1:5" x14ac:dyDescent="0.2">
      <c r="A10799" t="s">
        <v>3200</v>
      </c>
      <c r="B10799" t="s">
        <v>3201</v>
      </c>
      <c r="C10799" t="s">
        <v>447</v>
      </c>
      <c r="D10799" t="str">
        <f>VLOOKUP(C10799,'lookup table'!$A$2:$B$19,2,FALSE)</f>
        <v>REX</v>
      </c>
      <c r="E10799" t="str">
        <f t="shared" si="168"/>
        <v>SROE003_60|REX</v>
      </c>
    </row>
    <row r="10800" spans="1:5" x14ac:dyDescent="0.2">
      <c r="A10800" t="s">
        <v>3200</v>
      </c>
      <c r="B10800" t="s">
        <v>3201</v>
      </c>
      <c r="C10800" t="s">
        <v>451</v>
      </c>
      <c r="D10800" t="str">
        <f>VLOOKUP(C10800,'lookup table'!$A$2:$B$19,2,FALSE)</f>
        <v>Segment</v>
      </c>
      <c r="E10800" t="str">
        <f t="shared" si="168"/>
        <v>SROE003_60|Segment</v>
      </c>
    </row>
    <row r="10801" spans="1:5" x14ac:dyDescent="0.2">
      <c r="A10801" t="s">
        <v>3200</v>
      </c>
      <c r="B10801" t="s">
        <v>3201</v>
      </c>
      <c r="C10801" t="s">
        <v>457</v>
      </c>
      <c r="D10801" t="str">
        <f>VLOOKUP(C10801,'lookup table'!$A$2:$B$19,2,FALSE)</f>
        <v>VLT</v>
      </c>
      <c r="E10801" t="str">
        <f t="shared" si="168"/>
        <v>SROE003_60|VLT</v>
      </c>
    </row>
    <row r="10802" spans="1:5" x14ac:dyDescent="0.2">
      <c r="A10802" t="s">
        <v>3200</v>
      </c>
      <c r="B10802" t="s">
        <v>3201</v>
      </c>
      <c r="C10802" t="s">
        <v>458</v>
      </c>
      <c r="D10802" t="str">
        <f>VLOOKUP(C10802,'lookup table'!$A$2:$B$19,2,FALSE)</f>
        <v>VAR</v>
      </c>
      <c r="E10802" t="str">
        <f t="shared" si="168"/>
        <v>SROE003_60|VAR</v>
      </c>
    </row>
    <row r="10803" spans="1:5" x14ac:dyDescent="0.2">
      <c r="A10803" t="s">
        <v>3202</v>
      </c>
      <c r="B10803" t="s">
        <v>3203</v>
      </c>
      <c r="C10803" t="s">
        <v>14</v>
      </c>
      <c r="D10803" t="str">
        <f>VLOOKUP(C10803,'lookup table'!$A$2:$B$19,2,FALSE)</f>
        <v>ALC</v>
      </c>
      <c r="E10803" t="str">
        <f t="shared" si="168"/>
        <v>SROE004_00|ALC</v>
      </c>
    </row>
    <row r="10804" spans="1:5" x14ac:dyDescent="0.2">
      <c r="A10804" t="s">
        <v>3202</v>
      </c>
      <c r="B10804" t="s">
        <v>3203</v>
      </c>
      <c r="C10804" t="s">
        <v>20</v>
      </c>
      <c r="D10804" t="str">
        <f>VLOOKUP(C10804,'lookup table'!$A$2:$B$19,2,FALSE)</f>
        <v>AY</v>
      </c>
      <c r="E10804" t="str">
        <f t="shared" si="168"/>
        <v>SROE004_00|AY</v>
      </c>
    </row>
    <row r="10805" spans="1:5" x14ac:dyDescent="0.2">
      <c r="A10805" t="s">
        <v>3202</v>
      </c>
      <c r="B10805" t="s">
        <v>3203</v>
      </c>
      <c r="C10805" t="s">
        <v>331</v>
      </c>
      <c r="D10805" t="str">
        <f>VLOOKUP(C10805,'lookup table'!$A$2:$B$19,2,FALSE)</f>
        <v>FS Item</v>
      </c>
      <c r="E10805" t="str">
        <f t="shared" si="168"/>
        <v>SROE004_00|FS Item</v>
      </c>
    </row>
    <row r="10806" spans="1:5" x14ac:dyDescent="0.2">
      <c r="A10806" t="s">
        <v>3202</v>
      </c>
      <c r="B10806" t="s">
        <v>3203</v>
      </c>
      <c r="C10806" t="s">
        <v>423</v>
      </c>
      <c r="D10806" t="str">
        <f>VLOOKUP(C10806,'lookup table'!$A$2:$B$19,2,FALSE)</f>
        <v>ignore</v>
      </c>
      <c r="E10806" t="str">
        <f t="shared" si="168"/>
        <v>SROE004_00|ignore</v>
      </c>
    </row>
    <row r="10807" spans="1:5" x14ac:dyDescent="0.2">
      <c r="A10807" t="s">
        <v>3202</v>
      </c>
      <c r="B10807" t="s">
        <v>3203</v>
      </c>
      <c r="C10807" t="s">
        <v>424</v>
      </c>
      <c r="D10807" t="str">
        <f>VLOOKUP(C10807,'lookup table'!$A$2:$B$19,2,FALSE)</f>
        <v>GRC</v>
      </c>
      <c r="E10807" t="str">
        <f t="shared" si="168"/>
        <v>SROE004_00|GRC</v>
      </c>
    </row>
    <row r="10808" spans="1:5" x14ac:dyDescent="0.2">
      <c r="A10808" t="s">
        <v>3202</v>
      </c>
      <c r="B10808" t="s">
        <v>3203</v>
      </c>
      <c r="C10808" t="s">
        <v>425</v>
      </c>
      <c r="D10808" t="str">
        <f>VLOOKUP(C10808,'lookup table'!$A$2:$B$19,2,FALSE)</f>
        <v>Investee Segment</v>
      </c>
      <c r="E10808" t="str">
        <f t="shared" si="168"/>
        <v>SROE004_00|Investee Segment</v>
      </c>
    </row>
    <row r="10809" spans="1:5" x14ac:dyDescent="0.2">
      <c r="A10809" t="s">
        <v>3202</v>
      </c>
      <c r="B10809" t="s">
        <v>3203</v>
      </c>
      <c r="C10809" t="s">
        <v>426</v>
      </c>
      <c r="D10809" t="str">
        <f>VLOOKUP(C10809,'lookup table'!$A$2:$B$19,2,FALSE)</f>
        <v>Investee Unit</v>
      </c>
      <c r="E10809" t="str">
        <f t="shared" si="168"/>
        <v>SROE004_00|Investee Unit</v>
      </c>
    </row>
    <row r="10810" spans="1:5" x14ac:dyDescent="0.2">
      <c r="A10810" t="s">
        <v>3202</v>
      </c>
      <c r="B10810" t="s">
        <v>3203</v>
      </c>
      <c r="C10810" t="s">
        <v>428</v>
      </c>
      <c r="D10810" t="str">
        <f>VLOOKUP(C10810,'lookup table'!$A$2:$B$19,2,FALSE)</f>
        <v>LoB</v>
      </c>
      <c r="E10810" t="str">
        <f t="shared" si="168"/>
        <v>SROE004_00|LoB</v>
      </c>
    </row>
    <row r="10811" spans="1:5" x14ac:dyDescent="0.2">
      <c r="A10811" t="s">
        <v>3202</v>
      </c>
      <c r="B10811" t="s">
        <v>3203</v>
      </c>
      <c r="C10811" t="s">
        <v>436</v>
      </c>
      <c r="D10811" t="str">
        <f>VLOOKUP(C10811,'lookup table'!$A$2:$B$19,2,FALSE)</f>
        <v>MAT</v>
      </c>
      <c r="E10811" t="str">
        <f t="shared" si="168"/>
        <v>SROE004_00|MAT</v>
      </c>
    </row>
    <row r="10812" spans="1:5" x14ac:dyDescent="0.2">
      <c r="A10812" t="s">
        <v>3202</v>
      </c>
      <c r="B10812" t="s">
        <v>3203</v>
      </c>
      <c r="C10812" t="s">
        <v>447</v>
      </c>
      <c r="D10812" t="str">
        <f>VLOOKUP(C10812,'lookup table'!$A$2:$B$19,2,FALSE)</f>
        <v>REX</v>
      </c>
      <c r="E10812" t="str">
        <f t="shared" si="168"/>
        <v>SROE004_00|REX</v>
      </c>
    </row>
    <row r="10813" spans="1:5" x14ac:dyDescent="0.2">
      <c r="A10813" t="s">
        <v>3202</v>
      </c>
      <c r="B10813" t="s">
        <v>3203</v>
      </c>
      <c r="C10813" t="s">
        <v>451</v>
      </c>
      <c r="D10813" t="str">
        <f>VLOOKUP(C10813,'lookup table'!$A$2:$B$19,2,FALSE)</f>
        <v>Segment</v>
      </c>
      <c r="E10813" t="str">
        <f t="shared" si="168"/>
        <v>SROE004_00|Segment</v>
      </c>
    </row>
    <row r="10814" spans="1:5" x14ac:dyDescent="0.2">
      <c r="A10814" t="s">
        <v>3202</v>
      </c>
      <c r="B10814" t="s">
        <v>3203</v>
      </c>
      <c r="C10814" t="s">
        <v>457</v>
      </c>
      <c r="D10814" t="str">
        <f>VLOOKUP(C10814,'lookup table'!$A$2:$B$19,2,FALSE)</f>
        <v>VLT</v>
      </c>
      <c r="E10814" t="str">
        <f t="shared" si="168"/>
        <v>SROE004_00|VLT</v>
      </c>
    </row>
    <row r="10815" spans="1:5" x14ac:dyDescent="0.2">
      <c r="A10815" t="s">
        <v>3202</v>
      </c>
      <c r="B10815" t="s">
        <v>3203</v>
      </c>
      <c r="C10815" t="s">
        <v>458</v>
      </c>
      <c r="D10815" t="str">
        <f>VLOOKUP(C10815,'lookup table'!$A$2:$B$19,2,FALSE)</f>
        <v>VAR</v>
      </c>
      <c r="E10815" t="str">
        <f t="shared" si="168"/>
        <v>SROE004_00|VAR</v>
      </c>
    </row>
    <row r="10816" spans="1:5" x14ac:dyDescent="0.2">
      <c r="A10816" t="s">
        <v>3204</v>
      </c>
      <c r="B10816" t="s">
        <v>3205</v>
      </c>
      <c r="C10816" t="s">
        <v>14</v>
      </c>
      <c r="D10816" t="str">
        <f>VLOOKUP(C10816,'lookup table'!$A$2:$B$19,2,FALSE)</f>
        <v>ALC</v>
      </c>
      <c r="E10816" t="str">
        <f t="shared" si="168"/>
        <v>SROE005_00|ALC</v>
      </c>
    </row>
    <row r="10817" spans="1:5" x14ac:dyDescent="0.2">
      <c r="A10817" t="s">
        <v>3204</v>
      </c>
      <c r="B10817" t="s">
        <v>3205</v>
      </c>
      <c r="C10817" t="s">
        <v>20</v>
      </c>
      <c r="D10817" t="str">
        <f>VLOOKUP(C10817,'lookup table'!$A$2:$B$19,2,FALSE)</f>
        <v>AY</v>
      </c>
      <c r="E10817" t="str">
        <f t="shared" si="168"/>
        <v>SROE005_00|AY</v>
      </c>
    </row>
    <row r="10818" spans="1:5" x14ac:dyDescent="0.2">
      <c r="A10818" t="s">
        <v>3204</v>
      </c>
      <c r="B10818" t="s">
        <v>3205</v>
      </c>
      <c r="C10818" t="s">
        <v>331</v>
      </c>
      <c r="D10818" t="str">
        <f>VLOOKUP(C10818,'lookup table'!$A$2:$B$19,2,FALSE)</f>
        <v>FS Item</v>
      </c>
      <c r="E10818" t="str">
        <f t="shared" si="168"/>
        <v>SROE005_00|FS Item</v>
      </c>
    </row>
    <row r="10819" spans="1:5" x14ac:dyDescent="0.2">
      <c r="A10819" t="s">
        <v>3204</v>
      </c>
      <c r="B10819" t="s">
        <v>3205</v>
      </c>
      <c r="C10819" t="s">
        <v>423</v>
      </c>
      <c r="D10819" t="str">
        <f>VLOOKUP(C10819,'lookup table'!$A$2:$B$19,2,FALSE)</f>
        <v>ignore</v>
      </c>
      <c r="E10819" t="str">
        <f t="shared" ref="E10819:E10882" si="169">IF(ISNA(D10819),"",IF(A10819="","",A10819) &amp; "|" &amp; D10819)</f>
        <v>SROE005_00|ignore</v>
      </c>
    </row>
    <row r="10820" spans="1:5" x14ac:dyDescent="0.2">
      <c r="A10820" t="s">
        <v>3204</v>
      </c>
      <c r="B10820" t="s">
        <v>3205</v>
      </c>
      <c r="C10820" t="s">
        <v>424</v>
      </c>
      <c r="D10820" t="str">
        <f>VLOOKUP(C10820,'lookup table'!$A$2:$B$19,2,FALSE)</f>
        <v>GRC</v>
      </c>
      <c r="E10820" t="str">
        <f t="shared" si="169"/>
        <v>SROE005_00|GRC</v>
      </c>
    </row>
    <row r="10821" spans="1:5" x14ac:dyDescent="0.2">
      <c r="A10821" t="s">
        <v>3204</v>
      </c>
      <c r="B10821" t="s">
        <v>3205</v>
      </c>
      <c r="C10821" t="s">
        <v>425</v>
      </c>
      <c r="D10821" t="str">
        <f>VLOOKUP(C10821,'lookup table'!$A$2:$B$19,2,FALSE)</f>
        <v>Investee Segment</v>
      </c>
      <c r="E10821" t="str">
        <f t="shared" si="169"/>
        <v>SROE005_00|Investee Segment</v>
      </c>
    </row>
    <row r="10822" spans="1:5" x14ac:dyDescent="0.2">
      <c r="A10822" t="s">
        <v>3204</v>
      </c>
      <c r="B10822" t="s">
        <v>3205</v>
      </c>
      <c r="C10822" t="s">
        <v>426</v>
      </c>
      <c r="D10822" t="str">
        <f>VLOOKUP(C10822,'lookup table'!$A$2:$B$19,2,FALSE)</f>
        <v>Investee Unit</v>
      </c>
      <c r="E10822" t="str">
        <f t="shared" si="169"/>
        <v>SROE005_00|Investee Unit</v>
      </c>
    </row>
    <row r="10823" spans="1:5" x14ac:dyDescent="0.2">
      <c r="A10823" t="s">
        <v>3204</v>
      </c>
      <c r="B10823" t="s">
        <v>3205</v>
      </c>
      <c r="C10823" t="s">
        <v>428</v>
      </c>
      <c r="D10823" t="str">
        <f>VLOOKUP(C10823,'lookup table'!$A$2:$B$19,2,FALSE)</f>
        <v>LoB</v>
      </c>
      <c r="E10823" t="str">
        <f t="shared" si="169"/>
        <v>SROE005_00|LoB</v>
      </c>
    </row>
    <row r="10824" spans="1:5" x14ac:dyDescent="0.2">
      <c r="A10824" t="s">
        <v>3204</v>
      </c>
      <c r="B10824" t="s">
        <v>3205</v>
      </c>
      <c r="C10824" t="s">
        <v>436</v>
      </c>
      <c r="D10824" t="str">
        <f>VLOOKUP(C10824,'lookup table'!$A$2:$B$19,2,FALSE)</f>
        <v>MAT</v>
      </c>
      <c r="E10824" t="str">
        <f t="shared" si="169"/>
        <v>SROE005_00|MAT</v>
      </c>
    </row>
    <row r="10825" spans="1:5" x14ac:dyDescent="0.2">
      <c r="A10825" t="s">
        <v>3204</v>
      </c>
      <c r="B10825" t="s">
        <v>3205</v>
      </c>
      <c r="C10825" t="s">
        <v>447</v>
      </c>
      <c r="D10825" t="str">
        <f>VLOOKUP(C10825,'lookup table'!$A$2:$B$19,2,FALSE)</f>
        <v>REX</v>
      </c>
      <c r="E10825" t="str">
        <f t="shared" si="169"/>
        <v>SROE005_00|REX</v>
      </c>
    </row>
    <row r="10826" spans="1:5" x14ac:dyDescent="0.2">
      <c r="A10826" t="s">
        <v>3204</v>
      </c>
      <c r="B10826" t="s">
        <v>3205</v>
      </c>
      <c r="C10826" t="s">
        <v>451</v>
      </c>
      <c r="D10826" t="str">
        <f>VLOOKUP(C10826,'lookup table'!$A$2:$B$19,2,FALSE)</f>
        <v>Segment</v>
      </c>
      <c r="E10826" t="str">
        <f t="shared" si="169"/>
        <v>SROE005_00|Segment</v>
      </c>
    </row>
    <row r="10827" spans="1:5" x14ac:dyDescent="0.2">
      <c r="A10827" t="s">
        <v>3204</v>
      </c>
      <c r="B10827" t="s">
        <v>3205</v>
      </c>
      <c r="C10827" t="s">
        <v>457</v>
      </c>
      <c r="D10827" t="str">
        <f>VLOOKUP(C10827,'lookup table'!$A$2:$B$19,2,FALSE)</f>
        <v>VLT</v>
      </c>
      <c r="E10827" t="str">
        <f t="shared" si="169"/>
        <v>SROE005_00|VLT</v>
      </c>
    </row>
    <row r="10828" spans="1:5" x14ac:dyDescent="0.2">
      <c r="A10828" t="s">
        <v>3204</v>
      </c>
      <c r="B10828" t="s">
        <v>3205</v>
      </c>
      <c r="C10828" t="s">
        <v>458</v>
      </c>
      <c r="D10828" t="str">
        <f>VLOOKUP(C10828,'lookup table'!$A$2:$B$19,2,FALSE)</f>
        <v>VAR</v>
      </c>
      <c r="E10828" t="str">
        <f t="shared" si="169"/>
        <v>SROE005_00|VAR</v>
      </c>
    </row>
    <row r="10829" spans="1:5" x14ac:dyDescent="0.2">
      <c r="A10829" t="s">
        <v>3206</v>
      </c>
      <c r="B10829" t="s">
        <v>3207</v>
      </c>
      <c r="C10829" t="s">
        <v>14</v>
      </c>
      <c r="D10829" t="str">
        <f>VLOOKUP(C10829,'lookup table'!$A$2:$B$19,2,FALSE)</f>
        <v>ALC</v>
      </c>
      <c r="E10829" t="str">
        <f t="shared" si="169"/>
        <v>SROE006_00|ALC</v>
      </c>
    </row>
    <row r="10830" spans="1:5" x14ac:dyDescent="0.2">
      <c r="A10830" t="s">
        <v>3206</v>
      </c>
      <c r="B10830" t="s">
        <v>3207</v>
      </c>
      <c r="C10830" t="s">
        <v>20</v>
      </c>
      <c r="D10830" t="str">
        <f>VLOOKUP(C10830,'lookup table'!$A$2:$B$19,2,FALSE)</f>
        <v>AY</v>
      </c>
      <c r="E10830" t="str">
        <f t="shared" si="169"/>
        <v>SROE006_00|AY</v>
      </c>
    </row>
    <row r="10831" spans="1:5" x14ac:dyDescent="0.2">
      <c r="A10831" t="s">
        <v>3206</v>
      </c>
      <c r="B10831" t="s">
        <v>3207</v>
      </c>
      <c r="C10831" t="s">
        <v>331</v>
      </c>
      <c r="D10831" t="str">
        <f>VLOOKUP(C10831,'lookup table'!$A$2:$B$19,2,FALSE)</f>
        <v>FS Item</v>
      </c>
      <c r="E10831" t="str">
        <f t="shared" si="169"/>
        <v>SROE006_00|FS Item</v>
      </c>
    </row>
    <row r="10832" spans="1:5" x14ac:dyDescent="0.2">
      <c r="A10832" t="s">
        <v>3206</v>
      </c>
      <c r="B10832" t="s">
        <v>3207</v>
      </c>
      <c r="C10832" t="s">
        <v>423</v>
      </c>
      <c r="D10832" t="str">
        <f>VLOOKUP(C10832,'lookup table'!$A$2:$B$19,2,FALSE)</f>
        <v>ignore</v>
      </c>
      <c r="E10832" t="str">
        <f t="shared" si="169"/>
        <v>SROE006_00|ignore</v>
      </c>
    </row>
    <row r="10833" spans="1:5" x14ac:dyDescent="0.2">
      <c r="A10833" t="s">
        <v>3206</v>
      </c>
      <c r="B10833" t="s">
        <v>3207</v>
      </c>
      <c r="C10833" t="s">
        <v>424</v>
      </c>
      <c r="D10833" t="str">
        <f>VLOOKUP(C10833,'lookup table'!$A$2:$B$19,2,FALSE)</f>
        <v>GRC</v>
      </c>
      <c r="E10833" t="str">
        <f t="shared" si="169"/>
        <v>SROE006_00|GRC</v>
      </c>
    </row>
    <row r="10834" spans="1:5" x14ac:dyDescent="0.2">
      <c r="A10834" t="s">
        <v>3206</v>
      </c>
      <c r="B10834" t="s">
        <v>3207</v>
      </c>
      <c r="C10834" t="s">
        <v>425</v>
      </c>
      <c r="D10834" t="str">
        <f>VLOOKUP(C10834,'lookup table'!$A$2:$B$19,2,FALSE)</f>
        <v>Investee Segment</v>
      </c>
      <c r="E10834" t="str">
        <f t="shared" si="169"/>
        <v>SROE006_00|Investee Segment</v>
      </c>
    </row>
    <row r="10835" spans="1:5" x14ac:dyDescent="0.2">
      <c r="A10835" t="s">
        <v>3206</v>
      </c>
      <c r="B10835" t="s">
        <v>3207</v>
      </c>
      <c r="C10835" t="s">
        <v>426</v>
      </c>
      <c r="D10835" t="str">
        <f>VLOOKUP(C10835,'lookup table'!$A$2:$B$19,2,FALSE)</f>
        <v>Investee Unit</v>
      </c>
      <c r="E10835" t="str">
        <f t="shared" si="169"/>
        <v>SROE006_00|Investee Unit</v>
      </c>
    </row>
    <row r="10836" spans="1:5" x14ac:dyDescent="0.2">
      <c r="A10836" t="s">
        <v>3206</v>
      </c>
      <c r="B10836" t="s">
        <v>3207</v>
      </c>
      <c r="C10836" t="s">
        <v>428</v>
      </c>
      <c r="D10836" t="str">
        <f>VLOOKUP(C10836,'lookup table'!$A$2:$B$19,2,FALSE)</f>
        <v>LoB</v>
      </c>
      <c r="E10836" t="str">
        <f t="shared" si="169"/>
        <v>SROE006_00|LoB</v>
      </c>
    </row>
    <row r="10837" spans="1:5" x14ac:dyDescent="0.2">
      <c r="A10837" t="s">
        <v>3206</v>
      </c>
      <c r="B10837" t="s">
        <v>3207</v>
      </c>
      <c r="C10837" t="s">
        <v>436</v>
      </c>
      <c r="D10837" t="str">
        <f>VLOOKUP(C10837,'lookup table'!$A$2:$B$19,2,FALSE)</f>
        <v>MAT</v>
      </c>
      <c r="E10837" t="str">
        <f t="shared" si="169"/>
        <v>SROE006_00|MAT</v>
      </c>
    </row>
    <row r="10838" spans="1:5" x14ac:dyDescent="0.2">
      <c r="A10838" t="s">
        <v>3206</v>
      </c>
      <c r="B10838" t="s">
        <v>3207</v>
      </c>
      <c r="C10838" t="s">
        <v>447</v>
      </c>
      <c r="D10838" t="str">
        <f>VLOOKUP(C10838,'lookup table'!$A$2:$B$19,2,FALSE)</f>
        <v>REX</v>
      </c>
      <c r="E10838" t="str">
        <f t="shared" si="169"/>
        <v>SROE006_00|REX</v>
      </c>
    </row>
    <row r="10839" spans="1:5" x14ac:dyDescent="0.2">
      <c r="A10839" t="s">
        <v>3206</v>
      </c>
      <c r="B10839" t="s">
        <v>3207</v>
      </c>
      <c r="C10839" t="s">
        <v>451</v>
      </c>
      <c r="D10839" t="str">
        <f>VLOOKUP(C10839,'lookup table'!$A$2:$B$19,2,FALSE)</f>
        <v>Segment</v>
      </c>
      <c r="E10839" t="str">
        <f t="shared" si="169"/>
        <v>SROE006_00|Segment</v>
      </c>
    </row>
    <row r="10840" spans="1:5" x14ac:dyDescent="0.2">
      <c r="A10840" t="s">
        <v>3206</v>
      </c>
      <c r="B10840" t="s">
        <v>3207</v>
      </c>
      <c r="C10840" t="s">
        <v>457</v>
      </c>
      <c r="D10840" t="str">
        <f>VLOOKUP(C10840,'lookup table'!$A$2:$B$19,2,FALSE)</f>
        <v>VLT</v>
      </c>
      <c r="E10840" t="str">
        <f t="shared" si="169"/>
        <v>SROE006_00|VLT</v>
      </c>
    </row>
    <row r="10841" spans="1:5" x14ac:dyDescent="0.2">
      <c r="A10841" t="s">
        <v>3206</v>
      </c>
      <c r="B10841" t="s">
        <v>3207</v>
      </c>
      <c r="C10841" t="s">
        <v>458</v>
      </c>
      <c r="D10841" t="str">
        <f>VLOOKUP(C10841,'lookup table'!$A$2:$B$19,2,FALSE)</f>
        <v>VAR</v>
      </c>
      <c r="E10841" t="str">
        <f t="shared" si="169"/>
        <v>SROE006_00|VAR</v>
      </c>
    </row>
    <row r="10842" spans="1:5" x14ac:dyDescent="0.2">
      <c r="A10842" t="s">
        <v>3208</v>
      </c>
      <c r="B10842" t="s">
        <v>3209</v>
      </c>
      <c r="C10842" t="s">
        <v>14</v>
      </c>
      <c r="D10842" t="str">
        <f>VLOOKUP(C10842,'lookup table'!$A$2:$B$19,2,FALSE)</f>
        <v>ALC</v>
      </c>
      <c r="E10842" t="str">
        <f t="shared" si="169"/>
        <v>SROE006_60|ALC</v>
      </c>
    </row>
    <row r="10843" spans="1:5" x14ac:dyDescent="0.2">
      <c r="A10843" t="s">
        <v>3208</v>
      </c>
      <c r="B10843" t="s">
        <v>3209</v>
      </c>
      <c r="C10843" t="s">
        <v>20</v>
      </c>
      <c r="D10843" t="str">
        <f>VLOOKUP(C10843,'lookup table'!$A$2:$B$19,2,FALSE)</f>
        <v>AY</v>
      </c>
      <c r="E10843" t="str">
        <f t="shared" si="169"/>
        <v>SROE006_60|AY</v>
      </c>
    </row>
    <row r="10844" spans="1:5" x14ac:dyDescent="0.2">
      <c r="A10844" t="s">
        <v>3208</v>
      </c>
      <c r="B10844" t="s">
        <v>3209</v>
      </c>
      <c r="C10844" t="s">
        <v>331</v>
      </c>
      <c r="D10844" t="str">
        <f>VLOOKUP(C10844,'lookup table'!$A$2:$B$19,2,FALSE)</f>
        <v>FS Item</v>
      </c>
      <c r="E10844" t="str">
        <f t="shared" si="169"/>
        <v>SROE006_60|FS Item</v>
      </c>
    </row>
    <row r="10845" spans="1:5" x14ac:dyDescent="0.2">
      <c r="A10845" t="s">
        <v>3208</v>
      </c>
      <c r="B10845" t="s">
        <v>3209</v>
      </c>
      <c r="C10845" t="s">
        <v>423</v>
      </c>
      <c r="D10845" t="str">
        <f>VLOOKUP(C10845,'lookup table'!$A$2:$B$19,2,FALSE)</f>
        <v>ignore</v>
      </c>
      <c r="E10845" t="str">
        <f t="shared" si="169"/>
        <v>SROE006_60|ignore</v>
      </c>
    </row>
    <row r="10846" spans="1:5" x14ac:dyDescent="0.2">
      <c r="A10846" t="s">
        <v>3208</v>
      </c>
      <c r="B10846" t="s">
        <v>3209</v>
      </c>
      <c r="C10846" t="s">
        <v>424</v>
      </c>
      <c r="D10846" t="str">
        <f>VLOOKUP(C10846,'lookup table'!$A$2:$B$19,2,FALSE)</f>
        <v>GRC</v>
      </c>
      <c r="E10846" t="str">
        <f t="shared" si="169"/>
        <v>SROE006_60|GRC</v>
      </c>
    </row>
    <row r="10847" spans="1:5" x14ac:dyDescent="0.2">
      <c r="A10847" t="s">
        <v>3208</v>
      </c>
      <c r="B10847" t="s">
        <v>3209</v>
      </c>
      <c r="C10847" t="s">
        <v>425</v>
      </c>
      <c r="D10847" t="str">
        <f>VLOOKUP(C10847,'lookup table'!$A$2:$B$19,2,FALSE)</f>
        <v>Investee Segment</v>
      </c>
      <c r="E10847" t="str">
        <f t="shared" si="169"/>
        <v>SROE006_60|Investee Segment</v>
      </c>
    </row>
    <row r="10848" spans="1:5" x14ac:dyDescent="0.2">
      <c r="A10848" t="s">
        <v>3208</v>
      </c>
      <c r="B10848" t="s">
        <v>3209</v>
      </c>
      <c r="C10848" t="s">
        <v>426</v>
      </c>
      <c r="D10848" t="str">
        <f>VLOOKUP(C10848,'lookup table'!$A$2:$B$19,2,FALSE)</f>
        <v>Investee Unit</v>
      </c>
      <c r="E10848" t="str">
        <f t="shared" si="169"/>
        <v>SROE006_60|Investee Unit</v>
      </c>
    </row>
    <row r="10849" spans="1:5" x14ac:dyDescent="0.2">
      <c r="A10849" t="s">
        <v>3208</v>
      </c>
      <c r="B10849" t="s">
        <v>3209</v>
      </c>
      <c r="C10849" t="s">
        <v>428</v>
      </c>
      <c r="D10849" t="str">
        <f>VLOOKUP(C10849,'lookup table'!$A$2:$B$19,2,FALSE)</f>
        <v>LoB</v>
      </c>
      <c r="E10849" t="str">
        <f t="shared" si="169"/>
        <v>SROE006_60|LoB</v>
      </c>
    </row>
    <row r="10850" spans="1:5" x14ac:dyDescent="0.2">
      <c r="A10850" t="s">
        <v>3208</v>
      </c>
      <c r="B10850" t="s">
        <v>3209</v>
      </c>
      <c r="C10850" t="s">
        <v>436</v>
      </c>
      <c r="D10850" t="str">
        <f>VLOOKUP(C10850,'lookup table'!$A$2:$B$19,2,FALSE)</f>
        <v>MAT</v>
      </c>
      <c r="E10850" t="str">
        <f t="shared" si="169"/>
        <v>SROE006_60|MAT</v>
      </c>
    </row>
    <row r="10851" spans="1:5" x14ac:dyDescent="0.2">
      <c r="A10851" t="s">
        <v>3208</v>
      </c>
      <c r="B10851" t="s">
        <v>3209</v>
      </c>
      <c r="C10851" t="s">
        <v>447</v>
      </c>
      <c r="D10851" t="str">
        <f>VLOOKUP(C10851,'lookup table'!$A$2:$B$19,2,FALSE)</f>
        <v>REX</v>
      </c>
      <c r="E10851" t="str">
        <f t="shared" si="169"/>
        <v>SROE006_60|REX</v>
      </c>
    </row>
    <row r="10852" spans="1:5" x14ac:dyDescent="0.2">
      <c r="A10852" t="s">
        <v>3208</v>
      </c>
      <c r="B10852" t="s">
        <v>3209</v>
      </c>
      <c r="C10852" t="s">
        <v>451</v>
      </c>
      <c r="D10852" t="str">
        <f>VLOOKUP(C10852,'lookup table'!$A$2:$B$19,2,FALSE)</f>
        <v>Segment</v>
      </c>
      <c r="E10852" t="str">
        <f t="shared" si="169"/>
        <v>SROE006_60|Segment</v>
      </c>
    </row>
    <row r="10853" spans="1:5" x14ac:dyDescent="0.2">
      <c r="A10853" t="s">
        <v>3208</v>
      </c>
      <c r="B10853" t="s">
        <v>3209</v>
      </c>
      <c r="C10853" t="s">
        <v>457</v>
      </c>
      <c r="D10853" t="str">
        <f>VLOOKUP(C10853,'lookup table'!$A$2:$B$19,2,FALSE)</f>
        <v>VLT</v>
      </c>
      <c r="E10853" t="str">
        <f t="shared" si="169"/>
        <v>SROE006_60|VLT</v>
      </c>
    </row>
    <row r="10854" spans="1:5" x14ac:dyDescent="0.2">
      <c r="A10854" t="s">
        <v>3208</v>
      </c>
      <c r="B10854" t="s">
        <v>3209</v>
      </c>
      <c r="C10854" t="s">
        <v>458</v>
      </c>
      <c r="D10854" t="str">
        <f>VLOOKUP(C10854,'lookup table'!$A$2:$B$19,2,FALSE)</f>
        <v>VAR</v>
      </c>
      <c r="E10854" t="str">
        <f t="shared" si="169"/>
        <v>SROE006_60|VAR</v>
      </c>
    </row>
    <row r="10855" spans="1:5" x14ac:dyDescent="0.2">
      <c r="A10855" t="s">
        <v>3210</v>
      </c>
      <c r="B10855" t="s">
        <v>3211</v>
      </c>
      <c r="C10855" t="s">
        <v>14</v>
      </c>
      <c r="D10855" t="str">
        <f>VLOOKUP(C10855,'lookup table'!$A$2:$B$19,2,FALSE)</f>
        <v>ALC</v>
      </c>
      <c r="E10855" t="str">
        <f t="shared" si="169"/>
        <v>SROE007_00|ALC</v>
      </c>
    </row>
    <row r="10856" spans="1:5" x14ac:dyDescent="0.2">
      <c r="A10856" t="s">
        <v>3210</v>
      </c>
      <c r="B10856" t="s">
        <v>3211</v>
      </c>
      <c r="C10856" t="s">
        <v>20</v>
      </c>
      <c r="D10856" t="str">
        <f>VLOOKUP(C10856,'lookup table'!$A$2:$B$19,2,FALSE)</f>
        <v>AY</v>
      </c>
      <c r="E10856" t="str">
        <f t="shared" si="169"/>
        <v>SROE007_00|AY</v>
      </c>
    </row>
    <row r="10857" spans="1:5" x14ac:dyDescent="0.2">
      <c r="A10857" t="s">
        <v>3210</v>
      </c>
      <c r="B10857" t="s">
        <v>3211</v>
      </c>
      <c r="C10857" t="s">
        <v>331</v>
      </c>
      <c r="D10857" t="str">
        <f>VLOOKUP(C10857,'lookup table'!$A$2:$B$19,2,FALSE)</f>
        <v>FS Item</v>
      </c>
      <c r="E10857" t="str">
        <f t="shared" si="169"/>
        <v>SROE007_00|FS Item</v>
      </c>
    </row>
    <row r="10858" spans="1:5" x14ac:dyDescent="0.2">
      <c r="A10858" t="s">
        <v>3210</v>
      </c>
      <c r="B10858" t="s">
        <v>3211</v>
      </c>
      <c r="C10858" t="s">
        <v>423</v>
      </c>
      <c r="D10858" t="str">
        <f>VLOOKUP(C10858,'lookup table'!$A$2:$B$19,2,FALSE)</f>
        <v>ignore</v>
      </c>
      <c r="E10858" t="str">
        <f t="shared" si="169"/>
        <v>SROE007_00|ignore</v>
      </c>
    </row>
    <row r="10859" spans="1:5" x14ac:dyDescent="0.2">
      <c r="A10859" t="s">
        <v>3210</v>
      </c>
      <c r="B10859" t="s">
        <v>3211</v>
      </c>
      <c r="C10859" t="s">
        <v>424</v>
      </c>
      <c r="D10859" t="str">
        <f>VLOOKUP(C10859,'lookup table'!$A$2:$B$19,2,FALSE)</f>
        <v>GRC</v>
      </c>
      <c r="E10859" t="str">
        <f t="shared" si="169"/>
        <v>SROE007_00|GRC</v>
      </c>
    </row>
    <row r="10860" spans="1:5" x14ac:dyDescent="0.2">
      <c r="A10860" t="s">
        <v>3210</v>
      </c>
      <c r="B10860" t="s">
        <v>3211</v>
      </c>
      <c r="C10860" t="s">
        <v>425</v>
      </c>
      <c r="D10860" t="str">
        <f>VLOOKUP(C10860,'lookup table'!$A$2:$B$19,2,FALSE)</f>
        <v>Investee Segment</v>
      </c>
      <c r="E10860" t="str">
        <f t="shared" si="169"/>
        <v>SROE007_00|Investee Segment</v>
      </c>
    </row>
    <row r="10861" spans="1:5" x14ac:dyDescent="0.2">
      <c r="A10861" t="s">
        <v>3210</v>
      </c>
      <c r="B10861" t="s">
        <v>3211</v>
      </c>
      <c r="C10861" t="s">
        <v>426</v>
      </c>
      <c r="D10861" t="str">
        <f>VLOOKUP(C10861,'lookup table'!$A$2:$B$19,2,FALSE)</f>
        <v>Investee Unit</v>
      </c>
      <c r="E10861" t="str">
        <f t="shared" si="169"/>
        <v>SROE007_00|Investee Unit</v>
      </c>
    </row>
    <row r="10862" spans="1:5" x14ac:dyDescent="0.2">
      <c r="A10862" t="s">
        <v>3210</v>
      </c>
      <c r="B10862" t="s">
        <v>3211</v>
      </c>
      <c r="C10862" t="s">
        <v>428</v>
      </c>
      <c r="D10862" t="str">
        <f>VLOOKUP(C10862,'lookup table'!$A$2:$B$19,2,FALSE)</f>
        <v>LoB</v>
      </c>
      <c r="E10862" t="str">
        <f t="shared" si="169"/>
        <v>SROE007_00|LoB</v>
      </c>
    </row>
    <row r="10863" spans="1:5" x14ac:dyDescent="0.2">
      <c r="A10863" t="s">
        <v>3210</v>
      </c>
      <c r="B10863" t="s">
        <v>3211</v>
      </c>
      <c r="C10863" t="s">
        <v>436</v>
      </c>
      <c r="D10863" t="str">
        <f>VLOOKUP(C10863,'lookup table'!$A$2:$B$19,2,FALSE)</f>
        <v>MAT</v>
      </c>
      <c r="E10863" t="str">
        <f t="shared" si="169"/>
        <v>SROE007_00|MAT</v>
      </c>
    </row>
    <row r="10864" spans="1:5" x14ac:dyDescent="0.2">
      <c r="A10864" t="s">
        <v>3210</v>
      </c>
      <c r="B10864" t="s">
        <v>3211</v>
      </c>
      <c r="C10864" t="s">
        <v>438</v>
      </c>
      <c r="D10864" t="str">
        <f>VLOOKUP(C10864,'lookup table'!$A$2:$B$19,2,FALSE)</f>
        <v>ToM</v>
      </c>
      <c r="E10864" t="str">
        <f t="shared" si="169"/>
        <v>SROE007_00|ToM</v>
      </c>
    </row>
    <row r="10865" spans="1:5" x14ac:dyDescent="0.2">
      <c r="A10865" t="s">
        <v>3210</v>
      </c>
      <c r="B10865" t="s">
        <v>3211</v>
      </c>
      <c r="C10865" t="s">
        <v>447</v>
      </c>
      <c r="D10865" t="str">
        <f>VLOOKUP(C10865,'lookup table'!$A$2:$B$19,2,FALSE)</f>
        <v>REX</v>
      </c>
      <c r="E10865" t="str">
        <f t="shared" si="169"/>
        <v>SROE007_00|REX</v>
      </c>
    </row>
    <row r="10866" spans="1:5" x14ac:dyDescent="0.2">
      <c r="A10866" t="s">
        <v>3210</v>
      </c>
      <c r="B10866" t="s">
        <v>3211</v>
      </c>
      <c r="C10866" t="s">
        <v>451</v>
      </c>
      <c r="D10866" t="str">
        <f>VLOOKUP(C10866,'lookup table'!$A$2:$B$19,2,FALSE)</f>
        <v>Segment</v>
      </c>
      <c r="E10866" t="str">
        <f t="shared" si="169"/>
        <v>SROE007_00|Segment</v>
      </c>
    </row>
    <row r="10867" spans="1:5" x14ac:dyDescent="0.2">
      <c r="A10867" t="s">
        <v>3210</v>
      </c>
      <c r="B10867" t="s">
        <v>3211</v>
      </c>
      <c r="C10867" t="s">
        <v>457</v>
      </c>
      <c r="D10867" t="str">
        <f>VLOOKUP(C10867,'lookup table'!$A$2:$B$19,2,FALSE)</f>
        <v>VLT</v>
      </c>
      <c r="E10867" t="str">
        <f t="shared" si="169"/>
        <v>SROE007_00|VLT</v>
      </c>
    </row>
    <row r="10868" spans="1:5" x14ac:dyDescent="0.2">
      <c r="A10868" t="s">
        <v>3210</v>
      </c>
      <c r="B10868" t="s">
        <v>3211</v>
      </c>
      <c r="C10868" t="s">
        <v>458</v>
      </c>
      <c r="D10868" t="str">
        <f>VLOOKUP(C10868,'lookup table'!$A$2:$B$19,2,FALSE)</f>
        <v>VAR</v>
      </c>
      <c r="E10868" t="str">
        <f t="shared" si="169"/>
        <v>SROE007_00|VAR</v>
      </c>
    </row>
    <row r="10869" spans="1:5" x14ac:dyDescent="0.2">
      <c r="A10869" t="s">
        <v>3212</v>
      </c>
      <c r="B10869" t="s">
        <v>3213</v>
      </c>
      <c r="C10869" t="s">
        <v>14</v>
      </c>
      <c r="D10869" t="str">
        <f>VLOOKUP(C10869,'lookup table'!$A$2:$B$19,2,FALSE)</f>
        <v>ALC</v>
      </c>
      <c r="E10869" t="str">
        <f t="shared" si="169"/>
        <v>SROE007_60|ALC</v>
      </c>
    </row>
    <row r="10870" spans="1:5" x14ac:dyDescent="0.2">
      <c r="A10870" t="s">
        <v>3212</v>
      </c>
      <c r="B10870" t="s">
        <v>3213</v>
      </c>
      <c r="C10870" t="s">
        <v>20</v>
      </c>
      <c r="D10870" t="str">
        <f>VLOOKUP(C10870,'lookup table'!$A$2:$B$19,2,FALSE)</f>
        <v>AY</v>
      </c>
      <c r="E10870" t="str">
        <f t="shared" si="169"/>
        <v>SROE007_60|AY</v>
      </c>
    </row>
    <row r="10871" spans="1:5" x14ac:dyDescent="0.2">
      <c r="A10871" t="s">
        <v>3212</v>
      </c>
      <c r="B10871" t="s">
        <v>3213</v>
      </c>
      <c r="C10871" t="s">
        <v>331</v>
      </c>
      <c r="D10871" t="str">
        <f>VLOOKUP(C10871,'lookup table'!$A$2:$B$19,2,FALSE)</f>
        <v>FS Item</v>
      </c>
      <c r="E10871" t="str">
        <f t="shared" si="169"/>
        <v>SROE007_60|FS Item</v>
      </c>
    </row>
    <row r="10872" spans="1:5" x14ac:dyDescent="0.2">
      <c r="A10872" t="s">
        <v>3212</v>
      </c>
      <c r="B10872" t="s">
        <v>3213</v>
      </c>
      <c r="C10872" t="s">
        <v>423</v>
      </c>
      <c r="D10872" t="str">
        <f>VLOOKUP(C10872,'lookup table'!$A$2:$B$19,2,FALSE)</f>
        <v>ignore</v>
      </c>
      <c r="E10872" t="str">
        <f t="shared" si="169"/>
        <v>SROE007_60|ignore</v>
      </c>
    </row>
    <row r="10873" spans="1:5" x14ac:dyDescent="0.2">
      <c r="A10873" t="s">
        <v>3212</v>
      </c>
      <c r="B10873" t="s">
        <v>3213</v>
      </c>
      <c r="C10873" t="s">
        <v>424</v>
      </c>
      <c r="D10873" t="str">
        <f>VLOOKUP(C10873,'lookup table'!$A$2:$B$19,2,FALSE)</f>
        <v>GRC</v>
      </c>
      <c r="E10873" t="str">
        <f t="shared" si="169"/>
        <v>SROE007_60|GRC</v>
      </c>
    </row>
    <row r="10874" spans="1:5" x14ac:dyDescent="0.2">
      <c r="A10874" t="s">
        <v>3212</v>
      </c>
      <c r="B10874" t="s">
        <v>3213</v>
      </c>
      <c r="C10874" t="s">
        <v>425</v>
      </c>
      <c r="D10874" t="str">
        <f>VLOOKUP(C10874,'lookup table'!$A$2:$B$19,2,FALSE)</f>
        <v>Investee Segment</v>
      </c>
      <c r="E10874" t="str">
        <f t="shared" si="169"/>
        <v>SROE007_60|Investee Segment</v>
      </c>
    </row>
    <row r="10875" spans="1:5" x14ac:dyDescent="0.2">
      <c r="A10875" t="s">
        <v>3212</v>
      </c>
      <c r="B10875" t="s">
        <v>3213</v>
      </c>
      <c r="C10875" t="s">
        <v>426</v>
      </c>
      <c r="D10875" t="str">
        <f>VLOOKUP(C10875,'lookup table'!$A$2:$B$19,2,FALSE)</f>
        <v>Investee Unit</v>
      </c>
      <c r="E10875" t="str">
        <f t="shared" si="169"/>
        <v>SROE007_60|Investee Unit</v>
      </c>
    </row>
    <row r="10876" spans="1:5" x14ac:dyDescent="0.2">
      <c r="A10876" t="s">
        <v>3212</v>
      </c>
      <c r="B10876" t="s">
        <v>3213</v>
      </c>
      <c r="C10876" t="s">
        <v>428</v>
      </c>
      <c r="D10876" t="str">
        <f>VLOOKUP(C10876,'lookup table'!$A$2:$B$19,2,FALSE)</f>
        <v>LoB</v>
      </c>
      <c r="E10876" t="str">
        <f t="shared" si="169"/>
        <v>SROE007_60|LoB</v>
      </c>
    </row>
    <row r="10877" spans="1:5" x14ac:dyDescent="0.2">
      <c r="A10877" t="s">
        <v>3212</v>
      </c>
      <c r="B10877" t="s">
        <v>3213</v>
      </c>
      <c r="C10877" t="s">
        <v>436</v>
      </c>
      <c r="D10877" t="str">
        <f>VLOOKUP(C10877,'lookup table'!$A$2:$B$19,2,FALSE)</f>
        <v>MAT</v>
      </c>
      <c r="E10877" t="str">
        <f t="shared" si="169"/>
        <v>SROE007_60|MAT</v>
      </c>
    </row>
    <row r="10878" spans="1:5" x14ac:dyDescent="0.2">
      <c r="A10878" t="s">
        <v>3212</v>
      </c>
      <c r="B10878" t="s">
        <v>3213</v>
      </c>
      <c r="C10878" t="s">
        <v>438</v>
      </c>
      <c r="D10878" t="str">
        <f>VLOOKUP(C10878,'lookup table'!$A$2:$B$19,2,FALSE)</f>
        <v>ToM</v>
      </c>
      <c r="E10878" t="str">
        <f t="shared" si="169"/>
        <v>SROE007_60|ToM</v>
      </c>
    </row>
    <row r="10879" spans="1:5" x14ac:dyDescent="0.2">
      <c r="A10879" t="s">
        <v>3212</v>
      </c>
      <c r="B10879" t="s">
        <v>3213</v>
      </c>
      <c r="C10879" t="s">
        <v>447</v>
      </c>
      <c r="D10879" t="str">
        <f>VLOOKUP(C10879,'lookup table'!$A$2:$B$19,2,FALSE)</f>
        <v>REX</v>
      </c>
      <c r="E10879" t="str">
        <f t="shared" si="169"/>
        <v>SROE007_60|REX</v>
      </c>
    </row>
    <row r="10880" spans="1:5" x14ac:dyDescent="0.2">
      <c r="A10880" t="s">
        <v>3212</v>
      </c>
      <c r="B10880" t="s">
        <v>3213</v>
      </c>
      <c r="C10880" t="s">
        <v>451</v>
      </c>
      <c r="D10880" t="str">
        <f>VLOOKUP(C10880,'lookup table'!$A$2:$B$19,2,FALSE)</f>
        <v>Segment</v>
      </c>
      <c r="E10880" t="str">
        <f t="shared" si="169"/>
        <v>SROE007_60|Segment</v>
      </c>
    </row>
    <row r="10881" spans="1:5" x14ac:dyDescent="0.2">
      <c r="A10881" t="s">
        <v>3212</v>
      </c>
      <c r="B10881" t="s">
        <v>3213</v>
      </c>
      <c r="C10881" t="s">
        <v>457</v>
      </c>
      <c r="D10881" t="str">
        <f>VLOOKUP(C10881,'lookup table'!$A$2:$B$19,2,FALSE)</f>
        <v>VLT</v>
      </c>
      <c r="E10881" t="str">
        <f t="shared" si="169"/>
        <v>SROE007_60|VLT</v>
      </c>
    </row>
    <row r="10882" spans="1:5" x14ac:dyDescent="0.2">
      <c r="A10882" t="s">
        <v>3212</v>
      </c>
      <c r="B10882" t="s">
        <v>3213</v>
      </c>
      <c r="C10882" t="s">
        <v>458</v>
      </c>
      <c r="D10882" t="str">
        <f>VLOOKUP(C10882,'lookup table'!$A$2:$B$19,2,FALSE)</f>
        <v>VAR</v>
      </c>
      <c r="E10882" t="str">
        <f t="shared" si="169"/>
        <v>SROE007_60|VAR</v>
      </c>
    </row>
    <row r="10883" spans="1:5" x14ac:dyDescent="0.2">
      <c r="A10883" t="s">
        <v>3214</v>
      </c>
      <c r="B10883" t="s">
        <v>3215</v>
      </c>
      <c r="C10883" t="s">
        <v>14</v>
      </c>
      <c r="D10883" t="str">
        <f>VLOOKUP(C10883,'lookup table'!$A$2:$B$19,2,FALSE)</f>
        <v>ALC</v>
      </c>
      <c r="E10883" t="str">
        <f t="shared" ref="E10883:E10946" si="170">IF(ISNA(D10883),"",IF(A10883="","",A10883) &amp; "|" &amp; D10883)</f>
        <v>SROE008_00|ALC</v>
      </c>
    </row>
    <row r="10884" spans="1:5" x14ac:dyDescent="0.2">
      <c r="A10884" t="s">
        <v>3214</v>
      </c>
      <c r="B10884" t="s">
        <v>3215</v>
      </c>
      <c r="C10884" t="s">
        <v>20</v>
      </c>
      <c r="D10884" t="str">
        <f>VLOOKUP(C10884,'lookup table'!$A$2:$B$19,2,FALSE)</f>
        <v>AY</v>
      </c>
      <c r="E10884" t="str">
        <f t="shared" si="170"/>
        <v>SROE008_00|AY</v>
      </c>
    </row>
    <row r="10885" spans="1:5" x14ac:dyDescent="0.2">
      <c r="A10885" t="s">
        <v>3214</v>
      </c>
      <c r="B10885" t="s">
        <v>3215</v>
      </c>
      <c r="C10885" t="s">
        <v>331</v>
      </c>
      <c r="D10885" t="str">
        <f>VLOOKUP(C10885,'lookup table'!$A$2:$B$19,2,FALSE)</f>
        <v>FS Item</v>
      </c>
      <c r="E10885" t="str">
        <f t="shared" si="170"/>
        <v>SROE008_00|FS Item</v>
      </c>
    </row>
    <row r="10886" spans="1:5" x14ac:dyDescent="0.2">
      <c r="A10886" t="s">
        <v>3214</v>
      </c>
      <c r="B10886" t="s">
        <v>3215</v>
      </c>
      <c r="C10886" t="s">
        <v>423</v>
      </c>
      <c r="D10886" t="str">
        <f>VLOOKUP(C10886,'lookup table'!$A$2:$B$19,2,FALSE)</f>
        <v>ignore</v>
      </c>
      <c r="E10886" t="str">
        <f t="shared" si="170"/>
        <v>SROE008_00|ignore</v>
      </c>
    </row>
    <row r="10887" spans="1:5" x14ac:dyDescent="0.2">
      <c r="A10887" t="s">
        <v>3214</v>
      </c>
      <c r="B10887" t="s">
        <v>3215</v>
      </c>
      <c r="C10887" t="s">
        <v>424</v>
      </c>
      <c r="D10887" t="str">
        <f>VLOOKUP(C10887,'lookup table'!$A$2:$B$19,2,FALSE)</f>
        <v>GRC</v>
      </c>
      <c r="E10887" t="str">
        <f t="shared" si="170"/>
        <v>SROE008_00|GRC</v>
      </c>
    </row>
    <row r="10888" spans="1:5" x14ac:dyDescent="0.2">
      <c r="A10888" t="s">
        <v>3214</v>
      </c>
      <c r="B10888" t="s">
        <v>3215</v>
      </c>
      <c r="C10888" t="s">
        <v>425</v>
      </c>
      <c r="D10888" t="str">
        <f>VLOOKUP(C10888,'lookup table'!$A$2:$B$19,2,FALSE)</f>
        <v>Investee Segment</v>
      </c>
      <c r="E10888" t="str">
        <f t="shared" si="170"/>
        <v>SROE008_00|Investee Segment</v>
      </c>
    </row>
    <row r="10889" spans="1:5" x14ac:dyDescent="0.2">
      <c r="A10889" t="s">
        <v>3214</v>
      </c>
      <c r="B10889" t="s">
        <v>3215</v>
      </c>
      <c r="C10889" t="s">
        <v>426</v>
      </c>
      <c r="D10889" t="str">
        <f>VLOOKUP(C10889,'lookup table'!$A$2:$B$19,2,FALSE)</f>
        <v>Investee Unit</v>
      </c>
      <c r="E10889" t="str">
        <f t="shared" si="170"/>
        <v>SROE008_00|Investee Unit</v>
      </c>
    </row>
    <row r="10890" spans="1:5" x14ac:dyDescent="0.2">
      <c r="A10890" t="s">
        <v>3214</v>
      </c>
      <c r="B10890" t="s">
        <v>3215</v>
      </c>
      <c r="C10890" t="s">
        <v>428</v>
      </c>
      <c r="D10890" t="str">
        <f>VLOOKUP(C10890,'lookup table'!$A$2:$B$19,2,FALSE)</f>
        <v>LoB</v>
      </c>
      <c r="E10890" t="str">
        <f t="shared" si="170"/>
        <v>SROE008_00|LoB</v>
      </c>
    </row>
    <row r="10891" spans="1:5" x14ac:dyDescent="0.2">
      <c r="A10891" t="s">
        <v>3214</v>
      </c>
      <c r="B10891" t="s">
        <v>3215</v>
      </c>
      <c r="C10891" t="s">
        <v>436</v>
      </c>
      <c r="D10891" t="str">
        <f>VLOOKUP(C10891,'lookup table'!$A$2:$B$19,2,FALSE)</f>
        <v>MAT</v>
      </c>
      <c r="E10891" t="str">
        <f t="shared" si="170"/>
        <v>SROE008_00|MAT</v>
      </c>
    </row>
    <row r="10892" spans="1:5" x14ac:dyDescent="0.2">
      <c r="A10892" t="s">
        <v>3214</v>
      </c>
      <c r="B10892" t="s">
        <v>3215</v>
      </c>
      <c r="C10892" t="s">
        <v>438</v>
      </c>
      <c r="D10892" t="str">
        <f>VLOOKUP(C10892,'lookup table'!$A$2:$B$19,2,FALSE)</f>
        <v>ToM</v>
      </c>
      <c r="E10892" t="str">
        <f t="shared" si="170"/>
        <v>SROE008_00|ToM</v>
      </c>
    </row>
    <row r="10893" spans="1:5" x14ac:dyDescent="0.2">
      <c r="A10893" t="s">
        <v>3214</v>
      </c>
      <c r="B10893" t="s">
        <v>3215</v>
      </c>
      <c r="C10893" t="s">
        <v>447</v>
      </c>
      <c r="D10893" t="str">
        <f>VLOOKUP(C10893,'lookup table'!$A$2:$B$19,2,FALSE)</f>
        <v>REX</v>
      </c>
      <c r="E10893" t="str">
        <f t="shared" si="170"/>
        <v>SROE008_00|REX</v>
      </c>
    </row>
    <row r="10894" spans="1:5" x14ac:dyDescent="0.2">
      <c r="A10894" t="s">
        <v>3214</v>
      </c>
      <c r="B10894" t="s">
        <v>3215</v>
      </c>
      <c r="C10894" t="s">
        <v>451</v>
      </c>
      <c r="D10894" t="str">
        <f>VLOOKUP(C10894,'lookup table'!$A$2:$B$19,2,FALSE)</f>
        <v>Segment</v>
      </c>
      <c r="E10894" t="str">
        <f t="shared" si="170"/>
        <v>SROE008_00|Segment</v>
      </c>
    </row>
    <row r="10895" spans="1:5" x14ac:dyDescent="0.2">
      <c r="A10895" t="s">
        <v>3214</v>
      </c>
      <c r="B10895" t="s">
        <v>3215</v>
      </c>
      <c r="C10895" t="s">
        <v>457</v>
      </c>
      <c r="D10895" t="str">
        <f>VLOOKUP(C10895,'lookup table'!$A$2:$B$19,2,FALSE)</f>
        <v>VLT</v>
      </c>
      <c r="E10895" t="str">
        <f t="shared" si="170"/>
        <v>SROE008_00|VLT</v>
      </c>
    </row>
    <row r="10896" spans="1:5" x14ac:dyDescent="0.2">
      <c r="A10896" t="s">
        <v>3214</v>
      </c>
      <c r="B10896" t="s">
        <v>3215</v>
      </c>
      <c r="C10896" t="s">
        <v>458</v>
      </c>
      <c r="D10896" t="str">
        <f>VLOOKUP(C10896,'lookup table'!$A$2:$B$19,2,FALSE)</f>
        <v>VAR</v>
      </c>
      <c r="E10896" t="str">
        <f t="shared" si="170"/>
        <v>SROE008_00|VAR</v>
      </c>
    </row>
    <row r="10897" spans="1:5" x14ac:dyDescent="0.2">
      <c r="A10897" t="s">
        <v>3216</v>
      </c>
      <c r="B10897" t="s">
        <v>3217</v>
      </c>
      <c r="C10897" t="s">
        <v>14</v>
      </c>
      <c r="D10897" t="str">
        <f>VLOOKUP(C10897,'lookup table'!$A$2:$B$19,2,FALSE)</f>
        <v>ALC</v>
      </c>
      <c r="E10897" t="str">
        <f t="shared" si="170"/>
        <v>SROE009_00|ALC</v>
      </c>
    </row>
    <row r="10898" spans="1:5" x14ac:dyDescent="0.2">
      <c r="A10898" t="s">
        <v>3216</v>
      </c>
      <c r="B10898" t="s">
        <v>3217</v>
      </c>
      <c r="C10898" t="s">
        <v>20</v>
      </c>
      <c r="D10898" t="str">
        <f>VLOOKUP(C10898,'lookup table'!$A$2:$B$19,2,FALSE)</f>
        <v>AY</v>
      </c>
      <c r="E10898" t="str">
        <f t="shared" si="170"/>
        <v>SROE009_00|AY</v>
      </c>
    </row>
    <row r="10899" spans="1:5" x14ac:dyDescent="0.2">
      <c r="A10899" t="s">
        <v>3216</v>
      </c>
      <c r="B10899" t="s">
        <v>3217</v>
      </c>
      <c r="C10899" t="s">
        <v>331</v>
      </c>
      <c r="D10899" t="str">
        <f>VLOOKUP(C10899,'lookup table'!$A$2:$B$19,2,FALSE)</f>
        <v>FS Item</v>
      </c>
      <c r="E10899" t="str">
        <f t="shared" si="170"/>
        <v>SROE009_00|FS Item</v>
      </c>
    </row>
    <row r="10900" spans="1:5" x14ac:dyDescent="0.2">
      <c r="A10900" t="s">
        <v>3216</v>
      </c>
      <c r="B10900" t="s">
        <v>3217</v>
      </c>
      <c r="C10900" t="s">
        <v>423</v>
      </c>
      <c r="D10900" t="str">
        <f>VLOOKUP(C10900,'lookup table'!$A$2:$B$19,2,FALSE)</f>
        <v>ignore</v>
      </c>
      <c r="E10900" t="str">
        <f t="shared" si="170"/>
        <v>SROE009_00|ignore</v>
      </c>
    </row>
    <row r="10901" spans="1:5" x14ac:dyDescent="0.2">
      <c r="A10901" t="s">
        <v>3216</v>
      </c>
      <c r="B10901" t="s">
        <v>3217</v>
      </c>
      <c r="C10901" t="s">
        <v>424</v>
      </c>
      <c r="D10901" t="str">
        <f>VLOOKUP(C10901,'lookup table'!$A$2:$B$19,2,FALSE)</f>
        <v>GRC</v>
      </c>
      <c r="E10901" t="str">
        <f t="shared" si="170"/>
        <v>SROE009_00|GRC</v>
      </c>
    </row>
    <row r="10902" spans="1:5" x14ac:dyDescent="0.2">
      <c r="A10902" t="s">
        <v>3216</v>
      </c>
      <c r="B10902" t="s">
        <v>3217</v>
      </c>
      <c r="C10902" t="s">
        <v>425</v>
      </c>
      <c r="D10902" t="str">
        <f>VLOOKUP(C10902,'lookup table'!$A$2:$B$19,2,FALSE)</f>
        <v>Investee Segment</v>
      </c>
      <c r="E10902" t="str">
        <f t="shared" si="170"/>
        <v>SROE009_00|Investee Segment</v>
      </c>
    </row>
    <row r="10903" spans="1:5" x14ac:dyDescent="0.2">
      <c r="A10903" t="s">
        <v>3216</v>
      </c>
      <c r="B10903" t="s">
        <v>3217</v>
      </c>
      <c r="C10903" t="s">
        <v>426</v>
      </c>
      <c r="D10903" t="str">
        <f>VLOOKUP(C10903,'lookup table'!$A$2:$B$19,2,FALSE)</f>
        <v>Investee Unit</v>
      </c>
      <c r="E10903" t="str">
        <f t="shared" si="170"/>
        <v>SROE009_00|Investee Unit</v>
      </c>
    </row>
    <row r="10904" spans="1:5" x14ac:dyDescent="0.2">
      <c r="A10904" t="s">
        <v>3216</v>
      </c>
      <c r="B10904" t="s">
        <v>3217</v>
      </c>
      <c r="C10904" t="s">
        <v>428</v>
      </c>
      <c r="D10904" t="str">
        <f>VLOOKUP(C10904,'lookup table'!$A$2:$B$19,2,FALSE)</f>
        <v>LoB</v>
      </c>
      <c r="E10904" t="str">
        <f t="shared" si="170"/>
        <v>SROE009_00|LoB</v>
      </c>
    </row>
    <row r="10905" spans="1:5" x14ac:dyDescent="0.2">
      <c r="A10905" t="s">
        <v>3216</v>
      </c>
      <c r="B10905" t="s">
        <v>3217</v>
      </c>
      <c r="C10905" t="s">
        <v>436</v>
      </c>
      <c r="D10905" t="str">
        <f>VLOOKUP(C10905,'lookup table'!$A$2:$B$19,2,FALSE)</f>
        <v>MAT</v>
      </c>
      <c r="E10905" t="str">
        <f t="shared" si="170"/>
        <v>SROE009_00|MAT</v>
      </c>
    </row>
    <row r="10906" spans="1:5" x14ac:dyDescent="0.2">
      <c r="A10906" t="s">
        <v>3216</v>
      </c>
      <c r="B10906" t="s">
        <v>3217</v>
      </c>
      <c r="C10906" t="s">
        <v>438</v>
      </c>
      <c r="D10906" t="str">
        <f>VLOOKUP(C10906,'lookup table'!$A$2:$B$19,2,FALSE)</f>
        <v>ToM</v>
      </c>
      <c r="E10906" t="str">
        <f t="shared" si="170"/>
        <v>SROE009_00|ToM</v>
      </c>
    </row>
    <row r="10907" spans="1:5" x14ac:dyDescent="0.2">
      <c r="A10907" t="s">
        <v>3216</v>
      </c>
      <c r="B10907" t="s">
        <v>3217</v>
      </c>
      <c r="C10907" t="s">
        <v>447</v>
      </c>
      <c r="D10907" t="str">
        <f>VLOOKUP(C10907,'lookup table'!$A$2:$B$19,2,FALSE)</f>
        <v>REX</v>
      </c>
      <c r="E10907" t="str">
        <f t="shared" si="170"/>
        <v>SROE009_00|REX</v>
      </c>
    </row>
    <row r="10908" spans="1:5" x14ac:dyDescent="0.2">
      <c r="A10908" t="s">
        <v>3216</v>
      </c>
      <c r="B10908" t="s">
        <v>3217</v>
      </c>
      <c r="C10908" t="s">
        <v>451</v>
      </c>
      <c r="D10908" t="str">
        <f>VLOOKUP(C10908,'lookup table'!$A$2:$B$19,2,FALSE)</f>
        <v>Segment</v>
      </c>
      <c r="E10908" t="str">
        <f t="shared" si="170"/>
        <v>SROE009_00|Segment</v>
      </c>
    </row>
    <row r="10909" spans="1:5" x14ac:dyDescent="0.2">
      <c r="A10909" t="s">
        <v>3216</v>
      </c>
      <c r="B10909" t="s">
        <v>3217</v>
      </c>
      <c r="C10909" t="s">
        <v>457</v>
      </c>
      <c r="D10909" t="str">
        <f>VLOOKUP(C10909,'lookup table'!$A$2:$B$19,2,FALSE)</f>
        <v>VLT</v>
      </c>
      <c r="E10909" t="str">
        <f t="shared" si="170"/>
        <v>SROE009_00|VLT</v>
      </c>
    </row>
    <row r="10910" spans="1:5" x14ac:dyDescent="0.2">
      <c r="A10910" t="s">
        <v>3216</v>
      </c>
      <c r="B10910" t="s">
        <v>3217</v>
      </c>
      <c r="C10910" t="s">
        <v>458</v>
      </c>
      <c r="D10910" t="str">
        <f>VLOOKUP(C10910,'lookup table'!$A$2:$B$19,2,FALSE)</f>
        <v>VAR</v>
      </c>
      <c r="E10910" t="str">
        <f t="shared" si="170"/>
        <v>SROE009_00|VAR</v>
      </c>
    </row>
    <row r="10911" spans="1:5" x14ac:dyDescent="0.2">
      <c r="A10911" t="s">
        <v>3218</v>
      </c>
      <c r="B10911" t="s">
        <v>3219</v>
      </c>
      <c r="C10911" t="s">
        <v>14</v>
      </c>
      <c r="D10911" t="str">
        <f>VLOOKUP(C10911,'lookup table'!$A$2:$B$19,2,FALSE)</f>
        <v>ALC</v>
      </c>
      <c r="E10911" t="str">
        <f t="shared" si="170"/>
        <v>SROE009_60|ALC</v>
      </c>
    </row>
    <row r="10912" spans="1:5" x14ac:dyDescent="0.2">
      <c r="A10912" t="s">
        <v>3218</v>
      </c>
      <c r="B10912" t="s">
        <v>3219</v>
      </c>
      <c r="C10912" t="s">
        <v>20</v>
      </c>
      <c r="D10912" t="str">
        <f>VLOOKUP(C10912,'lookup table'!$A$2:$B$19,2,FALSE)</f>
        <v>AY</v>
      </c>
      <c r="E10912" t="str">
        <f t="shared" si="170"/>
        <v>SROE009_60|AY</v>
      </c>
    </row>
    <row r="10913" spans="1:5" x14ac:dyDescent="0.2">
      <c r="A10913" t="s">
        <v>3218</v>
      </c>
      <c r="B10913" t="s">
        <v>3219</v>
      </c>
      <c r="C10913" t="s">
        <v>331</v>
      </c>
      <c r="D10913" t="str">
        <f>VLOOKUP(C10913,'lookup table'!$A$2:$B$19,2,FALSE)</f>
        <v>FS Item</v>
      </c>
      <c r="E10913" t="str">
        <f t="shared" si="170"/>
        <v>SROE009_60|FS Item</v>
      </c>
    </row>
    <row r="10914" spans="1:5" x14ac:dyDescent="0.2">
      <c r="A10914" t="s">
        <v>3218</v>
      </c>
      <c r="B10914" t="s">
        <v>3219</v>
      </c>
      <c r="C10914" t="s">
        <v>423</v>
      </c>
      <c r="D10914" t="str">
        <f>VLOOKUP(C10914,'lookup table'!$A$2:$B$19,2,FALSE)</f>
        <v>ignore</v>
      </c>
      <c r="E10914" t="str">
        <f t="shared" si="170"/>
        <v>SROE009_60|ignore</v>
      </c>
    </row>
    <row r="10915" spans="1:5" x14ac:dyDescent="0.2">
      <c r="A10915" t="s">
        <v>3218</v>
      </c>
      <c r="B10915" t="s">
        <v>3219</v>
      </c>
      <c r="C10915" t="s">
        <v>424</v>
      </c>
      <c r="D10915" t="str">
        <f>VLOOKUP(C10915,'lookup table'!$A$2:$B$19,2,FALSE)</f>
        <v>GRC</v>
      </c>
      <c r="E10915" t="str">
        <f t="shared" si="170"/>
        <v>SROE009_60|GRC</v>
      </c>
    </row>
    <row r="10916" spans="1:5" x14ac:dyDescent="0.2">
      <c r="A10916" t="s">
        <v>3218</v>
      </c>
      <c r="B10916" t="s">
        <v>3219</v>
      </c>
      <c r="C10916" t="s">
        <v>425</v>
      </c>
      <c r="D10916" t="str">
        <f>VLOOKUP(C10916,'lookup table'!$A$2:$B$19,2,FALSE)</f>
        <v>Investee Segment</v>
      </c>
      <c r="E10916" t="str">
        <f t="shared" si="170"/>
        <v>SROE009_60|Investee Segment</v>
      </c>
    </row>
    <row r="10917" spans="1:5" x14ac:dyDescent="0.2">
      <c r="A10917" t="s">
        <v>3218</v>
      </c>
      <c r="B10917" t="s">
        <v>3219</v>
      </c>
      <c r="C10917" t="s">
        <v>426</v>
      </c>
      <c r="D10917" t="str">
        <f>VLOOKUP(C10917,'lookup table'!$A$2:$B$19,2,FALSE)</f>
        <v>Investee Unit</v>
      </c>
      <c r="E10917" t="str">
        <f t="shared" si="170"/>
        <v>SROE009_60|Investee Unit</v>
      </c>
    </row>
    <row r="10918" spans="1:5" x14ac:dyDescent="0.2">
      <c r="A10918" t="s">
        <v>3218</v>
      </c>
      <c r="B10918" t="s">
        <v>3219</v>
      </c>
      <c r="C10918" t="s">
        <v>428</v>
      </c>
      <c r="D10918" t="str">
        <f>VLOOKUP(C10918,'lookup table'!$A$2:$B$19,2,FALSE)</f>
        <v>LoB</v>
      </c>
      <c r="E10918" t="str">
        <f t="shared" si="170"/>
        <v>SROE009_60|LoB</v>
      </c>
    </row>
    <row r="10919" spans="1:5" x14ac:dyDescent="0.2">
      <c r="A10919" t="s">
        <v>3218</v>
      </c>
      <c r="B10919" t="s">
        <v>3219</v>
      </c>
      <c r="C10919" t="s">
        <v>436</v>
      </c>
      <c r="D10919" t="str">
        <f>VLOOKUP(C10919,'lookup table'!$A$2:$B$19,2,FALSE)</f>
        <v>MAT</v>
      </c>
      <c r="E10919" t="str">
        <f t="shared" si="170"/>
        <v>SROE009_60|MAT</v>
      </c>
    </row>
    <row r="10920" spans="1:5" x14ac:dyDescent="0.2">
      <c r="A10920" t="s">
        <v>3218</v>
      </c>
      <c r="B10920" t="s">
        <v>3219</v>
      </c>
      <c r="C10920" t="s">
        <v>438</v>
      </c>
      <c r="D10920" t="str">
        <f>VLOOKUP(C10920,'lookup table'!$A$2:$B$19,2,FALSE)</f>
        <v>ToM</v>
      </c>
      <c r="E10920" t="str">
        <f t="shared" si="170"/>
        <v>SROE009_60|ToM</v>
      </c>
    </row>
    <row r="10921" spans="1:5" x14ac:dyDescent="0.2">
      <c r="A10921" t="s">
        <v>3218</v>
      </c>
      <c r="B10921" t="s">
        <v>3219</v>
      </c>
      <c r="C10921" t="s">
        <v>447</v>
      </c>
      <c r="D10921" t="str">
        <f>VLOOKUP(C10921,'lookup table'!$A$2:$B$19,2,FALSE)</f>
        <v>REX</v>
      </c>
      <c r="E10921" t="str">
        <f t="shared" si="170"/>
        <v>SROE009_60|REX</v>
      </c>
    </row>
    <row r="10922" spans="1:5" x14ac:dyDescent="0.2">
      <c r="A10922" t="s">
        <v>3218</v>
      </c>
      <c r="B10922" t="s">
        <v>3219</v>
      </c>
      <c r="C10922" t="s">
        <v>451</v>
      </c>
      <c r="D10922" t="str">
        <f>VLOOKUP(C10922,'lookup table'!$A$2:$B$19,2,FALSE)</f>
        <v>Segment</v>
      </c>
      <c r="E10922" t="str">
        <f t="shared" si="170"/>
        <v>SROE009_60|Segment</v>
      </c>
    </row>
    <row r="10923" spans="1:5" x14ac:dyDescent="0.2">
      <c r="A10923" t="s">
        <v>3218</v>
      </c>
      <c r="B10923" t="s">
        <v>3219</v>
      </c>
      <c r="C10923" t="s">
        <v>457</v>
      </c>
      <c r="D10923" t="str">
        <f>VLOOKUP(C10923,'lookup table'!$A$2:$B$19,2,FALSE)</f>
        <v>VLT</v>
      </c>
      <c r="E10923" t="str">
        <f t="shared" si="170"/>
        <v>SROE009_60|VLT</v>
      </c>
    </row>
    <row r="10924" spans="1:5" x14ac:dyDescent="0.2">
      <c r="A10924" t="s">
        <v>3218</v>
      </c>
      <c r="B10924" t="s">
        <v>3219</v>
      </c>
      <c r="C10924" t="s">
        <v>458</v>
      </c>
      <c r="D10924" t="str">
        <f>VLOOKUP(C10924,'lookup table'!$A$2:$B$19,2,FALSE)</f>
        <v>VAR</v>
      </c>
      <c r="E10924" t="str">
        <f t="shared" si="170"/>
        <v>SROE009_60|VAR</v>
      </c>
    </row>
    <row r="10925" spans="1:5" x14ac:dyDescent="0.2">
      <c r="A10925" t="s">
        <v>3220</v>
      </c>
      <c r="B10925" t="s">
        <v>3221</v>
      </c>
      <c r="C10925" t="s">
        <v>14</v>
      </c>
      <c r="D10925" t="str">
        <f>VLOOKUP(C10925,'lookup table'!$A$2:$B$19,2,FALSE)</f>
        <v>ALC</v>
      </c>
      <c r="E10925" t="str">
        <f t="shared" si="170"/>
        <v>SROE010_00|ALC</v>
      </c>
    </row>
    <row r="10926" spans="1:5" x14ac:dyDescent="0.2">
      <c r="A10926" t="s">
        <v>3220</v>
      </c>
      <c r="B10926" t="s">
        <v>3221</v>
      </c>
      <c r="C10926" t="s">
        <v>20</v>
      </c>
      <c r="D10926" t="str">
        <f>VLOOKUP(C10926,'lookup table'!$A$2:$B$19,2,FALSE)</f>
        <v>AY</v>
      </c>
      <c r="E10926" t="str">
        <f t="shared" si="170"/>
        <v>SROE010_00|AY</v>
      </c>
    </row>
    <row r="10927" spans="1:5" x14ac:dyDescent="0.2">
      <c r="A10927" t="s">
        <v>3220</v>
      </c>
      <c r="B10927" t="s">
        <v>3221</v>
      </c>
      <c r="C10927" t="s">
        <v>331</v>
      </c>
      <c r="D10927" t="str">
        <f>VLOOKUP(C10927,'lookup table'!$A$2:$B$19,2,FALSE)</f>
        <v>FS Item</v>
      </c>
      <c r="E10927" t="str">
        <f t="shared" si="170"/>
        <v>SROE010_00|FS Item</v>
      </c>
    </row>
    <row r="10928" spans="1:5" x14ac:dyDescent="0.2">
      <c r="A10928" t="s">
        <v>3220</v>
      </c>
      <c r="B10928" t="s">
        <v>3221</v>
      </c>
      <c r="C10928" t="s">
        <v>423</v>
      </c>
      <c r="D10928" t="str">
        <f>VLOOKUP(C10928,'lookup table'!$A$2:$B$19,2,FALSE)</f>
        <v>ignore</v>
      </c>
      <c r="E10928" t="str">
        <f t="shared" si="170"/>
        <v>SROE010_00|ignore</v>
      </c>
    </row>
    <row r="10929" spans="1:5" x14ac:dyDescent="0.2">
      <c r="A10929" t="s">
        <v>3220</v>
      </c>
      <c r="B10929" t="s">
        <v>3221</v>
      </c>
      <c r="C10929" t="s">
        <v>424</v>
      </c>
      <c r="D10929" t="str">
        <f>VLOOKUP(C10929,'lookup table'!$A$2:$B$19,2,FALSE)</f>
        <v>GRC</v>
      </c>
      <c r="E10929" t="str">
        <f t="shared" si="170"/>
        <v>SROE010_00|GRC</v>
      </c>
    </row>
    <row r="10930" spans="1:5" x14ac:dyDescent="0.2">
      <c r="A10930" t="s">
        <v>3220</v>
      </c>
      <c r="B10930" t="s">
        <v>3221</v>
      </c>
      <c r="C10930" t="s">
        <v>425</v>
      </c>
      <c r="D10930" t="str">
        <f>VLOOKUP(C10930,'lookup table'!$A$2:$B$19,2,FALSE)</f>
        <v>Investee Segment</v>
      </c>
      <c r="E10930" t="str">
        <f t="shared" si="170"/>
        <v>SROE010_00|Investee Segment</v>
      </c>
    </row>
    <row r="10931" spans="1:5" x14ac:dyDescent="0.2">
      <c r="A10931" t="s">
        <v>3220</v>
      </c>
      <c r="B10931" t="s">
        <v>3221</v>
      </c>
      <c r="C10931" t="s">
        <v>426</v>
      </c>
      <c r="D10931" t="str">
        <f>VLOOKUP(C10931,'lookup table'!$A$2:$B$19,2,FALSE)</f>
        <v>Investee Unit</v>
      </c>
      <c r="E10931" t="str">
        <f t="shared" si="170"/>
        <v>SROE010_00|Investee Unit</v>
      </c>
    </row>
    <row r="10932" spans="1:5" x14ac:dyDescent="0.2">
      <c r="A10932" t="s">
        <v>3220</v>
      </c>
      <c r="B10932" t="s">
        <v>3221</v>
      </c>
      <c r="C10932" t="s">
        <v>428</v>
      </c>
      <c r="D10932" t="str">
        <f>VLOOKUP(C10932,'lookup table'!$A$2:$B$19,2,FALSE)</f>
        <v>LoB</v>
      </c>
      <c r="E10932" t="str">
        <f t="shared" si="170"/>
        <v>SROE010_00|LoB</v>
      </c>
    </row>
    <row r="10933" spans="1:5" x14ac:dyDescent="0.2">
      <c r="A10933" t="s">
        <v>3220</v>
      </c>
      <c r="B10933" t="s">
        <v>3221</v>
      </c>
      <c r="C10933" t="s">
        <v>436</v>
      </c>
      <c r="D10933" t="str">
        <f>VLOOKUP(C10933,'lookup table'!$A$2:$B$19,2,FALSE)</f>
        <v>MAT</v>
      </c>
      <c r="E10933" t="str">
        <f t="shared" si="170"/>
        <v>SROE010_00|MAT</v>
      </c>
    </row>
    <row r="10934" spans="1:5" x14ac:dyDescent="0.2">
      <c r="A10934" t="s">
        <v>3220</v>
      </c>
      <c r="B10934" t="s">
        <v>3221</v>
      </c>
      <c r="C10934" t="s">
        <v>438</v>
      </c>
      <c r="D10934" t="str">
        <f>VLOOKUP(C10934,'lookup table'!$A$2:$B$19,2,FALSE)</f>
        <v>ToM</v>
      </c>
      <c r="E10934" t="str">
        <f t="shared" si="170"/>
        <v>SROE010_00|ToM</v>
      </c>
    </row>
    <row r="10935" spans="1:5" x14ac:dyDescent="0.2">
      <c r="A10935" t="s">
        <v>3220</v>
      </c>
      <c r="B10935" t="s">
        <v>3221</v>
      </c>
      <c r="C10935" t="s">
        <v>447</v>
      </c>
      <c r="D10935" t="str">
        <f>VLOOKUP(C10935,'lookup table'!$A$2:$B$19,2,FALSE)</f>
        <v>REX</v>
      </c>
      <c r="E10935" t="str">
        <f t="shared" si="170"/>
        <v>SROE010_00|REX</v>
      </c>
    </row>
    <row r="10936" spans="1:5" x14ac:dyDescent="0.2">
      <c r="A10936" t="s">
        <v>3220</v>
      </c>
      <c r="B10936" t="s">
        <v>3221</v>
      </c>
      <c r="C10936" t="s">
        <v>451</v>
      </c>
      <c r="D10936" t="str">
        <f>VLOOKUP(C10936,'lookup table'!$A$2:$B$19,2,FALSE)</f>
        <v>Segment</v>
      </c>
      <c r="E10936" t="str">
        <f t="shared" si="170"/>
        <v>SROE010_00|Segment</v>
      </c>
    </row>
    <row r="10937" spans="1:5" x14ac:dyDescent="0.2">
      <c r="A10937" t="s">
        <v>3220</v>
      </c>
      <c r="B10937" t="s">
        <v>3221</v>
      </c>
      <c r="C10937" t="s">
        <v>457</v>
      </c>
      <c r="D10937" t="str">
        <f>VLOOKUP(C10937,'lookup table'!$A$2:$B$19,2,FALSE)</f>
        <v>VLT</v>
      </c>
      <c r="E10937" t="str">
        <f t="shared" si="170"/>
        <v>SROE010_00|VLT</v>
      </c>
    </row>
    <row r="10938" spans="1:5" x14ac:dyDescent="0.2">
      <c r="A10938" t="s">
        <v>3220</v>
      </c>
      <c r="B10938" t="s">
        <v>3221</v>
      </c>
      <c r="C10938" t="s">
        <v>458</v>
      </c>
      <c r="D10938" t="str">
        <f>VLOOKUP(C10938,'lookup table'!$A$2:$B$19,2,FALSE)</f>
        <v>VAR</v>
      </c>
      <c r="E10938" t="str">
        <f t="shared" si="170"/>
        <v>SROE010_00|VAR</v>
      </c>
    </row>
    <row r="10939" spans="1:5" x14ac:dyDescent="0.2">
      <c r="A10939" t="s">
        <v>3222</v>
      </c>
      <c r="B10939" t="s">
        <v>3223</v>
      </c>
      <c r="C10939" t="s">
        <v>14</v>
      </c>
      <c r="D10939" t="str">
        <f>VLOOKUP(C10939,'lookup table'!$A$2:$B$19,2,FALSE)</f>
        <v>ALC</v>
      </c>
      <c r="E10939" t="str">
        <f t="shared" si="170"/>
        <v>SROE010_60|ALC</v>
      </c>
    </row>
    <row r="10940" spans="1:5" x14ac:dyDescent="0.2">
      <c r="A10940" t="s">
        <v>3222</v>
      </c>
      <c r="B10940" t="s">
        <v>3223</v>
      </c>
      <c r="C10940" t="s">
        <v>20</v>
      </c>
      <c r="D10940" t="str">
        <f>VLOOKUP(C10940,'lookup table'!$A$2:$B$19,2,FALSE)</f>
        <v>AY</v>
      </c>
      <c r="E10940" t="str">
        <f t="shared" si="170"/>
        <v>SROE010_60|AY</v>
      </c>
    </row>
    <row r="10941" spans="1:5" x14ac:dyDescent="0.2">
      <c r="A10941" t="s">
        <v>3222</v>
      </c>
      <c r="B10941" t="s">
        <v>3223</v>
      </c>
      <c r="C10941" t="s">
        <v>331</v>
      </c>
      <c r="D10941" t="str">
        <f>VLOOKUP(C10941,'lookup table'!$A$2:$B$19,2,FALSE)</f>
        <v>FS Item</v>
      </c>
      <c r="E10941" t="str">
        <f t="shared" si="170"/>
        <v>SROE010_60|FS Item</v>
      </c>
    </row>
    <row r="10942" spans="1:5" x14ac:dyDescent="0.2">
      <c r="A10942" t="s">
        <v>3222</v>
      </c>
      <c r="B10942" t="s">
        <v>3223</v>
      </c>
      <c r="C10942" t="s">
        <v>423</v>
      </c>
      <c r="D10942" t="str">
        <f>VLOOKUP(C10942,'lookup table'!$A$2:$B$19,2,FALSE)</f>
        <v>ignore</v>
      </c>
      <c r="E10942" t="str">
        <f t="shared" si="170"/>
        <v>SROE010_60|ignore</v>
      </c>
    </row>
    <row r="10943" spans="1:5" x14ac:dyDescent="0.2">
      <c r="A10943" t="s">
        <v>3222</v>
      </c>
      <c r="B10943" t="s">
        <v>3223</v>
      </c>
      <c r="C10943" t="s">
        <v>424</v>
      </c>
      <c r="D10943" t="str">
        <f>VLOOKUP(C10943,'lookup table'!$A$2:$B$19,2,FALSE)</f>
        <v>GRC</v>
      </c>
      <c r="E10943" t="str">
        <f t="shared" si="170"/>
        <v>SROE010_60|GRC</v>
      </c>
    </row>
    <row r="10944" spans="1:5" x14ac:dyDescent="0.2">
      <c r="A10944" t="s">
        <v>3222</v>
      </c>
      <c r="B10944" t="s">
        <v>3223</v>
      </c>
      <c r="C10944" t="s">
        <v>425</v>
      </c>
      <c r="D10944" t="str">
        <f>VLOOKUP(C10944,'lookup table'!$A$2:$B$19,2,FALSE)</f>
        <v>Investee Segment</v>
      </c>
      <c r="E10944" t="str">
        <f t="shared" si="170"/>
        <v>SROE010_60|Investee Segment</v>
      </c>
    </row>
    <row r="10945" spans="1:5" x14ac:dyDescent="0.2">
      <c r="A10945" t="s">
        <v>3222</v>
      </c>
      <c r="B10945" t="s">
        <v>3223</v>
      </c>
      <c r="C10945" t="s">
        <v>426</v>
      </c>
      <c r="D10945" t="str">
        <f>VLOOKUP(C10945,'lookup table'!$A$2:$B$19,2,FALSE)</f>
        <v>Investee Unit</v>
      </c>
      <c r="E10945" t="str">
        <f t="shared" si="170"/>
        <v>SROE010_60|Investee Unit</v>
      </c>
    </row>
    <row r="10946" spans="1:5" x14ac:dyDescent="0.2">
      <c r="A10946" t="s">
        <v>3222</v>
      </c>
      <c r="B10946" t="s">
        <v>3223</v>
      </c>
      <c r="C10946" t="s">
        <v>428</v>
      </c>
      <c r="D10946" t="str">
        <f>VLOOKUP(C10946,'lookup table'!$A$2:$B$19,2,FALSE)</f>
        <v>LoB</v>
      </c>
      <c r="E10946" t="str">
        <f t="shared" si="170"/>
        <v>SROE010_60|LoB</v>
      </c>
    </row>
    <row r="10947" spans="1:5" x14ac:dyDescent="0.2">
      <c r="A10947" t="s">
        <v>3222</v>
      </c>
      <c r="B10947" t="s">
        <v>3223</v>
      </c>
      <c r="C10947" t="s">
        <v>436</v>
      </c>
      <c r="D10947" t="str">
        <f>VLOOKUP(C10947,'lookup table'!$A$2:$B$19,2,FALSE)</f>
        <v>MAT</v>
      </c>
      <c r="E10947" t="str">
        <f t="shared" ref="E10947:E11010" si="171">IF(ISNA(D10947),"",IF(A10947="","",A10947) &amp; "|" &amp; D10947)</f>
        <v>SROE010_60|MAT</v>
      </c>
    </row>
    <row r="10948" spans="1:5" x14ac:dyDescent="0.2">
      <c r="A10948" t="s">
        <v>3222</v>
      </c>
      <c r="B10948" t="s">
        <v>3223</v>
      </c>
      <c r="C10948" t="s">
        <v>438</v>
      </c>
      <c r="D10948" t="str">
        <f>VLOOKUP(C10948,'lookup table'!$A$2:$B$19,2,FALSE)</f>
        <v>ToM</v>
      </c>
      <c r="E10948" t="str">
        <f t="shared" si="171"/>
        <v>SROE010_60|ToM</v>
      </c>
    </row>
    <row r="10949" spans="1:5" x14ac:dyDescent="0.2">
      <c r="A10949" t="s">
        <v>3222</v>
      </c>
      <c r="B10949" t="s">
        <v>3223</v>
      </c>
      <c r="C10949" t="s">
        <v>447</v>
      </c>
      <c r="D10949" t="str">
        <f>VLOOKUP(C10949,'lookup table'!$A$2:$B$19,2,FALSE)</f>
        <v>REX</v>
      </c>
      <c r="E10949" t="str">
        <f t="shared" si="171"/>
        <v>SROE010_60|REX</v>
      </c>
    </row>
    <row r="10950" spans="1:5" x14ac:dyDescent="0.2">
      <c r="A10950" t="s">
        <v>3222</v>
      </c>
      <c r="B10950" t="s">
        <v>3223</v>
      </c>
      <c r="C10950" t="s">
        <v>451</v>
      </c>
      <c r="D10950" t="str">
        <f>VLOOKUP(C10950,'lookup table'!$A$2:$B$19,2,FALSE)</f>
        <v>Segment</v>
      </c>
      <c r="E10950" t="str">
        <f t="shared" si="171"/>
        <v>SROE010_60|Segment</v>
      </c>
    </row>
    <row r="10951" spans="1:5" x14ac:dyDescent="0.2">
      <c r="A10951" t="s">
        <v>3222</v>
      </c>
      <c r="B10951" t="s">
        <v>3223</v>
      </c>
      <c r="C10951" t="s">
        <v>457</v>
      </c>
      <c r="D10951" t="str">
        <f>VLOOKUP(C10951,'lookup table'!$A$2:$B$19,2,FALSE)</f>
        <v>VLT</v>
      </c>
      <c r="E10951" t="str">
        <f t="shared" si="171"/>
        <v>SROE010_60|VLT</v>
      </c>
    </row>
    <row r="10952" spans="1:5" x14ac:dyDescent="0.2">
      <c r="A10952" t="s">
        <v>3222</v>
      </c>
      <c r="B10952" t="s">
        <v>3223</v>
      </c>
      <c r="C10952" t="s">
        <v>458</v>
      </c>
      <c r="D10952" t="str">
        <f>VLOOKUP(C10952,'lookup table'!$A$2:$B$19,2,FALSE)</f>
        <v>VAR</v>
      </c>
      <c r="E10952" t="str">
        <f t="shared" si="171"/>
        <v>SROE010_60|VAR</v>
      </c>
    </row>
    <row r="10953" spans="1:5" x14ac:dyDescent="0.2">
      <c r="A10953" t="s">
        <v>3224</v>
      </c>
      <c r="B10953" t="s">
        <v>3225</v>
      </c>
      <c r="C10953" t="s">
        <v>14</v>
      </c>
      <c r="D10953" t="str">
        <f>VLOOKUP(C10953,'lookup table'!$A$2:$B$19,2,FALSE)</f>
        <v>ALC</v>
      </c>
      <c r="E10953" t="str">
        <f t="shared" si="171"/>
        <v>SROE011_00|ALC</v>
      </c>
    </row>
    <row r="10954" spans="1:5" x14ac:dyDescent="0.2">
      <c r="A10954" t="s">
        <v>3224</v>
      </c>
      <c r="B10954" t="s">
        <v>3225</v>
      </c>
      <c r="C10954" t="s">
        <v>20</v>
      </c>
      <c r="D10954" t="str">
        <f>VLOOKUP(C10954,'lookup table'!$A$2:$B$19,2,FALSE)</f>
        <v>AY</v>
      </c>
      <c r="E10954" t="str">
        <f t="shared" si="171"/>
        <v>SROE011_00|AY</v>
      </c>
    </row>
    <row r="10955" spans="1:5" x14ac:dyDescent="0.2">
      <c r="A10955" t="s">
        <v>3224</v>
      </c>
      <c r="B10955" t="s">
        <v>3225</v>
      </c>
      <c r="C10955" t="s">
        <v>331</v>
      </c>
      <c r="D10955" t="str">
        <f>VLOOKUP(C10955,'lookup table'!$A$2:$B$19,2,FALSE)</f>
        <v>FS Item</v>
      </c>
      <c r="E10955" t="str">
        <f t="shared" si="171"/>
        <v>SROE011_00|FS Item</v>
      </c>
    </row>
    <row r="10956" spans="1:5" x14ac:dyDescent="0.2">
      <c r="A10956" t="s">
        <v>3224</v>
      </c>
      <c r="B10956" t="s">
        <v>3225</v>
      </c>
      <c r="C10956" t="s">
        <v>423</v>
      </c>
      <c r="D10956" t="str">
        <f>VLOOKUP(C10956,'lookup table'!$A$2:$B$19,2,FALSE)</f>
        <v>ignore</v>
      </c>
      <c r="E10956" t="str">
        <f t="shared" si="171"/>
        <v>SROE011_00|ignore</v>
      </c>
    </row>
    <row r="10957" spans="1:5" x14ac:dyDescent="0.2">
      <c r="A10957" t="s">
        <v>3224</v>
      </c>
      <c r="B10957" t="s">
        <v>3225</v>
      </c>
      <c r="C10957" t="s">
        <v>424</v>
      </c>
      <c r="D10957" t="str">
        <f>VLOOKUP(C10957,'lookup table'!$A$2:$B$19,2,FALSE)</f>
        <v>GRC</v>
      </c>
      <c r="E10957" t="str">
        <f t="shared" si="171"/>
        <v>SROE011_00|GRC</v>
      </c>
    </row>
    <row r="10958" spans="1:5" x14ac:dyDescent="0.2">
      <c r="A10958" t="s">
        <v>3224</v>
      </c>
      <c r="B10958" t="s">
        <v>3225</v>
      </c>
      <c r="C10958" t="s">
        <v>425</v>
      </c>
      <c r="D10958" t="str">
        <f>VLOOKUP(C10958,'lookup table'!$A$2:$B$19,2,FALSE)</f>
        <v>Investee Segment</v>
      </c>
      <c r="E10958" t="str">
        <f t="shared" si="171"/>
        <v>SROE011_00|Investee Segment</v>
      </c>
    </row>
    <row r="10959" spans="1:5" x14ac:dyDescent="0.2">
      <c r="A10959" t="s">
        <v>3224</v>
      </c>
      <c r="B10959" t="s">
        <v>3225</v>
      </c>
      <c r="C10959" t="s">
        <v>426</v>
      </c>
      <c r="D10959" t="str">
        <f>VLOOKUP(C10959,'lookup table'!$A$2:$B$19,2,FALSE)</f>
        <v>Investee Unit</v>
      </c>
      <c r="E10959" t="str">
        <f t="shared" si="171"/>
        <v>SROE011_00|Investee Unit</v>
      </c>
    </row>
    <row r="10960" spans="1:5" x14ac:dyDescent="0.2">
      <c r="A10960" t="s">
        <v>3224</v>
      </c>
      <c r="B10960" t="s">
        <v>3225</v>
      </c>
      <c r="C10960" t="s">
        <v>428</v>
      </c>
      <c r="D10960" t="str">
        <f>VLOOKUP(C10960,'lookup table'!$A$2:$B$19,2,FALSE)</f>
        <v>LoB</v>
      </c>
      <c r="E10960" t="str">
        <f t="shared" si="171"/>
        <v>SROE011_00|LoB</v>
      </c>
    </row>
    <row r="10961" spans="1:5" x14ac:dyDescent="0.2">
      <c r="A10961" t="s">
        <v>3224</v>
      </c>
      <c r="B10961" t="s">
        <v>3225</v>
      </c>
      <c r="C10961" t="s">
        <v>436</v>
      </c>
      <c r="D10961" t="str">
        <f>VLOOKUP(C10961,'lookup table'!$A$2:$B$19,2,FALSE)</f>
        <v>MAT</v>
      </c>
      <c r="E10961" t="str">
        <f t="shared" si="171"/>
        <v>SROE011_00|MAT</v>
      </c>
    </row>
    <row r="10962" spans="1:5" x14ac:dyDescent="0.2">
      <c r="A10962" t="s">
        <v>3224</v>
      </c>
      <c r="B10962" t="s">
        <v>3225</v>
      </c>
      <c r="C10962" t="s">
        <v>438</v>
      </c>
      <c r="D10962" t="str">
        <f>VLOOKUP(C10962,'lookup table'!$A$2:$B$19,2,FALSE)</f>
        <v>ToM</v>
      </c>
      <c r="E10962" t="str">
        <f t="shared" si="171"/>
        <v>SROE011_00|ToM</v>
      </c>
    </row>
    <row r="10963" spans="1:5" x14ac:dyDescent="0.2">
      <c r="A10963" t="s">
        <v>3224</v>
      </c>
      <c r="B10963" t="s">
        <v>3225</v>
      </c>
      <c r="C10963" t="s">
        <v>447</v>
      </c>
      <c r="D10963" t="str">
        <f>VLOOKUP(C10963,'lookup table'!$A$2:$B$19,2,FALSE)</f>
        <v>REX</v>
      </c>
      <c r="E10963" t="str">
        <f t="shared" si="171"/>
        <v>SROE011_00|REX</v>
      </c>
    </row>
    <row r="10964" spans="1:5" x14ac:dyDescent="0.2">
      <c r="A10964" t="s">
        <v>3224</v>
      </c>
      <c r="B10964" t="s">
        <v>3225</v>
      </c>
      <c r="C10964" t="s">
        <v>451</v>
      </c>
      <c r="D10964" t="str">
        <f>VLOOKUP(C10964,'lookup table'!$A$2:$B$19,2,FALSE)</f>
        <v>Segment</v>
      </c>
      <c r="E10964" t="str">
        <f t="shared" si="171"/>
        <v>SROE011_00|Segment</v>
      </c>
    </row>
    <row r="10965" spans="1:5" x14ac:dyDescent="0.2">
      <c r="A10965" t="s">
        <v>3224</v>
      </c>
      <c r="B10965" t="s">
        <v>3225</v>
      </c>
      <c r="C10965" t="s">
        <v>457</v>
      </c>
      <c r="D10965" t="str">
        <f>VLOOKUP(C10965,'lookup table'!$A$2:$B$19,2,FALSE)</f>
        <v>VLT</v>
      </c>
      <c r="E10965" t="str">
        <f t="shared" si="171"/>
        <v>SROE011_00|VLT</v>
      </c>
    </row>
    <row r="10966" spans="1:5" x14ac:dyDescent="0.2">
      <c r="A10966" t="s">
        <v>3224</v>
      </c>
      <c r="B10966" t="s">
        <v>3225</v>
      </c>
      <c r="C10966" t="s">
        <v>458</v>
      </c>
      <c r="D10966" t="str">
        <f>VLOOKUP(C10966,'lookup table'!$A$2:$B$19,2,FALSE)</f>
        <v>VAR</v>
      </c>
      <c r="E10966" t="str">
        <f t="shared" si="171"/>
        <v>SROE011_00|VAR</v>
      </c>
    </row>
    <row r="10967" spans="1:5" x14ac:dyDescent="0.2">
      <c r="A10967" t="s">
        <v>3226</v>
      </c>
      <c r="B10967" t="s">
        <v>3227</v>
      </c>
      <c r="C10967" t="s">
        <v>14</v>
      </c>
      <c r="D10967" t="str">
        <f>VLOOKUP(C10967,'lookup table'!$A$2:$B$19,2,FALSE)</f>
        <v>ALC</v>
      </c>
      <c r="E10967" t="str">
        <f t="shared" si="171"/>
        <v>SROE011_60|ALC</v>
      </c>
    </row>
    <row r="10968" spans="1:5" x14ac:dyDescent="0.2">
      <c r="A10968" t="s">
        <v>3226</v>
      </c>
      <c r="B10968" t="s">
        <v>3227</v>
      </c>
      <c r="C10968" t="s">
        <v>20</v>
      </c>
      <c r="D10968" t="str">
        <f>VLOOKUP(C10968,'lookup table'!$A$2:$B$19,2,FALSE)</f>
        <v>AY</v>
      </c>
      <c r="E10968" t="str">
        <f t="shared" si="171"/>
        <v>SROE011_60|AY</v>
      </c>
    </row>
    <row r="10969" spans="1:5" x14ac:dyDescent="0.2">
      <c r="A10969" t="s">
        <v>3226</v>
      </c>
      <c r="B10969" t="s">
        <v>3227</v>
      </c>
      <c r="C10969" t="s">
        <v>331</v>
      </c>
      <c r="D10969" t="str">
        <f>VLOOKUP(C10969,'lookup table'!$A$2:$B$19,2,FALSE)</f>
        <v>FS Item</v>
      </c>
      <c r="E10969" t="str">
        <f t="shared" si="171"/>
        <v>SROE011_60|FS Item</v>
      </c>
    </row>
    <row r="10970" spans="1:5" x14ac:dyDescent="0.2">
      <c r="A10970" t="s">
        <v>3226</v>
      </c>
      <c r="B10970" t="s">
        <v>3227</v>
      </c>
      <c r="C10970" t="s">
        <v>423</v>
      </c>
      <c r="D10970" t="str">
        <f>VLOOKUP(C10970,'lookup table'!$A$2:$B$19,2,FALSE)</f>
        <v>ignore</v>
      </c>
      <c r="E10970" t="str">
        <f t="shared" si="171"/>
        <v>SROE011_60|ignore</v>
      </c>
    </row>
    <row r="10971" spans="1:5" x14ac:dyDescent="0.2">
      <c r="A10971" t="s">
        <v>3226</v>
      </c>
      <c r="B10971" t="s">
        <v>3227</v>
      </c>
      <c r="C10971" t="s">
        <v>424</v>
      </c>
      <c r="D10971" t="str">
        <f>VLOOKUP(C10971,'lookup table'!$A$2:$B$19,2,FALSE)</f>
        <v>GRC</v>
      </c>
      <c r="E10971" t="str">
        <f t="shared" si="171"/>
        <v>SROE011_60|GRC</v>
      </c>
    </row>
    <row r="10972" spans="1:5" x14ac:dyDescent="0.2">
      <c r="A10972" t="s">
        <v>3226</v>
      </c>
      <c r="B10972" t="s">
        <v>3227</v>
      </c>
      <c r="C10972" t="s">
        <v>425</v>
      </c>
      <c r="D10972" t="str">
        <f>VLOOKUP(C10972,'lookup table'!$A$2:$B$19,2,FALSE)</f>
        <v>Investee Segment</v>
      </c>
      <c r="E10972" t="str">
        <f t="shared" si="171"/>
        <v>SROE011_60|Investee Segment</v>
      </c>
    </row>
    <row r="10973" spans="1:5" x14ac:dyDescent="0.2">
      <c r="A10973" t="s">
        <v>3226</v>
      </c>
      <c r="B10973" t="s">
        <v>3227</v>
      </c>
      <c r="C10973" t="s">
        <v>426</v>
      </c>
      <c r="D10973" t="str">
        <f>VLOOKUP(C10973,'lookup table'!$A$2:$B$19,2,FALSE)</f>
        <v>Investee Unit</v>
      </c>
      <c r="E10973" t="str">
        <f t="shared" si="171"/>
        <v>SROE011_60|Investee Unit</v>
      </c>
    </row>
    <row r="10974" spans="1:5" x14ac:dyDescent="0.2">
      <c r="A10974" t="s">
        <v>3226</v>
      </c>
      <c r="B10974" t="s">
        <v>3227</v>
      </c>
      <c r="C10974" t="s">
        <v>428</v>
      </c>
      <c r="D10974" t="str">
        <f>VLOOKUP(C10974,'lookup table'!$A$2:$B$19,2,FALSE)</f>
        <v>LoB</v>
      </c>
      <c r="E10974" t="str">
        <f t="shared" si="171"/>
        <v>SROE011_60|LoB</v>
      </c>
    </row>
    <row r="10975" spans="1:5" x14ac:dyDescent="0.2">
      <c r="A10975" t="s">
        <v>3226</v>
      </c>
      <c r="B10975" t="s">
        <v>3227</v>
      </c>
      <c r="C10975" t="s">
        <v>436</v>
      </c>
      <c r="D10975" t="str">
        <f>VLOOKUP(C10975,'lookup table'!$A$2:$B$19,2,FALSE)</f>
        <v>MAT</v>
      </c>
      <c r="E10975" t="str">
        <f t="shared" si="171"/>
        <v>SROE011_60|MAT</v>
      </c>
    </row>
    <row r="10976" spans="1:5" x14ac:dyDescent="0.2">
      <c r="A10976" t="s">
        <v>3226</v>
      </c>
      <c r="B10976" t="s">
        <v>3227</v>
      </c>
      <c r="C10976" t="s">
        <v>438</v>
      </c>
      <c r="D10976" t="str">
        <f>VLOOKUP(C10976,'lookup table'!$A$2:$B$19,2,FALSE)</f>
        <v>ToM</v>
      </c>
      <c r="E10976" t="str">
        <f t="shared" si="171"/>
        <v>SROE011_60|ToM</v>
      </c>
    </row>
    <row r="10977" spans="1:5" x14ac:dyDescent="0.2">
      <c r="A10977" t="s">
        <v>3226</v>
      </c>
      <c r="B10977" t="s">
        <v>3227</v>
      </c>
      <c r="C10977" t="s">
        <v>447</v>
      </c>
      <c r="D10977" t="str">
        <f>VLOOKUP(C10977,'lookup table'!$A$2:$B$19,2,FALSE)</f>
        <v>REX</v>
      </c>
      <c r="E10977" t="str">
        <f t="shared" si="171"/>
        <v>SROE011_60|REX</v>
      </c>
    </row>
    <row r="10978" spans="1:5" x14ac:dyDescent="0.2">
      <c r="A10978" t="s">
        <v>3226</v>
      </c>
      <c r="B10978" t="s">
        <v>3227</v>
      </c>
      <c r="C10978" t="s">
        <v>451</v>
      </c>
      <c r="D10978" t="str">
        <f>VLOOKUP(C10978,'lookup table'!$A$2:$B$19,2,FALSE)</f>
        <v>Segment</v>
      </c>
      <c r="E10978" t="str">
        <f t="shared" si="171"/>
        <v>SROE011_60|Segment</v>
      </c>
    </row>
    <row r="10979" spans="1:5" x14ac:dyDescent="0.2">
      <c r="A10979" t="s">
        <v>3226</v>
      </c>
      <c r="B10979" t="s">
        <v>3227</v>
      </c>
      <c r="C10979" t="s">
        <v>457</v>
      </c>
      <c r="D10979" t="str">
        <f>VLOOKUP(C10979,'lookup table'!$A$2:$B$19,2,FALSE)</f>
        <v>VLT</v>
      </c>
      <c r="E10979" t="str">
        <f t="shared" si="171"/>
        <v>SROE011_60|VLT</v>
      </c>
    </row>
    <row r="10980" spans="1:5" x14ac:dyDescent="0.2">
      <c r="A10980" t="s">
        <v>3226</v>
      </c>
      <c r="B10980" t="s">
        <v>3227</v>
      </c>
      <c r="C10980" t="s">
        <v>458</v>
      </c>
      <c r="D10980" t="str">
        <f>VLOOKUP(C10980,'lookup table'!$A$2:$B$19,2,FALSE)</f>
        <v>VAR</v>
      </c>
      <c r="E10980" t="str">
        <f t="shared" si="171"/>
        <v>SROE011_60|VAR</v>
      </c>
    </row>
    <row r="10981" spans="1:5" x14ac:dyDescent="0.2">
      <c r="A10981" t="s">
        <v>3228</v>
      </c>
      <c r="B10981" t="s">
        <v>3229</v>
      </c>
      <c r="C10981" t="s">
        <v>14</v>
      </c>
      <c r="D10981" t="str">
        <f>VLOOKUP(C10981,'lookup table'!$A$2:$B$19,2,FALSE)</f>
        <v>ALC</v>
      </c>
      <c r="E10981" t="str">
        <f t="shared" si="171"/>
        <v>SROE012_00|ALC</v>
      </c>
    </row>
    <row r="10982" spans="1:5" x14ac:dyDescent="0.2">
      <c r="A10982" t="s">
        <v>3228</v>
      </c>
      <c r="B10982" t="s">
        <v>3229</v>
      </c>
      <c r="C10982" t="s">
        <v>20</v>
      </c>
      <c r="D10982" t="str">
        <f>VLOOKUP(C10982,'lookup table'!$A$2:$B$19,2,FALSE)</f>
        <v>AY</v>
      </c>
      <c r="E10982" t="str">
        <f t="shared" si="171"/>
        <v>SROE012_00|AY</v>
      </c>
    </row>
    <row r="10983" spans="1:5" x14ac:dyDescent="0.2">
      <c r="A10983" t="s">
        <v>3228</v>
      </c>
      <c r="B10983" t="s">
        <v>3229</v>
      </c>
      <c r="C10983" t="s">
        <v>331</v>
      </c>
      <c r="D10983" t="str">
        <f>VLOOKUP(C10983,'lookup table'!$A$2:$B$19,2,FALSE)</f>
        <v>FS Item</v>
      </c>
      <c r="E10983" t="str">
        <f t="shared" si="171"/>
        <v>SROE012_00|FS Item</v>
      </c>
    </row>
    <row r="10984" spans="1:5" x14ac:dyDescent="0.2">
      <c r="A10984" t="s">
        <v>3228</v>
      </c>
      <c r="B10984" t="s">
        <v>3229</v>
      </c>
      <c r="C10984" t="s">
        <v>423</v>
      </c>
      <c r="D10984" t="str">
        <f>VLOOKUP(C10984,'lookup table'!$A$2:$B$19,2,FALSE)</f>
        <v>ignore</v>
      </c>
      <c r="E10984" t="str">
        <f t="shared" si="171"/>
        <v>SROE012_00|ignore</v>
      </c>
    </row>
    <row r="10985" spans="1:5" x14ac:dyDescent="0.2">
      <c r="A10985" t="s">
        <v>3228</v>
      </c>
      <c r="B10985" t="s">
        <v>3229</v>
      </c>
      <c r="C10985" t="s">
        <v>424</v>
      </c>
      <c r="D10985" t="str">
        <f>VLOOKUP(C10985,'lookup table'!$A$2:$B$19,2,FALSE)</f>
        <v>GRC</v>
      </c>
      <c r="E10985" t="str">
        <f t="shared" si="171"/>
        <v>SROE012_00|GRC</v>
      </c>
    </row>
    <row r="10986" spans="1:5" x14ac:dyDescent="0.2">
      <c r="A10986" t="s">
        <v>3228</v>
      </c>
      <c r="B10986" t="s">
        <v>3229</v>
      </c>
      <c r="C10986" t="s">
        <v>425</v>
      </c>
      <c r="D10986" t="str">
        <f>VLOOKUP(C10986,'lookup table'!$A$2:$B$19,2,FALSE)</f>
        <v>Investee Segment</v>
      </c>
      <c r="E10986" t="str">
        <f t="shared" si="171"/>
        <v>SROE012_00|Investee Segment</v>
      </c>
    </row>
    <row r="10987" spans="1:5" x14ac:dyDescent="0.2">
      <c r="A10987" t="s">
        <v>3228</v>
      </c>
      <c r="B10987" t="s">
        <v>3229</v>
      </c>
      <c r="C10987" t="s">
        <v>426</v>
      </c>
      <c r="D10987" t="str">
        <f>VLOOKUP(C10987,'lookup table'!$A$2:$B$19,2,FALSE)</f>
        <v>Investee Unit</v>
      </c>
      <c r="E10987" t="str">
        <f t="shared" si="171"/>
        <v>SROE012_00|Investee Unit</v>
      </c>
    </row>
    <row r="10988" spans="1:5" x14ac:dyDescent="0.2">
      <c r="A10988" t="s">
        <v>3228</v>
      </c>
      <c r="B10988" t="s">
        <v>3229</v>
      </c>
      <c r="C10988" t="s">
        <v>428</v>
      </c>
      <c r="D10988" t="str">
        <f>VLOOKUP(C10988,'lookup table'!$A$2:$B$19,2,FALSE)</f>
        <v>LoB</v>
      </c>
      <c r="E10988" t="str">
        <f t="shared" si="171"/>
        <v>SROE012_00|LoB</v>
      </c>
    </row>
    <row r="10989" spans="1:5" x14ac:dyDescent="0.2">
      <c r="A10989" t="s">
        <v>3228</v>
      </c>
      <c r="B10989" t="s">
        <v>3229</v>
      </c>
      <c r="C10989" t="s">
        <v>436</v>
      </c>
      <c r="D10989" t="str">
        <f>VLOOKUP(C10989,'lookup table'!$A$2:$B$19,2,FALSE)</f>
        <v>MAT</v>
      </c>
      <c r="E10989" t="str">
        <f t="shared" si="171"/>
        <v>SROE012_00|MAT</v>
      </c>
    </row>
    <row r="10990" spans="1:5" x14ac:dyDescent="0.2">
      <c r="A10990" t="s">
        <v>3228</v>
      </c>
      <c r="B10990" t="s">
        <v>3229</v>
      </c>
      <c r="C10990" t="s">
        <v>438</v>
      </c>
      <c r="D10990" t="str">
        <f>VLOOKUP(C10990,'lookup table'!$A$2:$B$19,2,FALSE)</f>
        <v>ToM</v>
      </c>
      <c r="E10990" t="str">
        <f t="shared" si="171"/>
        <v>SROE012_00|ToM</v>
      </c>
    </row>
    <row r="10991" spans="1:5" x14ac:dyDescent="0.2">
      <c r="A10991" t="s">
        <v>3228</v>
      </c>
      <c r="B10991" t="s">
        <v>3229</v>
      </c>
      <c r="C10991" t="s">
        <v>447</v>
      </c>
      <c r="D10991" t="str">
        <f>VLOOKUP(C10991,'lookup table'!$A$2:$B$19,2,FALSE)</f>
        <v>REX</v>
      </c>
      <c r="E10991" t="str">
        <f t="shared" si="171"/>
        <v>SROE012_00|REX</v>
      </c>
    </row>
    <row r="10992" spans="1:5" x14ac:dyDescent="0.2">
      <c r="A10992" t="s">
        <v>3228</v>
      </c>
      <c r="B10992" t="s">
        <v>3229</v>
      </c>
      <c r="C10992" t="s">
        <v>451</v>
      </c>
      <c r="D10992" t="str">
        <f>VLOOKUP(C10992,'lookup table'!$A$2:$B$19,2,FALSE)</f>
        <v>Segment</v>
      </c>
      <c r="E10992" t="str">
        <f t="shared" si="171"/>
        <v>SROE012_00|Segment</v>
      </c>
    </row>
    <row r="10993" spans="1:5" x14ac:dyDescent="0.2">
      <c r="A10993" t="s">
        <v>3228</v>
      </c>
      <c r="B10993" t="s">
        <v>3229</v>
      </c>
      <c r="C10993" t="s">
        <v>457</v>
      </c>
      <c r="D10993" t="str">
        <f>VLOOKUP(C10993,'lookup table'!$A$2:$B$19,2,FALSE)</f>
        <v>VLT</v>
      </c>
      <c r="E10993" t="str">
        <f t="shared" si="171"/>
        <v>SROE012_00|VLT</v>
      </c>
    </row>
    <row r="10994" spans="1:5" x14ac:dyDescent="0.2">
      <c r="A10994" t="s">
        <v>3228</v>
      </c>
      <c r="B10994" t="s">
        <v>3229</v>
      </c>
      <c r="C10994" t="s">
        <v>458</v>
      </c>
      <c r="D10994" t="str">
        <f>VLOOKUP(C10994,'lookup table'!$A$2:$B$19,2,FALSE)</f>
        <v>VAR</v>
      </c>
      <c r="E10994" t="str">
        <f t="shared" si="171"/>
        <v>SROE012_00|VAR</v>
      </c>
    </row>
    <row r="10995" spans="1:5" x14ac:dyDescent="0.2">
      <c r="A10995" t="s">
        <v>3230</v>
      </c>
      <c r="B10995" t="s">
        <v>3231</v>
      </c>
      <c r="C10995" t="s">
        <v>14</v>
      </c>
      <c r="D10995" t="str">
        <f>VLOOKUP(C10995,'lookup table'!$A$2:$B$19,2,FALSE)</f>
        <v>ALC</v>
      </c>
      <c r="E10995" t="str">
        <f t="shared" si="171"/>
        <v>SROE013_00|ALC</v>
      </c>
    </row>
    <row r="10996" spans="1:5" x14ac:dyDescent="0.2">
      <c r="A10996" t="s">
        <v>3230</v>
      </c>
      <c r="B10996" t="s">
        <v>3231</v>
      </c>
      <c r="C10996" t="s">
        <v>20</v>
      </c>
      <c r="D10996" t="str">
        <f>VLOOKUP(C10996,'lookup table'!$A$2:$B$19,2,FALSE)</f>
        <v>AY</v>
      </c>
      <c r="E10996" t="str">
        <f t="shared" si="171"/>
        <v>SROE013_00|AY</v>
      </c>
    </row>
    <row r="10997" spans="1:5" x14ac:dyDescent="0.2">
      <c r="A10997" t="s">
        <v>3230</v>
      </c>
      <c r="B10997" t="s">
        <v>3231</v>
      </c>
      <c r="C10997" t="s">
        <v>331</v>
      </c>
      <c r="D10997" t="str">
        <f>VLOOKUP(C10997,'lookup table'!$A$2:$B$19,2,FALSE)</f>
        <v>FS Item</v>
      </c>
      <c r="E10997" t="str">
        <f t="shared" si="171"/>
        <v>SROE013_00|FS Item</v>
      </c>
    </row>
    <row r="10998" spans="1:5" x14ac:dyDescent="0.2">
      <c r="A10998" t="s">
        <v>3230</v>
      </c>
      <c r="B10998" t="s">
        <v>3231</v>
      </c>
      <c r="C10998" t="s">
        <v>423</v>
      </c>
      <c r="D10998" t="str">
        <f>VLOOKUP(C10998,'lookup table'!$A$2:$B$19,2,FALSE)</f>
        <v>ignore</v>
      </c>
      <c r="E10998" t="str">
        <f t="shared" si="171"/>
        <v>SROE013_00|ignore</v>
      </c>
    </row>
    <row r="10999" spans="1:5" x14ac:dyDescent="0.2">
      <c r="A10999" t="s">
        <v>3230</v>
      </c>
      <c r="B10999" t="s">
        <v>3231</v>
      </c>
      <c r="C10999" t="s">
        <v>424</v>
      </c>
      <c r="D10999" t="str">
        <f>VLOOKUP(C10999,'lookup table'!$A$2:$B$19,2,FALSE)</f>
        <v>GRC</v>
      </c>
      <c r="E10999" t="str">
        <f t="shared" si="171"/>
        <v>SROE013_00|GRC</v>
      </c>
    </row>
    <row r="11000" spans="1:5" x14ac:dyDescent="0.2">
      <c r="A11000" t="s">
        <v>3230</v>
      </c>
      <c r="B11000" t="s">
        <v>3231</v>
      </c>
      <c r="C11000" t="s">
        <v>425</v>
      </c>
      <c r="D11000" t="str">
        <f>VLOOKUP(C11000,'lookup table'!$A$2:$B$19,2,FALSE)</f>
        <v>Investee Segment</v>
      </c>
      <c r="E11000" t="str">
        <f t="shared" si="171"/>
        <v>SROE013_00|Investee Segment</v>
      </c>
    </row>
    <row r="11001" spans="1:5" x14ac:dyDescent="0.2">
      <c r="A11001" t="s">
        <v>3230</v>
      </c>
      <c r="B11001" t="s">
        <v>3231</v>
      </c>
      <c r="C11001" t="s">
        <v>426</v>
      </c>
      <c r="D11001" t="str">
        <f>VLOOKUP(C11001,'lookup table'!$A$2:$B$19,2,FALSE)</f>
        <v>Investee Unit</v>
      </c>
      <c r="E11001" t="str">
        <f t="shared" si="171"/>
        <v>SROE013_00|Investee Unit</v>
      </c>
    </row>
    <row r="11002" spans="1:5" x14ac:dyDescent="0.2">
      <c r="A11002" t="s">
        <v>3230</v>
      </c>
      <c r="B11002" t="s">
        <v>3231</v>
      </c>
      <c r="C11002" t="s">
        <v>428</v>
      </c>
      <c r="D11002" t="str">
        <f>VLOOKUP(C11002,'lookup table'!$A$2:$B$19,2,FALSE)</f>
        <v>LoB</v>
      </c>
      <c r="E11002" t="str">
        <f t="shared" si="171"/>
        <v>SROE013_00|LoB</v>
      </c>
    </row>
    <row r="11003" spans="1:5" x14ac:dyDescent="0.2">
      <c r="A11003" t="s">
        <v>3230</v>
      </c>
      <c r="B11003" t="s">
        <v>3231</v>
      </c>
      <c r="C11003" t="s">
        <v>436</v>
      </c>
      <c r="D11003" t="str">
        <f>VLOOKUP(C11003,'lookup table'!$A$2:$B$19,2,FALSE)</f>
        <v>MAT</v>
      </c>
      <c r="E11003" t="str">
        <f t="shared" si="171"/>
        <v>SROE013_00|MAT</v>
      </c>
    </row>
    <row r="11004" spans="1:5" x14ac:dyDescent="0.2">
      <c r="A11004" t="s">
        <v>3230</v>
      </c>
      <c r="B11004" t="s">
        <v>3231</v>
      </c>
      <c r="C11004" t="s">
        <v>438</v>
      </c>
      <c r="D11004" t="str">
        <f>VLOOKUP(C11004,'lookup table'!$A$2:$B$19,2,FALSE)</f>
        <v>ToM</v>
      </c>
      <c r="E11004" t="str">
        <f t="shared" si="171"/>
        <v>SROE013_00|ToM</v>
      </c>
    </row>
    <row r="11005" spans="1:5" x14ac:dyDescent="0.2">
      <c r="A11005" t="s">
        <v>3230</v>
      </c>
      <c r="B11005" t="s">
        <v>3231</v>
      </c>
      <c r="C11005" t="s">
        <v>447</v>
      </c>
      <c r="D11005" t="str">
        <f>VLOOKUP(C11005,'lookup table'!$A$2:$B$19,2,FALSE)</f>
        <v>REX</v>
      </c>
      <c r="E11005" t="str">
        <f t="shared" si="171"/>
        <v>SROE013_00|REX</v>
      </c>
    </row>
    <row r="11006" spans="1:5" x14ac:dyDescent="0.2">
      <c r="A11006" t="s">
        <v>3230</v>
      </c>
      <c r="B11006" t="s">
        <v>3231</v>
      </c>
      <c r="C11006" t="s">
        <v>451</v>
      </c>
      <c r="D11006" t="str">
        <f>VLOOKUP(C11006,'lookup table'!$A$2:$B$19,2,FALSE)</f>
        <v>Segment</v>
      </c>
      <c r="E11006" t="str">
        <f t="shared" si="171"/>
        <v>SROE013_00|Segment</v>
      </c>
    </row>
    <row r="11007" spans="1:5" x14ac:dyDescent="0.2">
      <c r="A11007" t="s">
        <v>3230</v>
      </c>
      <c r="B11007" t="s">
        <v>3231</v>
      </c>
      <c r="C11007" t="s">
        <v>457</v>
      </c>
      <c r="D11007" t="str">
        <f>VLOOKUP(C11007,'lookup table'!$A$2:$B$19,2,FALSE)</f>
        <v>VLT</v>
      </c>
      <c r="E11007" t="str">
        <f t="shared" si="171"/>
        <v>SROE013_00|VLT</v>
      </c>
    </row>
    <row r="11008" spans="1:5" x14ac:dyDescent="0.2">
      <c r="A11008" t="s">
        <v>3230</v>
      </c>
      <c r="B11008" t="s">
        <v>3231</v>
      </c>
      <c r="C11008" t="s">
        <v>458</v>
      </c>
      <c r="D11008" t="str">
        <f>VLOOKUP(C11008,'lookup table'!$A$2:$B$19,2,FALSE)</f>
        <v>VAR</v>
      </c>
      <c r="E11008" t="str">
        <f t="shared" si="171"/>
        <v>SROE013_00|VAR</v>
      </c>
    </row>
    <row r="11009" spans="1:5" x14ac:dyDescent="0.2">
      <c r="A11009" t="s">
        <v>3232</v>
      </c>
      <c r="B11009" t="s">
        <v>3233</v>
      </c>
      <c r="C11009" t="s">
        <v>14</v>
      </c>
      <c r="D11009" t="str">
        <f>VLOOKUP(C11009,'lookup table'!$A$2:$B$19,2,FALSE)</f>
        <v>ALC</v>
      </c>
      <c r="E11009" t="str">
        <f t="shared" si="171"/>
        <v>SROE013_60|ALC</v>
      </c>
    </row>
    <row r="11010" spans="1:5" x14ac:dyDescent="0.2">
      <c r="A11010" t="s">
        <v>3232</v>
      </c>
      <c r="B11010" t="s">
        <v>3233</v>
      </c>
      <c r="C11010" t="s">
        <v>20</v>
      </c>
      <c r="D11010" t="str">
        <f>VLOOKUP(C11010,'lookup table'!$A$2:$B$19,2,FALSE)</f>
        <v>AY</v>
      </c>
      <c r="E11010" t="str">
        <f t="shared" si="171"/>
        <v>SROE013_60|AY</v>
      </c>
    </row>
    <row r="11011" spans="1:5" x14ac:dyDescent="0.2">
      <c r="A11011" t="s">
        <v>3232</v>
      </c>
      <c r="B11011" t="s">
        <v>3233</v>
      </c>
      <c r="C11011" t="s">
        <v>331</v>
      </c>
      <c r="D11011" t="str">
        <f>VLOOKUP(C11011,'lookup table'!$A$2:$B$19,2,FALSE)</f>
        <v>FS Item</v>
      </c>
      <c r="E11011" t="str">
        <f t="shared" ref="E11011:E11074" si="172">IF(ISNA(D11011),"",IF(A11011="","",A11011) &amp; "|" &amp; D11011)</f>
        <v>SROE013_60|FS Item</v>
      </c>
    </row>
    <row r="11012" spans="1:5" x14ac:dyDescent="0.2">
      <c r="A11012" t="s">
        <v>3232</v>
      </c>
      <c r="B11012" t="s">
        <v>3233</v>
      </c>
      <c r="C11012" t="s">
        <v>423</v>
      </c>
      <c r="D11012" t="str">
        <f>VLOOKUP(C11012,'lookup table'!$A$2:$B$19,2,FALSE)</f>
        <v>ignore</v>
      </c>
      <c r="E11012" t="str">
        <f t="shared" si="172"/>
        <v>SROE013_60|ignore</v>
      </c>
    </row>
    <row r="11013" spans="1:5" x14ac:dyDescent="0.2">
      <c r="A11013" t="s">
        <v>3232</v>
      </c>
      <c r="B11013" t="s">
        <v>3233</v>
      </c>
      <c r="C11013" t="s">
        <v>424</v>
      </c>
      <c r="D11013" t="str">
        <f>VLOOKUP(C11013,'lookup table'!$A$2:$B$19,2,FALSE)</f>
        <v>GRC</v>
      </c>
      <c r="E11013" t="str">
        <f t="shared" si="172"/>
        <v>SROE013_60|GRC</v>
      </c>
    </row>
    <row r="11014" spans="1:5" x14ac:dyDescent="0.2">
      <c r="A11014" t="s">
        <v>3232</v>
      </c>
      <c r="B11014" t="s">
        <v>3233</v>
      </c>
      <c r="C11014" t="s">
        <v>425</v>
      </c>
      <c r="D11014" t="str">
        <f>VLOOKUP(C11014,'lookup table'!$A$2:$B$19,2,FALSE)</f>
        <v>Investee Segment</v>
      </c>
      <c r="E11014" t="str">
        <f t="shared" si="172"/>
        <v>SROE013_60|Investee Segment</v>
      </c>
    </row>
    <row r="11015" spans="1:5" x14ac:dyDescent="0.2">
      <c r="A11015" t="s">
        <v>3232</v>
      </c>
      <c r="B11015" t="s">
        <v>3233</v>
      </c>
      <c r="C11015" t="s">
        <v>426</v>
      </c>
      <c r="D11015" t="str">
        <f>VLOOKUP(C11015,'lookup table'!$A$2:$B$19,2,FALSE)</f>
        <v>Investee Unit</v>
      </c>
      <c r="E11015" t="str">
        <f t="shared" si="172"/>
        <v>SROE013_60|Investee Unit</v>
      </c>
    </row>
    <row r="11016" spans="1:5" x14ac:dyDescent="0.2">
      <c r="A11016" t="s">
        <v>3232</v>
      </c>
      <c r="B11016" t="s">
        <v>3233</v>
      </c>
      <c r="C11016" t="s">
        <v>428</v>
      </c>
      <c r="D11016" t="str">
        <f>VLOOKUP(C11016,'lookup table'!$A$2:$B$19,2,FALSE)</f>
        <v>LoB</v>
      </c>
      <c r="E11016" t="str">
        <f t="shared" si="172"/>
        <v>SROE013_60|LoB</v>
      </c>
    </row>
    <row r="11017" spans="1:5" x14ac:dyDescent="0.2">
      <c r="A11017" t="s">
        <v>3232</v>
      </c>
      <c r="B11017" t="s">
        <v>3233</v>
      </c>
      <c r="C11017" t="s">
        <v>436</v>
      </c>
      <c r="D11017" t="str">
        <f>VLOOKUP(C11017,'lookup table'!$A$2:$B$19,2,FALSE)</f>
        <v>MAT</v>
      </c>
      <c r="E11017" t="str">
        <f t="shared" si="172"/>
        <v>SROE013_60|MAT</v>
      </c>
    </row>
    <row r="11018" spans="1:5" x14ac:dyDescent="0.2">
      <c r="A11018" t="s">
        <v>3232</v>
      </c>
      <c r="B11018" t="s">
        <v>3233</v>
      </c>
      <c r="C11018" t="s">
        <v>438</v>
      </c>
      <c r="D11018" t="str">
        <f>VLOOKUP(C11018,'lookup table'!$A$2:$B$19,2,FALSE)</f>
        <v>ToM</v>
      </c>
      <c r="E11018" t="str">
        <f t="shared" si="172"/>
        <v>SROE013_60|ToM</v>
      </c>
    </row>
    <row r="11019" spans="1:5" x14ac:dyDescent="0.2">
      <c r="A11019" t="s">
        <v>3232</v>
      </c>
      <c r="B11019" t="s">
        <v>3233</v>
      </c>
      <c r="C11019" t="s">
        <v>447</v>
      </c>
      <c r="D11019" t="str">
        <f>VLOOKUP(C11019,'lookup table'!$A$2:$B$19,2,FALSE)</f>
        <v>REX</v>
      </c>
      <c r="E11019" t="str">
        <f t="shared" si="172"/>
        <v>SROE013_60|REX</v>
      </c>
    </row>
    <row r="11020" spans="1:5" x14ac:dyDescent="0.2">
      <c r="A11020" t="s">
        <v>3232</v>
      </c>
      <c r="B11020" t="s">
        <v>3233</v>
      </c>
      <c r="C11020" t="s">
        <v>451</v>
      </c>
      <c r="D11020" t="str">
        <f>VLOOKUP(C11020,'lookup table'!$A$2:$B$19,2,FALSE)</f>
        <v>Segment</v>
      </c>
      <c r="E11020" t="str">
        <f t="shared" si="172"/>
        <v>SROE013_60|Segment</v>
      </c>
    </row>
    <row r="11021" spans="1:5" x14ac:dyDescent="0.2">
      <c r="A11021" t="s">
        <v>3232</v>
      </c>
      <c r="B11021" t="s">
        <v>3233</v>
      </c>
      <c r="C11021" t="s">
        <v>457</v>
      </c>
      <c r="D11021" t="str">
        <f>VLOOKUP(C11021,'lookup table'!$A$2:$B$19,2,FALSE)</f>
        <v>VLT</v>
      </c>
      <c r="E11021" t="str">
        <f t="shared" si="172"/>
        <v>SROE013_60|VLT</v>
      </c>
    </row>
    <row r="11022" spans="1:5" x14ac:dyDescent="0.2">
      <c r="A11022" t="s">
        <v>3232</v>
      </c>
      <c r="B11022" t="s">
        <v>3233</v>
      </c>
      <c r="C11022" t="s">
        <v>458</v>
      </c>
      <c r="D11022" t="str">
        <f>VLOOKUP(C11022,'lookup table'!$A$2:$B$19,2,FALSE)</f>
        <v>VAR</v>
      </c>
      <c r="E11022" t="str">
        <f t="shared" si="172"/>
        <v>SROE013_60|VAR</v>
      </c>
    </row>
    <row r="11023" spans="1:5" x14ac:dyDescent="0.2">
      <c r="A11023" t="s">
        <v>3234</v>
      </c>
      <c r="B11023" t="s">
        <v>3235</v>
      </c>
      <c r="C11023" t="s">
        <v>425</v>
      </c>
      <c r="D11023" t="str">
        <f>VLOOKUP(C11023,'lookup table'!$A$2:$B$19,2,FALSE)</f>
        <v>Investee Segment</v>
      </c>
      <c r="E11023" t="str">
        <f t="shared" si="172"/>
        <v>SROE014_00|Investee Segment</v>
      </c>
    </row>
    <row r="11024" spans="1:5" x14ac:dyDescent="0.2">
      <c r="A11024" t="s">
        <v>3234</v>
      </c>
      <c r="B11024" t="s">
        <v>3235</v>
      </c>
      <c r="C11024" t="s">
        <v>426</v>
      </c>
      <c r="D11024" t="str">
        <f>VLOOKUP(C11024,'lookup table'!$A$2:$B$19,2,FALSE)</f>
        <v>Investee Unit</v>
      </c>
      <c r="E11024" t="str">
        <f t="shared" si="172"/>
        <v>SROE014_00|Investee Unit</v>
      </c>
    </row>
    <row r="11025" spans="1:5" x14ac:dyDescent="0.2">
      <c r="A11025" t="s">
        <v>3236</v>
      </c>
      <c r="B11025" t="s">
        <v>3237</v>
      </c>
      <c r="C11025" t="s">
        <v>331</v>
      </c>
      <c r="D11025" t="str">
        <f>VLOOKUP(C11025,'lookup table'!$A$2:$B$19,2,FALSE)</f>
        <v>FS Item</v>
      </c>
      <c r="E11025" t="str">
        <f t="shared" si="172"/>
        <v>SROE015_00|FS Item</v>
      </c>
    </row>
    <row r="11026" spans="1:5" x14ac:dyDescent="0.2">
      <c r="A11026" t="s">
        <v>3236</v>
      </c>
      <c r="B11026" t="s">
        <v>3237</v>
      </c>
      <c r="C11026" t="s">
        <v>423</v>
      </c>
      <c r="D11026" t="str">
        <f>VLOOKUP(C11026,'lookup table'!$A$2:$B$19,2,FALSE)</f>
        <v>ignore</v>
      </c>
      <c r="E11026" t="str">
        <f t="shared" si="172"/>
        <v>SROE015_00|ignore</v>
      </c>
    </row>
    <row r="11027" spans="1:5" x14ac:dyDescent="0.2">
      <c r="A11027" t="s">
        <v>3236</v>
      </c>
      <c r="B11027" t="s">
        <v>3237</v>
      </c>
      <c r="C11027" t="s">
        <v>441</v>
      </c>
      <c r="D11027" t="str">
        <f>VLOOKUP(C11027,'lookup table'!$A$2:$B$19,2,FALSE)</f>
        <v>Partner Segment</v>
      </c>
      <c r="E11027" t="str">
        <f t="shared" si="172"/>
        <v>SROE015_00|Partner Segment</v>
      </c>
    </row>
    <row r="11028" spans="1:5" x14ac:dyDescent="0.2">
      <c r="A11028" t="s">
        <v>3236</v>
      </c>
      <c r="B11028" t="s">
        <v>3237</v>
      </c>
      <c r="C11028" t="s">
        <v>442</v>
      </c>
      <c r="D11028" t="str">
        <f>VLOOKUP(C11028,'lookup table'!$A$2:$B$19,2,FALSE)</f>
        <v>Partner Unit</v>
      </c>
      <c r="E11028" t="str">
        <f t="shared" si="172"/>
        <v>SROE015_00|Partner Unit</v>
      </c>
    </row>
    <row r="11029" spans="1:5" x14ac:dyDescent="0.2">
      <c r="A11029" t="s">
        <v>3238</v>
      </c>
      <c r="B11029" t="s">
        <v>3239</v>
      </c>
      <c r="C11029" t="s">
        <v>425</v>
      </c>
      <c r="D11029" t="str">
        <f>VLOOKUP(C11029,'lookup table'!$A$2:$B$19,2,FALSE)</f>
        <v>Investee Segment</v>
      </c>
      <c r="E11029" t="str">
        <f t="shared" si="172"/>
        <v>SROE016_00|Investee Segment</v>
      </c>
    </row>
    <row r="11030" spans="1:5" x14ac:dyDescent="0.2">
      <c r="A11030" t="s">
        <v>3238</v>
      </c>
      <c r="B11030" t="s">
        <v>3239</v>
      </c>
      <c r="C11030" t="s">
        <v>426</v>
      </c>
      <c r="D11030" t="str">
        <f>VLOOKUP(C11030,'lookup table'!$A$2:$B$19,2,FALSE)</f>
        <v>Investee Unit</v>
      </c>
      <c r="E11030" t="str">
        <f t="shared" si="172"/>
        <v>SROE016_00|Investee Unit</v>
      </c>
    </row>
    <row r="11031" spans="1:5" x14ac:dyDescent="0.2">
      <c r="A11031" t="s">
        <v>3240</v>
      </c>
      <c r="B11031" t="s">
        <v>3241</v>
      </c>
      <c r="C11031" t="s">
        <v>331</v>
      </c>
      <c r="D11031" t="str">
        <f>VLOOKUP(C11031,'lookup table'!$A$2:$B$19,2,FALSE)</f>
        <v>FS Item</v>
      </c>
      <c r="E11031" t="str">
        <f t="shared" si="172"/>
        <v>SROE017_00|FS Item</v>
      </c>
    </row>
    <row r="11032" spans="1:5" x14ac:dyDescent="0.2">
      <c r="A11032" t="s">
        <v>3240</v>
      </c>
      <c r="B11032" t="s">
        <v>3241</v>
      </c>
      <c r="C11032" t="s">
        <v>423</v>
      </c>
      <c r="D11032" t="str">
        <f>VLOOKUP(C11032,'lookup table'!$A$2:$B$19,2,FALSE)</f>
        <v>ignore</v>
      </c>
      <c r="E11032" t="str">
        <f t="shared" si="172"/>
        <v>SROE017_00|ignore</v>
      </c>
    </row>
    <row r="11033" spans="1:5" x14ac:dyDescent="0.2">
      <c r="A11033" t="s">
        <v>3240</v>
      </c>
      <c r="B11033" t="s">
        <v>3241</v>
      </c>
      <c r="C11033" t="s">
        <v>441</v>
      </c>
      <c r="D11033" t="str">
        <f>VLOOKUP(C11033,'lookup table'!$A$2:$B$19,2,FALSE)</f>
        <v>Partner Segment</v>
      </c>
      <c r="E11033" t="str">
        <f t="shared" si="172"/>
        <v>SROE017_00|Partner Segment</v>
      </c>
    </row>
    <row r="11034" spans="1:5" x14ac:dyDescent="0.2">
      <c r="A11034" t="s">
        <v>3240</v>
      </c>
      <c r="B11034" t="s">
        <v>3241</v>
      </c>
      <c r="C11034" t="s">
        <v>442</v>
      </c>
      <c r="D11034" t="str">
        <f>VLOOKUP(C11034,'lookup table'!$A$2:$B$19,2,FALSE)</f>
        <v>Partner Unit</v>
      </c>
      <c r="E11034" t="str">
        <f t="shared" si="172"/>
        <v>SROE017_00|Partner Unit</v>
      </c>
    </row>
    <row r="11035" spans="1:5" x14ac:dyDescent="0.2">
      <c r="A11035" t="s">
        <v>3242</v>
      </c>
      <c r="B11035" t="s">
        <v>3243</v>
      </c>
      <c r="C11035" t="s">
        <v>425</v>
      </c>
      <c r="D11035" t="str">
        <f>VLOOKUP(C11035,'lookup table'!$A$2:$B$19,2,FALSE)</f>
        <v>Investee Segment</v>
      </c>
      <c r="E11035" t="str">
        <f t="shared" si="172"/>
        <v>SROE018_00|Investee Segment</v>
      </c>
    </row>
    <row r="11036" spans="1:5" x14ac:dyDescent="0.2">
      <c r="A11036" t="s">
        <v>3242</v>
      </c>
      <c r="B11036" t="s">
        <v>3243</v>
      </c>
      <c r="C11036" t="s">
        <v>426</v>
      </c>
      <c r="D11036" t="str">
        <f>VLOOKUP(C11036,'lookup table'!$A$2:$B$19,2,FALSE)</f>
        <v>Investee Unit</v>
      </c>
      <c r="E11036" t="str">
        <f t="shared" si="172"/>
        <v>SROE018_00|Investee Unit</v>
      </c>
    </row>
    <row r="11037" spans="1:5" x14ac:dyDescent="0.2">
      <c r="A11037" t="s">
        <v>3244</v>
      </c>
      <c r="B11037" t="s">
        <v>3245</v>
      </c>
      <c r="C11037" t="s">
        <v>331</v>
      </c>
      <c r="D11037" t="str">
        <f>VLOOKUP(C11037,'lookup table'!$A$2:$B$19,2,FALSE)</f>
        <v>FS Item</v>
      </c>
      <c r="E11037" t="str">
        <f t="shared" si="172"/>
        <v>SROE019_00|FS Item</v>
      </c>
    </row>
    <row r="11038" spans="1:5" x14ac:dyDescent="0.2">
      <c r="A11038" t="s">
        <v>3244</v>
      </c>
      <c r="B11038" t="s">
        <v>3245</v>
      </c>
      <c r="C11038" t="s">
        <v>423</v>
      </c>
      <c r="D11038" t="str">
        <f>VLOOKUP(C11038,'lookup table'!$A$2:$B$19,2,FALSE)</f>
        <v>ignore</v>
      </c>
      <c r="E11038" t="str">
        <f t="shared" si="172"/>
        <v>SROE019_00|ignore</v>
      </c>
    </row>
    <row r="11039" spans="1:5" x14ac:dyDescent="0.2">
      <c r="A11039" t="s">
        <v>3244</v>
      </c>
      <c r="B11039" t="s">
        <v>3245</v>
      </c>
      <c r="C11039" t="s">
        <v>441</v>
      </c>
      <c r="D11039" t="str">
        <f>VLOOKUP(C11039,'lookup table'!$A$2:$B$19,2,FALSE)</f>
        <v>Partner Segment</v>
      </c>
      <c r="E11039" t="str">
        <f t="shared" si="172"/>
        <v>SROE019_00|Partner Segment</v>
      </c>
    </row>
    <row r="11040" spans="1:5" x14ac:dyDescent="0.2">
      <c r="A11040" t="s">
        <v>3244</v>
      </c>
      <c r="B11040" t="s">
        <v>3245</v>
      </c>
      <c r="C11040" t="s">
        <v>442</v>
      </c>
      <c r="D11040" t="str">
        <f>VLOOKUP(C11040,'lookup table'!$A$2:$B$19,2,FALSE)</f>
        <v>Partner Unit</v>
      </c>
      <c r="E11040" t="str">
        <f t="shared" si="172"/>
        <v>SROE019_00|Partner Unit</v>
      </c>
    </row>
    <row r="11041" spans="1:5" x14ac:dyDescent="0.2">
      <c r="A11041" t="s">
        <v>3246</v>
      </c>
      <c r="B11041" t="s">
        <v>3247</v>
      </c>
      <c r="C11041" t="s">
        <v>425</v>
      </c>
      <c r="D11041" t="str">
        <f>VLOOKUP(C11041,'lookup table'!$A$2:$B$19,2,FALSE)</f>
        <v>Investee Segment</v>
      </c>
      <c r="E11041" t="str">
        <f t="shared" si="172"/>
        <v>SROE020_00|Investee Segment</v>
      </c>
    </row>
    <row r="11042" spans="1:5" x14ac:dyDescent="0.2">
      <c r="A11042" t="s">
        <v>3246</v>
      </c>
      <c r="B11042" t="s">
        <v>3247</v>
      </c>
      <c r="C11042" t="s">
        <v>426</v>
      </c>
      <c r="D11042" t="str">
        <f>VLOOKUP(C11042,'lookup table'!$A$2:$B$19,2,FALSE)</f>
        <v>Investee Unit</v>
      </c>
      <c r="E11042" t="str">
        <f t="shared" si="172"/>
        <v>SROE020_00|Investee Unit</v>
      </c>
    </row>
    <row r="11043" spans="1:5" x14ac:dyDescent="0.2">
      <c r="A11043" t="s">
        <v>3248</v>
      </c>
      <c r="B11043" t="s">
        <v>3249</v>
      </c>
      <c r="C11043" t="s">
        <v>331</v>
      </c>
      <c r="D11043" t="str">
        <f>VLOOKUP(C11043,'lookup table'!$A$2:$B$19,2,FALSE)</f>
        <v>FS Item</v>
      </c>
      <c r="E11043" t="str">
        <f t="shared" si="172"/>
        <v>SROE021_00|FS Item</v>
      </c>
    </row>
    <row r="11044" spans="1:5" x14ac:dyDescent="0.2">
      <c r="A11044" t="s">
        <v>3248</v>
      </c>
      <c r="B11044" t="s">
        <v>3249</v>
      </c>
      <c r="C11044" t="s">
        <v>423</v>
      </c>
      <c r="D11044" t="str">
        <f>VLOOKUP(C11044,'lookup table'!$A$2:$B$19,2,FALSE)</f>
        <v>ignore</v>
      </c>
      <c r="E11044" t="str">
        <f t="shared" si="172"/>
        <v>SROE021_00|ignore</v>
      </c>
    </row>
    <row r="11045" spans="1:5" x14ac:dyDescent="0.2">
      <c r="A11045" t="s">
        <v>3248</v>
      </c>
      <c r="B11045" t="s">
        <v>3249</v>
      </c>
      <c r="C11045" t="s">
        <v>441</v>
      </c>
      <c r="D11045" t="str">
        <f>VLOOKUP(C11045,'lookup table'!$A$2:$B$19,2,FALSE)</f>
        <v>Partner Segment</v>
      </c>
      <c r="E11045" t="str">
        <f t="shared" si="172"/>
        <v>SROE021_00|Partner Segment</v>
      </c>
    </row>
    <row r="11046" spans="1:5" x14ac:dyDescent="0.2">
      <c r="A11046" t="s">
        <v>3248</v>
      </c>
      <c r="B11046" t="s">
        <v>3249</v>
      </c>
      <c r="C11046" t="s">
        <v>442</v>
      </c>
      <c r="D11046" t="str">
        <f>VLOOKUP(C11046,'lookup table'!$A$2:$B$19,2,FALSE)</f>
        <v>Partner Unit</v>
      </c>
      <c r="E11046" t="str">
        <f t="shared" si="172"/>
        <v>SROE021_00|Partner Unit</v>
      </c>
    </row>
    <row r="11047" spans="1:5" x14ac:dyDescent="0.2">
      <c r="A11047" t="s">
        <v>3250</v>
      </c>
      <c r="B11047" t="s">
        <v>3251</v>
      </c>
      <c r="C11047" t="s">
        <v>425</v>
      </c>
      <c r="D11047" t="str">
        <f>VLOOKUP(C11047,'lookup table'!$A$2:$B$19,2,FALSE)</f>
        <v>Investee Segment</v>
      </c>
      <c r="E11047" t="str">
        <f t="shared" si="172"/>
        <v>SROE022_01|Investee Segment</v>
      </c>
    </row>
    <row r="11048" spans="1:5" x14ac:dyDescent="0.2">
      <c r="A11048" t="s">
        <v>3250</v>
      </c>
      <c r="B11048" t="s">
        <v>3251</v>
      </c>
      <c r="C11048" t="s">
        <v>426</v>
      </c>
      <c r="D11048" t="str">
        <f>VLOOKUP(C11048,'lookup table'!$A$2:$B$19,2,FALSE)</f>
        <v>Investee Unit</v>
      </c>
      <c r="E11048" t="str">
        <f t="shared" si="172"/>
        <v>SROE022_01|Investee Unit</v>
      </c>
    </row>
    <row r="11049" spans="1:5" x14ac:dyDescent="0.2">
      <c r="A11049" t="s">
        <v>3252</v>
      </c>
      <c r="B11049" t="s">
        <v>3251</v>
      </c>
      <c r="C11049" t="s">
        <v>425</v>
      </c>
      <c r="D11049" t="str">
        <f>VLOOKUP(C11049,'lookup table'!$A$2:$B$19,2,FALSE)</f>
        <v>Investee Segment</v>
      </c>
      <c r="E11049" t="str">
        <f t="shared" si="172"/>
        <v>SROE022_02|Investee Segment</v>
      </c>
    </row>
    <row r="11050" spans="1:5" x14ac:dyDescent="0.2">
      <c r="A11050" t="s">
        <v>3252</v>
      </c>
      <c r="B11050" t="s">
        <v>3251</v>
      </c>
      <c r="C11050" t="s">
        <v>426</v>
      </c>
      <c r="D11050" t="str">
        <f>VLOOKUP(C11050,'lookup table'!$A$2:$B$19,2,FALSE)</f>
        <v>Investee Unit</v>
      </c>
      <c r="E11050" t="str">
        <f t="shared" si="172"/>
        <v>SROE022_02|Investee Unit</v>
      </c>
    </row>
    <row r="11051" spans="1:5" x14ac:dyDescent="0.2">
      <c r="A11051" t="s">
        <v>3253</v>
      </c>
      <c r="B11051" t="s">
        <v>3254</v>
      </c>
      <c r="C11051" t="s">
        <v>331</v>
      </c>
      <c r="D11051" t="str">
        <f>VLOOKUP(C11051,'lookup table'!$A$2:$B$19,2,FALSE)</f>
        <v>FS Item</v>
      </c>
      <c r="E11051" t="str">
        <f t="shared" si="172"/>
        <v>SROE023_01|FS Item</v>
      </c>
    </row>
    <row r="11052" spans="1:5" x14ac:dyDescent="0.2">
      <c r="A11052" t="s">
        <v>3253</v>
      </c>
      <c r="B11052" t="s">
        <v>3254</v>
      </c>
      <c r="C11052" t="s">
        <v>423</v>
      </c>
      <c r="D11052" t="str">
        <f>VLOOKUP(C11052,'lookup table'!$A$2:$B$19,2,FALSE)</f>
        <v>ignore</v>
      </c>
      <c r="E11052" t="str">
        <f t="shared" si="172"/>
        <v>SROE023_01|ignore</v>
      </c>
    </row>
    <row r="11053" spans="1:5" x14ac:dyDescent="0.2">
      <c r="A11053" t="s">
        <v>3253</v>
      </c>
      <c r="B11053" t="s">
        <v>3254</v>
      </c>
      <c r="C11053" t="s">
        <v>441</v>
      </c>
      <c r="D11053" t="str">
        <f>VLOOKUP(C11053,'lookup table'!$A$2:$B$19,2,FALSE)</f>
        <v>Partner Segment</v>
      </c>
      <c r="E11053" t="str">
        <f t="shared" si="172"/>
        <v>SROE023_01|Partner Segment</v>
      </c>
    </row>
    <row r="11054" spans="1:5" x14ac:dyDescent="0.2">
      <c r="A11054" t="s">
        <v>3253</v>
      </c>
      <c r="B11054" t="s">
        <v>3254</v>
      </c>
      <c r="C11054" t="s">
        <v>442</v>
      </c>
      <c r="D11054" t="str">
        <f>VLOOKUP(C11054,'lookup table'!$A$2:$B$19,2,FALSE)</f>
        <v>Partner Unit</v>
      </c>
      <c r="E11054" t="str">
        <f t="shared" si="172"/>
        <v>SROE023_01|Partner Unit</v>
      </c>
    </row>
    <row r="11055" spans="1:5" x14ac:dyDescent="0.2">
      <c r="A11055" t="s">
        <v>3255</v>
      </c>
      <c r="B11055" t="s">
        <v>3254</v>
      </c>
      <c r="C11055" t="s">
        <v>331</v>
      </c>
      <c r="D11055" t="str">
        <f>VLOOKUP(C11055,'lookup table'!$A$2:$B$19,2,FALSE)</f>
        <v>FS Item</v>
      </c>
      <c r="E11055" t="str">
        <f t="shared" si="172"/>
        <v>SROE023_02|FS Item</v>
      </c>
    </row>
    <row r="11056" spans="1:5" x14ac:dyDescent="0.2">
      <c r="A11056" t="s">
        <v>3255</v>
      </c>
      <c r="B11056" t="s">
        <v>3254</v>
      </c>
      <c r="C11056" t="s">
        <v>423</v>
      </c>
      <c r="D11056" t="str">
        <f>VLOOKUP(C11056,'lookup table'!$A$2:$B$19,2,FALSE)</f>
        <v>ignore</v>
      </c>
      <c r="E11056" t="str">
        <f t="shared" si="172"/>
        <v>SROE023_02|ignore</v>
      </c>
    </row>
    <row r="11057" spans="1:5" x14ac:dyDescent="0.2">
      <c r="A11057" t="s">
        <v>3255</v>
      </c>
      <c r="B11057" t="s">
        <v>3254</v>
      </c>
      <c r="C11057" t="s">
        <v>441</v>
      </c>
      <c r="D11057" t="str">
        <f>VLOOKUP(C11057,'lookup table'!$A$2:$B$19,2,FALSE)</f>
        <v>Partner Segment</v>
      </c>
      <c r="E11057" t="str">
        <f t="shared" si="172"/>
        <v>SROE023_02|Partner Segment</v>
      </c>
    </row>
    <row r="11058" spans="1:5" x14ac:dyDescent="0.2">
      <c r="A11058" t="s">
        <v>3255</v>
      </c>
      <c r="B11058" t="s">
        <v>3254</v>
      </c>
      <c r="C11058" t="s">
        <v>442</v>
      </c>
      <c r="D11058" t="str">
        <f>VLOOKUP(C11058,'lookup table'!$A$2:$B$19,2,FALSE)</f>
        <v>Partner Unit</v>
      </c>
      <c r="E11058" t="str">
        <f t="shared" si="172"/>
        <v>SROE023_02|Partner Unit</v>
      </c>
    </row>
    <row r="11059" spans="1:5" x14ac:dyDescent="0.2">
      <c r="A11059" t="s">
        <v>3256</v>
      </c>
      <c r="B11059" t="s">
        <v>3257</v>
      </c>
      <c r="C11059" t="s">
        <v>331</v>
      </c>
      <c r="D11059" t="str">
        <f>VLOOKUP(C11059,'lookup table'!$A$2:$B$19,2,FALSE)</f>
        <v>FS Item</v>
      </c>
      <c r="E11059" t="str">
        <f t="shared" si="172"/>
        <v>SROE024_00|FS Item</v>
      </c>
    </row>
    <row r="11060" spans="1:5" x14ac:dyDescent="0.2">
      <c r="A11060" t="s">
        <v>3256</v>
      </c>
      <c r="B11060" t="s">
        <v>3257</v>
      </c>
      <c r="C11060" t="s">
        <v>423</v>
      </c>
      <c r="D11060" t="str">
        <f>VLOOKUP(C11060,'lookup table'!$A$2:$B$19,2,FALSE)</f>
        <v>ignore</v>
      </c>
      <c r="E11060" t="str">
        <f t="shared" si="172"/>
        <v>SROE024_00|ignore</v>
      </c>
    </row>
    <row r="11061" spans="1:5" x14ac:dyDescent="0.2">
      <c r="A11061" t="s">
        <v>3258</v>
      </c>
      <c r="B11061" t="s">
        <v>3259</v>
      </c>
      <c r="C11061" t="s">
        <v>331</v>
      </c>
      <c r="D11061" t="str">
        <f>VLOOKUP(C11061,'lookup table'!$A$2:$B$19,2,FALSE)</f>
        <v>FS Item</v>
      </c>
      <c r="E11061" t="str">
        <f t="shared" si="172"/>
        <v>SROE025_00|FS Item</v>
      </c>
    </row>
    <row r="11062" spans="1:5" x14ac:dyDescent="0.2">
      <c r="A11062" t="s">
        <v>3258</v>
      </c>
      <c r="B11062" t="s">
        <v>3259</v>
      </c>
      <c r="C11062" t="s">
        <v>423</v>
      </c>
      <c r="D11062" t="str">
        <f>VLOOKUP(C11062,'lookup table'!$A$2:$B$19,2,FALSE)</f>
        <v>ignore</v>
      </c>
      <c r="E11062" t="str">
        <f t="shared" si="172"/>
        <v>SROE025_00|ignore</v>
      </c>
    </row>
    <row r="11063" spans="1:5" x14ac:dyDescent="0.2">
      <c r="A11063" t="s">
        <v>3260</v>
      </c>
      <c r="B11063" t="s">
        <v>3261</v>
      </c>
      <c r="C11063" t="s">
        <v>331</v>
      </c>
      <c r="D11063" t="str">
        <f>VLOOKUP(C11063,'lookup table'!$A$2:$B$19,2,FALSE)</f>
        <v>FS Item</v>
      </c>
      <c r="E11063" t="str">
        <f t="shared" si="172"/>
        <v>SROE026_00|FS Item</v>
      </c>
    </row>
    <row r="11064" spans="1:5" x14ac:dyDescent="0.2">
      <c r="A11064" t="s">
        <v>3260</v>
      </c>
      <c r="B11064" t="s">
        <v>3261</v>
      </c>
      <c r="C11064" t="s">
        <v>423</v>
      </c>
      <c r="D11064" t="str">
        <f>VLOOKUP(C11064,'lookup table'!$A$2:$B$19,2,FALSE)</f>
        <v>ignore</v>
      </c>
      <c r="E11064" t="str">
        <f t="shared" si="172"/>
        <v>SROE026_00|ignore</v>
      </c>
    </row>
    <row r="11065" spans="1:5" x14ac:dyDescent="0.2">
      <c r="A11065" t="s">
        <v>3262</v>
      </c>
      <c r="B11065" t="s">
        <v>3263</v>
      </c>
      <c r="C11065" t="s">
        <v>331</v>
      </c>
      <c r="D11065" t="str">
        <f>VLOOKUP(C11065,'lookup table'!$A$2:$B$19,2,FALSE)</f>
        <v>FS Item</v>
      </c>
      <c r="E11065" t="str">
        <f t="shared" si="172"/>
        <v>SROE027_00|FS Item</v>
      </c>
    </row>
    <row r="11066" spans="1:5" x14ac:dyDescent="0.2">
      <c r="A11066" t="s">
        <v>3262</v>
      </c>
      <c r="B11066" t="s">
        <v>3263</v>
      </c>
      <c r="C11066" t="s">
        <v>423</v>
      </c>
      <c r="D11066" t="str">
        <f>VLOOKUP(C11066,'lookup table'!$A$2:$B$19,2,FALSE)</f>
        <v>ignore</v>
      </c>
      <c r="E11066" t="str">
        <f t="shared" si="172"/>
        <v>SROE027_00|ignore</v>
      </c>
    </row>
    <row r="11067" spans="1:5" x14ac:dyDescent="0.2">
      <c r="A11067" t="s">
        <v>3264</v>
      </c>
      <c r="B11067" t="s">
        <v>3265</v>
      </c>
      <c r="C11067" t="s">
        <v>331</v>
      </c>
      <c r="D11067" t="str">
        <f>VLOOKUP(C11067,'lookup table'!$A$2:$B$19,2,FALSE)</f>
        <v>FS Item</v>
      </c>
      <c r="E11067" t="str">
        <f t="shared" si="172"/>
        <v>SROE028_00|FS Item</v>
      </c>
    </row>
    <row r="11068" spans="1:5" x14ac:dyDescent="0.2">
      <c r="A11068" t="s">
        <v>3264</v>
      </c>
      <c r="B11068" t="s">
        <v>3265</v>
      </c>
      <c r="C11068" t="s">
        <v>423</v>
      </c>
      <c r="D11068" t="str">
        <f>VLOOKUP(C11068,'lookup table'!$A$2:$B$19,2,FALSE)</f>
        <v>ignore</v>
      </c>
      <c r="E11068" t="str">
        <f t="shared" si="172"/>
        <v>SROE028_00|ignore</v>
      </c>
    </row>
    <row r="11069" spans="1:5" x14ac:dyDescent="0.2">
      <c r="A11069" t="s">
        <v>3266</v>
      </c>
      <c r="B11069" t="s">
        <v>3267</v>
      </c>
      <c r="C11069" t="s">
        <v>331</v>
      </c>
      <c r="D11069" t="str">
        <f>VLOOKUP(C11069,'lookup table'!$A$2:$B$19,2,FALSE)</f>
        <v>FS Item</v>
      </c>
      <c r="E11069" t="str">
        <f t="shared" si="172"/>
        <v>SROE029_00|FS Item</v>
      </c>
    </row>
    <row r="11070" spans="1:5" x14ac:dyDescent="0.2">
      <c r="A11070" t="s">
        <v>3266</v>
      </c>
      <c r="B11070" t="s">
        <v>3267</v>
      </c>
      <c r="C11070" t="s">
        <v>423</v>
      </c>
      <c r="D11070" t="str">
        <f>VLOOKUP(C11070,'lookup table'!$A$2:$B$19,2,FALSE)</f>
        <v>ignore</v>
      </c>
      <c r="E11070" t="str">
        <f t="shared" si="172"/>
        <v>SROE029_00|ignore</v>
      </c>
    </row>
    <row r="11071" spans="1:5" x14ac:dyDescent="0.2">
      <c r="A11071" t="s">
        <v>3268</v>
      </c>
      <c r="B11071" t="s">
        <v>3269</v>
      </c>
      <c r="C11071" t="s">
        <v>14</v>
      </c>
      <c r="D11071" t="str">
        <f>VLOOKUP(C11071,'lookup table'!$A$2:$B$19,2,FALSE)</f>
        <v>ALC</v>
      </c>
      <c r="E11071" t="str">
        <f t="shared" si="172"/>
        <v>SROE900_00|ALC</v>
      </c>
    </row>
    <row r="11072" spans="1:5" x14ac:dyDescent="0.2">
      <c r="A11072" t="s">
        <v>3268</v>
      </c>
      <c r="B11072" t="s">
        <v>3269</v>
      </c>
      <c r="C11072" t="s">
        <v>20</v>
      </c>
      <c r="D11072" t="str">
        <f>VLOOKUP(C11072,'lookup table'!$A$2:$B$19,2,FALSE)</f>
        <v>AY</v>
      </c>
      <c r="E11072" t="str">
        <f t="shared" si="172"/>
        <v>SROE900_00|AY</v>
      </c>
    </row>
    <row r="11073" spans="1:5" x14ac:dyDescent="0.2">
      <c r="A11073" t="s">
        <v>3268</v>
      </c>
      <c r="B11073" t="s">
        <v>3269</v>
      </c>
      <c r="C11073" t="s">
        <v>331</v>
      </c>
      <c r="D11073" t="str">
        <f>VLOOKUP(C11073,'lookup table'!$A$2:$B$19,2,FALSE)</f>
        <v>FS Item</v>
      </c>
      <c r="E11073" t="str">
        <f t="shared" si="172"/>
        <v>SROE900_00|FS Item</v>
      </c>
    </row>
    <row r="11074" spans="1:5" x14ac:dyDescent="0.2">
      <c r="A11074" t="s">
        <v>3268</v>
      </c>
      <c r="B11074" t="s">
        <v>3269</v>
      </c>
      <c r="C11074" t="s">
        <v>423</v>
      </c>
      <c r="D11074" t="str">
        <f>VLOOKUP(C11074,'lookup table'!$A$2:$B$19,2,FALSE)</f>
        <v>ignore</v>
      </c>
      <c r="E11074" t="str">
        <f t="shared" si="172"/>
        <v>SROE900_00|ignore</v>
      </c>
    </row>
    <row r="11075" spans="1:5" x14ac:dyDescent="0.2">
      <c r="A11075" t="s">
        <v>3268</v>
      </c>
      <c r="B11075" t="s">
        <v>3269</v>
      </c>
      <c r="C11075" t="s">
        <v>424</v>
      </c>
      <c r="D11075" t="str">
        <f>VLOOKUP(C11075,'lookup table'!$A$2:$B$19,2,FALSE)</f>
        <v>GRC</v>
      </c>
      <c r="E11075" t="str">
        <f t="shared" ref="E11075:E11138" si="173">IF(ISNA(D11075),"",IF(A11075="","",A11075) &amp; "|" &amp; D11075)</f>
        <v>SROE900_00|GRC</v>
      </c>
    </row>
    <row r="11076" spans="1:5" x14ac:dyDescent="0.2">
      <c r="A11076" t="s">
        <v>3268</v>
      </c>
      <c r="B11076" t="s">
        <v>3269</v>
      </c>
      <c r="C11076" t="s">
        <v>428</v>
      </c>
      <c r="D11076" t="str">
        <f>VLOOKUP(C11076,'lookup table'!$A$2:$B$19,2,FALSE)</f>
        <v>LoB</v>
      </c>
      <c r="E11076" t="str">
        <f t="shared" si="173"/>
        <v>SROE900_00|LoB</v>
      </c>
    </row>
    <row r="11077" spans="1:5" x14ac:dyDescent="0.2">
      <c r="A11077" t="s">
        <v>3268</v>
      </c>
      <c r="B11077" t="s">
        <v>3269</v>
      </c>
      <c r="C11077" t="s">
        <v>436</v>
      </c>
      <c r="D11077" t="str">
        <f>VLOOKUP(C11077,'lookup table'!$A$2:$B$19,2,FALSE)</f>
        <v>MAT</v>
      </c>
      <c r="E11077" t="str">
        <f t="shared" si="173"/>
        <v>SROE900_00|MAT</v>
      </c>
    </row>
    <row r="11078" spans="1:5" x14ac:dyDescent="0.2">
      <c r="A11078" t="s">
        <v>3268</v>
      </c>
      <c r="B11078" t="s">
        <v>3269</v>
      </c>
      <c r="C11078" t="s">
        <v>447</v>
      </c>
      <c r="D11078" t="str">
        <f>VLOOKUP(C11078,'lookup table'!$A$2:$B$19,2,FALSE)</f>
        <v>REX</v>
      </c>
      <c r="E11078" t="str">
        <f t="shared" si="173"/>
        <v>SROE900_00|REX</v>
      </c>
    </row>
    <row r="11079" spans="1:5" x14ac:dyDescent="0.2">
      <c r="A11079" t="s">
        <v>3268</v>
      </c>
      <c r="B11079" t="s">
        <v>3269</v>
      </c>
      <c r="C11079" t="s">
        <v>451</v>
      </c>
      <c r="D11079" t="str">
        <f>VLOOKUP(C11079,'lookup table'!$A$2:$B$19,2,FALSE)</f>
        <v>Segment</v>
      </c>
      <c r="E11079" t="str">
        <f t="shared" si="173"/>
        <v>SROE900_00|Segment</v>
      </c>
    </row>
    <row r="11080" spans="1:5" x14ac:dyDescent="0.2">
      <c r="A11080" t="s">
        <v>3268</v>
      </c>
      <c r="B11080" t="s">
        <v>3269</v>
      </c>
      <c r="C11080" t="s">
        <v>457</v>
      </c>
      <c r="D11080" t="str">
        <f>VLOOKUP(C11080,'lookup table'!$A$2:$B$19,2,FALSE)</f>
        <v>VLT</v>
      </c>
      <c r="E11080" t="str">
        <f t="shared" si="173"/>
        <v>SROE900_00|VLT</v>
      </c>
    </row>
    <row r="11081" spans="1:5" x14ac:dyDescent="0.2">
      <c r="A11081" t="s">
        <v>3268</v>
      </c>
      <c r="B11081" t="s">
        <v>3269</v>
      </c>
      <c r="C11081" t="s">
        <v>458</v>
      </c>
      <c r="D11081" t="str">
        <f>VLOOKUP(C11081,'lookup table'!$A$2:$B$19,2,FALSE)</f>
        <v>VAR</v>
      </c>
      <c r="E11081" t="str">
        <f t="shared" si="173"/>
        <v>SROE900_00|VAR</v>
      </c>
    </row>
    <row r="11082" spans="1:5" x14ac:dyDescent="0.2">
      <c r="A11082" t="s">
        <v>3270</v>
      </c>
      <c r="B11082" t="s">
        <v>3271</v>
      </c>
      <c r="C11082" t="s">
        <v>14</v>
      </c>
      <c r="D11082" t="str">
        <f>VLOOKUP(C11082,'lookup table'!$A$2:$B$19,2,FALSE)</f>
        <v>ALC</v>
      </c>
      <c r="E11082" t="str">
        <f t="shared" si="173"/>
        <v>SROE901_00|ALC</v>
      </c>
    </row>
    <row r="11083" spans="1:5" x14ac:dyDescent="0.2">
      <c r="A11083" t="s">
        <v>3270</v>
      </c>
      <c r="B11083" t="s">
        <v>3271</v>
      </c>
      <c r="C11083" t="s">
        <v>20</v>
      </c>
      <c r="D11083" t="str">
        <f>VLOOKUP(C11083,'lookup table'!$A$2:$B$19,2,FALSE)</f>
        <v>AY</v>
      </c>
      <c r="E11083" t="str">
        <f t="shared" si="173"/>
        <v>SROE901_00|AY</v>
      </c>
    </row>
    <row r="11084" spans="1:5" x14ac:dyDescent="0.2">
      <c r="A11084" t="s">
        <v>3270</v>
      </c>
      <c r="B11084" t="s">
        <v>3271</v>
      </c>
      <c r="C11084" t="s">
        <v>331</v>
      </c>
      <c r="D11084" t="str">
        <f>VLOOKUP(C11084,'lookup table'!$A$2:$B$19,2,FALSE)</f>
        <v>FS Item</v>
      </c>
      <c r="E11084" t="str">
        <f t="shared" si="173"/>
        <v>SROE901_00|FS Item</v>
      </c>
    </row>
    <row r="11085" spans="1:5" x14ac:dyDescent="0.2">
      <c r="A11085" t="s">
        <v>3270</v>
      </c>
      <c r="B11085" t="s">
        <v>3271</v>
      </c>
      <c r="C11085" t="s">
        <v>423</v>
      </c>
      <c r="D11085" t="str">
        <f>VLOOKUP(C11085,'lookup table'!$A$2:$B$19,2,FALSE)</f>
        <v>ignore</v>
      </c>
      <c r="E11085" t="str">
        <f t="shared" si="173"/>
        <v>SROE901_00|ignore</v>
      </c>
    </row>
    <row r="11086" spans="1:5" x14ac:dyDescent="0.2">
      <c r="A11086" t="s">
        <v>3270</v>
      </c>
      <c r="B11086" t="s">
        <v>3271</v>
      </c>
      <c r="C11086" t="s">
        <v>424</v>
      </c>
      <c r="D11086" t="str">
        <f>VLOOKUP(C11086,'lookup table'!$A$2:$B$19,2,FALSE)</f>
        <v>GRC</v>
      </c>
      <c r="E11086" t="str">
        <f t="shared" si="173"/>
        <v>SROE901_00|GRC</v>
      </c>
    </row>
    <row r="11087" spans="1:5" x14ac:dyDescent="0.2">
      <c r="A11087" t="s">
        <v>3270</v>
      </c>
      <c r="B11087" t="s">
        <v>3271</v>
      </c>
      <c r="C11087" t="s">
        <v>428</v>
      </c>
      <c r="D11087" t="str">
        <f>VLOOKUP(C11087,'lookup table'!$A$2:$B$19,2,FALSE)</f>
        <v>LoB</v>
      </c>
      <c r="E11087" t="str">
        <f t="shared" si="173"/>
        <v>SROE901_00|LoB</v>
      </c>
    </row>
    <row r="11088" spans="1:5" x14ac:dyDescent="0.2">
      <c r="A11088" t="s">
        <v>3270</v>
      </c>
      <c r="B11088" t="s">
        <v>3271</v>
      </c>
      <c r="C11088" t="s">
        <v>436</v>
      </c>
      <c r="D11088" t="str">
        <f>VLOOKUP(C11088,'lookup table'!$A$2:$B$19,2,FALSE)</f>
        <v>MAT</v>
      </c>
      <c r="E11088" t="str">
        <f t="shared" si="173"/>
        <v>SROE901_00|MAT</v>
      </c>
    </row>
    <row r="11089" spans="1:5" x14ac:dyDescent="0.2">
      <c r="A11089" t="s">
        <v>3270</v>
      </c>
      <c r="B11089" t="s">
        <v>3271</v>
      </c>
      <c r="C11089" t="s">
        <v>447</v>
      </c>
      <c r="D11089" t="str">
        <f>VLOOKUP(C11089,'lookup table'!$A$2:$B$19,2,FALSE)</f>
        <v>REX</v>
      </c>
      <c r="E11089" t="str">
        <f t="shared" si="173"/>
        <v>SROE901_00|REX</v>
      </c>
    </row>
    <row r="11090" spans="1:5" x14ac:dyDescent="0.2">
      <c r="A11090" t="s">
        <v>3270</v>
      </c>
      <c r="B11090" t="s">
        <v>3271</v>
      </c>
      <c r="C11090" t="s">
        <v>451</v>
      </c>
      <c r="D11090" t="str">
        <f>VLOOKUP(C11090,'lookup table'!$A$2:$B$19,2,FALSE)</f>
        <v>Segment</v>
      </c>
      <c r="E11090" t="str">
        <f t="shared" si="173"/>
        <v>SROE901_00|Segment</v>
      </c>
    </row>
    <row r="11091" spans="1:5" x14ac:dyDescent="0.2">
      <c r="A11091" t="s">
        <v>3270</v>
      </c>
      <c r="B11091" t="s">
        <v>3271</v>
      </c>
      <c r="C11091" t="s">
        <v>457</v>
      </c>
      <c r="D11091" t="str">
        <f>VLOOKUP(C11091,'lookup table'!$A$2:$B$19,2,FALSE)</f>
        <v>VLT</v>
      </c>
      <c r="E11091" t="str">
        <f t="shared" si="173"/>
        <v>SROE901_00|VLT</v>
      </c>
    </row>
    <row r="11092" spans="1:5" x14ac:dyDescent="0.2">
      <c r="A11092" t="s">
        <v>3270</v>
      </c>
      <c r="B11092" t="s">
        <v>3271</v>
      </c>
      <c r="C11092" t="s">
        <v>458</v>
      </c>
      <c r="D11092" t="str">
        <f>VLOOKUP(C11092,'lookup table'!$A$2:$B$19,2,FALSE)</f>
        <v>VAR</v>
      </c>
      <c r="E11092" t="str">
        <f t="shared" si="173"/>
        <v>SROE901_00|VAR</v>
      </c>
    </row>
    <row r="11093" spans="1:5" x14ac:dyDescent="0.2">
      <c r="A11093" t="s">
        <v>3272</v>
      </c>
      <c r="B11093" t="s">
        <v>3273</v>
      </c>
      <c r="C11093" t="s">
        <v>14</v>
      </c>
      <c r="D11093" t="str">
        <f>VLOOKUP(C11093,'lookup table'!$A$2:$B$19,2,FALSE)</f>
        <v>ALC</v>
      </c>
      <c r="E11093" t="str">
        <f t="shared" si="173"/>
        <v>SROE902_00|ALC</v>
      </c>
    </row>
    <row r="11094" spans="1:5" x14ac:dyDescent="0.2">
      <c r="A11094" t="s">
        <v>3272</v>
      </c>
      <c r="B11094" t="s">
        <v>3273</v>
      </c>
      <c r="C11094" t="s">
        <v>20</v>
      </c>
      <c r="D11094" t="str">
        <f>VLOOKUP(C11094,'lookup table'!$A$2:$B$19,2,FALSE)</f>
        <v>AY</v>
      </c>
      <c r="E11094" t="str">
        <f t="shared" si="173"/>
        <v>SROE902_00|AY</v>
      </c>
    </row>
    <row r="11095" spans="1:5" x14ac:dyDescent="0.2">
      <c r="A11095" t="s">
        <v>3272</v>
      </c>
      <c r="B11095" t="s">
        <v>3273</v>
      </c>
      <c r="C11095" t="s">
        <v>331</v>
      </c>
      <c r="D11095" t="str">
        <f>VLOOKUP(C11095,'lookup table'!$A$2:$B$19,2,FALSE)</f>
        <v>FS Item</v>
      </c>
      <c r="E11095" t="str">
        <f t="shared" si="173"/>
        <v>SROE902_00|FS Item</v>
      </c>
    </row>
    <row r="11096" spans="1:5" x14ac:dyDescent="0.2">
      <c r="A11096" t="s">
        <v>3272</v>
      </c>
      <c r="B11096" t="s">
        <v>3273</v>
      </c>
      <c r="C11096" t="s">
        <v>423</v>
      </c>
      <c r="D11096" t="str">
        <f>VLOOKUP(C11096,'lookup table'!$A$2:$B$19,2,FALSE)</f>
        <v>ignore</v>
      </c>
      <c r="E11096" t="str">
        <f t="shared" si="173"/>
        <v>SROE902_00|ignore</v>
      </c>
    </row>
    <row r="11097" spans="1:5" x14ac:dyDescent="0.2">
      <c r="A11097" t="s">
        <v>3272</v>
      </c>
      <c r="B11097" t="s">
        <v>3273</v>
      </c>
      <c r="C11097" t="s">
        <v>424</v>
      </c>
      <c r="D11097" t="str">
        <f>VLOOKUP(C11097,'lookup table'!$A$2:$B$19,2,FALSE)</f>
        <v>GRC</v>
      </c>
      <c r="E11097" t="str">
        <f t="shared" si="173"/>
        <v>SROE902_00|GRC</v>
      </c>
    </row>
    <row r="11098" spans="1:5" x14ac:dyDescent="0.2">
      <c r="A11098" t="s">
        <v>3272</v>
      </c>
      <c r="B11098" t="s">
        <v>3273</v>
      </c>
      <c r="C11098" t="s">
        <v>428</v>
      </c>
      <c r="D11098" t="str">
        <f>VLOOKUP(C11098,'lookup table'!$A$2:$B$19,2,FALSE)</f>
        <v>LoB</v>
      </c>
      <c r="E11098" t="str">
        <f t="shared" si="173"/>
        <v>SROE902_00|LoB</v>
      </c>
    </row>
    <row r="11099" spans="1:5" x14ac:dyDescent="0.2">
      <c r="A11099" t="s">
        <v>3272</v>
      </c>
      <c r="B11099" t="s">
        <v>3273</v>
      </c>
      <c r="C11099" t="s">
        <v>436</v>
      </c>
      <c r="D11099" t="str">
        <f>VLOOKUP(C11099,'lookup table'!$A$2:$B$19,2,FALSE)</f>
        <v>MAT</v>
      </c>
      <c r="E11099" t="str">
        <f t="shared" si="173"/>
        <v>SROE902_00|MAT</v>
      </c>
    </row>
    <row r="11100" spans="1:5" x14ac:dyDescent="0.2">
      <c r="A11100" t="s">
        <v>3272</v>
      </c>
      <c r="B11100" t="s">
        <v>3273</v>
      </c>
      <c r="C11100" t="s">
        <v>447</v>
      </c>
      <c r="D11100" t="str">
        <f>VLOOKUP(C11100,'lookup table'!$A$2:$B$19,2,FALSE)</f>
        <v>REX</v>
      </c>
      <c r="E11100" t="str">
        <f t="shared" si="173"/>
        <v>SROE902_00|REX</v>
      </c>
    </row>
    <row r="11101" spans="1:5" x14ac:dyDescent="0.2">
      <c r="A11101" t="s">
        <v>3272</v>
      </c>
      <c r="B11101" t="s">
        <v>3273</v>
      </c>
      <c r="C11101" t="s">
        <v>451</v>
      </c>
      <c r="D11101" t="str">
        <f>VLOOKUP(C11101,'lookup table'!$A$2:$B$19,2,FALSE)</f>
        <v>Segment</v>
      </c>
      <c r="E11101" t="str">
        <f t="shared" si="173"/>
        <v>SROE902_00|Segment</v>
      </c>
    </row>
    <row r="11102" spans="1:5" x14ac:dyDescent="0.2">
      <c r="A11102" t="s">
        <v>3272</v>
      </c>
      <c r="B11102" t="s">
        <v>3273</v>
      </c>
      <c r="C11102" t="s">
        <v>457</v>
      </c>
      <c r="D11102" t="str">
        <f>VLOOKUP(C11102,'lookup table'!$A$2:$B$19,2,FALSE)</f>
        <v>VLT</v>
      </c>
      <c r="E11102" t="str">
        <f t="shared" si="173"/>
        <v>SROE902_00|VLT</v>
      </c>
    </row>
    <row r="11103" spans="1:5" x14ac:dyDescent="0.2">
      <c r="A11103" t="s">
        <v>3272</v>
      </c>
      <c r="B11103" t="s">
        <v>3273</v>
      </c>
      <c r="C11103" t="s">
        <v>458</v>
      </c>
      <c r="D11103" t="str">
        <f>VLOOKUP(C11103,'lookup table'!$A$2:$B$19,2,FALSE)</f>
        <v>VAR</v>
      </c>
      <c r="E11103" t="str">
        <f t="shared" si="173"/>
        <v>SROE902_00|VAR</v>
      </c>
    </row>
    <row r="11104" spans="1:5" x14ac:dyDescent="0.2">
      <c r="A11104" t="s">
        <v>3274</v>
      </c>
      <c r="B11104" t="s">
        <v>3275</v>
      </c>
      <c r="C11104" t="s">
        <v>14</v>
      </c>
      <c r="D11104" t="str">
        <f>VLOOKUP(C11104,'lookup table'!$A$2:$B$19,2,FALSE)</f>
        <v>ALC</v>
      </c>
      <c r="E11104" t="str">
        <f t="shared" si="173"/>
        <v>SROE903_00|ALC</v>
      </c>
    </row>
    <row r="11105" spans="1:5" x14ac:dyDescent="0.2">
      <c r="A11105" t="s">
        <v>3274</v>
      </c>
      <c r="B11105" t="s">
        <v>3275</v>
      </c>
      <c r="C11105" t="s">
        <v>20</v>
      </c>
      <c r="D11105" t="str">
        <f>VLOOKUP(C11105,'lookup table'!$A$2:$B$19,2,FALSE)</f>
        <v>AY</v>
      </c>
      <c r="E11105" t="str">
        <f t="shared" si="173"/>
        <v>SROE903_00|AY</v>
      </c>
    </row>
    <row r="11106" spans="1:5" x14ac:dyDescent="0.2">
      <c r="A11106" t="s">
        <v>3274</v>
      </c>
      <c r="B11106" t="s">
        <v>3275</v>
      </c>
      <c r="C11106" t="s">
        <v>331</v>
      </c>
      <c r="D11106" t="str">
        <f>VLOOKUP(C11106,'lookup table'!$A$2:$B$19,2,FALSE)</f>
        <v>FS Item</v>
      </c>
      <c r="E11106" t="str">
        <f t="shared" si="173"/>
        <v>SROE903_00|FS Item</v>
      </c>
    </row>
    <row r="11107" spans="1:5" x14ac:dyDescent="0.2">
      <c r="A11107" t="s">
        <v>3274</v>
      </c>
      <c r="B11107" t="s">
        <v>3275</v>
      </c>
      <c r="C11107" t="s">
        <v>423</v>
      </c>
      <c r="D11107" t="str">
        <f>VLOOKUP(C11107,'lookup table'!$A$2:$B$19,2,FALSE)</f>
        <v>ignore</v>
      </c>
      <c r="E11107" t="str">
        <f t="shared" si="173"/>
        <v>SROE903_00|ignore</v>
      </c>
    </row>
    <row r="11108" spans="1:5" x14ac:dyDescent="0.2">
      <c r="A11108" t="s">
        <v>3274</v>
      </c>
      <c r="B11108" t="s">
        <v>3275</v>
      </c>
      <c r="C11108" t="s">
        <v>424</v>
      </c>
      <c r="D11108" t="str">
        <f>VLOOKUP(C11108,'lookup table'!$A$2:$B$19,2,FALSE)</f>
        <v>GRC</v>
      </c>
      <c r="E11108" t="str">
        <f t="shared" si="173"/>
        <v>SROE903_00|GRC</v>
      </c>
    </row>
    <row r="11109" spans="1:5" x14ac:dyDescent="0.2">
      <c r="A11109" t="s">
        <v>3274</v>
      </c>
      <c r="B11109" t="s">
        <v>3275</v>
      </c>
      <c r="C11109" t="s">
        <v>428</v>
      </c>
      <c r="D11109" t="str">
        <f>VLOOKUP(C11109,'lookup table'!$A$2:$B$19,2,FALSE)</f>
        <v>LoB</v>
      </c>
      <c r="E11109" t="str">
        <f t="shared" si="173"/>
        <v>SROE903_00|LoB</v>
      </c>
    </row>
    <row r="11110" spans="1:5" x14ac:dyDescent="0.2">
      <c r="A11110" t="s">
        <v>3274</v>
      </c>
      <c r="B11110" t="s">
        <v>3275</v>
      </c>
      <c r="C11110" t="s">
        <v>436</v>
      </c>
      <c r="D11110" t="str">
        <f>VLOOKUP(C11110,'lookup table'!$A$2:$B$19,2,FALSE)</f>
        <v>MAT</v>
      </c>
      <c r="E11110" t="str">
        <f t="shared" si="173"/>
        <v>SROE903_00|MAT</v>
      </c>
    </row>
    <row r="11111" spans="1:5" x14ac:dyDescent="0.2">
      <c r="A11111" t="s">
        <v>3274</v>
      </c>
      <c r="B11111" t="s">
        <v>3275</v>
      </c>
      <c r="C11111" t="s">
        <v>447</v>
      </c>
      <c r="D11111" t="str">
        <f>VLOOKUP(C11111,'lookup table'!$A$2:$B$19,2,FALSE)</f>
        <v>REX</v>
      </c>
      <c r="E11111" t="str">
        <f t="shared" si="173"/>
        <v>SROE903_00|REX</v>
      </c>
    </row>
    <row r="11112" spans="1:5" x14ac:dyDescent="0.2">
      <c r="A11112" t="s">
        <v>3274</v>
      </c>
      <c r="B11112" t="s">
        <v>3275</v>
      </c>
      <c r="C11112" t="s">
        <v>451</v>
      </c>
      <c r="D11112" t="str">
        <f>VLOOKUP(C11112,'lookup table'!$A$2:$B$19,2,FALSE)</f>
        <v>Segment</v>
      </c>
      <c r="E11112" t="str">
        <f t="shared" si="173"/>
        <v>SROE903_00|Segment</v>
      </c>
    </row>
    <row r="11113" spans="1:5" x14ac:dyDescent="0.2">
      <c r="A11113" t="s">
        <v>3274</v>
      </c>
      <c r="B11113" t="s">
        <v>3275</v>
      </c>
      <c r="C11113" t="s">
        <v>457</v>
      </c>
      <c r="D11113" t="str">
        <f>VLOOKUP(C11113,'lookup table'!$A$2:$B$19,2,FALSE)</f>
        <v>VLT</v>
      </c>
      <c r="E11113" t="str">
        <f t="shared" si="173"/>
        <v>SROE903_00|VLT</v>
      </c>
    </row>
    <row r="11114" spans="1:5" x14ac:dyDescent="0.2">
      <c r="A11114" t="s">
        <v>3274</v>
      </c>
      <c r="B11114" t="s">
        <v>3275</v>
      </c>
      <c r="C11114" t="s">
        <v>458</v>
      </c>
      <c r="D11114" t="str">
        <f>VLOOKUP(C11114,'lookup table'!$A$2:$B$19,2,FALSE)</f>
        <v>VAR</v>
      </c>
      <c r="E11114" t="str">
        <f t="shared" si="173"/>
        <v>SROE903_00|VAR</v>
      </c>
    </row>
    <row r="11115" spans="1:5" x14ac:dyDescent="0.2">
      <c r="A11115" t="s">
        <v>3276</v>
      </c>
      <c r="B11115" t="s">
        <v>3277</v>
      </c>
      <c r="C11115" t="s">
        <v>14</v>
      </c>
      <c r="D11115" t="str">
        <f>VLOOKUP(C11115,'lookup table'!$A$2:$B$19,2,FALSE)</f>
        <v>ALC</v>
      </c>
      <c r="E11115" t="str">
        <f t="shared" si="173"/>
        <v>SROE904_00|ALC</v>
      </c>
    </row>
    <row r="11116" spans="1:5" x14ac:dyDescent="0.2">
      <c r="A11116" t="s">
        <v>3276</v>
      </c>
      <c r="B11116" t="s">
        <v>3277</v>
      </c>
      <c r="C11116" t="s">
        <v>20</v>
      </c>
      <c r="D11116" t="str">
        <f>VLOOKUP(C11116,'lookup table'!$A$2:$B$19,2,FALSE)</f>
        <v>AY</v>
      </c>
      <c r="E11116" t="str">
        <f t="shared" si="173"/>
        <v>SROE904_00|AY</v>
      </c>
    </row>
    <row r="11117" spans="1:5" x14ac:dyDescent="0.2">
      <c r="A11117" t="s">
        <v>3276</v>
      </c>
      <c r="B11117" t="s">
        <v>3277</v>
      </c>
      <c r="C11117" t="s">
        <v>331</v>
      </c>
      <c r="D11117" t="str">
        <f>VLOOKUP(C11117,'lookup table'!$A$2:$B$19,2,FALSE)</f>
        <v>FS Item</v>
      </c>
      <c r="E11117" t="str">
        <f t="shared" si="173"/>
        <v>SROE904_00|FS Item</v>
      </c>
    </row>
    <row r="11118" spans="1:5" x14ac:dyDescent="0.2">
      <c r="A11118" t="s">
        <v>3276</v>
      </c>
      <c r="B11118" t="s">
        <v>3277</v>
      </c>
      <c r="C11118" t="s">
        <v>423</v>
      </c>
      <c r="D11118" t="str">
        <f>VLOOKUP(C11118,'lookup table'!$A$2:$B$19,2,FALSE)</f>
        <v>ignore</v>
      </c>
      <c r="E11118" t="str">
        <f t="shared" si="173"/>
        <v>SROE904_00|ignore</v>
      </c>
    </row>
    <row r="11119" spans="1:5" x14ac:dyDescent="0.2">
      <c r="A11119" t="s">
        <v>3276</v>
      </c>
      <c r="B11119" t="s">
        <v>3277</v>
      </c>
      <c r="C11119" t="s">
        <v>424</v>
      </c>
      <c r="D11119" t="str">
        <f>VLOOKUP(C11119,'lookup table'!$A$2:$B$19,2,FALSE)</f>
        <v>GRC</v>
      </c>
      <c r="E11119" t="str">
        <f t="shared" si="173"/>
        <v>SROE904_00|GRC</v>
      </c>
    </row>
    <row r="11120" spans="1:5" x14ac:dyDescent="0.2">
      <c r="A11120" t="s">
        <v>3276</v>
      </c>
      <c r="B11120" t="s">
        <v>3277</v>
      </c>
      <c r="C11120" t="s">
        <v>428</v>
      </c>
      <c r="D11120" t="str">
        <f>VLOOKUP(C11120,'lookup table'!$A$2:$B$19,2,FALSE)</f>
        <v>LoB</v>
      </c>
      <c r="E11120" t="str">
        <f t="shared" si="173"/>
        <v>SROE904_00|LoB</v>
      </c>
    </row>
    <row r="11121" spans="1:5" x14ac:dyDescent="0.2">
      <c r="A11121" t="s">
        <v>3276</v>
      </c>
      <c r="B11121" t="s">
        <v>3277</v>
      </c>
      <c r="C11121" t="s">
        <v>436</v>
      </c>
      <c r="D11121" t="str">
        <f>VLOOKUP(C11121,'lookup table'!$A$2:$B$19,2,FALSE)</f>
        <v>MAT</v>
      </c>
      <c r="E11121" t="str">
        <f t="shared" si="173"/>
        <v>SROE904_00|MAT</v>
      </c>
    </row>
    <row r="11122" spans="1:5" x14ac:dyDescent="0.2">
      <c r="A11122" t="s">
        <v>3276</v>
      </c>
      <c r="B11122" t="s">
        <v>3277</v>
      </c>
      <c r="C11122" t="s">
        <v>447</v>
      </c>
      <c r="D11122" t="str">
        <f>VLOOKUP(C11122,'lookup table'!$A$2:$B$19,2,FALSE)</f>
        <v>REX</v>
      </c>
      <c r="E11122" t="str">
        <f t="shared" si="173"/>
        <v>SROE904_00|REX</v>
      </c>
    </row>
    <row r="11123" spans="1:5" x14ac:dyDescent="0.2">
      <c r="A11123" t="s">
        <v>3276</v>
      </c>
      <c r="B11123" t="s">
        <v>3277</v>
      </c>
      <c r="C11123" t="s">
        <v>451</v>
      </c>
      <c r="D11123" t="str">
        <f>VLOOKUP(C11123,'lookup table'!$A$2:$B$19,2,FALSE)</f>
        <v>Segment</v>
      </c>
      <c r="E11123" t="str">
        <f t="shared" si="173"/>
        <v>SROE904_00|Segment</v>
      </c>
    </row>
    <row r="11124" spans="1:5" x14ac:dyDescent="0.2">
      <c r="A11124" t="s">
        <v>3276</v>
      </c>
      <c r="B11124" t="s">
        <v>3277</v>
      </c>
      <c r="C11124" t="s">
        <v>457</v>
      </c>
      <c r="D11124" t="str">
        <f>VLOOKUP(C11124,'lookup table'!$A$2:$B$19,2,FALSE)</f>
        <v>VLT</v>
      </c>
      <c r="E11124" t="str">
        <f t="shared" si="173"/>
        <v>SROE904_00|VLT</v>
      </c>
    </row>
    <row r="11125" spans="1:5" x14ac:dyDescent="0.2">
      <c r="A11125" t="s">
        <v>3276</v>
      </c>
      <c r="B11125" t="s">
        <v>3277</v>
      </c>
      <c r="C11125" t="s">
        <v>458</v>
      </c>
      <c r="D11125" t="str">
        <f>VLOOKUP(C11125,'lookup table'!$A$2:$B$19,2,FALSE)</f>
        <v>VAR</v>
      </c>
      <c r="E11125" t="str">
        <f t="shared" si="173"/>
        <v>SROE904_00|VAR</v>
      </c>
    </row>
    <row r="11126" spans="1:5" x14ac:dyDescent="0.2">
      <c r="A11126" t="s">
        <v>3278</v>
      </c>
      <c r="B11126" t="s">
        <v>3279</v>
      </c>
      <c r="C11126" t="s">
        <v>14</v>
      </c>
      <c r="D11126" t="str">
        <f>VLOOKUP(C11126,'lookup table'!$A$2:$B$19,2,FALSE)</f>
        <v>ALC</v>
      </c>
      <c r="E11126" t="str">
        <f t="shared" si="173"/>
        <v>SROE905_00|ALC</v>
      </c>
    </row>
    <row r="11127" spans="1:5" x14ac:dyDescent="0.2">
      <c r="A11127" t="s">
        <v>3278</v>
      </c>
      <c r="B11127" t="s">
        <v>3279</v>
      </c>
      <c r="C11127" t="s">
        <v>20</v>
      </c>
      <c r="D11127" t="str">
        <f>VLOOKUP(C11127,'lookup table'!$A$2:$B$19,2,FALSE)</f>
        <v>AY</v>
      </c>
      <c r="E11127" t="str">
        <f t="shared" si="173"/>
        <v>SROE905_00|AY</v>
      </c>
    </row>
    <row r="11128" spans="1:5" x14ac:dyDescent="0.2">
      <c r="A11128" t="s">
        <v>3278</v>
      </c>
      <c r="B11128" t="s">
        <v>3279</v>
      </c>
      <c r="C11128" t="s">
        <v>331</v>
      </c>
      <c r="D11128" t="str">
        <f>VLOOKUP(C11128,'lookup table'!$A$2:$B$19,2,FALSE)</f>
        <v>FS Item</v>
      </c>
      <c r="E11128" t="str">
        <f t="shared" si="173"/>
        <v>SROE905_00|FS Item</v>
      </c>
    </row>
    <row r="11129" spans="1:5" x14ac:dyDescent="0.2">
      <c r="A11129" t="s">
        <v>3278</v>
      </c>
      <c r="B11129" t="s">
        <v>3279</v>
      </c>
      <c r="C11129" t="s">
        <v>423</v>
      </c>
      <c r="D11129" t="str">
        <f>VLOOKUP(C11129,'lookup table'!$A$2:$B$19,2,FALSE)</f>
        <v>ignore</v>
      </c>
      <c r="E11129" t="str">
        <f t="shared" si="173"/>
        <v>SROE905_00|ignore</v>
      </c>
    </row>
    <row r="11130" spans="1:5" x14ac:dyDescent="0.2">
      <c r="A11130" t="s">
        <v>3278</v>
      </c>
      <c r="B11130" t="s">
        <v>3279</v>
      </c>
      <c r="C11130" t="s">
        <v>424</v>
      </c>
      <c r="D11130" t="str">
        <f>VLOOKUP(C11130,'lookup table'!$A$2:$B$19,2,FALSE)</f>
        <v>GRC</v>
      </c>
      <c r="E11130" t="str">
        <f t="shared" si="173"/>
        <v>SROE905_00|GRC</v>
      </c>
    </row>
    <row r="11131" spans="1:5" x14ac:dyDescent="0.2">
      <c r="A11131" t="s">
        <v>3278</v>
      </c>
      <c r="B11131" t="s">
        <v>3279</v>
      </c>
      <c r="C11131" t="s">
        <v>428</v>
      </c>
      <c r="D11131" t="str">
        <f>VLOOKUP(C11131,'lookup table'!$A$2:$B$19,2,FALSE)</f>
        <v>LoB</v>
      </c>
      <c r="E11131" t="str">
        <f t="shared" si="173"/>
        <v>SROE905_00|LoB</v>
      </c>
    </row>
    <row r="11132" spans="1:5" x14ac:dyDescent="0.2">
      <c r="A11132" t="s">
        <v>3278</v>
      </c>
      <c r="B11132" t="s">
        <v>3279</v>
      </c>
      <c r="C11132" t="s">
        <v>436</v>
      </c>
      <c r="D11132" t="str">
        <f>VLOOKUP(C11132,'lookup table'!$A$2:$B$19,2,FALSE)</f>
        <v>MAT</v>
      </c>
      <c r="E11132" t="str">
        <f t="shared" si="173"/>
        <v>SROE905_00|MAT</v>
      </c>
    </row>
    <row r="11133" spans="1:5" x14ac:dyDescent="0.2">
      <c r="A11133" t="s">
        <v>3278</v>
      </c>
      <c r="B11133" t="s">
        <v>3279</v>
      </c>
      <c r="C11133" t="s">
        <v>447</v>
      </c>
      <c r="D11133" t="str">
        <f>VLOOKUP(C11133,'lookup table'!$A$2:$B$19,2,FALSE)</f>
        <v>REX</v>
      </c>
      <c r="E11133" t="str">
        <f t="shared" si="173"/>
        <v>SROE905_00|REX</v>
      </c>
    </row>
    <row r="11134" spans="1:5" x14ac:dyDescent="0.2">
      <c r="A11134" t="s">
        <v>3278</v>
      </c>
      <c r="B11134" t="s">
        <v>3279</v>
      </c>
      <c r="C11134" t="s">
        <v>451</v>
      </c>
      <c r="D11134" t="str">
        <f>VLOOKUP(C11134,'lookup table'!$A$2:$B$19,2,FALSE)</f>
        <v>Segment</v>
      </c>
      <c r="E11134" t="str">
        <f t="shared" si="173"/>
        <v>SROE905_00|Segment</v>
      </c>
    </row>
    <row r="11135" spans="1:5" x14ac:dyDescent="0.2">
      <c r="A11135" t="s">
        <v>3278</v>
      </c>
      <c r="B11135" t="s">
        <v>3279</v>
      </c>
      <c r="C11135" t="s">
        <v>457</v>
      </c>
      <c r="D11135" t="str">
        <f>VLOOKUP(C11135,'lookup table'!$A$2:$B$19,2,FALSE)</f>
        <v>VLT</v>
      </c>
      <c r="E11135" t="str">
        <f t="shared" si="173"/>
        <v>SROE905_00|VLT</v>
      </c>
    </row>
    <row r="11136" spans="1:5" x14ac:dyDescent="0.2">
      <c r="A11136" t="s">
        <v>3278</v>
      </c>
      <c r="B11136" t="s">
        <v>3279</v>
      </c>
      <c r="C11136" t="s">
        <v>458</v>
      </c>
      <c r="D11136" t="str">
        <f>VLOOKUP(C11136,'lookup table'!$A$2:$B$19,2,FALSE)</f>
        <v>VAR</v>
      </c>
      <c r="E11136" t="str">
        <f t="shared" si="173"/>
        <v>SROE905_00|VAR</v>
      </c>
    </row>
    <row r="11137" spans="1:5" x14ac:dyDescent="0.2">
      <c r="A11137" t="s">
        <v>3280</v>
      </c>
      <c r="B11137" t="s">
        <v>3281</v>
      </c>
      <c r="C11137" t="s">
        <v>14</v>
      </c>
      <c r="D11137" t="str">
        <f>VLOOKUP(C11137,'lookup table'!$A$2:$B$19,2,FALSE)</f>
        <v>ALC</v>
      </c>
      <c r="E11137" t="str">
        <f t="shared" si="173"/>
        <v>SROE906_00|ALC</v>
      </c>
    </row>
    <row r="11138" spans="1:5" x14ac:dyDescent="0.2">
      <c r="A11138" t="s">
        <v>3280</v>
      </c>
      <c r="B11138" t="s">
        <v>3281</v>
      </c>
      <c r="C11138" t="s">
        <v>20</v>
      </c>
      <c r="D11138" t="str">
        <f>VLOOKUP(C11138,'lookup table'!$A$2:$B$19,2,FALSE)</f>
        <v>AY</v>
      </c>
      <c r="E11138" t="str">
        <f t="shared" si="173"/>
        <v>SROE906_00|AY</v>
      </c>
    </row>
    <row r="11139" spans="1:5" x14ac:dyDescent="0.2">
      <c r="A11139" t="s">
        <v>3280</v>
      </c>
      <c r="B11139" t="s">
        <v>3281</v>
      </c>
      <c r="C11139" t="s">
        <v>331</v>
      </c>
      <c r="D11139" t="str">
        <f>VLOOKUP(C11139,'lookup table'!$A$2:$B$19,2,FALSE)</f>
        <v>FS Item</v>
      </c>
      <c r="E11139" t="str">
        <f t="shared" ref="E11139:E11202" si="174">IF(ISNA(D11139),"",IF(A11139="","",A11139) &amp; "|" &amp; D11139)</f>
        <v>SROE906_00|FS Item</v>
      </c>
    </row>
    <row r="11140" spans="1:5" x14ac:dyDescent="0.2">
      <c r="A11140" t="s">
        <v>3280</v>
      </c>
      <c r="B11140" t="s">
        <v>3281</v>
      </c>
      <c r="C11140" t="s">
        <v>423</v>
      </c>
      <c r="D11140" t="str">
        <f>VLOOKUP(C11140,'lookup table'!$A$2:$B$19,2,FALSE)</f>
        <v>ignore</v>
      </c>
      <c r="E11140" t="str">
        <f t="shared" si="174"/>
        <v>SROE906_00|ignore</v>
      </c>
    </row>
    <row r="11141" spans="1:5" x14ac:dyDescent="0.2">
      <c r="A11141" t="s">
        <v>3280</v>
      </c>
      <c r="B11141" t="s">
        <v>3281</v>
      </c>
      <c r="C11141" t="s">
        <v>424</v>
      </c>
      <c r="D11141" t="str">
        <f>VLOOKUP(C11141,'lookup table'!$A$2:$B$19,2,FALSE)</f>
        <v>GRC</v>
      </c>
      <c r="E11141" t="str">
        <f t="shared" si="174"/>
        <v>SROE906_00|GRC</v>
      </c>
    </row>
    <row r="11142" spans="1:5" x14ac:dyDescent="0.2">
      <c r="A11142" t="s">
        <v>3280</v>
      </c>
      <c r="B11142" t="s">
        <v>3281</v>
      </c>
      <c r="C11142" t="s">
        <v>428</v>
      </c>
      <c r="D11142" t="str">
        <f>VLOOKUP(C11142,'lookup table'!$A$2:$B$19,2,FALSE)</f>
        <v>LoB</v>
      </c>
      <c r="E11142" t="str">
        <f t="shared" si="174"/>
        <v>SROE906_00|LoB</v>
      </c>
    </row>
    <row r="11143" spans="1:5" x14ac:dyDescent="0.2">
      <c r="A11143" t="s">
        <v>3280</v>
      </c>
      <c r="B11143" t="s">
        <v>3281</v>
      </c>
      <c r="C11143" t="s">
        <v>436</v>
      </c>
      <c r="D11143" t="str">
        <f>VLOOKUP(C11143,'lookup table'!$A$2:$B$19,2,FALSE)</f>
        <v>MAT</v>
      </c>
      <c r="E11143" t="str">
        <f t="shared" si="174"/>
        <v>SROE906_00|MAT</v>
      </c>
    </row>
    <row r="11144" spans="1:5" x14ac:dyDescent="0.2">
      <c r="A11144" t="s">
        <v>3280</v>
      </c>
      <c r="B11144" t="s">
        <v>3281</v>
      </c>
      <c r="C11144" t="s">
        <v>447</v>
      </c>
      <c r="D11144" t="str">
        <f>VLOOKUP(C11144,'lookup table'!$A$2:$B$19,2,FALSE)</f>
        <v>REX</v>
      </c>
      <c r="E11144" t="str">
        <f t="shared" si="174"/>
        <v>SROE906_00|REX</v>
      </c>
    </row>
    <row r="11145" spans="1:5" x14ac:dyDescent="0.2">
      <c r="A11145" t="s">
        <v>3280</v>
      </c>
      <c r="B11145" t="s">
        <v>3281</v>
      </c>
      <c r="C11145" t="s">
        <v>451</v>
      </c>
      <c r="D11145" t="str">
        <f>VLOOKUP(C11145,'lookup table'!$A$2:$B$19,2,FALSE)</f>
        <v>Segment</v>
      </c>
      <c r="E11145" t="str">
        <f t="shared" si="174"/>
        <v>SROE906_00|Segment</v>
      </c>
    </row>
    <row r="11146" spans="1:5" x14ac:dyDescent="0.2">
      <c r="A11146" t="s">
        <v>3280</v>
      </c>
      <c r="B11146" t="s">
        <v>3281</v>
      </c>
      <c r="C11146" t="s">
        <v>457</v>
      </c>
      <c r="D11146" t="str">
        <f>VLOOKUP(C11146,'lookup table'!$A$2:$B$19,2,FALSE)</f>
        <v>VLT</v>
      </c>
      <c r="E11146" t="str">
        <f t="shared" si="174"/>
        <v>SROE906_00|VLT</v>
      </c>
    </row>
    <row r="11147" spans="1:5" x14ac:dyDescent="0.2">
      <c r="A11147" t="s">
        <v>3280</v>
      </c>
      <c r="B11147" t="s">
        <v>3281</v>
      </c>
      <c r="C11147" t="s">
        <v>458</v>
      </c>
      <c r="D11147" t="str">
        <f>VLOOKUP(C11147,'lookup table'!$A$2:$B$19,2,FALSE)</f>
        <v>VAR</v>
      </c>
      <c r="E11147" t="str">
        <f t="shared" si="174"/>
        <v>SROE906_00|VAR</v>
      </c>
    </row>
    <row r="11148" spans="1:5" x14ac:dyDescent="0.2">
      <c r="A11148" t="s">
        <v>3282</v>
      </c>
      <c r="B11148" t="s">
        <v>3283</v>
      </c>
      <c r="C11148" t="s">
        <v>14</v>
      </c>
      <c r="D11148" t="str">
        <f>VLOOKUP(C11148,'lookup table'!$A$2:$B$19,2,FALSE)</f>
        <v>ALC</v>
      </c>
      <c r="E11148" t="str">
        <f t="shared" si="174"/>
        <v>SROE907_00|ALC</v>
      </c>
    </row>
    <row r="11149" spans="1:5" x14ac:dyDescent="0.2">
      <c r="A11149" t="s">
        <v>3282</v>
      </c>
      <c r="B11149" t="s">
        <v>3283</v>
      </c>
      <c r="C11149" t="s">
        <v>20</v>
      </c>
      <c r="D11149" t="str">
        <f>VLOOKUP(C11149,'lookup table'!$A$2:$B$19,2,FALSE)</f>
        <v>AY</v>
      </c>
      <c r="E11149" t="str">
        <f t="shared" si="174"/>
        <v>SROE907_00|AY</v>
      </c>
    </row>
    <row r="11150" spans="1:5" x14ac:dyDescent="0.2">
      <c r="A11150" t="s">
        <v>3282</v>
      </c>
      <c r="B11150" t="s">
        <v>3283</v>
      </c>
      <c r="C11150" t="s">
        <v>331</v>
      </c>
      <c r="D11150" t="str">
        <f>VLOOKUP(C11150,'lookup table'!$A$2:$B$19,2,FALSE)</f>
        <v>FS Item</v>
      </c>
      <c r="E11150" t="str">
        <f t="shared" si="174"/>
        <v>SROE907_00|FS Item</v>
      </c>
    </row>
    <row r="11151" spans="1:5" x14ac:dyDescent="0.2">
      <c r="A11151" t="s">
        <v>3282</v>
      </c>
      <c r="B11151" t="s">
        <v>3283</v>
      </c>
      <c r="C11151" t="s">
        <v>423</v>
      </c>
      <c r="D11151" t="str">
        <f>VLOOKUP(C11151,'lookup table'!$A$2:$B$19,2,FALSE)</f>
        <v>ignore</v>
      </c>
      <c r="E11151" t="str">
        <f t="shared" si="174"/>
        <v>SROE907_00|ignore</v>
      </c>
    </row>
    <row r="11152" spans="1:5" x14ac:dyDescent="0.2">
      <c r="A11152" t="s">
        <v>3282</v>
      </c>
      <c r="B11152" t="s">
        <v>3283</v>
      </c>
      <c r="C11152" t="s">
        <v>424</v>
      </c>
      <c r="D11152" t="str">
        <f>VLOOKUP(C11152,'lookup table'!$A$2:$B$19,2,FALSE)</f>
        <v>GRC</v>
      </c>
      <c r="E11152" t="str">
        <f t="shared" si="174"/>
        <v>SROE907_00|GRC</v>
      </c>
    </row>
    <row r="11153" spans="1:5" x14ac:dyDescent="0.2">
      <c r="A11153" t="s">
        <v>3282</v>
      </c>
      <c r="B11153" t="s">
        <v>3283</v>
      </c>
      <c r="C11153" t="s">
        <v>428</v>
      </c>
      <c r="D11153" t="str">
        <f>VLOOKUP(C11153,'lookup table'!$A$2:$B$19,2,FALSE)</f>
        <v>LoB</v>
      </c>
      <c r="E11153" t="str">
        <f t="shared" si="174"/>
        <v>SROE907_00|LoB</v>
      </c>
    </row>
    <row r="11154" spans="1:5" x14ac:dyDescent="0.2">
      <c r="A11154" t="s">
        <v>3282</v>
      </c>
      <c r="B11154" t="s">
        <v>3283</v>
      </c>
      <c r="C11154" t="s">
        <v>436</v>
      </c>
      <c r="D11154" t="str">
        <f>VLOOKUP(C11154,'lookup table'!$A$2:$B$19,2,FALSE)</f>
        <v>MAT</v>
      </c>
      <c r="E11154" t="str">
        <f t="shared" si="174"/>
        <v>SROE907_00|MAT</v>
      </c>
    </row>
    <row r="11155" spans="1:5" x14ac:dyDescent="0.2">
      <c r="A11155" t="s">
        <v>3282</v>
      </c>
      <c r="B11155" t="s">
        <v>3283</v>
      </c>
      <c r="C11155" t="s">
        <v>447</v>
      </c>
      <c r="D11155" t="str">
        <f>VLOOKUP(C11155,'lookup table'!$A$2:$B$19,2,FALSE)</f>
        <v>REX</v>
      </c>
      <c r="E11155" t="str">
        <f t="shared" si="174"/>
        <v>SROE907_00|REX</v>
      </c>
    </row>
    <row r="11156" spans="1:5" x14ac:dyDescent="0.2">
      <c r="A11156" t="s">
        <v>3282</v>
      </c>
      <c r="B11156" t="s">
        <v>3283</v>
      </c>
      <c r="C11156" t="s">
        <v>451</v>
      </c>
      <c r="D11156" t="str">
        <f>VLOOKUP(C11156,'lookup table'!$A$2:$B$19,2,FALSE)</f>
        <v>Segment</v>
      </c>
      <c r="E11156" t="str">
        <f t="shared" si="174"/>
        <v>SROE907_00|Segment</v>
      </c>
    </row>
    <row r="11157" spans="1:5" x14ac:dyDescent="0.2">
      <c r="A11157" t="s">
        <v>3282</v>
      </c>
      <c r="B11157" t="s">
        <v>3283</v>
      </c>
      <c r="C11157" t="s">
        <v>457</v>
      </c>
      <c r="D11157" t="str">
        <f>VLOOKUP(C11157,'lookup table'!$A$2:$B$19,2,FALSE)</f>
        <v>VLT</v>
      </c>
      <c r="E11157" t="str">
        <f t="shared" si="174"/>
        <v>SROE907_00|VLT</v>
      </c>
    </row>
    <row r="11158" spans="1:5" x14ac:dyDescent="0.2">
      <c r="A11158" t="s">
        <v>3282</v>
      </c>
      <c r="B11158" t="s">
        <v>3283</v>
      </c>
      <c r="C11158" t="s">
        <v>458</v>
      </c>
      <c r="D11158" t="str">
        <f>VLOOKUP(C11158,'lookup table'!$A$2:$B$19,2,FALSE)</f>
        <v>VAR</v>
      </c>
      <c r="E11158" t="str">
        <f t="shared" si="174"/>
        <v>SROE907_00|VAR</v>
      </c>
    </row>
    <row r="11159" spans="1:5" x14ac:dyDescent="0.2">
      <c r="A11159" t="s">
        <v>3284</v>
      </c>
      <c r="B11159" t="s">
        <v>3285</v>
      </c>
      <c r="C11159" t="s">
        <v>14</v>
      </c>
      <c r="D11159" t="str">
        <f>VLOOKUP(C11159,'lookup table'!$A$2:$B$19,2,FALSE)</f>
        <v>ALC</v>
      </c>
      <c r="E11159" t="str">
        <f t="shared" si="174"/>
        <v>SROE908_00|ALC</v>
      </c>
    </row>
    <row r="11160" spans="1:5" x14ac:dyDescent="0.2">
      <c r="A11160" t="s">
        <v>3284</v>
      </c>
      <c r="B11160" t="s">
        <v>3285</v>
      </c>
      <c r="C11160" t="s">
        <v>20</v>
      </c>
      <c r="D11160" t="str">
        <f>VLOOKUP(C11160,'lookup table'!$A$2:$B$19,2,FALSE)</f>
        <v>AY</v>
      </c>
      <c r="E11160" t="str">
        <f t="shared" si="174"/>
        <v>SROE908_00|AY</v>
      </c>
    </row>
    <row r="11161" spans="1:5" x14ac:dyDescent="0.2">
      <c r="A11161" t="s">
        <v>3284</v>
      </c>
      <c r="B11161" t="s">
        <v>3285</v>
      </c>
      <c r="C11161" t="s">
        <v>331</v>
      </c>
      <c r="D11161" t="str">
        <f>VLOOKUP(C11161,'lookup table'!$A$2:$B$19,2,FALSE)</f>
        <v>FS Item</v>
      </c>
      <c r="E11161" t="str">
        <f t="shared" si="174"/>
        <v>SROE908_00|FS Item</v>
      </c>
    </row>
    <row r="11162" spans="1:5" x14ac:dyDescent="0.2">
      <c r="A11162" t="s">
        <v>3284</v>
      </c>
      <c r="B11162" t="s">
        <v>3285</v>
      </c>
      <c r="C11162" t="s">
        <v>423</v>
      </c>
      <c r="D11162" t="str">
        <f>VLOOKUP(C11162,'lookup table'!$A$2:$B$19,2,FALSE)</f>
        <v>ignore</v>
      </c>
      <c r="E11162" t="str">
        <f t="shared" si="174"/>
        <v>SROE908_00|ignore</v>
      </c>
    </row>
    <row r="11163" spans="1:5" x14ac:dyDescent="0.2">
      <c r="A11163" t="s">
        <v>3284</v>
      </c>
      <c r="B11163" t="s">
        <v>3285</v>
      </c>
      <c r="C11163" t="s">
        <v>424</v>
      </c>
      <c r="D11163" t="str">
        <f>VLOOKUP(C11163,'lookup table'!$A$2:$B$19,2,FALSE)</f>
        <v>GRC</v>
      </c>
      <c r="E11163" t="str">
        <f t="shared" si="174"/>
        <v>SROE908_00|GRC</v>
      </c>
    </row>
    <row r="11164" spans="1:5" x14ac:dyDescent="0.2">
      <c r="A11164" t="s">
        <v>3284</v>
      </c>
      <c r="B11164" t="s">
        <v>3285</v>
      </c>
      <c r="C11164" t="s">
        <v>428</v>
      </c>
      <c r="D11164" t="str">
        <f>VLOOKUP(C11164,'lookup table'!$A$2:$B$19,2,FALSE)</f>
        <v>LoB</v>
      </c>
      <c r="E11164" t="str">
        <f t="shared" si="174"/>
        <v>SROE908_00|LoB</v>
      </c>
    </row>
    <row r="11165" spans="1:5" x14ac:dyDescent="0.2">
      <c r="A11165" t="s">
        <v>3284</v>
      </c>
      <c r="B11165" t="s">
        <v>3285</v>
      </c>
      <c r="C11165" t="s">
        <v>436</v>
      </c>
      <c r="D11165" t="str">
        <f>VLOOKUP(C11165,'lookup table'!$A$2:$B$19,2,FALSE)</f>
        <v>MAT</v>
      </c>
      <c r="E11165" t="str">
        <f t="shared" si="174"/>
        <v>SROE908_00|MAT</v>
      </c>
    </row>
    <row r="11166" spans="1:5" x14ac:dyDescent="0.2">
      <c r="A11166" t="s">
        <v>3284</v>
      </c>
      <c r="B11166" t="s">
        <v>3285</v>
      </c>
      <c r="C11166" t="s">
        <v>447</v>
      </c>
      <c r="D11166" t="str">
        <f>VLOOKUP(C11166,'lookup table'!$A$2:$B$19,2,FALSE)</f>
        <v>REX</v>
      </c>
      <c r="E11166" t="str">
        <f t="shared" si="174"/>
        <v>SROE908_00|REX</v>
      </c>
    </row>
    <row r="11167" spans="1:5" x14ac:dyDescent="0.2">
      <c r="A11167" t="s">
        <v>3284</v>
      </c>
      <c r="B11167" t="s">
        <v>3285</v>
      </c>
      <c r="C11167" t="s">
        <v>451</v>
      </c>
      <c r="D11167" t="str">
        <f>VLOOKUP(C11167,'lookup table'!$A$2:$B$19,2,FALSE)</f>
        <v>Segment</v>
      </c>
      <c r="E11167" t="str">
        <f t="shared" si="174"/>
        <v>SROE908_00|Segment</v>
      </c>
    </row>
    <row r="11168" spans="1:5" x14ac:dyDescent="0.2">
      <c r="A11168" t="s">
        <v>3284</v>
      </c>
      <c r="B11168" t="s">
        <v>3285</v>
      </c>
      <c r="C11168" t="s">
        <v>457</v>
      </c>
      <c r="D11168" t="str">
        <f>VLOOKUP(C11168,'lookup table'!$A$2:$B$19,2,FALSE)</f>
        <v>VLT</v>
      </c>
      <c r="E11168" t="str">
        <f t="shared" si="174"/>
        <v>SROE908_00|VLT</v>
      </c>
    </row>
    <row r="11169" spans="1:5" x14ac:dyDescent="0.2">
      <c r="A11169" t="s">
        <v>3284</v>
      </c>
      <c r="B11169" t="s">
        <v>3285</v>
      </c>
      <c r="C11169" t="s">
        <v>458</v>
      </c>
      <c r="D11169" t="str">
        <f>VLOOKUP(C11169,'lookup table'!$A$2:$B$19,2,FALSE)</f>
        <v>VAR</v>
      </c>
      <c r="E11169" t="str">
        <f t="shared" si="174"/>
        <v>SROE908_00|VAR</v>
      </c>
    </row>
    <row r="11170" spans="1:5" x14ac:dyDescent="0.2">
      <c r="A11170" t="s">
        <v>3286</v>
      </c>
      <c r="B11170" t="s">
        <v>3287</v>
      </c>
      <c r="C11170" t="s">
        <v>14</v>
      </c>
      <c r="D11170" t="str">
        <f>VLOOKUP(C11170,'lookup table'!$A$2:$B$19,2,FALSE)</f>
        <v>ALC</v>
      </c>
      <c r="E11170" t="str">
        <f t="shared" si="174"/>
        <v>SROE909_00|ALC</v>
      </c>
    </row>
    <row r="11171" spans="1:5" x14ac:dyDescent="0.2">
      <c r="A11171" t="s">
        <v>3286</v>
      </c>
      <c r="B11171" t="s">
        <v>3287</v>
      </c>
      <c r="C11171" t="s">
        <v>20</v>
      </c>
      <c r="D11171" t="str">
        <f>VLOOKUP(C11171,'lookup table'!$A$2:$B$19,2,FALSE)</f>
        <v>AY</v>
      </c>
      <c r="E11171" t="str">
        <f t="shared" si="174"/>
        <v>SROE909_00|AY</v>
      </c>
    </row>
    <row r="11172" spans="1:5" x14ac:dyDescent="0.2">
      <c r="A11172" t="s">
        <v>3286</v>
      </c>
      <c r="B11172" t="s">
        <v>3287</v>
      </c>
      <c r="C11172" t="s">
        <v>331</v>
      </c>
      <c r="D11172" t="str">
        <f>VLOOKUP(C11172,'lookup table'!$A$2:$B$19,2,FALSE)</f>
        <v>FS Item</v>
      </c>
      <c r="E11172" t="str">
        <f t="shared" si="174"/>
        <v>SROE909_00|FS Item</v>
      </c>
    </row>
    <row r="11173" spans="1:5" x14ac:dyDescent="0.2">
      <c r="A11173" t="s">
        <v>3286</v>
      </c>
      <c r="B11173" t="s">
        <v>3287</v>
      </c>
      <c r="C11173" t="s">
        <v>423</v>
      </c>
      <c r="D11173" t="str">
        <f>VLOOKUP(C11173,'lookup table'!$A$2:$B$19,2,FALSE)</f>
        <v>ignore</v>
      </c>
      <c r="E11173" t="str">
        <f t="shared" si="174"/>
        <v>SROE909_00|ignore</v>
      </c>
    </row>
    <row r="11174" spans="1:5" x14ac:dyDescent="0.2">
      <c r="A11174" t="s">
        <v>3286</v>
      </c>
      <c r="B11174" t="s">
        <v>3287</v>
      </c>
      <c r="C11174" t="s">
        <v>424</v>
      </c>
      <c r="D11174" t="str">
        <f>VLOOKUP(C11174,'lookup table'!$A$2:$B$19,2,FALSE)</f>
        <v>GRC</v>
      </c>
      <c r="E11174" t="str">
        <f t="shared" si="174"/>
        <v>SROE909_00|GRC</v>
      </c>
    </row>
    <row r="11175" spans="1:5" x14ac:dyDescent="0.2">
      <c r="A11175" t="s">
        <v>3286</v>
      </c>
      <c r="B11175" t="s">
        <v>3287</v>
      </c>
      <c r="C11175" t="s">
        <v>428</v>
      </c>
      <c r="D11175" t="str">
        <f>VLOOKUP(C11175,'lookup table'!$A$2:$B$19,2,FALSE)</f>
        <v>LoB</v>
      </c>
      <c r="E11175" t="str">
        <f t="shared" si="174"/>
        <v>SROE909_00|LoB</v>
      </c>
    </row>
    <row r="11176" spans="1:5" x14ac:dyDescent="0.2">
      <c r="A11176" t="s">
        <v>3286</v>
      </c>
      <c r="B11176" t="s">
        <v>3287</v>
      </c>
      <c r="C11176" t="s">
        <v>436</v>
      </c>
      <c r="D11176" t="str">
        <f>VLOOKUP(C11176,'lookup table'!$A$2:$B$19,2,FALSE)</f>
        <v>MAT</v>
      </c>
      <c r="E11176" t="str">
        <f t="shared" si="174"/>
        <v>SROE909_00|MAT</v>
      </c>
    </row>
    <row r="11177" spans="1:5" x14ac:dyDescent="0.2">
      <c r="A11177" t="s">
        <v>3286</v>
      </c>
      <c r="B11177" t="s">
        <v>3287</v>
      </c>
      <c r="C11177" t="s">
        <v>447</v>
      </c>
      <c r="D11177" t="str">
        <f>VLOOKUP(C11177,'lookup table'!$A$2:$B$19,2,FALSE)</f>
        <v>REX</v>
      </c>
      <c r="E11177" t="str">
        <f t="shared" si="174"/>
        <v>SROE909_00|REX</v>
      </c>
    </row>
    <row r="11178" spans="1:5" x14ac:dyDescent="0.2">
      <c r="A11178" t="s">
        <v>3286</v>
      </c>
      <c r="B11178" t="s">
        <v>3287</v>
      </c>
      <c r="C11178" t="s">
        <v>451</v>
      </c>
      <c r="D11178" t="str">
        <f>VLOOKUP(C11178,'lookup table'!$A$2:$B$19,2,FALSE)</f>
        <v>Segment</v>
      </c>
      <c r="E11178" t="str">
        <f t="shared" si="174"/>
        <v>SROE909_00|Segment</v>
      </c>
    </row>
    <row r="11179" spans="1:5" x14ac:dyDescent="0.2">
      <c r="A11179" t="s">
        <v>3286</v>
      </c>
      <c r="B11179" t="s">
        <v>3287</v>
      </c>
      <c r="C11179" t="s">
        <v>457</v>
      </c>
      <c r="D11179" t="str">
        <f>VLOOKUP(C11179,'lookup table'!$A$2:$B$19,2,FALSE)</f>
        <v>VLT</v>
      </c>
      <c r="E11179" t="str">
        <f t="shared" si="174"/>
        <v>SROE909_00|VLT</v>
      </c>
    </row>
    <row r="11180" spans="1:5" x14ac:dyDescent="0.2">
      <c r="A11180" t="s">
        <v>3286</v>
      </c>
      <c r="B11180" t="s">
        <v>3287</v>
      </c>
      <c r="C11180" t="s">
        <v>458</v>
      </c>
      <c r="D11180" t="str">
        <f>VLOOKUP(C11180,'lookup table'!$A$2:$B$19,2,FALSE)</f>
        <v>VAR</v>
      </c>
      <c r="E11180" t="str">
        <f t="shared" si="174"/>
        <v>SROE909_00|VAR</v>
      </c>
    </row>
    <row r="11181" spans="1:5" x14ac:dyDescent="0.2">
      <c r="A11181" t="s">
        <v>3288</v>
      </c>
      <c r="B11181" t="s">
        <v>3289</v>
      </c>
      <c r="C11181" t="s">
        <v>14</v>
      </c>
      <c r="D11181" t="str">
        <f>VLOOKUP(C11181,'lookup table'!$A$2:$B$19,2,FALSE)</f>
        <v>ALC</v>
      </c>
      <c r="E11181" t="str">
        <f t="shared" si="174"/>
        <v>SROE910_00|ALC</v>
      </c>
    </row>
    <row r="11182" spans="1:5" x14ac:dyDescent="0.2">
      <c r="A11182" t="s">
        <v>3288</v>
      </c>
      <c r="B11182" t="s">
        <v>3289</v>
      </c>
      <c r="C11182" t="s">
        <v>20</v>
      </c>
      <c r="D11182" t="str">
        <f>VLOOKUP(C11182,'lookup table'!$A$2:$B$19,2,FALSE)</f>
        <v>AY</v>
      </c>
      <c r="E11182" t="str">
        <f t="shared" si="174"/>
        <v>SROE910_00|AY</v>
      </c>
    </row>
    <row r="11183" spans="1:5" x14ac:dyDescent="0.2">
      <c r="A11183" t="s">
        <v>3288</v>
      </c>
      <c r="B11183" t="s">
        <v>3289</v>
      </c>
      <c r="C11183" t="s">
        <v>331</v>
      </c>
      <c r="D11183" t="str">
        <f>VLOOKUP(C11183,'lookup table'!$A$2:$B$19,2,FALSE)</f>
        <v>FS Item</v>
      </c>
      <c r="E11183" t="str">
        <f t="shared" si="174"/>
        <v>SROE910_00|FS Item</v>
      </c>
    </row>
    <row r="11184" spans="1:5" x14ac:dyDescent="0.2">
      <c r="A11184" t="s">
        <v>3288</v>
      </c>
      <c r="B11184" t="s">
        <v>3289</v>
      </c>
      <c r="C11184" t="s">
        <v>423</v>
      </c>
      <c r="D11184" t="str">
        <f>VLOOKUP(C11184,'lookup table'!$A$2:$B$19,2,FALSE)</f>
        <v>ignore</v>
      </c>
      <c r="E11184" t="str">
        <f t="shared" si="174"/>
        <v>SROE910_00|ignore</v>
      </c>
    </row>
    <row r="11185" spans="1:5" x14ac:dyDescent="0.2">
      <c r="A11185" t="s">
        <v>3288</v>
      </c>
      <c r="B11185" t="s">
        <v>3289</v>
      </c>
      <c r="C11185" t="s">
        <v>424</v>
      </c>
      <c r="D11185" t="str">
        <f>VLOOKUP(C11185,'lookup table'!$A$2:$B$19,2,FALSE)</f>
        <v>GRC</v>
      </c>
      <c r="E11185" t="str">
        <f t="shared" si="174"/>
        <v>SROE910_00|GRC</v>
      </c>
    </row>
    <row r="11186" spans="1:5" x14ac:dyDescent="0.2">
      <c r="A11186" t="s">
        <v>3288</v>
      </c>
      <c r="B11186" t="s">
        <v>3289</v>
      </c>
      <c r="C11186" t="s">
        <v>428</v>
      </c>
      <c r="D11186" t="str">
        <f>VLOOKUP(C11186,'lookup table'!$A$2:$B$19,2,FALSE)</f>
        <v>LoB</v>
      </c>
      <c r="E11186" t="str">
        <f t="shared" si="174"/>
        <v>SROE910_00|LoB</v>
      </c>
    </row>
    <row r="11187" spans="1:5" x14ac:dyDescent="0.2">
      <c r="A11187" t="s">
        <v>3288</v>
      </c>
      <c r="B11187" t="s">
        <v>3289</v>
      </c>
      <c r="C11187" t="s">
        <v>436</v>
      </c>
      <c r="D11187" t="str">
        <f>VLOOKUP(C11187,'lookup table'!$A$2:$B$19,2,FALSE)</f>
        <v>MAT</v>
      </c>
      <c r="E11187" t="str">
        <f t="shared" si="174"/>
        <v>SROE910_00|MAT</v>
      </c>
    </row>
    <row r="11188" spans="1:5" x14ac:dyDescent="0.2">
      <c r="A11188" t="s">
        <v>3288</v>
      </c>
      <c r="B11188" t="s">
        <v>3289</v>
      </c>
      <c r="C11188" t="s">
        <v>438</v>
      </c>
      <c r="D11188" t="str">
        <f>VLOOKUP(C11188,'lookup table'!$A$2:$B$19,2,FALSE)</f>
        <v>ToM</v>
      </c>
      <c r="E11188" t="str">
        <f t="shared" si="174"/>
        <v>SROE910_00|ToM</v>
      </c>
    </row>
    <row r="11189" spans="1:5" x14ac:dyDescent="0.2">
      <c r="A11189" t="s">
        <v>3288</v>
      </c>
      <c r="B11189" t="s">
        <v>3289</v>
      </c>
      <c r="C11189" t="s">
        <v>447</v>
      </c>
      <c r="D11189" t="str">
        <f>VLOOKUP(C11189,'lookup table'!$A$2:$B$19,2,FALSE)</f>
        <v>REX</v>
      </c>
      <c r="E11189" t="str">
        <f t="shared" si="174"/>
        <v>SROE910_00|REX</v>
      </c>
    </row>
    <row r="11190" spans="1:5" x14ac:dyDescent="0.2">
      <c r="A11190" t="s">
        <v>3288</v>
      </c>
      <c r="B11190" t="s">
        <v>3289</v>
      </c>
      <c r="C11190" t="s">
        <v>451</v>
      </c>
      <c r="D11190" t="str">
        <f>VLOOKUP(C11190,'lookup table'!$A$2:$B$19,2,FALSE)</f>
        <v>Segment</v>
      </c>
      <c r="E11190" t="str">
        <f t="shared" si="174"/>
        <v>SROE910_00|Segment</v>
      </c>
    </row>
    <row r="11191" spans="1:5" x14ac:dyDescent="0.2">
      <c r="A11191" t="s">
        <v>3288</v>
      </c>
      <c r="B11191" t="s">
        <v>3289</v>
      </c>
      <c r="C11191" t="s">
        <v>457</v>
      </c>
      <c r="D11191" t="str">
        <f>VLOOKUP(C11191,'lookup table'!$A$2:$B$19,2,FALSE)</f>
        <v>VLT</v>
      </c>
      <c r="E11191" t="str">
        <f t="shared" si="174"/>
        <v>SROE910_00|VLT</v>
      </c>
    </row>
    <row r="11192" spans="1:5" x14ac:dyDescent="0.2">
      <c r="A11192" t="s">
        <v>3288</v>
      </c>
      <c r="B11192" t="s">
        <v>3289</v>
      </c>
      <c r="C11192" t="s">
        <v>458</v>
      </c>
      <c r="D11192" t="str">
        <f>VLOOKUP(C11192,'lookup table'!$A$2:$B$19,2,FALSE)</f>
        <v>VAR</v>
      </c>
      <c r="E11192" t="str">
        <f t="shared" si="174"/>
        <v>SROE910_00|VAR</v>
      </c>
    </row>
    <row r="11193" spans="1:5" x14ac:dyDescent="0.2">
      <c r="A11193" t="s">
        <v>3290</v>
      </c>
      <c r="B11193" t="s">
        <v>3291</v>
      </c>
      <c r="C11193" t="s">
        <v>14</v>
      </c>
      <c r="D11193" t="str">
        <f>VLOOKUP(C11193,'lookup table'!$A$2:$B$19,2,FALSE)</f>
        <v>ALC</v>
      </c>
      <c r="E11193" t="str">
        <f t="shared" si="174"/>
        <v>SROE911_00|ALC</v>
      </c>
    </row>
    <row r="11194" spans="1:5" x14ac:dyDescent="0.2">
      <c r="A11194" t="s">
        <v>3290</v>
      </c>
      <c r="B11194" t="s">
        <v>3291</v>
      </c>
      <c r="C11194" t="s">
        <v>20</v>
      </c>
      <c r="D11194" t="str">
        <f>VLOOKUP(C11194,'lookup table'!$A$2:$B$19,2,FALSE)</f>
        <v>AY</v>
      </c>
      <c r="E11194" t="str">
        <f t="shared" si="174"/>
        <v>SROE911_00|AY</v>
      </c>
    </row>
    <row r="11195" spans="1:5" x14ac:dyDescent="0.2">
      <c r="A11195" t="s">
        <v>3290</v>
      </c>
      <c r="B11195" t="s">
        <v>3291</v>
      </c>
      <c r="C11195" t="s">
        <v>331</v>
      </c>
      <c r="D11195" t="str">
        <f>VLOOKUP(C11195,'lookup table'!$A$2:$B$19,2,FALSE)</f>
        <v>FS Item</v>
      </c>
      <c r="E11195" t="str">
        <f t="shared" si="174"/>
        <v>SROE911_00|FS Item</v>
      </c>
    </row>
    <row r="11196" spans="1:5" x14ac:dyDescent="0.2">
      <c r="A11196" t="s">
        <v>3290</v>
      </c>
      <c r="B11196" t="s">
        <v>3291</v>
      </c>
      <c r="C11196" t="s">
        <v>423</v>
      </c>
      <c r="D11196" t="str">
        <f>VLOOKUP(C11196,'lookup table'!$A$2:$B$19,2,FALSE)</f>
        <v>ignore</v>
      </c>
      <c r="E11196" t="str">
        <f t="shared" si="174"/>
        <v>SROE911_00|ignore</v>
      </c>
    </row>
    <row r="11197" spans="1:5" x14ac:dyDescent="0.2">
      <c r="A11197" t="s">
        <v>3290</v>
      </c>
      <c r="B11197" t="s">
        <v>3291</v>
      </c>
      <c r="C11197" t="s">
        <v>424</v>
      </c>
      <c r="D11197" t="str">
        <f>VLOOKUP(C11197,'lookup table'!$A$2:$B$19,2,FALSE)</f>
        <v>GRC</v>
      </c>
      <c r="E11197" t="str">
        <f t="shared" si="174"/>
        <v>SROE911_00|GRC</v>
      </c>
    </row>
    <row r="11198" spans="1:5" x14ac:dyDescent="0.2">
      <c r="A11198" t="s">
        <v>3290</v>
      </c>
      <c r="B11198" t="s">
        <v>3291</v>
      </c>
      <c r="C11198" t="s">
        <v>428</v>
      </c>
      <c r="D11198" t="str">
        <f>VLOOKUP(C11198,'lookup table'!$A$2:$B$19,2,FALSE)</f>
        <v>LoB</v>
      </c>
      <c r="E11198" t="str">
        <f t="shared" si="174"/>
        <v>SROE911_00|LoB</v>
      </c>
    </row>
    <row r="11199" spans="1:5" x14ac:dyDescent="0.2">
      <c r="A11199" t="s">
        <v>3290</v>
      </c>
      <c r="B11199" t="s">
        <v>3291</v>
      </c>
      <c r="C11199" t="s">
        <v>436</v>
      </c>
      <c r="D11199" t="str">
        <f>VLOOKUP(C11199,'lookup table'!$A$2:$B$19,2,FALSE)</f>
        <v>MAT</v>
      </c>
      <c r="E11199" t="str">
        <f t="shared" si="174"/>
        <v>SROE911_00|MAT</v>
      </c>
    </row>
    <row r="11200" spans="1:5" x14ac:dyDescent="0.2">
      <c r="A11200" t="s">
        <v>3290</v>
      </c>
      <c r="B11200" t="s">
        <v>3291</v>
      </c>
      <c r="C11200" t="s">
        <v>438</v>
      </c>
      <c r="D11200" t="str">
        <f>VLOOKUP(C11200,'lookup table'!$A$2:$B$19,2,FALSE)</f>
        <v>ToM</v>
      </c>
      <c r="E11200" t="str">
        <f t="shared" si="174"/>
        <v>SROE911_00|ToM</v>
      </c>
    </row>
    <row r="11201" spans="1:5" x14ac:dyDescent="0.2">
      <c r="A11201" t="s">
        <v>3290</v>
      </c>
      <c r="B11201" t="s">
        <v>3291</v>
      </c>
      <c r="C11201" t="s">
        <v>447</v>
      </c>
      <c r="D11201" t="str">
        <f>VLOOKUP(C11201,'lookup table'!$A$2:$B$19,2,FALSE)</f>
        <v>REX</v>
      </c>
      <c r="E11201" t="str">
        <f t="shared" si="174"/>
        <v>SROE911_00|REX</v>
      </c>
    </row>
    <row r="11202" spans="1:5" x14ac:dyDescent="0.2">
      <c r="A11202" t="s">
        <v>3290</v>
      </c>
      <c r="B11202" t="s">
        <v>3291</v>
      </c>
      <c r="C11202" t="s">
        <v>451</v>
      </c>
      <c r="D11202" t="str">
        <f>VLOOKUP(C11202,'lookup table'!$A$2:$B$19,2,FALSE)</f>
        <v>Segment</v>
      </c>
      <c r="E11202" t="str">
        <f t="shared" si="174"/>
        <v>SROE911_00|Segment</v>
      </c>
    </row>
    <row r="11203" spans="1:5" x14ac:dyDescent="0.2">
      <c r="A11203" t="s">
        <v>3290</v>
      </c>
      <c r="B11203" t="s">
        <v>3291</v>
      </c>
      <c r="C11203" t="s">
        <v>457</v>
      </c>
      <c r="D11203" t="str">
        <f>VLOOKUP(C11203,'lookup table'!$A$2:$B$19,2,FALSE)</f>
        <v>VLT</v>
      </c>
      <c r="E11203" t="str">
        <f t="shared" ref="E11203:E11266" si="175">IF(ISNA(D11203),"",IF(A11203="","",A11203) &amp; "|" &amp; D11203)</f>
        <v>SROE911_00|VLT</v>
      </c>
    </row>
    <row r="11204" spans="1:5" x14ac:dyDescent="0.2">
      <c r="A11204" t="s">
        <v>3290</v>
      </c>
      <c r="B11204" t="s">
        <v>3291</v>
      </c>
      <c r="C11204" t="s">
        <v>458</v>
      </c>
      <c r="D11204" t="str">
        <f>VLOOKUP(C11204,'lookup table'!$A$2:$B$19,2,FALSE)</f>
        <v>VAR</v>
      </c>
      <c r="E11204" t="str">
        <f t="shared" si="175"/>
        <v>SROE911_00|VAR</v>
      </c>
    </row>
    <row r="11205" spans="1:5" x14ac:dyDescent="0.2">
      <c r="A11205" t="s">
        <v>3292</v>
      </c>
      <c r="B11205" t="s">
        <v>3293</v>
      </c>
      <c r="C11205" t="s">
        <v>14</v>
      </c>
      <c r="D11205" t="str">
        <f>VLOOKUP(C11205,'lookup table'!$A$2:$B$19,2,FALSE)</f>
        <v>ALC</v>
      </c>
      <c r="E11205" t="str">
        <f t="shared" si="175"/>
        <v>SROE912_00|ALC</v>
      </c>
    </row>
    <row r="11206" spans="1:5" x14ac:dyDescent="0.2">
      <c r="A11206" t="s">
        <v>3292</v>
      </c>
      <c r="B11206" t="s">
        <v>3293</v>
      </c>
      <c r="C11206" t="s">
        <v>20</v>
      </c>
      <c r="D11206" t="str">
        <f>VLOOKUP(C11206,'lookup table'!$A$2:$B$19,2,FALSE)</f>
        <v>AY</v>
      </c>
      <c r="E11206" t="str">
        <f t="shared" si="175"/>
        <v>SROE912_00|AY</v>
      </c>
    </row>
    <row r="11207" spans="1:5" x14ac:dyDescent="0.2">
      <c r="A11207" t="s">
        <v>3292</v>
      </c>
      <c r="B11207" t="s">
        <v>3293</v>
      </c>
      <c r="C11207" t="s">
        <v>331</v>
      </c>
      <c r="D11207" t="str">
        <f>VLOOKUP(C11207,'lookup table'!$A$2:$B$19,2,FALSE)</f>
        <v>FS Item</v>
      </c>
      <c r="E11207" t="str">
        <f t="shared" si="175"/>
        <v>SROE912_00|FS Item</v>
      </c>
    </row>
    <row r="11208" spans="1:5" x14ac:dyDescent="0.2">
      <c r="A11208" t="s">
        <v>3292</v>
      </c>
      <c r="B11208" t="s">
        <v>3293</v>
      </c>
      <c r="C11208" t="s">
        <v>423</v>
      </c>
      <c r="D11208" t="str">
        <f>VLOOKUP(C11208,'lookup table'!$A$2:$B$19,2,FALSE)</f>
        <v>ignore</v>
      </c>
      <c r="E11208" t="str">
        <f t="shared" si="175"/>
        <v>SROE912_00|ignore</v>
      </c>
    </row>
    <row r="11209" spans="1:5" x14ac:dyDescent="0.2">
      <c r="A11209" t="s">
        <v>3292</v>
      </c>
      <c r="B11209" t="s">
        <v>3293</v>
      </c>
      <c r="C11209" t="s">
        <v>424</v>
      </c>
      <c r="D11209" t="str">
        <f>VLOOKUP(C11209,'lookup table'!$A$2:$B$19,2,FALSE)</f>
        <v>GRC</v>
      </c>
      <c r="E11209" t="str">
        <f t="shared" si="175"/>
        <v>SROE912_00|GRC</v>
      </c>
    </row>
    <row r="11210" spans="1:5" x14ac:dyDescent="0.2">
      <c r="A11210" t="s">
        <v>3292</v>
      </c>
      <c r="B11210" t="s">
        <v>3293</v>
      </c>
      <c r="C11210" t="s">
        <v>428</v>
      </c>
      <c r="D11210" t="str">
        <f>VLOOKUP(C11210,'lookup table'!$A$2:$B$19,2,FALSE)</f>
        <v>LoB</v>
      </c>
      <c r="E11210" t="str">
        <f t="shared" si="175"/>
        <v>SROE912_00|LoB</v>
      </c>
    </row>
    <row r="11211" spans="1:5" x14ac:dyDescent="0.2">
      <c r="A11211" t="s">
        <v>3292</v>
      </c>
      <c r="B11211" t="s">
        <v>3293</v>
      </c>
      <c r="C11211" t="s">
        <v>436</v>
      </c>
      <c r="D11211" t="str">
        <f>VLOOKUP(C11211,'lookup table'!$A$2:$B$19,2,FALSE)</f>
        <v>MAT</v>
      </c>
      <c r="E11211" t="str">
        <f t="shared" si="175"/>
        <v>SROE912_00|MAT</v>
      </c>
    </row>
    <row r="11212" spans="1:5" x14ac:dyDescent="0.2">
      <c r="A11212" t="s">
        <v>3292</v>
      </c>
      <c r="B11212" t="s">
        <v>3293</v>
      </c>
      <c r="C11212" t="s">
        <v>438</v>
      </c>
      <c r="D11212" t="str">
        <f>VLOOKUP(C11212,'lookup table'!$A$2:$B$19,2,FALSE)</f>
        <v>ToM</v>
      </c>
      <c r="E11212" t="str">
        <f t="shared" si="175"/>
        <v>SROE912_00|ToM</v>
      </c>
    </row>
    <row r="11213" spans="1:5" x14ac:dyDescent="0.2">
      <c r="A11213" t="s">
        <v>3292</v>
      </c>
      <c r="B11213" t="s">
        <v>3293</v>
      </c>
      <c r="C11213" t="s">
        <v>447</v>
      </c>
      <c r="D11213" t="str">
        <f>VLOOKUP(C11213,'lookup table'!$A$2:$B$19,2,FALSE)</f>
        <v>REX</v>
      </c>
      <c r="E11213" t="str">
        <f t="shared" si="175"/>
        <v>SROE912_00|REX</v>
      </c>
    </row>
    <row r="11214" spans="1:5" x14ac:dyDescent="0.2">
      <c r="A11214" t="s">
        <v>3292</v>
      </c>
      <c r="B11214" t="s">
        <v>3293</v>
      </c>
      <c r="C11214" t="s">
        <v>451</v>
      </c>
      <c r="D11214" t="str">
        <f>VLOOKUP(C11214,'lookup table'!$A$2:$B$19,2,FALSE)</f>
        <v>Segment</v>
      </c>
      <c r="E11214" t="str">
        <f t="shared" si="175"/>
        <v>SROE912_00|Segment</v>
      </c>
    </row>
    <row r="11215" spans="1:5" x14ac:dyDescent="0.2">
      <c r="A11215" t="s">
        <v>3292</v>
      </c>
      <c r="B11215" t="s">
        <v>3293</v>
      </c>
      <c r="C11215" t="s">
        <v>457</v>
      </c>
      <c r="D11215" t="str">
        <f>VLOOKUP(C11215,'lookup table'!$A$2:$B$19,2,FALSE)</f>
        <v>VLT</v>
      </c>
      <c r="E11215" t="str">
        <f t="shared" si="175"/>
        <v>SROE912_00|VLT</v>
      </c>
    </row>
    <row r="11216" spans="1:5" x14ac:dyDescent="0.2">
      <c r="A11216" t="s">
        <v>3292</v>
      </c>
      <c r="B11216" t="s">
        <v>3293</v>
      </c>
      <c r="C11216" t="s">
        <v>458</v>
      </c>
      <c r="D11216" t="str">
        <f>VLOOKUP(C11216,'lookup table'!$A$2:$B$19,2,FALSE)</f>
        <v>VAR</v>
      </c>
      <c r="E11216" t="str">
        <f t="shared" si="175"/>
        <v>SROE912_00|VAR</v>
      </c>
    </row>
    <row r="11217" spans="1:5" x14ac:dyDescent="0.2">
      <c r="A11217" t="s">
        <v>3294</v>
      </c>
      <c r="B11217" t="s">
        <v>3295</v>
      </c>
      <c r="C11217" t="s">
        <v>14</v>
      </c>
      <c r="D11217" t="str">
        <f>VLOOKUP(C11217,'lookup table'!$A$2:$B$19,2,FALSE)</f>
        <v>ALC</v>
      </c>
      <c r="E11217" t="str">
        <f t="shared" si="175"/>
        <v>SROE913_00|ALC</v>
      </c>
    </row>
    <row r="11218" spans="1:5" x14ac:dyDescent="0.2">
      <c r="A11218" t="s">
        <v>3294</v>
      </c>
      <c r="B11218" t="s">
        <v>3295</v>
      </c>
      <c r="C11218" t="s">
        <v>20</v>
      </c>
      <c r="D11218" t="str">
        <f>VLOOKUP(C11218,'lookup table'!$A$2:$B$19,2,FALSE)</f>
        <v>AY</v>
      </c>
      <c r="E11218" t="str">
        <f t="shared" si="175"/>
        <v>SROE913_00|AY</v>
      </c>
    </row>
    <row r="11219" spans="1:5" x14ac:dyDescent="0.2">
      <c r="A11219" t="s">
        <v>3294</v>
      </c>
      <c r="B11219" t="s">
        <v>3295</v>
      </c>
      <c r="C11219" t="s">
        <v>331</v>
      </c>
      <c r="D11219" t="str">
        <f>VLOOKUP(C11219,'lookup table'!$A$2:$B$19,2,FALSE)</f>
        <v>FS Item</v>
      </c>
      <c r="E11219" t="str">
        <f t="shared" si="175"/>
        <v>SROE913_00|FS Item</v>
      </c>
    </row>
    <row r="11220" spans="1:5" x14ac:dyDescent="0.2">
      <c r="A11220" t="s">
        <v>3294</v>
      </c>
      <c r="B11220" t="s">
        <v>3295</v>
      </c>
      <c r="C11220" t="s">
        <v>423</v>
      </c>
      <c r="D11220" t="str">
        <f>VLOOKUP(C11220,'lookup table'!$A$2:$B$19,2,FALSE)</f>
        <v>ignore</v>
      </c>
      <c r="E11220" t="str">
        <f t="shared" si="175"/>
        <v>SROE913_00|ignore</v>
      </c>
    </row>
    <row r="11221" spans="1:5" x14ac:dyDescent="0.2">
      <c r="A11221" t="s">
        <v>3294</v>
      </c>
      <c r="B11221" t="s">
        <v>3295</v>
      </c>
      <c r="C11221" t="s">
        <v>424</v>
      </c>
      <c r="D11221" t="str">
        <f>VLOOKUP(C11221,'lookup table'!$A$2:$B$19,2,FALSE)</f>
        <v>GRC</v>
      </c>
      <c r="E11221" t="str">
        <f t="shared" si="175"/>
        <v>SROE913_00|GRC</v>
      </c>
    </row>
    <row r="11222" spans="1:5" x14ac:dyDescent="0.2">
      <c r="A11222" t="s">
        <v>3294</v>
      </c>
      <c r="B11222" t="s">
        <v>3295</v>
      </c>
      <c r="C11222" t="s">
        <v>428</v>
      </c>
      <c r="D11222" t="str">
        <f>VLOOKUP(C11222,'lookup table'!$A$2:$B$19,2,FALSE)</f>
        <v>LoB</v>
      </c>
      <c r="E11222" t="str">
        <f t="shared" si="175"/>
        <v>SROE913_00|LoB</v>
      </c>
    </row>
    <row r="11223" spans="1:5" x14ac:dyDescent="0.2">
      <c r="A11223" t="s">
        <v>3294</v>
      </c>
      <c r="B11223" t="s">
        <v>3295</v>
      </c>
      <c r="C11223" t="s">
        <v>436</v>
      </c>
      <c r="D11223" t="str">
        <f>VLOOKUP(C11223,'lookup table'!$A$2:$B$19,2,FALSE)</f>
        <v>MAT</v>
      </c>
      <c r="E11223" t="str">
        <f t="shared" si="175"/>
        <v>SROE913_00|MAT</v>
      </c>
    </row>
    <row r="11224" spans="1:5" x14ac:dyDescent="0.2">
      <c r="A11224" t="s">
        <v>3294</v>
      </c>
      <c r="B11224" t="s">
        <v>3295</v>
      </c>
      <c r="C11224" t="s">
        <v>438</v>
      </c>
      <c r="D11224" t="str">
        <f>VLOOKUP(C11224,'lookup table'!$A$2:$B$19,2,FALSE)</f>
        <v>ToM</v>
      </c>
      <c r="E11224" t="str">
        <f t="shared" si="175"/>
        <v>SROE913_00|ToM</v>
      </c>
    </row>
    <row r="11225" spans="1:5" x14ac:dyDescent="0.2">
      <c r="A11225" t="s">
        <v>3294</v>
      </c>
      <c r="B11225" t="s">
        <v>3295</v>
      </c>
      <c r="C11225" t="s">
        <v>447</v>
      </c>
      <c r="D11225" t="str">
        <f>VLOOKUP(C11225,'lookup table'!$A$2:$B$19,2,FALSE)</f>
        <v>REX</v>
      </c>
      <c r="E11225" t="str">
        <f t="shared" si="175"/>
        <v>SROE913_00|REX</v>
      </c>
    </row>
    <row r="11226" spans="1:5" x14ac:dyDescent="0.2">
      <c r="A11226" t="s">
        <v>3294</v>
      </c>
      <c r="B11226" t="s">
        <v>3295</v>
      </c>
      <c r="C11226" t="s">
        <v>451</v>
      </c>
      <c r="D11226" t="str">
        <f>VLOOKUP(C11226,'lookup table'!$A$2:$B$19,2,FALSE)</f>
        <v>Segment</v>
      </c>
      <c r="E11226" t="str">
        <f t="shared" si="175"/>
        <v>SROE913_00|Segment</v>
      </c>
    </row>
    <row r="11227" spans="1:5" x14ac:dyDescent="0.2">
      <c r="A11227" t="s">
        <v>3294</v>
      </c>
      <c r="B11227" t="s">
        <v>3295</v>
      </c>
      <c r="C11227" t="s">
        <v>457</v>
      </c>
      <c r="D11227" t="str">
        <f>VLOOKUP(C11227,'lookup table'!$A$2:$B$19,2,FALSE)</f>
        <v>VLT</v>
      </c>
      <c r="E11227" t="str">
        <f t="shared" si="175"/>
        <v>SROE913_00|VLT</v>
      </c>
    </row>
    <row r="11228" spans="1:5" x14ac:dyDescent="0.2">
      <c r="A11228" t="s">
        <v>3294</v>
      </c>
      <c r="B11228" t="s">
        <v>3295</v>
      </c>
      <c r="C11228" t="s">
        <v>458</v>
      </c>
      <c r="D11228" t="str">
        <f>VLOOKUP(C11228,'lookup table'!$A$2:$B$19,2,FALSE)</f>
        <v>VAR</v>
      </c>
      <c r="E11228" t="str">
        <f t="shared" si="175"/>
        <v>SROE913_00|VAR</v>
      </c>
    </row>
    <row r="11229" spans="1:5" x14ac:dyDescent="0.2">
      <c r="A11229" t="s">
        <v>3296</v>
      </c>
      <c r="B11229" t="s">
        <v>3297</v>
      </c>
      <c r="C11229" t="s">
        <v>14</v>
      </c>
      <c r="D11229" t="str">
        <f>VLOOKUP(C11229,'lookup table'!$A$2:$B$19,2,FALSE)</f>
        <v>ALC</v>
      </c>
      <c r="E11229" t="str">
        <f t="shared" si="175"/>
        <v>SROE914_00|ALC</v>
      </c>
    </row>
    <row r="11230" spans="1:5" x14ac:dyDescent="0.2">
      <c r="A11230" t="s">
        <v>3296</v>
      </c>
      <c r="B11230" t="s">
        <v>3297</v>
      </c>
      <c r="C11230" t="s">
        <v>20</v>
      </c>
      <c r="D11230" t="str">
        <f>VLOOKUP(C11230,'lookup table'!$A$2:$B$19,2,FALSE)</f>
        <v>AY</v>
      </c>
      <c r="E11230" t="str">
        <f t="shared" si="175"/>
        <v>SROE914_00|AY</v>
      </c>
    </row>
    <row r="11231" spans="1:5" x14ac:dyDescent="0.2">
      <c r="A11231" t="s">
        <v>3296</v>
      </c>
      <c r="B11231" t="s">
        <v>3297</v>
      </c>
      <c r="C11231" t="s">
        <v>331</v>
      </c>
      <c r="D11231" t="str">
        <f>VLOOKUP(C11231,'lookup table'!$A$2:$B$19,2,FALSE)</f>
        <v>FS Item</v>
      </c>
      <c r="E11231" t="str">
        <f t="shared" si="175"/>
        <v>SROE914_00|FS Item</v>
      </c>
    </row>
    <row r="11232" spans="1:5" x14ac:dyDescent="0.2">
      <c r="A11232" t="s">
        <v>3296</v>
      </c>
      <c r="B11232" t="s">
        <v>3297</v>
      </c>
      <c r="C11232" t="s">
        <v>423</v>
      </c>
      <c r="D11232" t="str">
        <f>VLOOKUP(C11232,'lookup table'!$A$2:$B$19,2,FALSE)</f>
        <v>ignore</v>
      </c>
      <c r="E11232" t="str">
        <f t="shared" si="175"/>
        <v>SROE914_00|ignore</v>
      </c>
    </row>
    <row r="11233" spans="1:5" x14ac:dyDescent="0.2">
      <c r="A11233" t="s">
        <v>3296</v>
      </c>
      <c r="B11233" t="s">
        <v>3297</v>
      </c>
      <c r="C11233" t="s">
        <v>424</v>
      </c>
      <c r="D11233" t="str">
        <f>VLOOKUP(C11233,'lookup table'!$A$2:$B$19,2,FALSE)</f>
        <v>GRC</v>
      </c>
      <c r="E11233" t="str">
        <f t="shared" si="175"/>
        <v>SROE914_00|GRC</v>
      </c>
    </row>
    <row r="11234" spans="1:5" x14ac:dyDescent="0.2">
      <c r="A11234" t="s">
        <v>3296</v>
      </c>
      <c r="B11234" t="s">
        <v>3297</v>
      </c>
      <c r="C11234" t="s">
        <v>428</v>
      </c>
      <c r="D11234" t="str">
        <f>VLOOKUP(C11234,'lookup table'!$A$2:$B$19,2,FALSE)</f>
        <v>LoB</v>
      </c>
      <c r="E11234" t="str">
        <f t="shared" si="175"/>
        <v>SROE914_00|LoB</v>
      </c>
    </row>
    <row r="11235" spans="1:5" x14ac:dyDescent="0.2">
      <c r="A11235" t="s">
        <v>3296</v>
      </c>
      <c r="B11235" t="s">
        <v>3297</v>
      </c>
      <c r="C11235" t="s">
        <v>436</v>
      </c>
      <c r="D11235" t="str">
        <f>VLOOKUP(C11235,'lookup table'!$A$2:$B$19,2,FALSE)</f>
        <v>MAT</v>
      </c>
      <c r="E11235" t="str">
        <f t="shared" si="175"/>
        <v>SROE914_00|MAT</v>
      </c>
    </row>
    <row r="11236" spans="1:5" x14ac:dyDescent="0.2">
      <c r="A11236" t="s">
        <v>3296</v>
      </c>
      <c r="B11236" t="s">
        <v>3297</v>
      </c>
      <c r="C11236" t="s">
        <v>438</v>
      </c>
      <c r="D11236" t="str">
        <f>VLOOKUP(C11236,'lookup table'!$A$2:$B$19,2,FALSE)</f>
        <v>ToM</v>
      </c>
      <c r="E11236" t="str">
        <f t="shared" si="175"/>
        <v>SROE914_00|ToM</v>
      </c>
    </row>
    <row r="11237" spans="1:5" x14ac:dyDescent="0.2">
      <c r="A11237" t="s">
        <v>3296</v>
      </c>
      <c r="B11237" t="s">
        <v>3297</v>
      </c>
      <c r="C11237" t="s">
        <v>447</v>
      </c>
      <c r="D11237" t="str">
        <f>VLOOKUP(C11237,'lookup table'!$A$2:$B$19,2,FALSE)</f>
        <v>REX</v>
      </c>
      <c r="E11237" t="str">
        <f t="shared" si="175"/>
        <v>SROE914_00|REX</v>
      </c>
    </row>
    <row r="11238" spans="1:5" x14ac:dyDescent="0.2">
      <c r="A11238" t="s">
        <v>3296</v>
      </c>
      <c r="B11238" t="s">
        <v>3297</v>
      </c>
      <c r="C11238" t="s">
        <v>451</v>
      </c>
      <c r="D11238" t="str">
        <f>VLOOKUP(C11238,'lookup table'!$A$2:$B$19,2,FALSE)</f>
        <v>Segment</v>
      </c>
      <c r="E11238" t="str">
        <f t="shared" si="175"/>
        <v>SROE914_00|Segment</v>
      </c>
    </row>
    <row r="11239" spans="1:5" x14ac:dyDescent="0.2">
      <c r="A11239" t="s">
        <v>3296</v>
      </c>
      <c r="B11239" t="s">
        <v>3297</v>
      </c>
      <c r="C11239" t="s">
        <v>457</v>
      </c>
      <c r="D11239" t="str">
        <f>VLOOKUP(C11239,'lookup table'!$A$2:$B$19,2,FALSE)</f>
        <v>VLT</v>
      </c>
      <c r="E11239" t="str">
        <f t="shared" si="175"/>
        <v>SROE914_00|VLT</v>
      </c>
    </row>
    <row r="11240" spans="1:5" x14ac:dyDescent="0.2">
      <c r="A11240" t="s">
        <v>3296</v>
      </c>
      <c r="B11240" t="s">
        <v>3297</v>
      </c>
      <c r="C11240" t="s">
        <v>458</v>
      </c>
      <c r="D11240" t="str">
        <f>VLOOKUP(C11240,'lookup table'!$A$2:$B$19,2,FALSE)</f>
        <v>VAR</v>
      </c>
      <c r="E11240" t="str">
        <f t="shared" si="175"/>
        <v>SROE914_00|VAR</v>
      </c>
    </row>
    <row r="11241" spans="1:5" x14ac:dyDescent="0.2">
      <c r="A11241" t="s">
        <v>3298</v>
      </c>
      <c r="B11241" t="s">
        <v>3299</v>
      </c>
      <c r="C11241" t="s">
        <v>14</v>
      </c>
      <c r="D11241" t="str">
        <f>VLOOKUP(C11241,'lookup table'!$A$2:$B$19,2,FALSE)</f>
        <v>ALC</v>
      </c>
      <c r="E11241" t="str">
        <f t="shared" si="175"/>
        <v>SROE915_00|ALC</v>
      </c>
    </row>
    <row r="11242" spans="1:5" x14ac:dyDescent="0.2">
      <c r="A11242" t="s">
        <v>3298</v>
      </c>
      <c r="B11242" t="s">
        <v>3299</v>
      </c>
      <c r="C11242" t="s">
        <v>20</v>
      </c>
      <c r="D11242" t="str">
        <f>VLOOKUP(C11242,'lookup table'!$A$2:$B$19,2,FALSE)</f>
        <v>AY</v>
      </c>
      <c r="E11242" t="str">
        <f t="shared" si="175"/>
        <v>SROE915_00|AY</v>
      </c>
    </row>
    <row r="11243" spans="1:5" x14ac:dyDescent="0.2">
      <c r="A11243" t="s">
        <v>3298</v>
      </c>
      <c r="B11243" t="s">
        <v>3299</v>
      </c>
      <c r="C11243" t="s">
        <v>331</v>
      </c>
      <c r="D11243" t="str">
        <f>VLOOKUP(C11243,'lookup table'!$A$2:$B$19,2,FALSE)</f>
        <v>FS Item</v>
      </c>
      <c r="E11243" t="str">
        <f t="shared" si="175"/>
        <v>SROE915_00|FS Item</v>
      </c>
    </row>
    <row r="11244" spans="1:5" x14ac:dyDescent="0.2">
      <c r="A11244" t="s">
        <v>3298</v>
      </c>
      <c r="B11244" t="s">
        <v>3299</v>
      </c>
      <c r="C11244" t="s">
        <v>423</v>
      </c>
      <c r="D11244" t="str">
        <f>VLOOKUP(C11244,'lookup table'!$A$2:$B$19,2,FALSE)</f>
        <v>ignore</v>
      </c>
      <c r="E11244" t="str">
        <f t="shared" si="175"/>
        <v>SROE915_00|ignore</v>
      </c>
    </row>
    <row r="11245" spans="1:5" x14ac:dyDescent="0.2">
      <c r="A11245" t="s">
        <v>3298</v>
      </c>
      <c r="B11245" t="s">
        <v>3299</v>
      </c>
      <c r="C11245" t="s">
        <v>424</v>
      </c>
      <c r="D11245" t="str">
        <f>VLOOKUP(C11245,'lookup table'!$A$2:$B$19,2,FALSE)</f>
        <v>GRC</v>
      </c>
      <c r="E11245" t="str">
        <f t="shared" si="175"/>
        <v>SROE915_00|GRC</v>
      </c>
    </row>
    <row r="11246" spans="1:5" x14ac:dyDescent="0.2">
      <c r="A11246" t="s">
        <v>3298</v>
      </c>
      <c r="B11246" t="s">
        <v>3299</v>
      </c>
      <c r="C11246" t="s">
        <v>428</v>
      </c>
      <c r="D11246" t="str">
        <f>VLOOKUP(C11246,'lookup table'!$A$2:$B$19,2,FALSE)</f>
        <v>LoB</v>
      </c>
      <c r="E11246" t="str">
        <f t="shared" si="175"/>
        <v>SROE915_00|LoB</v>
      </c>
    </row>
    <row r="11247" spans="1:5" x14ac:dyDescent="0.2">
      <c r="A11247" t="s">
        <v>3298</v>
      </c>
      <c r="B11247" t="s">
        <v>3299</v>
      </c>
      <c r="C11247" t="s">
        <v>436</v>
      </c>
      <c r="D11247" t="str">
        <f>VLOOKUP(C11247,'lookup table'!$A$2:$B$19,2,FALSE)</f>
        <v>MAT</v>
      </c>
      <c r="E11247" t="str">
        <f t="shared" si="175"/>
        <v>SROE915_00|MAT</v>
      </c>
    </row>
    <row r="11248" spans="1:5" x14ac:dyDescent="0.2">
      <c r="A11248" t="s">
        <v>3298</v>
      </c>
      <c r="B11248" t="s">
        <v>3299</v>
      </c>
      <c r="C11248" t="s">
        <v>438</v>
      </c>
      <c r="D11248" t="str">
        <f>VLOOKUP(C11248,'lookup table'!$A$2:$B$19,2,FALSE)</f>
        <v>ToM</v>
      </c>
      <c r="E11248" t="str">
        <f t="shared" si="175"/>
        <v>SROE915_00|ToM</v>
      </c>
    </row>
    <row r="11249" spans="1:5" x14ac:dyDescent="0.2">
      <c r="A11249" t="s">
        <v>3298</v>
      </c>
      <c r="B11249" t="s">
        <v>3299</v>
      </c>
      <c r="C11249" t="s">
        <v>447</v>
      </c>
      <c r="D11249" t="str">
        <f>VLOOKUP(C11249,'lookup table'!$A$2:$B$19,2,FALSE)</f>
        <v>REX</v>
      </c>
      <c r="E11249" t="str">
        <f t="shared" si="175"/>
        <v>SROE915_00|REX</v>
      </c>
    </row>
    <row r="11250" spans="1:5" x14ac:dyDescent="0.2">
      <c r="A11250" t="s">
        <v>3298</v>
      </c>
      <c r="B11250" t="s">
        <v>3299</v>
      </c>
      <c r="C11250" t="s">
        <v>451</v>
      </c>
      <c r="D11250" t="str">
        <f>VLOOKUP(C11250,'lookup table'!$A$2:$B$19,2,FALSE)</f>
        <v>Segment</v>
      </c>
      <c r="E11250" t="str">
        <f t="shared" si="175"/>
        <v>SROE915_00|Segment</v>
      </c>
    </row>
    <row r="11251" spans="1:5" x14ac:dyDescent="0.2">
      <c r="A11251" t="s">
        <v>3298</v>
      </c>
      <c r="B11251" t="s">
        <v>3299</v>
      </c>
      <c r="C11251" t="s">
        <v>457</v>
      </c>
      <c r="D11251" t="str">
        <f>VLOOKUP(C11251,'lookup table'!$A$2:$B$19,2,FALSE)</f>
        <v>VLT</v>
      </c>
      <c r="E11251" t="str">
        <f t="shared" si="175"/>
        <v>SROE915_00|VLT</v>
      </c>
    </row>
    <row r="11252" spans="1:5" x14ac:dyDescent="0.2">
      <c r="A11252" t="s">
        <v>3298</v>
      </c>
      <c r="B11252" t="s">
        <v>3299</v>
      </c>
      <c r="C11252" t="s">
        <v>458</v>
      </c>
      <c r="D11252" t="str">
        <f>VLOOKUP(C11252,'lookup table'!$A$2:$B$19,2,FALSE)</f>
        <v>VAR</v>
      </c>
      <c r="E11252" t="str">
        <f t="shared" si="175"/>
        <v>SROE915_00|VAR</v>
      </c>
    </row>
    <row r="11253" spans="1:5" x14ac:dyDescent="0.2">
      <c r="A11253" t="s">
        <v>3300</v>
      </c>
      <c r="B11253" t="s">
        <v>3301</v>
      </c>
      <c r="C11253" t="s">
        <v>14</v>
      </c>
      <c r="D11253" t="str">
        <f>VLOOKUP(C11253,'lookup table'!$A$2:$B$19,2,FALSE)</f>
        <v>ALC</v>
      </c>
      <c r="E11253" t="str">
        <f t="shared" si="175"/>
        <v>SROE916_00|ALC</v>
      </c>
    </row>
    <row r="11254" spans="1:5" x14ac:dyDescent="0.2">
      <c r="A11254" t="s">
        <v>3300</v>
      </c>
      <c r="B11254" t="s">
        <v>3301</v>
      </c>
      <c r="C11254" t="s">
        <v>20</v>
      </c>
      <c r="D11254" t="str">
        <f>VLOOKUP(C11254,'lookup table'!$A$2:$B$19,2,FALSE)</f>
        <v>AY</v>
      </c>
      <c r="E11254" t="str">
        <f t="shared" si="175"/>
        <v>SROE916_00|AY</v>
      </c>
    </row>
    <row r="11255" spans="1:5" x14ac:dyDescent="0.2">
      <c r="A11255" t="s">
        <v>3300</v>
      </c>
      <c r="B11255" t="s">
        <v>3301</v>
      </c>
      <c r="C11255" t="s">
        <v>331</v>
      </c>
      <c r="D11255" t="str">
        <f>VLOOKUP(C11255,'lookup table'!$A$2:$B$19,2,FALSE)</f>
        <v>FS Item</v>
      </c>
      <c r="E11255" t="str">
        <f t="shared" si="175"/>
        <v>SROE916_00|FS Item</v>
      </c>
    </row>
    <row r="11256" spans="1:5" x14ac:dyDescent="0.2">
      <c r="A11256" t="s">
        <v>3300</v>
      </c>
      <c r="B11256" t="s">
        <v>3301</v>
      </c>
      <c r="C11256" t="s">
        <v>423</v>
      </c>
      <c r="D11256" t="str">
        <f>VLOOKUP(C11256,'lookup table'!$A$2:$B$19,2,FALSE)</f>
        <v>ignore</v>
      </c>
      <c r="E11256" t="str">
        <f t="shared" si="175"/>
        <v>SROE916_00|ignore</v>
      </c>
    </row>
    <row r="11257" spans="1:5" x14ac:dyDescent="0.2">
      <c r="A11257" t="s">
        <v>3300</v>
      </c>
      <c r="B11257" t="s">
        <v>3301</v>
      </c>
      <c r="C11257" t="s">
        <v>424</v>
      </c>
      <c r="D11257" t="str">
        <f>VLOOKUP(C11257,'lookup table'!$A$2:$B$19,2,FALSE)</f>
        <v>GRC</v>
      </c>
      <c r="E11257" t="str">
        <f t="shared" si="175"/>
        <v>SROE916_00|GRC</v>
      </c>
    </row>
    <row r="11258" spans="1:5" x14ac:dyDescent="0.2">
      <c r="A11258" t="s">
        <v>3300</v>
      </c>
      <c r="B11258" t="s">
        <v>3301</v>
      </c>
      <c r="C11258" t="s">
        <v>428</v>
      </c>
      <c r="D11258" t="str">
        <f>VLOOKUP(C11258,'lookup table'!$A$2:$B$19,2,FALSE)</f>
        <v>LoB</v>
      </c>
      <c r="E11258" t="str">
        <f t="shared" si="175"/>
        <v>SROE916_00|LoB</v>
      </c>
    </row>
    <row r="11259" spans="1:5" x14ac:dyDescent="0.2">
      <c r="A11259" t="s">
        <v>3300</v>
      </c>
      <c r="B11259" t="s">
        <v>3301</v>
      </c>
      <c r="C11259" t="s">
        <v>436</v>
      </c>
      <c r="D11259" t="str">
        <f>VLOOKUP(C11259,'lookup table'!$A$2:$B$19,2,FALSE)</f>
        <v>MAT</v>
      </c>
      <c r="E11259" t="str">
        <f t="shared" si="175"/>
        <v>SROE916_00|MAT</v>
      </c>
    </row>
    <row r="11260" spans="1:5" x14ac:dyDescent="0.2">
      <c r="A11260" t="s">
        <v>3300</v>
      </c>
      <c r="B11260" t="s">
        <v>3301</v>
      </c>
      <c r="C11260" t="s">
        <v>438</v>
      </c>
      <c r="D11260" t="str">
        <f>VLOOKUP(C11260,'lookup table'!$A$2:$B$19,2,FALSE)</f>
        <v>ToM</v>
      </c>
      <c r="E11260" t="str">
        <f t="shared" si="175"/>
        <v>SROE916_00|ToM</v>
      </c>
    </row>
    <row r="11261" spans="1:5" x14ac:dyDescent="0.2">
      <c r="A11261" t="s">
        <v>3300</v>
      </c>
      <c r="B11261" t="s">
        <v>3301</v>
      </c>
      <c r="C11261" t="s">
        <v>447</v>
      </c>
      <c r="D11261" t="str">
        <f>VLOOKUP(C11261,'lookup table'!$A$2:$B$19,2,FALSE)</f>
        <v>REX</v>
      </c>
      <c r="E11261" t="str">
        <f t="shared" si="175"/>
        <v>SROE916_00|REX</v>
      </c>
    </row>
    <row r="11262" spans="1:5" x14ac:dyDescent="0.2">
      <c r="A11262" t="s">
        <v>3300</v>
      </c>
      <c r="B11262" t="s">
        <v>3301</v>
      </c>
      <c r="C11262" t="s">
        <v>451</v>
      </c>
      <c r="D11262" t="str">
        <f>VLOOKUP(C11262,'lookup table'!$A$2:$B$19,2,FALSE)</f>
        <v>Segment</v>
      </c>
      <c r="E11262" t="str">
        <f t="shared" si="175"/>
        <v>SROE916_00|Segment</v>
      </c>
    </row>
    <row r="11263" spans="1:5" x14ac:dyDescent="0.2">
      <c r="A11263" t="s">
        <v>3300</v>
      </c>
      <c r="B11263" t="s">
        <v>3301</v>
      </c>
      <c r="C11263" t="s">
        <v>457</v>
      </c>
      <c r="D11263" t="str">
        <f>VLOOKUP(C11263,'lookup table'!$A$2:$B$19,2,FALSE)</f>
        <v>VLT</v>
      </c>
      <c r="E11263" t="str">
        <f t="shared" si="175"/>
        <v>SROE916_00|VLT</v>
      </c>
    </row>
    <row r="11264" spans="1:5" x14ac:dyDescent="0.2">
      <c r="A11264" t="s">
        <v>3300</v>
      </c>
      <c r="B11264" t="s">
        <v>3301</v>
      </c>
      <c r="C11264" t="s">
        <v>458</v>
      </c>
      <c r="D11264" t="str">
        <f>VLOOKUP(C11264,'lookup table'!$A$2:$B$19,2,FALSE)</f>
        <v>VAR</v>
      </c>
      <c r="E11264" t="str">
        <f t="shared" si="175"/>
        <v>SROE916_00|VAR</v>
      </c>
    </row>
    <row r="11265" spans="1:5" x14ac:dyDescent="0.2">
      <c r="A11265" t="s">
        <v>3302</v>
      </c>
      <c r="B11265" t="s">
        <v>3303</v>
      </c>
      <c r="C11265" t="s">
        <v>14</v>
      </c>
      <c r="D11265" t="str">
        <f>VLOOKUP(C11265,'lookup table'!$A$2:$B$19,2,FALSE)</f>
        <v>ALC</v>
      </c>
      <c r="E11265" t="str">
        <f t="shared" si="175"/>
        <v>SROE917_00|ALC</v>
      </c>
    </row>
    <row r="11266" spans="1:5" x14ac:dyDescent="0.2">
      <c r="A11266" t="s">
        <v>3302</v>
      </c>
      <c r="B11266" t="s">
        <v>3303</v>
      </c>
      <c r="C11266" t="s">
        <v>20</v>
      </c>
      <c r="D11266" t="str">
        <f>VLOOKUP(C11266,'lookup table'!$A$2:$B$19,2,FALSE)</f>
        <v>AY</v>
      </c>
      <c r="E11266" t="str">
        <f t="shared" si="175"/>
        <v>SROE917_00|AY</v>
      </c>
    </row>
    <row r="11267" spans="1:5" x14ac:dyDescent="0.2">
      <c r="A11267" t="s">
        <v>3302</v>
      </c>
      <c r="B11267" t="s">
        <v>3303</v>
      </c>
      <c r="C11267" t="s">
        <v>331</v>
      </c>
      <c r="D11267" t="str">
        <f>VLOOKUP(C11267,'lookup table'!$A$2:$B$19,2,FALSE)</f>
        <v>FS Item</v>
      </c>
      <c r="E11267" t="str">
        <f t="shared" ref="E11267:E11330" si="176">IF(ISNA(D11267),"",IF(A11267="","",A11267) &amp; "|" &amp; D11267)</f>
        <v>SROE917_00|FS Item</v>
      </c>
    </row>
    <row r="11268" spans="1:5" x14ac:dyDescent="0.2">
      <c r="A11268" t="s">
        <v>3302</v>
      </c>
      <c r="B11268" t="s">
        <v>3303</v>
      </c>
      <c r="C11268" t="s">
        <v>423</v>
      </c>
      <c r="D11268" t="str">
        <f>VLOOKUP(C11268,'lookup table'!$A$2:$B$19,2,FALSE)</f>
        <v>ignore</v>
      </c>
      <c r="E11268" t="str">
        <f t="shared" si="176"/>
        <v>SROE917_00|ignore</v>
      </c>
    </row>
    <row r="11269" spans="1:5" x14ac:dyDescent="0.2">
      <c r="A11269" t="s">
        <v>3302</v>
      </c>
      <c r="B11269" t="s">
        <v>3303</v>
      </c>
      <c r="C11269" t="s">
        <v>424</v>
      </c>
      <c r="D11269" t="str">
        <f>VLOOKUP(C11269,'lookup table'!$A$2:$B$19,2,FALSE)</f>
        <v>GRC</v>
      </c>
      <c r="E11269" t="str">
        <f t="shared" si="176"/>
        <v>SROE917_00|GRC</v>
      </c>
    </row>
    <row r="11270" spans="1:5" x14ac:dyDescent="0.2">
      <c r="A11270" t="s">
        <v>3302</v>
      </c>
      <c r="B11270" t="s">
        <v>3303</v>
      </c>
      <c r="C11270" t="s">
        <v>428</v>
      </c>
      <c r="D11270" t="str">
        <f>VLOOKUP(C11270,'lookup table'!$A$2:$B$19,2,FALSE)</f>
        <v>LoB</v>
      </c>
      <c r="E11270" t="str">
        <f t="shared" si="176"/>
        <v>SROE917_00|LoB</v>
      </c>
    </row>
    <row r="11271" spans="1:5" x14ac:dyDescent="0.2">
      <c r="A11271" t="s">
        <v>3302</v>
      </c>
      <c r="B11271" t="s">
        <v>3303</v>
      </c>
      <c r="C11271" t="s">
        <v>436</v>
      </c>
      <c r="D11271" t="str">
        <f>VLOOKUP(C11271,'lookup table'!$A$2:$B$19,2,FALSE)</f>
        <v>MAT</v>
      </c>
      <c r="E11271" t="str">
        <f t="shared" si="176"/>
        <v>SROE917_00|MAT</v>
      </c>
    </row>
    <row r="11272" spans="1:5" x14ac:dyDescent="0.2">
      <c r="A11272" t="s">
        <v>3302</v>
      </c>
      <c r="B11272" t="s">
        <v>3303</v>
      </c>
      <c r="C11272" t="s">
        <v>438</v>
      </c>
      <c r="D11272" t="str">
        <f>VLOOKUP(C11272,'lookup table'!$A$2:$B$19,2,FALSE)</f>
        <v>ToM</v>
      </c>
      <c r="E11272" t="str">
        <f t="shared" si="176"/>
        <v>SROE917_00|ToM</v>
      </c>
    </row>
    <row r="11273" spans="1:5" x14ac:dyDescent="0.2">
      <c r="A11273" t="s">
        <v>3302</v>
      </c>
      <c r="B11273" t="s">
        <v>3303</v>
      </c>
      <c r="C11273" t="s">
        <v>447</v>
      </c>
      <c r="D11273" t="str">
        <f>VLOOKUP(C11273,'lookup table'!$A$2:$B$19,2,FALSE)</f>
        <v>REX</v>
      </c>
      <c r="E11273" t="str">
        <f t="shared" si="176"/>
        <v>SROE917_00|REX</v>
      </c>
    </row>
    <row r="11274" spans="1:5" x14ac:dyDescent="0.2">
      <c r="A11274" t="s">
        <v>3302</v>
      </c>
      <c r="B11274" t="s">
        <v>3303</v>
      </c>
      <c r="C11274" t="s">
        <v>451</v>
      </c>
      <c r="D11274" t="str">
        <f>VLOOKUP(C11274,'lookup table'!$A$2:$B$19,2,FALSE)</f>
        <v>Segment</v>
      </c>
      <c r="E11274" t="str">
        <f t="shared" si="176"/>
        <v>SROE917_00|Segment</v>
      </c>
    </row>
    <row r="11275" spans="1:5" x14ac:dyDescent="0.2">
      <c r="A11275" t="s">
        <v>3302</v>
      </c>
      <c r="B11275" t="s">
        <v>3303</v>
      </c>
      <c r="C11275" t="s">
        <v>457</v>
      </c>
      <c r="D11275" t="str">
        <f>VLOOKUP(C11275,'lookup table'!$A$2:$B$19,2,FALSE)</f>
        <v>VLT</v>
      </c>
      <c r="E11275" t="str">
        <f t="shared" si="176"/>
        <v>SROE917_00|VLT</v>
      </c>
    </row>
    <row r="11276" spans="1:5" x14ac:dyDescent="0.2">
      <c r="A11276" t="s">
        <v>3302</v>
      </c>
      <c r="B11276" t="s">
        <v>3303</v>
      </c>
      <c r="C11276" t="s">
        <v>458</v>
      </c>
      <c r="D11276" t="str">
        <f>VLOOKUP(C11276,'lookup table'!$A$2:$B$19,2,FALSE)</f>
        <v>VAR</v>
      </c>
      <c r="E11276" t="str">
        <f t="shared" si="176"/>
        <v>SROE917_00|VAR</v>
      </c>
    </row>
    <row r="11277" spans="1:5" x14ac:dyDescent="0.2">
      <c r="A11277" t="s">
        <v>3304</v>
      </c>
      <c r="B11277" t="s">
        <v>3305</v>
      </c>
      <c r="C11277" t="s">
        <v>14</v>
      </c>
      <c r="D11277" t="str">
        <f>VLOOKUP(C11277,'lookup table'!$A$2:$B$19,2,FALSE)</f>
        <v>ALC</v>
      </c>
      <c r="E11277" t="str">
        <f t="shared" si="176"/>
        <v>SROE918_00|ALC</v>
      </c>
    </row>
    <row r="11278" spans="1:5" x14ac:dyDescent="0.2">
      <c r="A11278" t="s">
        <v>3304</v>
      </c>
      <c r="B11278" t="s">
        <v>3305</v>
      </c>
      <c r="C11278" t="s">
        <v>20</v>
      </c>
      <c r="D11278" t="str">
        <f>VLOOKUP(C11278,'lookup table'!$A$2:$B$19,2,FALSE)</f>
        <v>AY</v>
      </c>
      <c r="E11278" t="str">
        <f t="shared" si="176"/>
        <v>SROE918_00|AY</v>
      </c>
    </row>
    <row r="11279" spans="1:5" x14ac:dyDescent="0.2">
      <c r="A11279" t="s">
        <v>3304</v>
      </c>
      <c r="B11279" t="s">
        <v>3305</v>
      </c>
      <c r="C11279" t="s">
        <v>331</v>
      </c>
      <c r="D11279" t="str">
        <f>VLOOKUP(C11279,'lookup table'!$A$2:$B$19,2,FALSE)</f>
        <v>FS Item</v>
      </c>
      <c r="E11279" t="str">
        <f t="shared" si="176"/>
        <v>SROE918_00|FS Item</v>
      </c>
    </row>
    <row r="11280" spans="1:5" x14ac:dyDescent="0.2">
      <c r="A11280" t="s">
        <v>3304</v>
      </c>
      <c r="B11280" t="s">
        <v>3305</v>
      </c>
      <c r="C11280" t="s">
        <v>423</v>
      </c>
      <c r="D11280" t="str">
        <f>VLOOKUP(C11280,'lookup table'!$A$2:$B$19,2,FALSE)</f>
        <v>ignore</v>
      </c>
      <c r="E11280" t="str">
        <f t="shared" si="176"/>
        <v>SROE918_00|ignore</v>
      </c>
    </row>
    <row r="11281" spans="1:5" x14ac:dyDescent="0.2">
      <c r="A11281" t="s">
        <v>3304</v>
      </c>
      <c r="B11281" t="s">
        <v>3305</v>
      </c>
      <c r="C11281" t="s">
        <v>424</v>
      </c>
      <c r="D11281" t="str">
        <f>VLOOKUP(C11281,'lookup table'!$A$2:$B$19,2,FALSE)</f>
        <v>GRC</v>
      </c>
      <c r="E11281" t="str">
        <f t="shared" si="176"/>
        <v>SROE918_00|GRC</v>
      </c>
    </row>
    <row r="11282" spans="1:5" x14ac:dyDescent="0.2">
      <c r="A11282" t="s">
        <v>3304</v>
      </c>
      <c r="B11282" t="s">
        <v>3305</v>
      </c>
      <c r="C11282" t="s">
        <v>428</v>
      </c>
      <c r="D11282" t="str">
        <f>VLOOKUP(C11282,'lookup table'!$A$2:$B$19,2,FALSE)</f>
        <v>LoB</v>
      </c>
      <c r="E11282" t="str">
        <f t="shared" si="176"/>
        <v>SROE918_00|LoB</v>
      </c>
    </row>
    <row r="11283" spans="1:5" x14ac:dyDescent="0.2">
      <c r="A11283" t="s">
        <v>3304</v>
      </c>
      <c r="B11283" t="s">
        <v>3305</v>
      </c>
      <c r="C11283" t="s">
        <v>436</v>
      </c>
      <c r="D11283" t="str">
        <f>VLOOKUP(C11283,'lookup table'!$A$2:$B$19,2,FALSE)</f>
        <v>MAT</v>
      </c>
      <c r="E11283" t="str">
        <f t="shared" si="176"/>
        <v>SROE918_00|MAT</v>
      </c>
    </row>
    <row r="11284" spans="1:5" x14ac:dyDescent="0.2">
      <c r="A11284" t="s">
        <v>3304</v>
      </c>
      <c r="B11284" t="s">
        <v>3305</v>
      </c>
      <c r="C11284" t="s">
        <v>438</v>
      </c>
      <c r="D11284" t="str">
        <f>VLOOKUP(C11284,'lookup table'!$A$2:$B$19,2,FALSE)</f>
        <v>ToM</v>
      </c>
      <c r="E11284" t="str">
        <f t="shared" si="176"/>
        <v>SROE918_00|ToM</v>
      </c>
    </row>
    <row r="11285" spans="1:5" x14ac:dyDescent="0.2">
      <c r="A11285" t="s">
        <v>3304</v>
      </c>
      <c r="B11285" t="s">
        <v>3305</v>
      </c>
      <c r="C11285" t="s">
        <v>447</v>
      </c>
      <c r="D11285" t="str">
        <f>VLOOKUP(C11285,'lookup table'!$A$2:$B$19,2,FALSE)</f>
        <v>REX</v>
      </c>
      <c r="E11285" t="str">
        <f t="shared" si="176"/>
        <v>SROE918_00|REX</v>
      </c>
    </row>
    <row r="11286" spans="1:5" x14ac:dyDescent="0.2">
      <c r="A11286" t="s">
        <v>3304</v>
      </c>
      <c r="B11286" t="s">
        <v>3305</v>
      </c>
      <c r="C11286" t="s">
        <v>451</v>
      </c>
      <c r="D11286" t="str">
        <f>VLOOKUP(C11286,'lookup table'!$A$2:$B$19,2,FALSE)</f>
        <v>Segment</v>
      </c>
      <c r="E11286" t="str">
        <f t="shared" si="176"/>
        <v>SROE918_00|Segment</v>
      </c>
    </row>
    <row r="11287" spans="1:5" x14ac:dyDescent="0.2">
      <c r="A11287" t="s">
        <v>3304</v>
      </c>
      <c r="B11287" t="s">
        <v>3305</v>
      </c>
      <c r="C11287" t="s">
        <v>457</v>
      </c>
      <c r="D11287" t="str">
        <f>VLOOKUP(C11287,'lookup table'!$A$2:$B$19,2,FALSE)</f>
        <v>VLT</v>
      </c>
      <c r="E11287" t="str">
        <f t="shared" si="176"/>
        <v>SROE918_00|VLT</v>
      </c>
    </row>
    <row r="11288" spans="1:5" x14ac:dyDescent="0.2">
      <c r="A11288" t="s">
        <v>3304</v>
      </c>
      <c r="B11288" t="s">
        <v>3305</v>
      </c>
      <c r="C11288" t="s">
        <v>458</v>
      </c>
      <c r="D11288" t="str">
        <f>VLOOKUP(C11288,'lookup table'!$A$2:$B$19,2,FALSE)</f>
        <v>VAR</v>
      </c>
      <c r="E11288" t="str">
        <f t="shared" si="176"/>
        <v>SROE918_00|VAR</v>
      </c>
    </row>
    <row r="11289" spans="1:5" x14ac:dyDescent="0.2">
      <c r="A11289" t="s">
        <v>3306</v>
      </c>
      <c r="B11289" t="s">
        <v>3307</v>
      </c>
      <c r="C11289" t="s">
        <v>14</v>
      </c>
      <c r="D11289" t="str">
        <f>VLOOKUP(C11289,'lookup table'!$A$2:$B$19,2,FALSE)</f>
        <v>ALC</v>
      </c>
      <c r="E11289" t="str">
        <f t="shared" si="176"/>
        <v>SROE919_00|ALC</v>
      </c>
    </row>
    <row r="11290" spans="1:5" x14ac:dyDescent="0.2">
      <c r="A11290" t="s">
        <v>3306</v>
      </c>
      <c r="B11290" t="s">
        <v>3307</v>
      </c>
      <c r="C11290" t="s">
        <v>20</v>
      </c>
      <c r="D11290" t="str">
        <f>VLOOKUP(C11290,'lookup table'!$A$2:$B$19,2,FALSE)</f>
        <v>AY</v>
      </c>
      <c r="E11290" t="str">
        <f t="shared" si="176"/>
        <v>SROE919_00|AY</v>
      </c>
    </row>
    <row r="11291" spans="1:5" x14ac:dyDescent="0.2">
      <c r="A11291" t="s">
        <v>3306</v>
      </c>
      <c r="B11291" t="s">
        <v>3307</v>
      </c>
      <c r="C11291" t="s">
        <v>331</v>
      </c>
      <c r="D11291" t="str">
        <f>VLOOKUP(C11291,'lookup table'!$A$2:$B$19,2,FALSE)</f>
        <v>FS Item</v>
      </c>
      <c r="E11291" t="str">
        <f t="shared" si="176"/>
        <v>SROE919_00|FS Item</v>
      </c>
    </row>
    <row r="11292" spans="1:5" x14ac:dyDescent="0.2">
      <c r="A11292" t="s">
        <v>3306</v>
      </c>
      <c r="B11292" t="s">
        <v>3307</v>
      </c>
      <c r="C11292" t="s">
        <v>423</v>
      </c>
      <c r="D11292" t="str">
        <f>VLOOKUP(C11292,'lookup table'!$A$2:$B$19,2,FALSE)</f>
        <v>ignore</v>
      </c>
      <c r="E11292" t="str">
        <f t="shared" si="176"/>
        <v>SROE919_00|ignore</v>
      </c>
    </row>
    <row r="11293" spans="1:5" x14ac:dyDescent="0.2">
      <c r="A11293" t="s">
        <v>3306</v>
      </c>
      <c r="B11293" t="s">
        <v>3307</v>
      </c>
      <c r="C11293" t="s">
        <v>424</v>
      </c>
      <c r="D11293" t="str">
        <f>VLOOKUP(C11293,'lookup table'!$A$2:$B$19,2,FALSE)</f>
        <v>GRC</v>
      </c>
      <c r="E11293" t="str">
        <f t="shared" si="176"/>
        <v>SROE919_00|GRC</v>
      </c>
    </row>
    <row r="11294" spans="1:5" x14ac:dyDescent="0.2">
      <c r="A11294" t="s">
        <v>3306</v>
      </c>
      <c r="B11294" t="s">
        <v>3307</v>
      </c>
      <c r="C11294" t="s">
        <v>428</v>
      </c>
      <c r="D11294" t="str">
        <f>VLOOKUP(C11294,'lookup table'!$A$2:$B$19,2,FALSE)</f>
        <v>LoB</v>
      </c>
      <c r="E11294" t="str">
        <f t="shared" si="176"/>
        <v>SROE919_00|LoB</v>
      </c>
    </row>
    <row r="11295" spans="1:5" x14ac:dyDescent="0.2">
      <c r="A11295" t="s">
        <v>3306</v>
      </c>
      <c r="B11295" t="s">
        <v>3307</v>
      </c>
      <c r="C11295" t="s">
        <v>436</v>
      </c>
      <c r="D11295" t="str">
        <f>VLOOKUP(C11295,'lookup table'!$A$2:$B$19,2,FALSE)</f>
        <v>MAT</v>
      </c>
      <c r="E11295" t="str">
        <f t="shared" si="176"/>
        <v>SROE919_00|MAT</v>
      </c>
    </row>
    <row r="11296" spans="1:5" x14ac:dyDescent="0.2">
      <c r="A11296" t="s">
        <v>3306</v>
      </c>
      <c r="B11296" t="s">
        <v>3307</v>
      </c>
      <c r="C11296" t="s">
        <v>438</v>
      </c>
      <c r="D11296" t="str">
        <f>VLOOKUP(C11296,'lookup table'!$A$2:$B$19,2,FALSE)</f>
        <v>ToM</v>
      </c>
      <c r="E11296" t="str">
        <f t="shared" si="176"/>
        <v>SROE919_00|ToM</v>
      </c>
    </row>
    <row r="11297" spans="1:5" x14ac:dyDescent="0.2">
      <c r="A11297" t="s">
        <v>3306</v>
      </c>
      <c r="B11297" t="s">
        <v>3307</v>
      </c>
      <c r="C11297" t="s">
        <v>447</v>
      </c>
      <c r="D11297" t="str">
        <f>VLOOKUP(C11297,'lookup table'!$A$2:$B$19,2,FALSE)</f>
        <v>REX</v>
      </c>
      <c r="E11297" t="str">
        <f t="shared" si="176"/>
        <v>SROE919_00|REX</v>
      </c>
    </row>
    <row r="11298" spans="1:5" x14ac:dyDescent="0.2">
      <c r="A11298" t="s">
        <v>3306</v>
      </c>
      <c r="B11298" t="s">
        <v>3307</v>
      </c>
      <c r="C11298" t="s">
        <v>451</v>
      </c>
      <c r="D11298" t="str">
        <f>VLOOKUP(C11298,'lookup table'!$A$2:$B$19,2,FALSE)</f>
        <v>Segment</v>
      </c>
      <c r="E11298" t="str">
        <f t="shared" si="176"/>
        <v>SROE919_00|Segment</v>
      </c>
    </row>
    <row r="11299" spans="1:5" x14ac:dyDescent="0.2">
      <c r="A11299" t="s">
        <v>3306</v>
      </c>
      <c r="B11299" t="s">
        <v>3307</v>
      </c>
      <c r="C11299" t="s">
        <v>457</v>
      </c>
      <c r="D11299" t="str">
        <f>VLOOKUP(C11299,'lookup table'!$A$2:$B$19,2,FALSE)</f>
        <v>VLT</v>
      </c>
      <c r="E11299" t="str">
        <f t="shared" si="176"/>
        <v>SROE919_00|VLT</v>
      </c>
    </row>
    <row r="11300" spans="1:5" x14ac:dyDescent="0.2">
      <c r="A11300" t="s">
        <v>3306</v>
      </c>
      <c r="B11300" t="s">
        <v>3307</v>
      </c>
      <c r="C11300" t="s">
        <v>458</v>
      </c>
      <c r="D11300" t="str">
        <f>VLOOKUP(C11300,'lookup table'!$A$2:$B$19,2,FALSE)</f>
        <v>VAR</v>
      </c>
      <c r="E11300" t="str">
        <f t="shared" si="176"/>
        <v>SROE919_00|VAR</v>
      </c>
    </row>
    <row r="11301" spans="1:5" x14ac:dyDescent="0.2">
      <c r="A11301" t="s">
        <v>3308</v>
      </c>
      <c r="B11301" t="s">
        <v>3309</v>
      </c>
      <c r="C11301" t="s">
        <v>14</v>
      </c>
      <c r="D11301" t="str">
        <f>VLOOKUP(C11301,'lookup table'!$A$2:$B$19,2,FALSE)</f>
        <v>ALC</v>
      </c>
      <c r="E11301" t="str">
        <f t="shared" si="176"/>
        <v>SROE920_00|ALC</v>
      </c>
    </row>
    <row r="11302" spans="1:5" x14ac:dyDescent="0.2">
      <c r="A11302" t="s">
        <v>3308</v>
      </c>
      <c r="B11302" t="s">
        <v>3309</v>
      </c>
      <c r="C11302" t="s">
        <v>20</v>
      </c>
      <c r="D11302" t="str">
        <f>VLOOKUP(C11302,'lookup table'!$A$2:$B$19,2,FALSE)</f>
        <v>AY</v>
      </c>
      <c r="E11302" t="str">
        <f t="shared" si="176"/>
        <v>SROE920_00|AY</v>
      </c>
    </row>
    <row r="11303" spans="1:5" x14ac:dyDescent="0.2">
      <c r="A11303" t="s">
        <v>3308</v>
      </c>
      <c r="B11303" t="s">
        <v>3309</v>
      </c>
      <c r="C11303" t="s">
        <v>331</v>
      </c>
      <c r="D11303" t="str">
        <f>VLOOKUP(C11303,'lookup table'!$A$2:$B$19,2,FALSE)</f>
        <v>FS Item</v>
      </c>
      <c r="E11303" t="str">
        <f t="shared" si="176"/>
        <v>SROE920_00|FS Item</v>
      </c>
    </row>
    <row r="11304" spans="1:5" x14ac:dyDescent="0.2">
      <c r="A11304" t="s">
        <v>3308</v>
      </c>
      <c r="B11304" t="s">
        <v>3309</v>
      </c>
      <c r="C11304" t="s">
        <v>423</v>
      </c>
      <c r="D11304" t="str">
        <f>VLOOKUP(C11304,'lookup table'!$A$2:$B$19,2,FALSE)</f>
        <v>ignore</v>
      </c>
      <c r="E11304" t="str">
        <f t="shared" si="176"/>
        <v>SROE920_00|ignore</v>
      </c>
    </row>
    <row r="11305" spans="1:5" x14ac:dyDescent="0.2">
      <c r="A11305" t="s">
        <v>3308</v>
      </c>
      <c r="B11305" t="s">
        <v>3309</v>
      </c>
      <c r="C11305" t="s">
        <v>424</v>
      </c>
      <c r="D11305" t="str">
        <f>VLOOKUP(C11305,'lookup table'!$A$2:$B$19,2,FALSE)</f>
        <v>GRC</v>
      </c>
      <c r="E11305" t="str">
        <f t="shared" si="176"/>
        <v>SROE920_00|GRC</v>
      </c>
    </row>
    <row r="11306" spans="1:5" x14ac:dyDescent="0.2">
      <c r="A11306" t="s">
        <v>3308</v>
      </c>
      <c r="B11306" t="s">
        <v>3309</v>
      </c>
      <c r="C11306" t="s">
        <v>425</v>
      </c>
      <c r="D11306" t="str">
        <f>VLOOKUP(C11306,'lookup table'!$A$2:$B$19,2,FALSE)</f>
        <v>Investee Segment</v>
      </c>
      <c r="E11306" t="str">
        <f t="shared" si="176"/>
        <v>SROE920_00|Investee Segment</v>
      </c>
    </row>
    <row r="11307" spans="1:5" x14ac:dyDescent="0.2">
      <c r="A11307" t="s">
        <v>3308</v>
      </c>
      <c r="B11307" t="s">
        <v>3309</v>
      </c>
      <c r="C11307" t="s">
        <v>426</v>
      </c>
      <c r="D11307" t="str">
        <f>VLOOKUP(C11307,'lookup table'!$A$2:$B$19,2,FALSE)</f>
        <v>Investee Unit</v>
      </c>
      <c r="E11307" t="str">
        <f t="shared" si="176"/>
        <v>SROE920_00|Investee Unit</v>
      </c>
    </row>
    <row r="11308" spans="1:5" x14ac:dyDescent="0.2">
      <c r="A11308" t="s">
        <v>3308</v>
      </c>
      <c r="B11308" t="s">
        <v>3309</v>
      </c>
      <c r="C11308" t="s">
        <v>428</v>
      </c>
      <c r="D11308" t="str">
        <f>VLOOKUP(C11308,'lookup table'!$A$2:$B$19,2,FALSE)</f>
        <v>LoB</v>
      </c>
      <c r="E11308" t="str">
        <f t="shared" si="176"/>
        <v>SROE920_00|LoB</v>
      </c>
    </row>
    <row r="11309" spans="1:5" x14ac:dyDescent="0.2">
      <c r="A11309" t="s">
        <v>3308</v>
      </c>
      <c r="B11309" t="s">
        <v>3309</v>
      </c>
      <c r="C11309" t="s">
        <v>436</v>
      </c>
      <c r="D11309" t="str">
        <f>VLOOKUP(C11309,'lookup table'!$A$2:$B$19,2,FALSE)</f>
        <v>MAT</v>
      </c>
      <c r="E11309" t="str">
        <f t="shared" si="176"/>
        <v>SROE920_00|MAT</v>
      </c>
    </row>
    <row r="11310" spans="1:5" x14ac:dyDescent="0.2">
      <c r="A11310" t="s">
        <v>3308</v>
      </c>
      <c r="B11310" t="s">
        <v>3309</v>
      </c>
      <c r="C11310" t="s">
        <v>441</v>
      </c>
      <c r="D11310" t="str">
        <f>VLOOKUP(C11310,'lookup table'!$A$2:$B$19,2,FALSE)</f>
        <v>Partner Segment</v>
      </c>
      <c r="E11310" t="str">
        <f t="shared" si="176"/>
        <v>SROE920_00|Partner Segment</v>
      </c>
    </row>
    <row r="11311" spans="1:5" x14ac:dyDescent="0.2">
      <c r="A11311" t="s">
        <v>3308</v>
      </c>
      <c r="B11311" t="s">
        <v>3309</v>
      </c>
      <c r="C11311" t="s">
        <v>442</v>
      </c>
      <c r="D11311" t="str">
        <f>VLOOKUP(C11311,'lookup table'!$A$2:$B$19,2,FALSE)</f>
        <v>Partner Unit</v>
      </c>
      <c r="E11311" t="str">
        <f t="shared" si="176"/>
        <v>SROE920_00|Partner Unit</v>
      </c>
    </row>
    <row r="11312" spans="1:5" x14ac:dyDescent="0.2">
      <c r="A11312" t="s">
        <v>3308</v>
      </c>
      <c r="B11312" t="s">
        <v>3309</v>
      </c>
      <c r="C11312" t="s">
        <v>447</v>
      </c>
      <c r="D11312" t="str">
        <f>VLOOKUP(C11312,'lookup table'!$A$2:$B$19,2,FALSE)</f>
        <v>REX</v>
      </c>
      <c r="E11312" t="str">
        <f t="shared" si="176"/>
        <v>SROE920_00|REX</v>
      </c>
    </row>
    <row r="11313" spans="1:5" x14ac:dyDescent="0.2">
      <c r="A11313" t="s">
        <v>3308</v>
      </c>
      <c r="B11313" t="s">
        <v>3309</v>
      </c>
      <c r="C11313" t="s">
        <v>451</v>
      </c>
      <c r="D11313" t="str">
        <f>VLOOKUP(C11313,'lookup table'!$A$2:$B$19,2,FALSE)</f>
        <v>Segment</v>
      </c>
      <c r="E11313" t="str">
        <f t="shared" si="176"/>
        <v>SROE920_00|Segment</v>
      </c>
    </row>
    <row r="11314" spans="1:5" x14ac:dyDescent="0.2">
      <c r="A11314" t="s">
        <v>3308</v>
      </c>
      <c r="B11314" t="s">
        <v>3309</v>
      </c>
      <c r="C11314" t="s">
        <v>457</v>
      </c>
      <c r="D11314" t="str">
        <f>VLOOKUP(C11314,'lookup table'!$A$2:$B$19,2,FALSE)</f>
        <v>VLT</v>
      </c>
      <c r="E11314" t="str">
        <f t="shared" si="176"/>
        <v>SROE920_00|VLT</v>
      </c>
    </row>
    <row r="11315" spans="1:5" x14ac:dyDescent="0.2">
      <c r="A11315" t="s">
        <v>3308</v>
      </c>
      <c r="B11315" t="s">
        <v>3309</v>
      </c>
      <c r="C11315" t="s">
        <v>458</v>
      </c>
      <c r="D11315" t="str">
        <f>VLOOKUP(C11315,'lookup table'!$A$2:$B$19,2,FALSE)</f>
        <v>VAR</v>
      </c>
      <c r="E11315" t="str">
        <f t="shared" si="176"/>
        <v>SROE920_00|VAR</v>
      </c>
    </row>
    <row r="11316" spans="1:5" x14ac:dyDescent="0.2">
      <c r="A11316" t="s">
        <v>3310</v>
      </c>
      <c r="B11316" t="s">
        <v>3311</v>
      </c>
      <c r="C11316" t="s">
        <v>438</v>
      </c>
      <c r="D11316" t="str">
        <f>VLOOKUP(C11316,'lookup table'!$A$2:$B$19,2,FALSE)</f>
        <v>ToM</v>
      </c>
      <c r="E11316" t="str">
        <f t="shared" si="176"/>
        <v>TOM001_00|ToM</v>
      </c>
    </row>
    <row r="11317" spans="1:5" x14ac:dyDescent="0.2">
      <c r="A11317" t="s">
        <v>3312</v>
      </c>
      <c r="B11317" t="s">
        <v>3313</v>
      </c>
      <c r="C11317" t="s">
        <v>331</v>
      </c>
      <c r="D11317" t="str">
        <f>VLOOKUP(C11317,'lookup table'!$A$2:$B$19,2,FALSE)</f>
        <v>FS Item</v>
      </c>
      <c r="E11317" t="str">
        <f t="shared" si="176"/>
        <v>TOM001_09|FS Item</v>
      </c>
    </row>
    <row r="11318" spans="1:5" x14ac:dyDescent="0.2">
      <c r="A11318" t="s">
        <v>3312</v>
      </c>
      <c r="B11318" t="s">
        <v>3313</v>
      </c>
      <c r="C11318" t="s">
        <v>438</v>
      </c>
      <c r="D11318" t="str">
        <f>VLOOKUP(C11318,'lookup table'!$A$2:$B$19,2,FALSE)</f>
        <v>ToM</v>
      </c>
      <c r="E11318" t="str">
        <f t="shared" si="176"/>
        <v>TOM001_09|ToM</v>
      </c>
    </row>
    <row r="11319" spans="1:5" x14ac:dyDescent="0.2">
      <c r="A11319" t="s">
        <v>3314</v>
      </c>
      <c r="B11319" t="s">
        <v>3315</v>
      </c>
      <c r="C11319" t="s">
        <v>438</v>
      </c>
      <c r="D11319" t="str">
        <f>VLOOKUP(C11319,'lookup table'!$A$2:$B$19,2,FALSE)</f>
        <v>ToM</v>
      </c>
      <c r="E11319" t="str">
        <f t="shared" si="176"/>
        <v>TOM002_00|ToM</v>
      </c>
    </row>
    <row r="11320" spans="1:5" x14ac:dyDescent="0.2">
      <c r="A11320" t="s">
        <v>3316</v>
      </c>
      <c r="B11320" t="s">
        <v>3317</v>
      </c>
      <c r="C11320" t="s">
        <v>331</v>
      </c>
      <c r="D11320" t="str">
        <f>VLOOKUP(C11320,'lookup table'!$A$2:$B$19,2,FALSE)</f>
        <v>FS Item</v>
      </c>
      <c r="E11320" t="str">
        <f t="shared" si="176"/>
        <v>TOM002_09|FS Item</v>
      </c>
    </row>
    <row r="11321" spans="1:5" x14ac:dyDescent="0.2">
      <c r="A11321" t="s">
        <v>3316</v>
      </c>
      <c r="B11321" t="s">
        <v>3317</v>
      </c>
      <c r="C11321" t="s">
        <v>438</v>
      </c>
      <c r="D11321" t="str">
        <f>VLOOKUP(C11321,'lookup table'!$A$2:$B$19,2,FALSE)</f>
        <v>ToM</v>
      </c>
      <c r="E11321" t="str">
        <f t="shared" si="176"/>
        <v>TOM002_09|ToM</v>
      </c>
    </row>
    <row r="11322" spans="1:5" x14ac:dyDescent="0.2">
      <c r="A11322" t="s">
        <v>3318</v>
      </c>
      <c r="B11322" t="s">
        <v>3319</v>
      </c>
      <c r="C11322" t="s">
        <v>331</v>
      </c>
      <c r="D11322" t="str">
        <f>VLOOKUP(C11322,'lookup table'!$A$2:$B$19,2,FALSE)</f>
        <v>FS Item</v>
      </c>
      <c r="E11322" t="str">
        <f t="shared" si="176"/>
        <v>TOM003_00|FS Item</v>
      </c>
    </row>
    <row r="11323" spans="1:5" x14ac:dyDescent="0.2">
      <c r="A11323" t="s">
        <v>3318</v>
      </c>
      <c r="B11323" t="s">
        <v>3319</v>
      </c>
      <c r="C11323" t="s">
        <v>423</v>
      </c>
      <c r="D11323" t="str">
        <f>VLOOKUP(C11323,'lookup table'!$A$2:$B$19,2,FALSE)</f>
        <v>ignore</v>
      </c>
      <c r="E11323" t="str">
        <f t="shared" si="176"/>
        <v>TOM003_00|ignore</v>
      </c>
    </row>
    <row r="11324" spans="1:5" x14ac:dyDescent="0.2">
      <c r="A11324" t="s">
        <v>3320</v>
      </c>
      <c r="B11324" t="s">
        <v>3321</v>
      </c>
      <c r="C11324" t="s">
        <v>331</v>
      </c>
      <c r="D11324" t="str">
        <f>VLOOKUP(C11324,'lookup table'!$A$2:$B$19,2,FALSE)</f>
        <v>FS Item</v>
      </c>
      <c r="E11324" t="str">
        <f t="shared" si="176"/>
        <v>TOM003_09|FS Item</v>
      </c>
    </row>
    <row r="11325" spans="1:5" x14ac:dyDescent="0.2">
      <c r="A11325" t="s">
        <v>3320</v>
      </c>
      <c r="B11325" t="s">
        <v>3321</v>
      </c>
      <c r="C11325" t="s">
        <v>438</v>
      </c>
      <c r="D11325" t="str">
        <f>VLOOKUP(C11325,'lookup table'!$A$2:$B$19,2,FALSE)</f>
        <v>ToM</v>
      </c>
      <c r="E11325" t="str">
        <f t="shared" si="176"/>
        <v>TOM003_09|ToM</v>
      </c>
    </row>
    <row r="11326" spans="1:5" x14ac:dyDescent="0.2">
      <c r="A11326" t="s">
        <v>3322</v>
      </c>
      <c r="B11326" t="s">
        <v>3323</v>
      </c>
      <c r="C11326" t="s">
        <v>331</v>
      </c>
      <c r="D11326" t="str">
        <f>VLOOKUP(C11326,'lookup table'!$A$2:$B$19,2,FALSE)</f>
        <v>FS Item</v>
      </c>
      <c r="E11326" t="str">
        <f t="shared" si="176"/>
        <v>TOM003_60|FS Item</v>
      </c>
    </row>
    <row r="11327" spans="1:5" x14ac:dyDescent="0.2">
      <c r="A11327" t="s">
        <v>3322</v>
      </c>
      <c r="B11327" t="s">
        <v>3323</v>
      </c>
      <c r="C11327" t="s">
        <v>423</v>
      </c>
      <c r="D11327" t="str">
        <f>VLOOKUP(C11327,'lookup table'!$A$2:$B$19,2,FALSE)</f>
        <v>ignore</v>
      </c>
      <c r="E11327" t="str">
        <f t="shared" si="176"/>
        <v>TOM003_60|ignore</v>
      </c>
    </row>
    <row r="11328" spans="1:5" x14ac:dyDescent="0.2">
      <c r="A11328" t="s">
        <v>3322</v>
      </c>
      <c r="B11328" t="s">
        <v>3323</v>
      </c>
      <c r="C11328" t="s">
        <v>436</v>
      </c>
      <c r="D11328" t="str">
        <f>VLOOKUP(C11328,'lookup table'!$A$2:$B$19,2,FALSE)</f>
        <v>MAT</v>
      </c>
      <c r="E11328" t="str">
        <f t="shared" si="176"/>
        <v>TOM003_60|MAT</v>
      </c>
    </row>
    <row r="11329" spans="1:5" x14ac:dyDescent="0.2">
      <c r="A11329" t="s">
        <v>3324</v>
      </c>
      <c r="B11329" t="s">
        <v>3325</v>
      </c>
      <c r="C11329" t="s">
        <v>331</v>
      </c>
      <c r="D11329" t="str">
        <f>VLOOKUP(C11329,'lookup table'!$A$2:$B$19,2,FALSE)</f>
        <v>FS Item</v>
      </c>
      <c r="E11329" t="str">
        <f t="shared" si="176"/>
        <v>TOM004_00|FS Item</v>
      </c>
    </row>
    <row r="11330" spans="1:5" x14ac:dyDescent="0.2">
      <c r="A11330" t="s">
        <v>3324</v>
      </c>
      <c r="B11330" t="s">
        <v>3325</v>
      </c>
      <c r="C11330" t="s">
        <v>423</v>
      </c>
      <c r="D11330" t="str">
        <f>VLOOKUP(C11330,'lookup table'!$A$2:$B$19,2,FALSE)</f>
        <v>ignore</v>
      </c>
      <c r="E11330" t="str">
        <f t="shared" si="176"/>
        <v>TOM004_00|ignore</v>
      </c>
    </row>
    <row r="11331" spans="1:5" x14ac:dyDescent="0.2">
      <c r="A11331" t="s">
        <v>3326</v>
      </c>
      <c r="B11331" t="s">
        <v>3327</v>
      </c>
      <c r="C11331" t="s">
        <v>331</v>
      </c>
      <c r="D11331" t="str">
        <f>VLOOKUP(C11331,'lookup table'!$A$2:$B$19,2,FALSE)</f>
        <v>FS Item</v>
      </c>
      <c r="E11331" t="str">
        <f t="shared" ref="E11331:E11394" si="177">IF(ISNA(D11331),"",IF(A11331="","",A11331) &amp; "|" &amp; D11331)</f>
        <v>TOM004_09|FS Item</v>
      </c>
    </row>
    <row r="11332" spans="1:5" x14ac:dyDescent="0.2">
      <c r="A11332" t="s">
        <v>3326</v>
      </c>
      <c r="B11332" t="s">
        <v>3327</v>
      </c>
      <c r="C11332" t="s">
        <v>438</v>
      </c>
      <c r="D11332" t="str">
        <f>VLOOKUP(C11332,'lookup table'!$A$2:$B$19,2,FALSE)</f>
        <v>ToM</v>
      </c>
      <c r="E11332" t="str">
        <f t="shared" si="177"/>
        <v>TOM004_09|ToM</v>
      </c>
    </row>
    <row r="11333" spans="1:5" x14ac:dyDescent="0.2">
      <c r="A11333" t="s">
        <v>3328</v>
      </c>
      <c r="B11333" t="s">
        <v>3329</v>
      </c>
      <c r="C11333" t="s">
        <v>331</v>
      </c>
      <c r="D11333" t="str">
        <f>VLOOKUP(C11333,'lookup table'!$A$2:$B$19,2,FALSE)</f>
        <v>FS Item</v>
      </c>
      <c r="E11333" t="str">
        <f t="shared" si="177"/>
        <v>TOM004_60|FS Item</v>
      </c>
    </row>
    <row r="11334" spans="1:5" x14ac:dyDescent="0.2">
      <c r="A11334" t="s">
        <v>3328</v>
      </c>
      <c r="B11334" t="s">
        <v>3329</v>
      </c>
      <c r="C11334" t="s">
        <v>423</v>
      </c>
      <c r="D11334" t="str">
        <f>VLOOKUP(C11334,'lookup table'!$A$2:$B$19,2,FALSE)</f>
        <v>ignore</v>
      </c>
      <c r="E11334" t="str">
        <f t="shared" si="177"/>
        <v>TOM004_60|ignore</v>
      </c>
    </row>
    <row r="11335" spans="1:5" x14ac:dyDescent="0.2">
      <c r="A11335" t="s">
        <v>3330</v>
      </c>
      <c r="B11335" t="s">
        <v>3331</v>
      </c>
      <c r="C11335" t="s">
        <v>331</v>
      </c>
      <c r="D11335" t="str">
        <f>VLOOKUP(C11335,'lookup table'!$A$2:$B$19,2,FALSE)</f>
        <v>FS Item</v>
      </c>
      <c r="E11335" t="str">
        <f t="shared" si="177"/>
        <v>TOM005_00|FS Item</v>
      </c>
    </row>
    <row r="11336" spans="1:5" x14ac:dyDescent="0.2">
      <c r="A11336" t="s">
        <v>3330</v>
      </c>
      <c r="B11336" t="s">
        <v>3331</v>
      </c>
      <c r="C11336" t="s">
        <v>423</v>
      </c>
      <c r="D11336" t="str">
        <f>VLOOKUP(C11336,'lookup table'!$A$2:$B$19,2,FALSE)</f>
        <v>ignore</v>
      </c>
      <c r="E11336" t="str">
        <f t="shared" si="177"/>
        <v>TOM005_00|ignore</v>
      </c>
    </row>
    <row r="11337" spans="1:5" x14ac:dyDescent="0.2">
      <c r="A11337" t="s">
        <v>3332</v>
      </c>
      <c r="B11337" t="s">
        <v>3333</v>
      </c>
      <c r="C11337" t="s">
        <v>331</v>
      </c>
      <c r="D11337" t="str">
        <f>VLOOKUP(C11337,'lookup table'!$A$2:$B$19,2,FALSE)</f>
        <v>FS Item</v>
      </c>
      <c r="E11337" t="str">
        <f t="shared" si="177"/>
        <v>TOM005_09|FS Item</v>
      </c>
    </row>
    <row r="11338" spans="1:5" x14ac:dyDescent="0.2">
      <c r="A11338" t="s">
        <v>3332</v>
      </c>
      <c r="B11338" t="s">
        <v>3333</v>
      </c>
      <c r="C11338" t="s">
        <v>423</v>
      </c>
      <c r="D11338" t="str">
        <f>VLOOKUP(C11338,'lookup table'!$A$2:$B$19,2,FALSE)</f>
        <v>ignore</v>
      </c>
      <c r="E11338" t="str">
        <f t="shared" si="177"/>
        <v>TOM005_09|ignore</v>
      </c>
    </row>
    <row r="11339" spans="1:5" x14ac:dyDescent="0.2">
      <c r="A11339" t="s">
        <v>3332</v>
      </c>
      <c r="B11339" t="s">
        <v>3333</v>
      </c>
      <c r="C11339" t="s">
        <v>438</v>
      </c>
      <c r="D11339" t="str">
        <f>VLOOKUP(C11339,'lookup table'!$A$2:$B$19,2,FALSE)</f>
        <v>ToM</v>
      </c>
      <c r="E11339" t="str">
        <f t="shared" si="177"/>
        <v>TOM005_09|ToM</v>
      </c>
    </row>
    <row r="11340" spans="1:5" x14ac:dyDescent="0.2">
      <c r="A11340" t="s">
        <v>3334</v>
      </c>
      <c r="B11340" t="s">
        <v>3335</v>
      </c>
      <c r="C11340" t="s">
        <v>331</v>
      </c>
      <c r="D11340" t="str">
        <f>VLOOKUP(C11340,'lookup table'!$A$2:$B$19,2,FALSE)</f>
        <v>FS Item</v>
      </c>
      <c r="E11340" t="str">
        <f t="shared" si="177"/>
        <v>TOM006_00|FS Item</v>
      </c>
    </row>
    <row r="11341" spans="1:5" x14ac:dyDescent="0.2">
      <c r="A11341" t="s">
        <v>3334</v>
      </c>
      <c r="B11341" t="s">
        <v>3335</v>
      </c>
      <c r="C11341" t="s">
        <v>423</v>
      </c>
      <c r="D11341" t="str">
        <f>VLOOKUP(C11341,'lookup table'!$A$2:$B$19,2,FALSE)</f>
        <v>ignore</v>
      </c>
      <c r="E11341" t="str">
        <f t="shared" si="177"/>
        <v>TOM006_00|ignore</v>
      </c>
    </row>
    <row r="11342" spans="1:5" x14ac:dyDescent="0.2">
      <c r="A11342" t="s">
        <v>3336</v>
      </c>
      <c r="B11342" t="s">
        <v>3337</v>
      </c>
      <c r="C11342" t="s">
        <v>331</v>
      </c>
      <c r="D11342" t="str">
        <f>VLOOKUP(C11342,'lookup table'!$A$2:$B$19,2,FALSE)</f>
        <v>FS Item</v>
      </c>
      <c r="E11342" t="str">
        <f t="shared" si="177"/>
        <v>TOM006_09|FS Item</v>
      </c>
    </row>
    <row r="11343" spans="1:5" x14ac:dyDescent="0.2">
      <c r="A11343" t="s">
        <v>3336</v>
      </c>
      <c r="B11343" t="s">
        <v>3337</v>
      </c>
      <c r="C11343" t="s">
        <v>438</v>
      </c>
      <c r="D11343" t="str">
        <f>VLOOKUP(C11343,'lookup table'!$A$2:$B$19,2,FALSE)</f>
        <v>ToM</v>
      </c>
      <c r="E11343" t="str">
        <f t="shared" si="177"/>
        <v>TOM006_09|ToM</v>
      </c>
    </row>
    <row r="11344" spans="1:5" x14ac:dyDescent="0.2">
      <c r="A11344" t="s">
        <v>3338</v>
      </c>
      <c r="B11344" t="s">
        <v>3339</v>
      </c>
      <c r="C11344" t="s">
        <v>331</v>
      </c>
      <c r="D11344" t="str">
        <f>VLOOKUP(C11344,'lookup table'!$A$2:$B$19,2,FALSE)</f>
        <v>FS Item</v>
      </c>
      <c r="E11344" t="str">
        <f t="shared" si="177"/>
        <v>TOM007_00|FS Item</v>
      </c>
    </row>
    <row r="11345" spans="1:5" x14ac:dyDescent="0.2">
      <c r="A11345" t="s">
        <v>3338</v>
      </c>
      <c r="B11345" t="s">
        <v>3339</v>
      </c>
      <c r="C11345" t="s">
        <v>423</v>
      </c>
      <c r="D11345" t="str">
        <f>VLOOKUP(C11345,'lookup table'!$A$2:$B$19,2,FALSE)</f>
        <v>ignore</v>
      </c>
      <c r="E11345" t="str">
        <f t="shared" si="177"/>
        <v>TOM007_00|ignore</v>
      </c>
    </row>
    <row r="11346" spans="1:5" x14ac:dyDescent="0.2">
      <c r="A11346" t="s">
        <v>3340</v>
      </c>
      <c r="B11346" t="s">
        <v>3341</v>
      </c>
      <c r="C11346" t="s">
        <v>331</v>
      </c>
      <c r="D11346" t="str">
        <f>VLOOKUP(C11346,'lookup table'!$A$2:$B$19,2,FALSE)</f>
        <v>FS Item</v>
      </c>
      <c r="E11346" t="str">
        <f t="shared" si="177"/>
        <v>TOM007_09|FS Item</v>
      </c>
    </row>
    <row r="11347" spans="1:5" x14ac:dyDescent="0.2">
      <c r="A11347" t="s">
        <v>3340</v>
      </c>
      <c r="B11347" t="s">
        <v>3341</v>
      </c>
      <c r="C11347" t="s">
        <v>423</v>
      </c>
      <c r="D11347" t="str">
        <f>VLOOKUP(C11347,'lookup table'!$A$2:$B$19,2,FALSE)</f>
        <v>ignore</v>
      </c>
      <c r="E11347" t="str">
        <f t="shared" si="177"/>
        <v>TOM007_09|ignore</v>
      </c>
    </row>
    <row r="11348" spans="1:5" x14ac:dyDescent="0.2">
      <c r="A11348" t="s">
        <v>3340</v>
      </c>
      <c r="B11348" t="s">
        <v>3341</v>
      </c>
      <c r="C11348" t="s">
        <v>438</v>
      </c>
      <c r="D11348" t="str">
        <f>VLOOKUP(C11348,'lookup table'!$A$2:$B$19,2,FALSE)</f>
        <v>ToM</v>
      </c>
      <c r="E11348" t="str">
        <f t="shared" si="177"/>
        <v>TOM007_09|ToM</v>
      </c>
    </row>
    <row r="11349" spans="1:5" x14ac:dyDescent="0.2">
      <c r="A11349" t="s">
        <v>3342</v>
      </c>
      <c r="B11349" t="s">
        <v>3343</v>
      </c>
      <c r="C11349" t="s">
        <v>331</v>
      </c>
      <c r="D11349" t="str">
        <f>VLOOKUP(C11349,'lookup table'!$A$2:$B$19,2,FALSE)</f>
        <v>FS Item</v>
      </c>
      <c r="E11349" t="str">
        <f t="shared" si="177"/>
        <v>TOM008_00|FS Item</v>
      </c>
    </row>
    <row r="11350" spans="1:5" x14ac:dyDescent="0.2">
      <c r="A11350" t="s">
        <v>3342</v>
      </c>
      <c r="B11350" t="s">
        <v>3343</v>
      </c>
      <c r="C11350" t="s">
        <v>423</v>
      </c>
      <c r="D11350" t="str">
        <f>VLOOKUP(C11350,'lookup table'!$A$2:$B$19,2,FALSE)</f>
        <v>ignore</v>
      </c>
      <c r="E11350" t="str">
        <f t="shared" si="177"/>
        <v>TOM008_00|ignore</v>
      </c>
    </row>
    <row r="11351" spans="1:5" x14ac:dyDescent="0.2">
      <c r="A11351" t="s">
        <v>3344</v>
      </c>
      <c r="B11351" t="s">
        <v>3345</v>
      </c>
      <c r="C11351" t="s">
        <v>331</v>
      </c>
      <c r="D11351" t="str">
        <f>VLOOKUP(C11351,'lookup table'!$A$2:$B$19,2,FALSE)</f>
        <v>FS Item</v>
      </c>
      <c r="E11351" t="str">
        <f t="shared" si="177"/>
        <v>TOM008_09|FS Item</v>
      </c>
    </row>
    <row r="11352" spans="1:5" x14ac:dyDescent="0.2">
      <c r="A11352" t="s">
        <v>3344</v>
      </c>
      <c r="B11352" t="s">
        <v>3345</v>
      </c>
      <c r="C11352" t="s">
        <v>423</v>
      </c>
      <c r="D11352" t="str">
        <f>VLOOKUP(C11352,'lookup table'!$A$2:$B$19,2,FALSE)</f>
        <v>ignore</v>
      </c>
      <c r="E11352" t="str">
        <f t="shared" si="177"/>
        <v>TOM008_09|ignore</v>
      </c>
    </row>
    <row r="11353" spans="1:5" x14ac:dyDescent="0.2">
      <c r="A11353" t="s">
        <v>3344</v>
      </c>
      <c r="B11353" t="s">
        <v>3345</v>
      </c>
      <c r="C11353" t="s">
        <v>438</v>
      </c>
      <c r="D11353" t="str">
        <f>VLOOKUP(C11353,'lookup table'!$A$2:$B$19,2,FALSE)</f>
        <v>ToM</v>
      </c>
      <c r="E11353" t="str">
        <f t="shared" si="177"/>
        <v>TOM008_09|ToM</v>
      </c>
    </row>
    <row r="11354" spans="1:5" x14ac:dyDescent="0.2">
      <c r="A11354" t="s">
        <v>3346</v>
      </c>
      <c r="B11354" t="s">
        <v>3347</v>
      </c>
      <c r="C11354" t="s">
        <v>331</v>
      </c>
      <c r="D11354" t="str">
        <f>VLOOKUP(C11354,'lookup table'!$A$2:$B$19,2,FALSE)</f>
        <v>FS Item</v>
      </c>
      <c r="E11354" t="str">
        <f t="shared" si="177"/>
        <v>TOM009_09|FS Item</v>
      </c>
    </row>
    <row r="11355" spans="1:5" x14ac:dyDescent="0.2">
      <c r="A11355" t="s">
        <v>3346</v>
      </c>
      <c r="B11355" t="s">
        <v>3347</v>
      </c>
      <c r="C11355" t="s">
        <v>423</v>
      </c>
      <c r="D11355" t="str">
        <f>VLOOKUP(C11355,'lookup table'!$A$2:$B$19,2,FALSE)</f>
        <v>ignore</v>
      </c>
      <c r="E11355" t="str">
        <f t="shared" si="177"/>
        <v>TOM009_09|ignore</v>
      </c>
    </row>
    <row r="11356" spans="1:5" x14ac:dyDescent="0.2">
      <c r="A11356" t="s">
        <v>3346</v>
      </c>
      <c r="B11356" t="s">
        <v>3347</v>
      </c>
      <c r="C11356" t="s">
        <v>461</v>
      </c>
      <c r="D11356" t="str">
        <f>VLOOKUP(C11356,'lookup table'!$A$2:$B$19,2,FALSE)</f>
        <v>Posting Level</v>
      </c>
      <c r="E11356" t="str">
        <f t="shared" si="177"/>
        <v>TOM009_09|Posting Level</v>
      </c>
    </row>
    <row r="11357" spans="1:5" x14ac:dyDescent="0.2">
      <c r="A11357" t="s">
        <v>3348</v>
      </c>
      <c r="B11357" t="s">
        <v>3349</v>
      </c>
      <c r="C11357" t="s">
        <v>331</v>
      </c>
      <c r="D11357" t="str">
        <f>VLOOKUP(C11357,'lookup table'!$A$2:$B$19,2,FALSE)</f>
        <v>FS Item</v>
      </c>
      <c r="E11357" t="str">
        <f t="shared" si="177"/>
        <v>TOM010_00|FS Item</v>
      </c>
    </row>
    <row r="11358" spans="1:5" x14ac:dyDescent="0.2">
      <c r="A11358" t="s">
        <v>3348</v>
      </c>
      <c r="B11358" t="s">
        <v>3349</v>
      </c>
      <c r="C11358" t="s">
        <v>423</v>
      </c>
      <c r="D11358" t="str">
        <f>VLOOKUP(C11358,'lookup table'!$A$2:$B$19,2,FALSE)</f>
        <v>ignore</v>
      </c>
      <c r="E11358" t="str">
        <f t="shared" si="177"/>
        <v>TOM010_00|ignore</v>
      </c>
    </row>
    <row r="11359" spans="1:5" x14ac:dyDescent="0.2">
      <c r="A11359" t="s">
        <v>3350</v>
      </c>
      <c r="B11359" t="s">
        <v>3351</v>
      </c>
      <c r="C11359" t="s">
        <v>331</v>
      </c>
      <c r="D11359" t="str">
        <f>VLOOKUP(C11359,'lookup table'!$A$2:$B$19,2,FALSE)</f>
        <v>FS Item</v>
      </c>
      <c r="E11359" t="str">
        <f t="shared" si="177"/>
        <v>TOM011_00|FS Item</v>
      </c>
    </row>
    <row r="11360" spans="1:5" x14ac:dyDescent="0.2">
      <c r="A11360" t="s">
        <v>3350</v>
      </c>
      <c r="B11360" t="s">
        <v>3351</v>
      </c>
      <c r="C11360" t="s">
        <v>423</v>
      </c>
      <c r="D11360" t="str">
        <f>VLOOKUP(C11360,'lookup table'!$A$2:$B$19,2,FALSE)</f>
        <v>ignore</v>
      </c>
      <c r="E11360" t="str">
        <f t="shared" si="177"/>
        <v>TOM011_00|ignore</v>
      </c>
    </row>
    <row r="11361" spans="1:5" x14ac:dyDescent="0.2">
      <c r="A11361" t="s">
        <v>3352</v>
      </c>
      <c r="B11361" t="s">
        <v>3353</v>
      </c>
      <c r="C11361" t="s">
        <v>331</v>
      </c>
      <c r="D11361" t="str">
        <f>VLOOKUP(C11361,'lookup table'!$A$2:$B$19,2,FALSE)</f>
        <v>FS Item</v>
      </c>
      <c r="E11361" t="str">
        <f t="shared" si="177"/>
        <v>TOM012_00|FS Item</v>
      </c>
    </row>
    <row r="11362" spans="1:5" x14ac:dyDescent="0.2">
      <c r="A11362" t="s">
        <v>3352</v>
      </c>
      <c r="B11362" t="s">
        <v>3353</v>
      </c>
      <c r="C11362" t="s">
        <v>423</v>
      </c>
      <c r="D11362" t="str">
        <f>VLOOKUP(C11362,'lookup table'!$A$2:$B$19,2,FALSE)</f>
        <v>ignore</v>
      </c>
      <c r="E11362" t="str">
        <f t="shared" si="177"/>
        <v>TOM012_00|ignore</v>
      </c>
    </row>
    <row r="11363" spans="1:5" x14ac:dyDescent="0.2">
      <c r="A11363" t="s">
        <v>3354</v>
      </c>
      <c r="B11363" t="s">
        <v>3355</v>
      </c>
      <c r="C11363" t="s">
        <v>331</v>
      </c>
      <c r="D11363" t="str">
        <f>VLOOKUP(C11363,'lookup table'!$A$2:$B$19,2,FALSE)</f>
        <v>FS Item</v>
      </c>
      <c r="E11363" t="str">
        <f t="shared" si="177"/>
        <v>TOM013_00|FS Item</v>
      </c>
    </row>
    <row r="11364" spans="1:5" x14ac:dyDescent="0.2">
      <c r="A11364" t="s">
        <v>3354</v>
      </c>
      <c r="B11364" t="s">
        <v>3355</v>
      </c>
      <c r="C11364" t="s">
        <v>423</v>
      </c>
      <c r="D11364" t="str">
        <f>VLOOKUP(C11364,'lookup table'!$A$2:$B$19,2,FALSE)</f>
        <v>ignore</v>
      </c>
      <c r="E11364" t="str">
        <f t="shared" si="177"/>
        <v>TOM013_00|ignore</v>
      </c>
    </row>
    <row r="11365" spans="1:5" x14ac:dyDescent="0.2">
      <c r="A11365" t="s">
        <v>3356</v>
      </c>
      <c r="B11365" t="s">
        <v>3357</v>
      </c>
      <c r="C11365" t="s">
        <v>331</v>
      </c>
      <c r="D11365" t="str">
        <f>VLOOKUP(C11365,'lookup table'!$A$2:$B$19,2,FALSE)</f>
        <v>FS Item</v>
      </c>
      <c r="E11365" t="str">
        <f t="shared" si="177"/>
        <v>TOM014_00|FS Item</v>
      </c>
    </row>
    <row r="11366" spans="1:5" x14ac:dyDescent="0.2">
      <c r="A11366" t="s">
        <v>3356</v>
      </c>
      <c r="B11366" t="s">
        <v>3357</v>
      </c>
      <c r="C11366" t="s">
        <v>423</v>
      </c>
      <c r="D11366" t="str">
        <f>VLOOKUP(C11366,'lookup table'!$A$2:$B$19,2,FALSE)</f>
        <v>ignore</v>
      </c>
      <c r="E11366" t="str">
        <f t="shared" si="177"/>
        <v>TOM014_00|ignore</v>
      </c>
    </row>
    <row r="11367" spans="1:5" x14ac:dyDescent="0.2">
      <c r="A11367" t="s">
        <v>3358</v>
      </c>
      <c r="B11367" t="s">
        <v>3359</v>
      </c>
      <c r="C11367" t="s">
        <v>331</v>
      </c>
      <c r="D11367" t="str">
        <f>VLOOKUP(C11367,'lookup table'!$A$2:$B$19,2,FALSE)</f>
        <v>FS Item</v>
      </c>
      <c r="E11367" t="str">
        <f t="shared" si="177"/>
        <v>TOM015_00|FS Item</v>
      </c>
    </row>
    <row r="11368" spans="1:5" x14ac:dyDescent="0.2">
      <c r="A11368" t="s">
        <v>3358</v>
      </c>
      <c r="B11368" t="s">
        <v>3359</v>
      </c>
      <c r="C11368" t="s">
        <v>423</v>
      </c>
      <c r="D11368" t="str">
        <f>VLOOKUP(C11368,'lookup table'!$A$2:$B$19,2,FALSE)</f>
        <v>ignore</v>
      </c>
      <c r="E11368" t="str">
        <f t="shared" si="177"/>
        <v>TOM015_00|ignore</v>
      </c>
    </row>
    <row r="11369" spans="1:5" x14ac:dyDescent="0.2">
      <c r="A11369" t="s">
        <v>3360</v>
      </c>
      <c r="B11369" t="s">
        <v>3361</v>
      </c>
      <c r="C11369" t="s">
        <v>331</v>
      </c>
      <c r="D11369" t="str">
        <f>VLOOKUP(C11369,'lookup table'!$A$2:$B$19,2,FALSE)</f>
        <v>FS Item</v>
      </c>
      <c r="E11369" t="str">
        <f t="shared" si="177"/>
        <v>TOM016_00|FS Item</v>
      </c>
    </row>
    <row r="11370" spans="1:5" x14ac:dyDescent="0.2">
      <c r="A11370" t="s">
        <v>3360</v>
      </c>
      <c r="B11370" t="s">
        <v>3361</v>
      </c>
      <c r="C11370" t="s">
        <v>423</v>
      </c>
      <c r="D11370" t="str">
        <f>VLOOKUP(C11370,'lookup table'!$A$2:$B$19,2,FALSE)</f>
        <v>ignore</v>
      </c>
      <c r="E11370" t="str">
        <f t="shared" si="177"/>
        <v>TOM016_00|ignore</v>
      </c>
    </row>
    <row r="11371" spans="1:5" x14ac:dyDescent="0.2">
      <c r="A11371" t="s">
        <v>3362</v>
      </c>
      <c r="B11371" t="s">
        <v>3363</v>
      </c>
      <c r="C11371" t="s">
        <v>331</v>
      </c>
      <c r="D11371" t="str">
        <f>VLOOKUP(C11371,'lookup table'!$A$2:$B$19,2,FALSE)</f>
        <v>FS Item</v>
      </c>
      <c r="E11371" t="str">
        <f t="shared" si="177"/>
        <v>TOM017_00|FS Item</v>
      </c>
    </row>
    <row r="11372" spans="1:5" x14ac:dyDescent="0.2">
      <c r="A11372" t="s">
        <v>3362</v>
      </c>
      <c r="B11372" t="s">
        <v>3363</v>
      </c>
      <c r="C11372" t="s">
        <v>423</v>
      </c>
      <c r="D11372" t="str">
        <f>VLOOKUP(C11372,'lookup table'!$A$2:$B$19,2,FALSE)</f>
        <v>ignore</v>
      </c>
      <c r="E11372" t="str">
        <f t="shared" si="177"/>
        <v>TOM017_00|ignore</v>
      </c>
    </row>
    <row r="11373" spans="1:5" x14ac:dyDescent="0.2">
      <c r="A11373" t="s">
        <v>3364</v>
      </c>
      <c r="B11373" t="s">
        <v>3365</v>
      </c>
      <c r="C11373" t="s">
        <v>331</v>
      </c>
      <c r="D11373" t="str">
        <f>VLOOKUP(C11373,'lookup table'!$A$2:$B$19,2,FALSE)</f>
        <v>FS Item</v>
      </c>
      <c r="E11373" t="str">
        <f t="shared" si="177"/>
        <v>TOM018_00|FS Item</v>
      </c>
    </row>
    <row r="11374" spans="1:5" x14ac:dyDescent="0.2">
      <c r="A11374" t="s">
        <v>3364</v>
      </c>
      <c r="B11374" t="s">
        <v>3365</v>
      </c>
      <c r="C11374" t="s">
        <v>423</v>
      </c>
      <c r="D11374" t="str">
        <f>VLOOKUP(C11374,'lookup table'!$A$2:$B$19,2,FALSE)</f>
        <v>ignore</v>
      </c>
      <c r="E11374" t="str">
        <f t="shared" si="177"/>
        <v>TOM018_00|ignore</v>
      </c>
    </row>
    <row r="11375" spans="1:5" x14ac:dyDescent="0.2">
      <c r="A11375" t="s">
        <v>3366</v>
      </c>
      <c r="B11375" t="s">
        <v>3367</v>
      </c>
      <c r="C11375" t="s">
        <v>331</v>
      </c>
      <c r="D11375" t="str">
        <f>VLOOKUP(C11375,'lookup table'!$A$2:$B$19,2,FALSE)</f>
        <v>FS Item</v>
      </c>
      <c r="E11375" t="str">
        <f t="shared" si="177"/>
        <v>TOM019_00|FS Item</v>
      </c>
    </row>
    <row r="11376" spans="1:5" x14ac:dyDescent="0.2">
      <c r="A11376" t="s">
        <v>3366</v>
      </c>
      <c r="B11376" t="s">
        <v>3367</v>
      </c>
      <c r="C11376" t="s">
        <v>423</v>
      </c>
      <c r="D11376" t="str">
        <f>VLOOKUP(C11376,'lookup table'!$A$2:$B$19,2,FALSE)</f>
        <v>ignore</v>
      </c>
      <c r="E11376" t="str">
        <f t="shared" si="177"/>
        <v>TOM019_00|ignore</v>
      </c>
    </row>
    <row r="11377" spans="1:5" x14ac:dyDescent="0.2">
      <c r="A11377" t="s">
        <v>3368</v>
      </c>
      <c r="B11377" t="s">
        <v>3369</v>
      </c>
      <c r="C11377" t="s">
        <v>331</v>
      </c>
      <c r="D11377" t="str">
        <f>VLOOKUP(C11377,'lookup table'!$A$2:$B$19,2,FALSE)</f>
        <v>FS Item</v>
      </c>
      <c r="E11377" t="str">
        <f t="shared" si="177"/>
        <v>TOM020_00|FS Item</v>
      </c>
    </row>
    <row r="11378" spans="1:5" x14ac:dyDescent="0.2">
      <c r="A11378" t="s">
        <v>3368</v>
      </c>
      <c r="B11378" t="s">
        <v>3369</v>
      </c>
      <c r="C11378" t="s">
        <v>423</v>
      </c>
      <c r="D11378" t="str">
        <f>VLOOKUP(C11378,'lookup table'!$A$2:$B$19,2,FALSE)</f>
        <v>ignore</v>
      </c>
      <c r="E11378" t="str">
        <f t="shared" si="177"/>
        <v>TOM020_00|ignore</v>
      </c>
    </row>
    <row r="11379" spans="1:5" x14ac:dyDescent="0.2">
      <c r="A11379" t="s">
        <v>3370</v>
      </c>
      <c r="B11379" t="s">
        <v>3371</v>
      </c>
      <c r="C11379" t="s">
        <v>331</v>
      </c>
      <c r="D11379" t="str">
        <f>VLOOKUP(C11379,'lookup table'!$A$2:$B$19,2,FALSE)</f>
        <v>FS Item</v>
      </c>
      <c r="E11379" t="str">
        <f t="shared" si="177"/>
        <v>TOM021_00|FS Item</v>
      </c>
    </row>
    <row r="11380" spans="1:5" x14ac:dyDescent="0.2">
      <c r="A11380" t="s">
        <v>3370</v>
      </c>
      <c r="B11380" t="s">
        <v>3371</v>
      </c>
      <c r="C11380" t="s">
        <v>423</v>
      </c>
      <c r="D11380" t="str">
        <f>VLOOKUP(C11380,'lookup table'!$A$2:$B$19,2,FALSE)</f>
        <v>ignore</v>
      </c>
      <c r="E11380" t="str">
        <f t="shared" si="177"/>
        <v>TOM021_00|ignore</v>
      </c>
    </row>
    <row r="11381" spans="1:5" x14ac:dyDescent="0.2">
      <c r="A11381" t="s">
        <v>3372</v>
      </c>
      <c r="B11381" t="s">
        <v>400</v>
      </c>
      <c r="C11381" t="s">
        <v>331</v>
      </c>
      <c r="D11381" t="str">
        <f>VLOOKUP(C11381,'lookup table'!$A$2:$B$19,2,FALSE)</f>
        <v>FS Item</v>
      </c>
      <c r="E11381" t="str">
        <f t="shared" si="177"/>
        <v>TOM024_00|FS Item</v>
      </c>
    </row>
    <row r="11382" spans="1:5" x14ac:dyDescent="0.2">
      <c r="A11382" t="s">
        <v>3372</v>
      </c>
      <c r="B11382" t="s">
        <v>400</v>
      </c>
      <c r="C11382" t="s">
        <v>423</v>
      </c>
      <c r="D11382" t="str">
        <f>VLOOKUP(C11382,'lookup table'!$A$2:$B$19,2,FALSE)</f>
        <v>ignore</v>
      </c>
      <c r="E11382" t="str">
        <f t="shared" si="177"/>
        <v>TOM024_00|ignore</v>
      </c>
    </row>
    <row r="11383" spans="1:5" x14ac:dyDescent="0.2">
      <c r="A11383" t="s">
        <v>3372</v>
      </c>
      <c r="B11383" t="s">
        <v>400</v>
      </c>
      <c r="C11383" t="s">
        <v>438</v>
      </c>
      <c r="D11383" t="str">
        <f>VLOOKUP(C11383,'lookup table'!$A$2:$B$19,2,FALSE)</f>
        <v>ToM</v>
      </c>
      <c r="E11383" t="str">
        <f t="shared" si="177"/>
        <v>TOM024_00|ToM</v>
      </c>
    </row>
    <row r="11384" spans="1:5" x14ac:dyDescent="0.2">
      <c r="A11384" t="s">
        <v>3373</v>
      </c>
      <c r="B11384" t="s">
        <v>3374</v>
      </c>
      <c r="C11384" t="s">
        <v>331</v>
      </c>
      <c r="D11384" t="str">
        <f>VLOOKUP(C11384,'lookup table'!$A$2:$B$19,2,FALSE)</f>
        <v>FS Item</v>
      </c>
      <c r="E11384" t="str">
        <f t="shared" si="177"/>
        <v>TOM024_60|FS Item</v>
      </c>
    </row>
    <row r="11385" spans="1:5" x14ac:dyDescent="0.2">
      <c r="A11385" t="s">
        <v>3373</v>
      </c>
      <c r="B11385" t="s">
        <v>3374</v>
      </c>
      <c r="C11385" t="s">
        <v>423</v>
      </c>
      <c r="D11385" t="str">
        <f>VLOOKUP(C11385,'lookup table'!$A$2:$B$19,2,FALSE)</f>
        <v>ignore</v>
      </c>
      <c r="E11385" t="str">
        <f t="shared" si="177"/>
        <v>TOM024_60|ignore</v>
      </c>
    </row>
    <row r="11386" spans="1:5" x14ac:dyDescent="0.2">
      <c r="A11386" t="s">
        <v>3373</v>
      </c>
      <c r="B11386" t="s">
        <v>3374</v>
      </c>
      <c r="C11386" t="s">
        <v>438</v>
      </c>
      <c r="D11386" t="str">
        <f>VLOOKUP(C11386,'lookup table'!$A$2:$B$19,2,FALSE)</f>
        <v>ToM</v>
      </c>
      <c r="E11386" t="str">
        <f t="shared" si="177"/>
        <v>TOM024_60|ToM</v>
      </c>
    </row>
    <row r="11387" spans="1:5" x14ac:dyDescent="0.2">
      <c r="A11387" t="s">
        <v>3375</v>
      </c>
      <c r="B11387" t="s">
        <v>353</v>
      </c>
      <c r="C11387" t="s">
        <v>331</v>
      </c>
      <c r="D11387" t="str">
        <f>VLOOKUP(C11387,'lookup table'!$A$2:$B$19,2,FALSE)</f>
        <v>FS Item</v>
      </c>
      <c r="E11387" t="str">
        <f t="shared" si="177"/>
        <v>TOM025_00|FS Item</v>
      </c>
    </row>
    <row r="11388" spans="1:5" x14ac:dyDescent="0.2">
      <c r="A11388" t="s">
        <v>3375</v>
      </c>
      <c r="B11388" t="s">
        <v>353</v>
      </c>
      <c r="C11388" t="s">
        <v>423</v>
      </c>
      <c r="D11388" t="str">
        <f>VLOOKUP(C11388,'lookup table'!$A$2:$B$19,2,FALSE)</f>
        <v>ignore</v>
      </c>
      <c r="E11388" t="str">
        <f t="shared" si="177"/>
        <v>TOM025_00|ignore</v>
      </c>
    </row>
    <row r="11389" spans="1:5" x14ac:dyDescent="0.2">
      <c r="A11389" t="s">
        <v>3375</v>
      </c>
      <c r="B11389" t="s">
        <v>353</v>
      </c>
      <c r="C11389" t="s">
        <v>438</v>
      </c>
      <c r="D11389" t="str">
        <f>VLOOKUP(C11389,'lookup table'!$A$2:$B$19,2,FALSE)</f>
        <v>ToM</v>
      </c>
      <c r="E11389" t="str">
        <f t="shared" si="177"/>
        <v>TOM025_00|ToM</v>
      </c>
    </row>
    <row r="11390" spans="1:5" x14ac:dyDescent="0.2">
      <c r="A11390" t="s">
        <v>3376</v>
      </c>
      <c r="B11390" t="s">
        <v>333</v>
      </c>
      <c r="C11390" t="s">
        <v>331</v>
      </c>
      <c r="D11390" t="str">
        <f>VLOOKUP(C11390,'lookup table'!$A$2:$B$19,2,FALSE)</f>
        <v>FS Item</v>
      </c>
      <c r="E11390" t="str">
        <f t="shared" si="177"/>
        <v>TOM025_17|FS Item</v>
      </c>
    </row>
    <row r="11391" spans="1:5" x14ac:dyDescent="0.2">
      <c r="A11391" t="s">
        <v>3376</v>
      </c>
      <c r="B11391" t="s">
        <v>333</v>
      </c>
      <c r="C11391" t="s">
        <v>423</v>
      </c>
      <c r="D11391" t="str">
        <f>VLOOKUP(C11391,'lookup table'!$A$2:$B$19,2,FALSE)</f>
        <v>ignore</v>
      </c>
      <c r="E11391" t="str">
        <f t="shared" si="177"/>
        <v>TOM025_17|ignore</v>
      </c>
    </row>
    <row r="11392" spans="1:5" x14ac:dyDescent="0.2">
      <c r="A11392" t="s">
        <v>3376</v>
      </c>
      <c r="B11392" t="s">
        <v>333</v>
      </c>
      <c r="C11392" t="s">
        <v>438</v>
      </c>
      <c r="D11392" t="str">
        <f>VLOOKUP(C11392,'lookup table'!$A$2:$B$19,2,FALSE)</f>
        <v>ToM</v>
      </c>
      <c r="E11392" t="str">
        <f t="shared" si="177"/>
        <v>TOM025_17|ToM</v>
      </c>
    </row>
    <row r="11393" spans="1:5" x14ac:dyDescent="0.2">
      <c r="A11393" t="s">
        <v>3377</v>
      </c>
      <c r="B11393" t="s">
        <v>3378</v>
      </c>
      <c r="C11393" t="s">
        <v>331</v>
      </c>
      <c r="D11393" t="str">
        <f>VLOOKUP(C11393,'lookup table'!$A$2:$B$19,2,FALSE)</f>
        <v>FS Item</v>
      </c>
      <c r="E11393" t="str">
        <f t="shared" si="177"/>
        <v>TOM025_80|FS Item</v>
      </c>
    </row>
    <row r="11394" spans="1:5" x14ac:dyDescent="0.2">
      <c r="A11394" t="s">
        <v>3377</v>
      </c>
      <c r="B11394" t="s">
        <v>3378</v>
      </c>
      <c r="C11394" t="s">
        <v>423</v>
      </c>
      <c r="D11394" t="str">
        <f>VLOOKUP(C11394,'lookup table'!$A$2:$B$19,2,FALSE)</f>
        <v>ignore</v>
      </c>
      <c r="E11394" t="str">
        <f t="shared" si="177"/>
        <v>TOM025_80|ignore</v>
      </c>
    </row>
    <row r="11395" spans="1:5" x14ac:dyDescent="0.2">
      <c r="A11395" t="s">
        <v>3377</v>
      </c>
      <c r="B11395" t="s">
        <v>3378</v>
      </c>
      <c r="C11395" t="s">
        <v>438</v>
      </c>
      <c r="D11395" t="str">
        <f>VLOOKUP(C11395,'lookup table'!$A$2:$B$19,2,FALSE)</f>
        <v>ToM</v>
      </c>
      <c r="E11395" t="str">
        <f t="shared" ref="E11395:E11458" si="178">IF(ISNA(D11395),"",IF(A11395="","",A11395) &amp; "|" &amp; D11395)</f>
        <v>TOM025_80|ToM</v>
      </c>
    </row>
    <row r="11396" spans="1:5" x14ac:dyDescent="0.2">
      <c r="A11396" t="s">
        <v>3379</v>
      </c>
      <c r="B11396" t="s">
        <v>3380</v>
      </c>
      <c r="C11396" t="s">
        <v>331</v>
      </c>
      <c r="D11396" t="str">
        <f>VLOOKUP(C11396,'lookup table'!$A$2:$B$19,2,FALSE)</f>
        <v>FS Item</v>
      </c>
      <c r="E11396" t="str">
        <f t="shared" si="178"/>
        <v>TOM025_85|FS Item</v>
      </c>
    </row>
    <row r="11397" spans="1:5" x14ac:dyDescent="0.2">
      <c r="A11397" t="s">
        <v>3379</v>
      </c>
      <c r="B11397" t="s">
        <v>3380</v>
      </c>
      <c r="C11397" t="s">
        <v>423</v>
      </c>
      <c r="D11397" t="str">
        <f>VLOOKUP(C11397,'lookup table'!$A$2:$B$19,2,FALSE)</f>
        <v>ignore</v>
      </c>
      <c r="E11397" t="str">
        <f t="shared" si="178"/>
        <v>TOM025_85|ignore</v>
      </c>
    </row>
    <row r="11398" spans="1:5" x14ac:dyDescent="0.2">
      <c r="A11398" t="s">
        <v>3379</v>
      </c>
      <c r="B11398" t="s">
        <v>3380</v>
      </c>
      <c r="C11398" t="s">
        <v>438</v>
      </c>
      <c r="D11398" t="str">
        <f>VLOOKUP(C11398,'lookup table'!$A$2:$B$19,2,FALSE)</f>
        <v>ToM</v>
      </c>
      <c r="E11398" t="str">
        <f t="shared" si="178"/>
        <v>TOM025_85|ToM</v>
      </c>
    </row>
    <row r="11399" spans="1:5" x14ac:dyDescent="0.2">
      <c r="A11399" t="s">
        <v>3381</v>
      </c>
      <c r="B11399" t="s">
        <v>403</v>
      </c>
      <c r="C11399" t="s">
        <v>331</v>
      </c>
      <c r="D11399" t="str">
        <f>VLOOKUP(C11399,'lookup table'!$A$2:$B$19,2,FALSE)</f>
        <v>FS Item</v>
      </c>
      <c r="E11399" t="str">
        <f t="shared" si="178"/>
        <v>TOM026_00|FS Item</v>
      </c>
    </row>
    <row r="11400" spans="1:5" x14ac:dyDescent="0.2">
      <c r="A11400" t="s">
        <v>3381</v>
      </c>
      <c r="B11400" t="s">
        <v>403</v>
      </c>
      <c r="C11400" t="s">
        <v>423</v>
      </c>
      <c r="D11400" t="str">
        <f>VLOOKUP(C11400,'lookup table'!$A$2:$B$19,2,FALSE)</f>
        <v>ignore</v>
      </c>
      <c r="E11400" t="str">
        <f t="shared" si="178"/>
        <v>TOM026_00|ignore</v>
      </c>
    </row>
    <row r="11401" spans="1:5" x14ac:dyDescent="0.2">
      <c r="A11401" t="s">
        <v>3381</v>
      </c>
      <c r="B11401" t="s">
        <v>403</v>
      </c>
      <c r="C11401" t="s">
        <v>438</v>
      </c>
      <c r="D11401" t="str">
        <f>VLOOKUP(C11401,'lookup table'!$A$2:$B$19,2,FALSE)</f>
        <v>ToM</v>
      </c>
      <c r="E11401" t="str">
        <f t="shared" si="178"/>
        <v>TOM026_00|ToM</v>
      </c>
    </row>
    <row r="11402" spans="1:5" x14ac:dyDescent="0.2">
      <c r="A11402" t="s">
        <v>3382</v>
      </c>
      <c r="B11402" t="s">
        <v>335</v>
      </c>
      <c r="C11402" t="s">
        <v>331</v>
      </c>
      <c r="D11402" t="str">
        <f>VLOOKUP(C11402,'lookup table'!$A$2:$B$19,2,FALSE)</f>
        <v>FS Item</v>
      </c>
      <c r="E11402" t="str">
        <f t="shared" si="178"/>
        <v>TOM027_00|FS Item</v>
      </c>
    </row>
    <row r="11403" spans="1:5" x14ac:dyDescent="0.2">
      <c r="A11403" t="s">
        <v>3382</v>
      </c>
      <c r="B11403" t="s">
        <v>335</v>
      </c>
      <c r="C11403" t="s">
        <v>423</v>
      </c>
      <c r="D11403" t="str">
        <f>VLOOKUP(C11403,'lookup table'!$A$2:$B$19,2,FALSE)</f>
        <v>ignore</v>
      </c>
      <c r="E11403" t="str">
        <f t="shared" si="178"/>
        <v>TOM027_00|ignore</v>
      </c>
    </row>
    <row r="11404" spans="1:5" x14ac:dyDescent="0.2">
      <c r="A11404" t="s">
        <v>3382</v>
      </c>
      <c r="B11404" t="s">
        <v>335</v>
      </c>
      <c r="C11404" t="s">
        <v>438</v>
      </c>
      <c r="D11404" t="str">
        <f>VLOOKUP(C11404,'lookup table'!$A$2:$B$19,2,FALSE)</f>
        <v>ToM</v>
      </c>
      <c r="E11404" t="str">
        <f t="shared" si="178"/>
        <v>TOM027_00|ToM</v>
      </c>
    </row>
    <row r="11405" spans="1:5" x14ac:dyDescent="0.2">
      <c r="A11405" t="s">
        <v>3383</v>
      </c>
      <c r="B11405" t="s">
        <v>332</v>
      </c>
      <c r="C11405" t="s">
        <v>331</v>
      </c>
      <c r="D11405" t="str">
        <f>VLOOKUP(C11405,'lookup table'!$A$2:$B$19,2,FALSE)</f>
        <v>FS Item</v>
      </c>
      <c r="E11405" t="str">
        <f t="shared" si="178"/>
        <v>TOM027_17|FS Item</v>
      </c>
    </row>
    <row r="11406" spans="1:5" x14ac:dyDescent="0.2">
      <c r="A11406" t="s">
        <v>3383</v>
      </c>
      <c r="B11406" t="s">
        <v>332</v>
      </c>
      <c r="C11406" t="s">
        <v>423</v>
      </c>
      <c r="D11406" t="str">
        <f>VLOOKUP(C11406,'lookup table'!$A$2:$B$19,2,FALSE)</f>
        <v>ignore</v>
      </c>
      <c r="E11406" t="str">
        <f t="shared" si="178"/>
        <v>TOM027_17|ignore</v>
      </c>
    </row>
    <row r="11407" spans="1:5" x14ac:dyDescent="0.2">
      <c r="A11407" t="s">
        <v>3383</v>
      </c>
      <c r="B11407" t="s">
        <v>332</v>
      </c>
      <c r="C11407" t="s">
        <v>438</v>
      </c>
      <c r="D11407" t="str">
        <f>VLOOKUP(C11407,'lookup table'!$A$2:$B$19,2,FALSE)</f>
        <v>ToM</v>
      </c>
      <c r="E11407" t="str">
        <f t="shared" si="178"/>
        <v>TOM027_17|ToM</v>
      </c>
    </row>
    <row r="11408" spans="1:5" x14ac:dyDescent="0.2">
      <c r="A11408" t="s">
        <v>3384</v>
      </c>
      <c r="B11408" t="s">
        <v>3385</v>
      </c>
      <c r="C11408" t="s">
        <v>331</v>
      </c>
      <c r="D11408" t="str">
        <f>VLOOKUP(C11408,'lookup table'!$A$2:$B$19,2,FALSE)</f>
        <v>FS Item</v>
      </c>
      <c r="E11408" t="str">
        <f t="shared" si="178"/>
        <v>TOM027_85|FS Item</v>
      </c>
    </row>
    <row r="11409" spans="1:5" x14ac:dyDescent="0.2">
      <c r="A11409" t="s">
        <v>3384</v>
      </c>
      <c r="B11409" t="s">
        <v>3385</v>
      </c>
      <c r="C11409" t="s">
        <v>423</v>
      </c>
      <c r="D11409" t="str">
        <f>VLOOKUP(C11409,'lookup table'!$A$2:$B$19,2,FALSE)</f>
        <v>ignore</v>
      </c>
      <c r="E11409" t="str">
        <f t="shared" si="178"/>
        <v>TOM027_85|ignore</v>
      </c>
    </row>
    <row r="11410" spans="1:5" x14ac:dyDescent="0.2">
      <c r="A11410" t="s">
        <v>3384</v>
      </c>
      <c r="B11410" t="s">
        <v>3385</v>
      </c>
      <c r="C11410" t="s">
        <v>438</v>
      </c>
      <c r="D11410" t="str">
        <f>VLOOKUP(C11410,'lookup table'!$A$2:$B$19,2,FALSE)</f>
        <v>ToM</v>
      </c>
      <c r="E11410" t="str">
        <f t="shared" si="178"/>
        <v>TOM027_85|ToM</v>
      </c>
    </row>
    <row r="11411" spans="1:5" x14ac:dyDescent="0.2">
      <c r="A11411" t="s">
        <v>3386</v>
      </c>
      <c r="B11411" t="s">
        <v>3387</v>
      </c>
      <c r="C11411" t="s">
        <v>331</v>
      </c>
      <c r="D11411" t="str">
        <f>VLOOKUP(C11411,'lookup table'!$A$2:$B$19,2,FALSE)</f>
        <v>FS Item</v>
      </c>
      <c r="E11411" t="str">
        <f t="shared" si="178"/>
        <v>TOM028_00|FS Item</v>
      </c>
    </row>
    <row r="11412" spans="1:5" x14ac:dyDescent="0.2">
      <c r="A11412" t="s">
        <v>3386</v>
      </c>
      <c r="B11412" t="s">
        <v>3387</v>
      </c>
      <c r="C11412" t="s">
        <v>423</v>
      </c>
      <c r="D11412" t="str">
        <f>VLOOKUP(C11412,'lookup table'!$A$2:$B$19,2,FALSE)</f>
        <v>ignore</v>
      </c>
      <c r="E11412" t="str">
        <f t="shared" si="178"/>
        <v>TOM028_00|ignore</v>
      </c>
    </row>
    <row r="11413" spans="1:5" x14ac:dyDescent="0.2">
      <c r="A11413" t="s">
        <v>3386</v>
      </c>
      <c r="B11413" t="s">
        <v>3387</v>
      </c>
      <c r="C11413" t="s">
        <v>436</v>
      </c>
      <c r="D11413" t="str">
        <f>VLOOKUP(C11413,'lookup table'!$A$2:$B$19,2,FALSE)</f>
        <v>MAT</v>
      </c>
      <c r="E11413" t="str">
        <f t="shared" si="178"/>
        <v>TOM028_00|MAT</v>
      </c>
    </row>
    <row r="11414" spans="1:5" x14ac:dyDescent="0.2">
      <c r="A11414" t="s">
        <v>3388</v>
      </c>
      <c r="B11414" t="s">
        <v>3389</v>
      </c>
      <c r="C11414" t="s">
        <v>331</v>
      </c>
      <c r="D11414" t="str">
        <f>VLOOKUP(C11414,'lookup table'!$A$2:$B$19,2,FALSE)</f>
        <v>FS Item</v>
      </c>
      <c r="E11414" t="str">
        <f t="shared" si="178"/>
        <v>TOM028_17|FS Item</v>
      </c>
    </row>
    <row r="11415" spans="1:5" x14ac:dyDescent="0.2">
      <c r="A11415" t="s">
        <v>3388</v>
      </c>
      <c r="B11415" t="s">
        <v>3389</v>
      </c>
      <c r="C11415" t="s">
        <v>423</v>
      </c>
      <c r="D11415" t="str">
        <f>VLOOKUP(C11415,'lookup table'!$A$2:$B$19,2,FALSE)</f>
        <v>ignore</v>
      </c>
      <c r="E11415" t="str">
        <f t="shared" si="178"/>
        <v>TOM028_17|ignore</v>
      </c>
    </row>
    <row r="11416" spans="1:5" x14ac:dyDescent="0.2">
      <c r="A11416" t="s">
        <v>3388</v>
      </c>
      <c r="B11416" t="s">
        <v>3389</v>
      </c>
      <c r="C11416" t="s">
        <v>436</v>
      </c>
      <c r="D11416" t="str">
        <f>VLOOKUP(C11416,'lookup table'!$A$2:$B$19,2,FALSE)</f>
        <v>MAT</v>
      </c>
      <c r="E11416" t="str">
        <f t="shared" si="178"/>
        <v>TOM028_17|MAT</v>
      </c>
    </row>
    <row r="11417" spans="1:5" x14ac:dyDescent="0.2">
      <c r="A11417" t="s">
        <v>3390</v>
      </c>
      <c r="B11417" t="s">
        <v>3391</v>
      </c>
      <c r="C11417" t="s">
        <v>14</v>
      </c>
      <c r="D11417" t="str">
        <f>VLOOKUP(C11417,'lookup table'!$A$2:$B$19,2,FALSE)</f>
        <v>ALC</v>
      </c>
      <c r="E11417" t="str">
        <f t="shared" si="178"/>
        <v>TOM029_00|ALC</v>
      </c>
    </row>
    <row r="11418" spans="1:5" x14ac:dyDescent="0.2">
      <c r="A11418" t="s">
        <v>3390</v>
      </c>
      <c r="B11418" t="s">
        <v>3391</v>
      </c>
      <c r="C11418" t="s">
        <v>331</v>
      </c>
      <c r="D11418" t="str">
        <f>VLOOKUP(C11418,'lookup table'!$A$2:$B$19,2,FALSE)</f>
        <v>FS Item</v>
      </c>
      <c r="E11418" t="str">
        <f t="shared" si="178"/>
        <v>TOM029_00|FS Item</v>
      </c>
    </row>
    <row r="11419" spans="1:5" x14ac:dyDescent="0.2">
      <c r="A11419" t="s">
        <v>3390</v>
      </c>
      <c r="B11419" t="s">
        <v>3391</v>
      </c>
      <c r="C11419" t="s">
        <v>423</v>
      </c>
      <c r="D11419" t="str">
        <f>VLOOKUP(C11419,'lookup table'!$A$2:$B$19,2,FALSE)</f>
        <v>ignore</v>
      </c>
      <c r="E11419" t="str">
        <f t="shared" si="178"/>
        <v>TOM029_00|ignore</v>
      </c>
    </row>
    <row r="11420" spans="1:5" x14ac:dyDescent="0.2">
      <c r="A11420" t="s">
        <v>3390</v>
      </c>
      <c r="B11420" t="s">
        <v>3391</v>
      </c>
      <c r="C11420" t="s">
        <v>436</v>
      </c>
      <c r="D11420" t="str">
        <f>VLOOKUP(C11420,'lookup table'!$A$2:$B$19,2,FALSE)</f>
        <v>MAT</v>
      </c>
      <c r="E11420" t="str">
        <f t="shared" si="178"/>
        <v>TOM029_00|MAT</v>
      </c>
    </row>
    <row r="11421" spans="1:5" x14ac:dyDescent="0.2">
      <c r="A11421" t="s">
        <v>3390</v>
      </c>
      <c r="B11421" t="s">
        <v>3391</v>
      </c>
      <c r="C11421" t="s">
        <v>458</v>
      </c>
      <c r="D11421" t="str">
        <f>VLOOKUP(C11421,'lookup table'!$A$2:$B$19,2,FALSE)</f>
        <v>VAR</v>
      </c>
      <c r="E11421" t="str">
        <f t="shared" si="178"/>
        <v>TOM029_00|VAR</v>
      </c>
    </row>
    <row r="11422" spans="1:5" x14ac:dyDescent="0.2">
      <c r="A11422" t="s">
        <v>3392</v>
      </c>
      <c r="B11422" t="s">
        <v>3393</v>
      </c>
      <c r="C11422" t="s">
        <v>14</v>
      </c>
      <c r="D11422" t="str">
        <f>VLOOKUP(C11422,'lookup table'!$A$2:$B$19,2,FALSE)</f>
        <v>ALC</v>
      </c>
      <c r="E11422" t="str">
        <f t="shared" si="178"/>
        <v>TOM029_17|ALC</v>
      </c>
    </row>
    <row r="11423" spans="1:5" x14ac:dyDescent="0.2">
      <c r="A11423" t="s">
        <v>3392</v>
      </c>
      <c r="B11423" t="s">
        <v>3393</v>
      </c>
      <c r="C11423" t="s">
        <v>331</v>
      </c>
      <c r="D11423" t="str">
        <f>VLOOKUP(C11423,'lookup table'!$A$2:$B$19,2,FALSE)</f>
        <v>FS Item</v>
      </c>
      <c r="E11423" t="str">
        <f t="shared" si="178"/>
        <v>TOM029_17|FS Item</v>
      </c>
    </row>
    <row r="11424" spans="1:5" x14ac:dyDescent="0.2">
      <c r="A11424" t="s">
        <v>3392</v>
      </c>
      <c r="B11424" t="s">
        <v>3393</v>
      </c>
      <c r="C11424" t="s">
        <v>423</v>
      </c>
      <c r="D11424" t="str">
        <f>VLOOKUP(C11424,'lookup table'!$A$2:$B$19,2,FALSE)</f>
        <v>ignore</v>
      </c>
      <c r="E11424" t="str">
        <f t="shared" si="178"/>
        <v>TOM029_17|ignore</v>
      </c>
    </row>
    <row r="11425" spans="1:5" x14ac:dyDescent="0.2">
      <c r="A11425" t="s">
        <v>3392</v>
      </c>
      <c r="B11425" t="s">
        <v>3393</v>
      </c>
      <c r="C11425" t="s">
        <v>436</v>
      </c>
      <c r="D11425" t="str">
        <f>VLOOKUP(C11425,'lookup table'!$A$2:$B$19,2,FALSE)</f>
        <v>MAT</v>
      </c>
      <c r="E11425" t="str">
        <f t="shared" si="178"/>
        <v>TOM029_17|MAT</v>
      </c>
    </row>
    <row r="11426" spans="1:5" x14ac:dyDescent="0.2">
      <c r="A11426" t="s">
        <v>3392</v>
      </c>
      <c r="B11426" t="s">
        <v>3393</v>
      </c>
      <c r="C11426" t="s">
        <v>458</v>
      </c>
      <c r="D11426" t="str">
        <f>VLOOKUP(C11426,'lookup table'!$A$2:$B$19,2,FALSE)</f>
        <v>VAR</v>
      </c>
      <c r="E11426" t="str">
        <f t="shared" si="178"/>
        <v>TOM029_17|VAR</v>
      </c>
    </row>
    <row r="11427" spans="1:5" x14ac:dyDescent="0.2">
      <c r="A11427" t="s">
        <v>3394</v>
      </c>
      <c r="B11427" t="s">
        <v>3395</v>
      </c>
      <c r="C11427" t="s">
        <v>331</v>
      </c>
      <c r="D11427" t="str">
        <f>VLOOKUP(C11427,'lookup table'!$A$2:$B$19,2,FALSE)</f>
        <v>FS Item</v>
      </c>
      <c r="E11427" t="str">
        <f t="shared" si="178"/>
        <v>TOM030_00|FS Item</v>
      </c>
    </row>
    <row r="11428" spans="1:5" x14ac:dyDescent="0.2">
      <c r="A11428" t="s">
        <v>3394</v>
      </c>
      <c r="B11428" t="s">
        <v>3395</v>
      </c>
      <c r="C11428" t="s">
        <v>423</v>
      </c>
      <c r="D11428" t="str">
        <f>VLOOKUP(C11428,'lookup table'!$A$2:$B$19,2,FALSE)</f>
        <v>ignore</v>
      </c>
      <c r="E11428" t="str">
        <f t="shared" si="178"/>
        <v>TOM030_00|ignore</v>
      </c>
    </row>
    <row r="11429" spans="1:5" x14ac:dyDescent="0.2">
      <c r="A11429" t="s">
        <v>3396</v>
      </c>
      <c r="B11429" t="s">
        <v>3397</v>
      </c>
      <c r="C11429" t="s">
        <v>331</v>
      </c>
      <c r="D11429" t="str">
        <f>VLOOKUP(C11429,'lookup table'!$A$2:$B$19,2,FALSE)</f>
        <v>FS Item</v>
      </c>
      <c r="E11429" t="str">
        <f t="shared" si="178"/>
        <v>TOM101_70|FS Item</v>
      </c>
    </row>
    <row r="11430" spans="1:5" x14ac:dyDescent="0.2">
      <c r="A11430" t="s">
        <v>3396</v>
      </c>
      <c r="B11430" t="s">
        <v>3397</v>
      </c>
      <c r="C11430" t="s">
        <v>423</v>
      </c>
      <c r="D11430" t="str">
        <f>VLOOKUP(C11430,'lookup table'!$A$2:$B$19,2,FALSE)</f>
        <v>ignore</v>
      </c>
      <c r="E11430" t="str">
        <f t="shared" si="178"/>
        <v>TOM101_70|ignore</v>
      </c>
    </row>
    <row r="11431" spans="1:5" x14ac:dyDescent="0.2">
      <c r="A11431" t="s">
        <v>3396</v>
      </c>
      <c r="B11431" t="s">
        <v>3397</v>
      </c>
      <c r="C11431" t="s">
        <v>438</v>
      </c>
      <c r="D11431" t="str">
        <f>VLOOKUP(C11431,'lookup table'!$A$2:$B$19,2,FALSE)</f>
        <v>ToM</v>
      </c>
      <c r="E11431" t="str">
        <f t="shared" si="178"/>
        <v>TOM101_70|ToM</v>
      </c>
    </row>
    <row r="11432" spans="1:5" x14ac:dyDescent="0.2">
      <c r="A11432" t="s">
        <v>3398</v>
      </c>
      <c r="B11432" t="s">
        <v>3399</v>
      </c>
      <c r="C11432" t="s">
        <v>331</v>
      </c>
      <c r="D11432" t="str">
        <f>VLOOKUP(C11432,'lookup table'!$A$2:$B$19,2,FALSE)</f>
        <v>FS Item</v>
      </c>
      <c r="E11432" t="str">
        <f t="shared" si="178"/>
        <v>TR001_00|FS Item</v>
      </c>
    </row>
    <row r="11433" spans="1:5" x14ac:dyDescent="0.2">
      <c r="A11433" t="s">
        <v>3398</v>
      </c>
      <c r="B11433" t="s">
        <v>3399</v>
      </c>
      <c r="C11433" t="s">
        <v>423</v>
      </c>
      <c r="D11433" t="str">
        <f>VLOOKUP(C11433,'lookup table'!$A$2:$B$19,2,FALSE)</f>
        <v>ignore</v>
      </c>
      <c r="E11433" t="str">
        <f t="shared" si="178"/>
        <v>TR001_00|ignore</v>
      </c>
    </row>
    <row r="11434" spans="1:5" x14ac:dyDescent="0.2">
      <c r="A11434" t="s">
        <v>3400</v>
      </c>
      <c r="B11434" t="s">
        <v>3401</v>
      </c>
      <c r="C11434" t="s">
        <v>14</v>
      </c>
      <c r="D11434" t="str">
        <f>VLOOKUP(C11434,'lookup table'!$A$2:$B$19,2,FALSE)</f>
        <v>ALC</v>
      </c>
      <c r="E11434" t="str">
        <f t="shared" si="178"/>
        <v>TR001_17|ALC</v>
      </c>
    </row>
    <row r="11435" spans="1:5" x14ac:dyDescent="0.2">
      <c r="A11435" t="s">
        <v>3400</v>
      </c>
      <c r="B11435" t="s">
        <v>3401</v>
      </c>
      <c r="C11435" t="s">
        <v>20</v>
      </c>
      <c r="D11435" t="str">
        <f>VLOOKUP(C11435,'lookup table'!$A$2:$B$19,2,FALSE)</f>
        <v>AY</v>
      </c>
      <c r="E11435" t="str">
        <f t="shared" si="178"/>
        <v>TR001_17|AY</v>
      </c>
    </row>
    <row r="11436" spans="1:5" x14ac:dyDescent="0.2">
      <c r="A11436" t="s">
        <v>3400</v>
      </c>
      <c r="B11436" t="s">
        <v>3401</v>
      </c>
      <c r="C11436" t="s">
        <v>136</v>
      </c>
      <c r="D11436" t="str">
        <f>VLOOKUP(C11436,'lookup table'!$A$2:$B$19,2,FALSE)</f>
        <v>BBA Set</v>
      </c>
      <c r="E11436" t="str">
        <f t="shared" si="178"/>
        <v>TR001_17|BBA Set</v>
      </c>
    </row>
    <row r="11437" spans="1:5" x14ac:dyDescent="0.2">
      <c r="A11437" t="s">
        <v>3400</v>
      </c>
      <c r="B11437" t="s">
        <v>3401</v>
      </c>
      <c r="C11437" t="s">
        <v>331</v>
      </c>
      <c r="D11437" t="str">
        <f>VLOOKUP(C11437,'lookup table'!$A$2:$B$19,2,FALSE)</f>
        <v>FS Item</v>
      </c>
      <c r="E11437" t="str">
        <f t="shared" si="178"/>
        <v>TR001_17|FS Item</v>
      </c>
    </row>
    <row r="11438" spans="1:5" x14ac:dyDescent="0.2">
      <c r="A11438" t="s">
        <v>3400</v>
      </c>
      <c r="B11438" t="s">
        <v>3401</v>
      </c>
      <c r="C11438" t="s">
        <v>423</v>
      </c>
      <c r="D11438" t="str">
        <f>VLOOKUP(C11438,'lookup table'!$A$2:$B$19,2,FALSE)</f>
        <v>ignore</v>
      </c>
      <c r="E11438" t="str">
        <f t="shared" si="178"/>
        <v>TR001_17|ignore</v>
      </c>
    </row>
    <row r="11439" spans="1:5" x14ac:dyDescent="0.2">
      <c r="A11439" t="s">
        <v>3400</v>
      </c>
      <c r="B11439" t="s">
        <v>3401</v>
      </c>
      <c r="C11439" t="s">
        <v>425</v>
      </c>
      <c r="D11439" t="str">
        <f>VLOOKUP(C11439,'lookup table'!$A$2:$B$19,2,FALSE)</f>
        <v>Investee Segment</v>
      </c>
      <c r="E11439" t="str">
        <f t="shared" si="178"/>
        <v>TR001_17|Investee Segment</v>
      </c>
    </row>
    <row r="11440" spans="1:5" x14ac:dyDescent="0.2">
      <c r="A11440" t="s">
        <v>3400</v>
      </c>
      <c r="B11440" t="s">
        <v>3401</v>
      </c>
      <c r="C11440" t="s">
        <v>426</v>
      </c>
      <c r="D11440" t="str">
        <f>VLOOKUP(C11440,'lookup table'!$A$2:$B$19,2,FALSE)</f>
        <v>Investee Unit</v>
      </c>
      <c r="E11440" t="str">
        <f t="shared" si="178"/>
        <v>TR001_17|Investee Unit</v>
      </c>
    </row>
    <row r="11441" spans="1:5" x14ac:dyDescent="0.2">
      <c r="A11441" t="s">
        <v>3400</v>
      </c>
      <c r="B11441" t="s">
        <v>3401</v>
      </c>
      <c r="C11441" t="s">
        <v>428</v>
      </c>
      <c r="D11441" t="str">
        <f>VLOOKUP(C11441,'lookup table'!$A$2:$B$19,2,FALSE)</f>
        <v>LoB</v>
      </c>
      <c r="E11441" t="str">
        <f t="shared" si="178"/>
        <v>TR001_17|LoB</v>
      </c>
    </row>
    <row r="11442" spans="1:5" x14ac:dyDescent="0.2">
      <c r="A11442" t="s">
        <v>3400</v>
      </c>
      <c r="B11442" t="s">
        <v>3401</v>
      </c>
      <c r="C11442" t="s">
        <v>436</v>
      </c>
      <c r="D11442" t="str">
        <f>VLOOKUP(C11442,'lookup table'!$A$2:$B$19,2,FALSE)</f>
        <v>MAT</v>
      </c>
      <c r="E11442" t="str">
        <f t="shared" si="178"/>
        <v>TR001_17|MAT</v>
      </c>
    </row>
    <row r="11443" spans="1:5" x14ac:dyDescent="0.2">
      <c r="A11443" t="s">
        <v>3400</v>
      </c>
      <c r="B11443" t="s">
        <v>3401</v>
      </c>
      <c r="C11443" t="s">
        <v>438</v>
      </c>
      <c r="D11443" t="str">
        <f>VLOOKUP(C11443,'lookup table'!$A$2:$B$19,2,FALSE)</f>
        <v>ToM</v>
      </c>
      <c r="E11443" t="str">
        <f t="shared" si="178"/>
        <v>TR001_17|ToM</v>
      </c>
    </row>
    <row r="11444" spans="1:5" x14ac:dyDescent="0.2">
      <c r="A11444" t="s">
        <v>3400</v>
      </c>
      <c r="B11444" t="s">
        <v>3401</v>
      </c>
      <c r="C11444" t="s">
        <v>441</v>
      </c>
      <c r="D11444" t="str">
        <f>VLOOKUP(C11444,'lookup table'!$A$2:$B$19,2,FALSE)</f>
        <v>Partner Segment</v>
      </c>
      <c r="E11444" t="str">
        <f t="shared" si="178"/>
        <v>TR001_17|Partner Segment</v>
      </c>
    </row>
    <row r="11445" spans="1:5" x14ac:dyDescent="0.2">
      <c r="A11445" t="s">
        <v>3400</v>
      </c>
      <c r="B11445" t="s">
        <v>3401</v>
      </c>
      <c r="C11445" t="s">
        <v>442</v>
      </c>
      <c r="D11445" t="str">
        <f>VLOOKUP(C11445,'lookup table'!$A$2:$B$19,2,FALSE)</f>
        <v>Partner Unit</v>
      </c>
      <c r="E11445" t="str">
        <f t="shared" si="178"/>
        <v>TR001_17|Partner Unit</v>
      </c>
    </row>
    <row r="11446" spans="1:5" x14ac:dyDescent="0.2">
      <c r="A11446" t="s">
        <v>3400</v>
      </c>
      <c r="B11446" t="s">
        <v>3401</v>
      </c>
      <c r="C11446" t="s">
        <v>447</v>
      </c>
      <c r="D11446" t="str">
        <f>VLOOKUP(C11446,'lookup table'!$A$2:$B$19,2,FALSE)</f>
        <v>REX</v>
      </c>
      <c r="E11446" t="str">
        <f t="shared" si="178"/>
        <v>TR001_17|REX</v>
      </c>
    </row>
    <row r="11447" spans="1:5" x14ac:dyDescent="0.2">
      <c r="A11447" t="s">
        <v>3400</v>
      </c>
      <c r="B11447" t="s">
        <v>3401</v>
      </c>
      <c r="C11447" t="s">
        <v>451</v>
      </c>
      <c r="D11447" t="str">
        <f>VLOOKUP(C11447,'lookup table'!$A$2:$B$19,2,FALSE)</f>
        <v>Segment</v>
      </c>
      <c r="E11447" t="str">
        <f t="shared" si="178"/>
        <v>TR001_17|Segment</v>
      </c>
    </row>
    <row r="11448" spans="1:5" x14ac:dyDescent="0.2">
      <c r="A11448" t="s">
        <v>3400</v>
      </c>
      <c r="B11448" t="s">
        <v>3401</v>
      </c>
      <c r="C11448" t="s">
        <v>457</v>
      </c>
      <c r="D11448" t="str">
        <f>VLOOKUP(C11448,'lookup table'!$A$2:$B$19,2,FALSE)</f>
        <v>VLT</v>
      </c>
      <c r="E11448" t="str">
        <f t="shared" si="178"/>
        <v>TR001_17|VLT</v>
      </c>
    </row>
    <row r="11449" spans="1:5" x14ac:dyDescent="0.2">
      <c r="A11449" t="s">
        <v>3400</v>
      </c>
      <c r="B11449" t="s">
        <v>3401</v>
      </c>
      <c r="C11449" t="s">
        <v>458</v>
      </c>
      <c r="D11449" t="str">
        <f>VLOOKUP(C11449,'lookup table'!$A$2:$B$19,2,FALSE)</f>
        <v>VAR</v>
      </c>
      <c r="E11449" t="str">
        <f t="shared" si="178"/>
        <v>TR001_17|VAR</v>
      </c>
    </row>
    <row r="11450" spans="1:5" x14ac:dyDescent="0.2">
      <c r="A11450" t="s">
        <v>3400</v>
      </c>
      <c r="B11450" t="s">
        <v>3401</v>
      </c>
      <c r="C11450" t="s">
        <v>461</v>
      </c>
      <c r="D11450" t="str">
        <f>VLOOKUP(C11450,'lookup table'!$A$2:$B$19,2,FALSE)</f>
        <v>Posting Level</v>
      </c>
      <c r="E11450" t="str">
        <f t="shared" si="178"/>
        <v>TR001_17|Posting Level</v>
      </c>
    </row>
    <row r="11451" spans="1:5" x14ac:dyDescent="0.2">
      <c r="A11451" t="s">
        <v>3402</v>
      </c>
      <c r="B11451" t="s">
        <v>3403</v>
      </c>
      <c r="C11451" t="s">
        <v>331</v>
      </c>
      <c r="D11451" t="str">
        <f>VLOOKUP(C11451,'lookup table'!$A$2:$B$19,2,FALSE)</f>
        <v>FS Item</v>
      </c>
      <c r="E11451" t="str">
        <f t="shared" si="178"/>
        <v>TR002_17|FS Item</v>
      </c>
    </row>
    <row r="11452" spans="1:5" x14ac:dyDescent="0.2">
      <c r="A11452" t="s">
        <v>3402</v>
      </c>
      <c r="B11452" t="s">
        <v>3403</v>
      </c>
      <c r="C11452" t="s">
        <v>423</v>
      </c>
      <c r="D11452" t="str">
        <f>VLOOKUP(C11452,'lookup table'!$A$2:$B$19,2,FALSE)</f>
        <v>ignore</v>
      </c>
      <c r="E11452" t="str">
        <f t="shared" si="178"/>
        <v>TR002_17|ignore</v>
      </c>
    </row>
    <row r="11453" spans="1:5" x14ac:dyDescent="0.2">
      <c r="A11453" t="s">
        <v>3402</v>
      </c>
      <c r="B11453" t="s">
        <v>3403</v>
      </c>
      <c r="C11453" t="s">
        <v>441</v>
      </c>
      <c r="D11453" t="str">
        <f>VLOOKUP(C11453,'lookup table'!$A$2:$B$19,2,FALSE)</f>
        <v>Partner Segment</v>
      </c>
      <c r="E11453" t="str">
        <f t="shared" si="178"/>
        <v>TR002_17|Partner Segment</v>
      </c>
    </row>
    <row r="11454" spans="1:5" x14ac:dyDescent="0.2">
      <c r="A11454" t="s">
        <v>3402</v>
      </c>
      <c r="B11454" t="s">
        <v>3403</v>
      </c>
      <c r="C11454" t="s">
        <v>442</v>
      </c>
      <c r="D11454" t="str">
        <f>VLOOKUP(C11454,'lookup table'!$A$2:$B$19,2,FALSE)</f>
        <v>Partner Unit</v>
      </c>
      <c r="E11454" t="str">
        <f t="shared" si="178"/>
        <v>TR002_17|Partner Unit</v>
      </c>
    </row>
    <row r="11455" spans="1:5" x14ac:dyDescent="0.2">
      <c r="A11455" t="s">
        <v>3402</v>
      </c>
      <c r="B11455" t="s">
        <v>3403</v>
      </c>
      <c r="C11455" t="s">
        <v>451</v>
      </c>
      <c r="D11455" t="str">
        <f>VLOOKUP(C11455,'lookup table'!$A$2:$B$19,2,FALSE)</f>
        <v>Segment</v>
      </c>
      <c r="E11455" t="str">
        <f t="shared" si="178"/>
        <v>TR002_17|Segment</v>
      </c>
    </row>
    <row r="11456" spans="1:5" x14ac:dyDescent="0.2">
      <c r="A11456" t="s">
        <v>3404</v>
      </c>
      <c r="B11456" t="s">
        <v>3405</v>
      </c>
      <c r="C11456" t="s">
        <v>331</v>
      </c>
      <c r="D11456" t="str">
        <f>VLOOKUP(C11456,'lookup table'!$A$2:$B$19,2,FALSE)</f>
        <v>FS Item</v>
      </c>
      <c r="E11456" t="str">
        <f t="shared" si="178"/>
        <v>TR003_09|FS Item</v>
      </c>
    </row>
    <row r="11457" spans="1:5" x14ac:dyDescent="0.2">
      <c r="A11457" t="s">
        <v>3404</v>
      </c>
      <c r="B11457" t="s">
        <v>3405</v>
      </c>
      <c r="C11457" t="s">
        <v>423</v>
      </c>
      <c r="D11457" t="str">
        <f>VLOOKUP(C11457,'lookup table'!$A$2:$B$19,2,FALSE)</f>
        <v>ignore</v>
      </c>
      <c r="E11457" t="str">
        <f t="shared" si="178"/>
        <v>TR003_09|ignore</v>
      </c>
    </row>
    <row r="11458" spans="1:5" x14ac:dyDescent="0.2">
      <c r="A11458" t="s">
        <v>3404</v>
      </c>
      <c r="B11458" t="s">
        <v>3405</v>
      </c>
      <c r="C11458" t="s">
        <v>438</v>
      </c>
      <c r="D11458" t="str">
        <f>VLOOKUP(C11458,'lookup table'!$A$2:$B$19,2,FALSE)</f>
        <v>ToM</v>
      </c>
      <c r="E11458" t="str">
        <f t="shared" si="178"/>
        <v>TR003_09|ToM</v>
      </c>
    </row>
    <row r="11459" spans="1:5" x14ac:dyDescent="0.2">
      <c r="A11459" t="s">
        <v>3406</v>
      </c>
      <c r="B11459" t="s">
        <v>3407</v>
      </c>
      <c r="C11459" t="s">
        <v>449</v>
      </c>
      <c r="D11459" t="e">
        <f>VLOOKUP(C11459,'lookup table'!$A$2:$B$19,2,FALSE)</f>
        <v>#N/A</v>
      </c>
      <c r="E11459" t="str">
        <f t="shared" ref="E11459:E11522" si="179">IF(ISNA(D11459),"",IF(A11459="","",A11459) &amp; "|" &amp; D11459)</f>
        <v/>
      </c>
    </row>
    <row r="11460" spans="1:5" x14ac:dyDescent="0.2">
      <c r="A11460" t="s">
        <v>3408</v>
      </c>
      <c r="B11460" t="s">
        <v>105</v>
      </c>
      <c r="C11460" t="s">
        <v>20</v>
      </c>
      <c r="D11460" t="str">
        <f>VLOOKUP(C11460,'lookup table'!$A$2:$B$19,2,FALSE)</f>
        <v>AY</v>
      </c>
      <c r="E11460" t="str">
        <f t="shared" si="179"/>
        <v>TR004_17|AY</v>
      </c>
    </row>
    <row r="11461" spans="1:5" x14ac:dyDescent="0.2">
      <c r="A11461" t="s">
        <v>3408</v>
      </c>
      <c r="B11461" t="s">
        <v>105</v>
      </c>
      <c r="C11461" t="s">
        <v>136</v>
      </c>
      <c r="D11461" t="str">
        <f>VLOOKUP(C11461,'lookup table'!$A$2:$B$19,2,FALSE)</f>
        <v>BBA Set</v>
      </c>
      <c r="E11461" t="str">
        <f t="shared" si="179"/>
        <v>TR004_17|BBA Set</v>
      </c>
    </row>
    <row r="11462" spans="1:5" x14ac:dyDescent="0.2">
      <c r="A11462" t="s">
        <v>3408</v>
      </c>
      <c r="B11462" t="s">
        <v>105</v>
      </c>
      <c r="C11462" t="s">
        <v>331</v>
      </c>
      <c r="D11462" t="str">
        <f>VLOOKUP(C11462,'lookup table'!$A$2:$B$19,2,FALSE)</f>
        <v>FS Item</v>
      </c>
      <c r="E11462" t="str">
        <f t="shared" si="179"/>
        <v>TR004_17|FS Item</v>
      </c>
    </row>
    <row r="11463" spans="1:5" x14ac:dyDescent="0.2">
      <c r="A11463" t="s">
        <v>3408</v>
      </c>
      <c r="B11463" t="s">
        <v>105</v>
      </c>
      <c r="C11463" t="s">
        <v>423</v>
      </c>
      <c r="D11463" t="str">
        <f>VLOOKUP(C11463,'lookup table'!$A$2:$B$19,2,FALSE)</f>
        <v>ignore</v>
      </c>
      <c r="E11463" t="str">
        <f t="shared" si="179"/>
        <v>TR004_17|ignore</v>
      </c>
    </row>
    <row r="11464" spans="1:5" x14ac:dyDescent="0.2">
      <c r="A11464" t="s">
        <v>3408</v>
      </c>
      <c r="B11464" t="s">
        <v>105</v>
      </c>
      <c r="C11464" t="s">
        <v>425</v>
      </c>
      <c r="D11464" t="str">
        <f>VLOOKUP(C11464,'lookup table'!$A$2:$B$19,2,FALSE)</f>
        <v>Investee Segment</v>
      </c>
      <c r="E11464" t="str">
        <f t="shared" si="179"/>
        <v>TR004_17|Investee Segment</v>
      </c>
    </row>
    <row r="11465" spans="1:5" x14ac:dyDescent="0.2">
      <c r="A11465" t="s">
        <v>3408</v>
      </c>
      <c r="B11465" t="s">
        <v>105</v>
      </c>
      <c r="C11465" t="s">
        <v>426</v>
      </c>
      <c r="D11465" t="str">
        <f>VLOOKUP(C11465,'lookup table'!$A$2:$B$19,2,FALSE)</f>
        <v>Investee Unit</v>
      </c>
      <c r="E11465" t="str">
        <f t="shared" si="179"/>
        <v>TR004_17|Investee Unit</v>
      </c>
    </row>
    <row r="11466" spans="1:5" x14ac:dyDescent="0.2">
      <c r="A11466" t="s">
        <v>3408</v>
      </c>
      <c r="B11466" t="s">
        <v>105</v>
      </c>
      <c r="C11466" t="s">
        <v>428</v>
      </c>
      <c r="D11466" t="str">
        <f>VLOOKUP(C11466,'lookup table'!$A$2:$B$19,2,FALSE)</f>
        <v>LoB</v>
      </c>
      <c r="E11466" t="str">
        <f t="shared" si="179"/>
        <v>TR004_17|LoB</v>
      </c>
    </row>
    <row r="11467" spans="1:5" x14ac:dyDescent="0.2">
      <c r="A11467" t="s">
        <v>3408</v>
      </c>
      <c r="B11467" t="s">
        <v>105</v>
      </c>
      <c r="C11467" t="s">
        <v>441</v>
      </c>
      <c r="D11467" t="str">
        <f>VLOOKUP(C11467,'lookup table'!$A$2:$B$19,2,FALSE)</f>
        <v>Partner Segment</v>
      </c>
      <c r="E11467" t="str">
        <f t="shared" si="179"/>
        <v>TR004_17|Partner Segment</v>
      </c>
    </row>
    <row r="11468" spans="1:5" x14ac:dyDescent="0.2">
      <c r="A11468" t="s">
        <v>3408</v>
      </c>
      <c r="B11468" t="s">
        <v>105</v>
      </c>
      <c r="C11468" t="s">
        <v>442</v>
      </c>
      <c r="D11468" t="str">
        <f>VLOOKUP(C11468,'lookup table'!$A$2:$B$19,2,FALSE)</f>
        <v>Partner Unit</v>
      </c>
      <c r="E11468" t="str">
        <f t="shared" si="179"/>
        <v>TR004_17|Partner Unit</v>
      </c>
    </row>
    <row r="11469" spans="1:5" x14ac:dyDescent="0.2">
      <c r="A11469" t="s">
        <v>3408</v>
      </c>
      <c r="B11469" t="s">
        <v>105</v>
      </c>
      <c r="C11469" t="s">
        <v>451</v>
      </c>
      <c r="D11469" t="str">
        <f>VLOOKUP(C11469,'lookup table'!$A$2:$B$19,2,FALSE)</f>
        <v>Segment</v>
      </c>
      <c r="E11469" t="str">
        <f t="shared" si="179"/>
        <v>TR004_17|Segment</v>
      </c>
    </row>
    <row r="11470" spans="1:5" x14ac:dyDescent="0.2">
      <c r="A11470" t="s">
        <v>3408</v>
      </c>
      <c r="B11470" t="s">
        <v>105</v>
      </c>
      <c r="C11470" t="s">
        <v>461</v>
      </c>
      <c r="D11470" t="str">
        <f>VLOOKUP(C11470,'lookup table'!$A$2:$B$19,2,FALSE)</f>
        <v>Posting Level</v>
      </c>
      <c r="E11470" t="str">
        <f t="shared" si="179"/>
        <v>TR004_17|Posting Level</v>
      </c>
    </row>
    <row r="11471" spans="1:5" x14ac:dyDescent="0.2">
      <c r="A11471" t="s">
        <v>3409</v>
      </c>
      <c r="B11471" t="s">
        <v>3410</v>
      </c>
      <c r="C11471" t="s">
        <v>20</v>
      </c>
      <c r="D11471" t="str">
        <f>VLOOKUP(C11471,'lookup table'!$A$2:$B$19,2,FALSE)</f>
        <v>AY</v>
      </c>
      <c r="E11471" t="str">
        <f t="shared" si="179"/>
        <v>TR005_17|AY</v>
      </c>
    </row>
    <row r="11472" spans="1:5" x14ac:dyDescent="0.2">
      <c r="A11472" t="s">
        <v>3409</v>
      </c>
      <c r="B11472" t="s">
        <v>3410</v>
      </c>
      <c r="C11472" t="s">
        <v>136</v>
      </c>
      <c r="D11472" t="str">
        <f>VLOOKUP(C11472,'lookup table'!$A$2:$B$19,2,FALSE)</f>
        <v>BBA Set</v>
      </c>
      <c r="E11472" t="str">
        <f t="shared" si="179"/>
        <v>TR005_17|BBA Set</v>
      </c>
    </row>
    <row r="11473" spans="1:5" x14ac:dyDescent="0.2">
      <c r="A11473" t="s">
        <v>3409</v>
      </c>
      <c r="B11473" t="s">
        <v>3410</v>
      </c>
      <c r="C11473" t="s">
        <v>331</v>
      </c>
      <c r="D11473" t="str">
        <f>VLOOKUP(C11473,'lookup table'!$A$2:$B$19,2,FALSE)</f>
        <v>FS Item</v>
      </c>
      <c r="E11473" t="str">
        <f t="shared" si="179"/>
        <v>TR005_17|FS Item</v>
      </c>
    </row>
    <row r="11474" spans="1:5" x14ac:dyDescent="0.2">
      <c r="A11474" t="s">
        <v>3409</v>
      </c>
      <c r="B11474" t="s">
        <v>3410</v>
      </c>
      <c r="C11474" t="s">
        <v>423</v>
      </c>
      <c r="D11474" t="str">
        <f>VLOOKUP(C11474,'lookup table'!$A$2:$B$19,2,FALSE)</f>
        <v>ignore</v>
      </c>
      <c r="E11474" t="str">
        <f t="shared" si="179"/>
        <v>TR005_17|ignore</v>
      </c>
    </row>
    <row r="11475" spans="1:5" x14ac:dyDescent="0.2">
      <c r="A11475" t="s">
        <v>3409</v>
      </c>
      <c r="B11475" t="s">
        <v>3410</v>
      </c>
      <c r="C11475" t="s">
        <v>425</v>
      </c>
      <c r="D11475" t="str">
        <f>VLOOKUP(C11475,'lookup table'!$A$2:$B$19,2,FALSE)</f>
        <v>Investee Segment</v>
      </c>
      <c r="E11475" t="str">
        <f t="shared" si="179"/>
        <v>TR005_17|Investee Segment</v>
      </c>
    </row>
    <row r="11476" spans="1:5" x14ac:dyDescent="0.2">
      <c r="A11476" t="s">
        <v>3409</v>
      </c>
      <c r="B11476" t="s">
        <v>3410</v>
      </c>
      <c r="C11476" t="s">
        <v>426</v>
      </c>
      <c r="D11476" t="str">
        <f>VLOOKUP(C11476,'lookup table'!$A$2:$B$19,2,FALSE)</f>
        <v>Investee Unit</v>
      </c>
      <c r="E11476" t="str">
        <f t="shared" si="179"/>
        <v>TR005_17|Investee Unit</v>
      </c>
    </row>
    <row r="11477" spans="1:5" x14ac:dyDescent="0.2">
      <c r="A11477" t="s">
        <v>3409</v>
      </c>
      <c r="B11477" t="s">
        <v>3410</v>
      </c>
      <c r="C11477" t="s">
        <v>428</v>
      </c>
      <c r="D11477" t="str">
        <f>VLOOKUP(C11477,'lookup table'!$A$2:$B$19,2,FALSE)</f>
        <v>LoB</v>
      </c>
      <c r="E11477" t="str">
        <f t="shared" si="179"/>
        <v>TR005_17|LoB</v>
      </c>
    </row>
    <row r="11478" spans="1:5" x14ac:dyDescent="0.2">
      <c r="A11478" t="s">
        <v>3409</v>
      </c>
      <c r="B11478" t="s">
        <v>3410</v>
      </c>
      <c r="C11478" t="s">
        <v>438</v>
      </c>
      <c r="D11478" t="str">
        <f>VLOOKUP(C11478,'lookup table'!$A$2:$B$19,2,FALSE)</f>
        <v>ToM</v>
      </c>
      <c r="E11478" t="str">
        <f t="shared" si="179"/>
        <v>TR005_17|ToM</v>
      </c>
    </row>
    <row r="11479" spans="1:5" x14ac:dyDescent="0.2">
      <c r="A11479" t="s">
        <v>3409</v>
      </c>
      <c r="B11479" t="s">
        <v>3410</v>
      </c>
      <c r="C11479" t="s">
        <v>441</v>
      </c>
      <c r="D11479" t="str">
        <f>VLOOKUP(C11479,'lookup table'!$A$2:$B$19,2,FALSE)</f>
        <v>Partner Segment</v>
      </c>
      <c r="E11479" t="str">
        <f t="shared" si="179"/>
        <v>TR005_17|Partner Segment</v>
      </c>
    </row>
    <row r="11480" spans="1:5" x14ac:dyDescent="0.2">
      <c r="A11480" t="s">
        <v>3409</v>
      </c>
      <c r="B11480" t="s">
        <v>3410</v>
      </c>
      <c r="C11480" t="s">
        <v>442</v>
      </c>
      <c r="D11480" t="str">
        <f>VLOOKUP(C11480,'lookup table'!$A$2:$B$19,2,FALSE)</f>
        <v>Partner Unit</v>
      </c>
      <c r="E11480" t="str">
        <f t="shared" si="179"/>
        <v>TR005_17|Partner Unit</v>
      </c>
    </row>
    <row r="11481" spans="1:5" x14ac:dyDescent="0.2">
      <c r="A11481" t="s">
        <v>3409</v>
      </c>
      <c r="B11481" t="s">
        <v>3410</v>
      </c>
      <c r="C11481" t="s">
        <v>451</v>
      </c>
      <c r="D11481" t="str">
        <f>VLOOKUP(C11481,'lookup table'!$A$2:$B$19,2,FALSE)</f>
        <v>Segment</v>
      </c>
      <c r="E11481" t="str">
        <f t="shared" si="179"/>
        <v>TR005_17|Segment</v>
      </c>
    </row>
    <row r="11482" spans="1:5" x14ac:dyDescent="0.2">
      <c r="A11482" t="s">
        <v>3409</v>
      </c>
      <c r="B11482" t="s">
        <v>3410</v>
      </c>
      <c r="C11482" t="s">
        <v>461</v>
      </c>
      <c r="D11482" t="str">
        <f>VLOOKUP(C11482,'lookup table'!$A$2:$B$19,2,FALSE)</f>
        <v>Posting Level</v>
      </c>
      <c r="E11482" t="str">
        <f t="shared" si="179"/>
        <v>TR005_17|Posting Level</v>
      </c>
    </row>
    <row r="11483" spans="1:5" x14ac:dyDescent="0.2">
      <c r="A11483" t="s">
        <v>3411</v>
      </c>
      <c r="B11483" t="s">
        <v>3412</v>
      </c>
      <c r="C11483" t="s">
        <v>20</v>
      </c>
      <c r="D11483" t="str">
        <f>VLOOKUP(C11483,'lookup table'!$A$2:$B$19,2,FALSE)</f>
        <v>AY</v>
      </c>
      <c r="E11483" t="str">
        <f t="shared" si="179"/>
        <v>TR006_17|AY</v>
      </c>
    </row>
    <row r="11484" spans="1:5" x14ac:dyDescent="0.2">
      <c r="A11484" t="s">
        <v>3411</v>
      </c>
      <c r="B11484" t="s">
        <v>3412</v>
      </c>
      <c r="C11484" t="s">
        <v>136</v>
      </c>
      <c r="D11484" t="str">
        <f>VLOOKUP(C11484,'lookup table'!$A$2:$B$19,2,FALSE)</f>
        <v>BBA Set</v>
      </c>
      <c r="E11484" t="str">
        <f t="shared" si="179"/>
        <v>TR006_17|BBA Set</v>
      </c>
    </row>
    <row r="11485" spans="1:5" x14ac:dyDescent="0.2">
      <c r="A11485" t="s">
        <v>3411</v>
      </c>
      <c r="B11485" t="s">
        <v>3412</v>
      </c>
      <c r="C11485" t="s">
        <v>331</v>
      </c>
      <c r="D11485" t="str">
        <f>VLOOKUP(C11485,'lookup table'!$A$2:$B$19,2,FALSE)</f>
        <v>FS Item</v>
      </c>
      <c r="E11485" t="str">
        <f t="shared" si="179"/>
        <v>TR006_17|FS Item</v>
      </c>
    </row>
    <row r="11486" spans="1:5" x14ac:dyDescent="0.2">
      <c r="A11486" t="s">
        <v>3411</v>
      </c>
      <c r="B11486" t="s">
        <v>3412</v>
      </c>
      <c r="C11486" t="s">
        <v>423</v>
      </c>
      <c r="D11486" t="str">
        <f>VLOOKUP(C11486,'lookup table'!$A$2:$B$19,2,FALSE)</f>
        <v>ignore</v>
      </c>
      <c r="E11486" t="str">
        <f t="shared" si="179"/>
        <v>TR006_17|ignore</v>
      </c>
    </row>
    <row r="11487" spans="1:5" x14ac:dyDescent="0.2">
      <c r="A11487" t="s">
        <v>3411</v>
      </c>
      <c r="B11487" t="s">
        <v>3412</v>
      </c>
      <c r="C11487" t="s">
        <v>425</v>
      </c>
      <c r="D11487" t="str">
        <f>VLOOKUP(C11487,'lookup table'!$A$2:$B$19,2,FALSE)</f>
        <v>Investee Segment</v>
      </c>
      <c r="E11487" t="str">
        <f t="shared" si="179"/>
        <v>TR006_17|Investee Segment</v>
      </c>
    </row>
    <row r="11488" spans="1:5" x14ac:dyDescent="0.2">
      <c r="A11488" t="s">
        <v>3411</v>
      </c>
      <c r="B11488" t="s">
        <v>3412</v>
      </c>
      <c r="C11488" t="s">
        <v>426</v>
      </c>
      <c r="D11488" t="str">
        <f>VLOOKUP(C11488,'lookup table'!$A$2:$B$19,2,FALSE)</f>
        <v>Investee Unit</v>
      </c>
      <c r="E11488" t="str">
        <f t="shared" si="179"/>
        <v>TR006_17|Investee Unit</v>
      </c>
    </row>
    <row r="11489" spans="1:5" x14ac:dyDescent="0.2">
      <c r="A11489" t="s">
        <v>3411</v>
      </c>
      <c r="B11489" t="s">
        <v>3412</v>
      </c>
      <c r="C11489" t="s">
        <v>428</v>
      </c>
      <c r="D11489" t="str">
        <f>VLOOKUP(C11489,'lookup table'!$A$2:$B$19,2,FALSE)</f>
        <v>LoB</v>
      </c>
      <c r="E11489" t="str">
        <f t="shared" si="179"/>
        <v>TR006_17|LoB</v>
      </c>
    </row>
    <row r="11490" spans="1:5" x14ac:dyDescent="0.2">
      <c r="A11490" t="s">
        <v>3411</v>
      </c>
      <c r="B11490" t="s">
        <v>3412</v>
      </c>
      <c r="C11490" t="s">
        <v>441</v>
      </c>
      <c r="D11490" t="str">
        <f>VLOOKUP(C11490,'lookup table'!$A$2:$B$19,2,FALSE)</f>
        <v>Partner Segment</v>
      </c>
      <c r="E11490" t="str">
        <f t="shared" si="179"/>
        <v>TR006_17|Partner Segment</v>
      </c>
    </row>
    <row r="11491" spans="1:5" x14ac:dyDescent="0.2">
      <c r="A11491" t="s">
        <v>3411</v>
      </c>
      <c r="B11491" t="s">
        <v>3412</v>
      </c>
      <c r="C11491" t="s">
        <v>442</v>
      </c>
      <c r="D11491" t="str">
        <f>VLOOKUP(C11491,'lookup table'!$A$2:$B$19,2,FALSE)</f>
        <v>Partner Unit</v>
      </c>
      <c r="E11491" t="str">
        <f t="shared" si="179"/>
        <v>TR006_17|Partner Unit</v>
      </c>
    </row>
    <row r="11492" spans="1:5" x14ac:dyDescent="0.2">
      <c r="A11492" t="s">
        <v>3411</v>
      </c>
      <c r="B11492" t="s">
        <v>3412</v>
      </c>
      <c r="C11492" t="s">
        <v>451</v>
      </c>
      <c r="D11492" t="str">
        <f>VLOOKUP(C11492,'lookup table'!$A$2:$B$19,2,FALSE)</f>
        <v>Segment</v>
      </c>
      <c r="E11492" t="str">
        <f t="shared" si="179"/>
        <v>TR006_17|Segment</v>
      </c>
    </row>
    <row r="11493" spans="1:5" x14ac:dyDescent="0.2">
      <c r="A11493" t="s">
        <v>3411</v>
      </c>
      <c r="B11493" t="s">
        <v>3412</v>
      </c>
      <c r="C11493" t="s">
        <v>461</v>
      </c>
      <c r="D11493" t="str">
        <f>VLOOKUP(C11493,'lookup table'!$A$2:$B$19,2,FALSE)</f>
        <v>Posting Level</v>
      </c>
      <c r="E11493" t="str">
        <f t="shared" si="179"/>
        <v>TR006_17|Posting Level</v>
      </c>
    </row>
    <row r="11494" spans="1:5" x14ac:dyDescent="0.2">
      <c r="A11494" t="s">
        <v>3413</v>
      </c>
      <c r="B11494" t="s">
        <v>3414</v>
      </c>
      <c r="C11494" t="s">
        <v>20</v>
      </c>
      <c r="D11494" t="str">
        <f>VLOOKUP(C11494,'lookup table'!$A$2:$B$19,2,FALSE)</f>
        <v>AY</v>
      </c>
      <c r="E11494" t="str">
        <f t="shared" si="179"/>
        <v>TR006_70|AY</v>
      </c>
    </row>
    <row r="11495" spans="1:5" x14ac:dyDescent="0.2">
      <c r="A11495" t="s">
        <v>3413</v>
      </c>
      <c r="B11495" t="s">
        <v>3414</v>
      </c>
      <c r="C11495" t="s">
        <v>136</v>
      </c>
      <c r="D11495" t="str">
        <f>VLOOKUP(C11495,'lookup table'!$A$2:$B$19,2,FALSE)</f>
        <v>BBA Set</v>
      </c>
      <c r="E11495" t="str">
        <f t="shared" si="179"/>
        <v>TR006_70|BBA Set</v>
      </c>
    </row>
    <row r="11496" spans="1:5" x14ac:dyDescent="0.2">
      <c r="A11496" t="s">
        <v>3413</v>
      </c>
      <c r="B11496" t="s">
        <v>3414</v>
      </c>
      <c r="C11496" t="s">
        <v>331</v>
      </c>
      <c r="D11496" t="str">
        <f>VLOOKUP(C11496,'lookup table'!$A$2:$B$19,2,FALSE)</f>
        <v>FS Item</v>
      </c>
      <c r="E11496" t="str">
        <f t="shared" si="179"/>
        <v>TR006_70|FS Item</v>
      </c>
    </row>
    <row r="11497" spans="1:5" x14ac:dyDescent="0.2">
      <c r="A11497" t="s">
        <v>3413</v>
      </c>
      <c r="B11497" t="s">
        <v>3414</v>
      </c>
      <c r="C11497" t="s">
        <v>423</v>
      </c>
      <c r="D11497" t="str">
        <f>VLOOKUP(C11497,'lookup table'!$A$2:$B$19,2,FALSE)</f>
        <v>ignore</v>
      </c>
      <c r="E11497" t="str">
        <f t="shared" si="179"/>
        <v>TR006_70|ignore</v>
      </c>
    </row>
    <row r="11498" spans="1:5" x14ac:dyDescent="0.2">
      <c r="A11498" t="s">
        <v>3413</v>
      </c>
      <c r="B11498" t="s">
        <v>3414</v>
      </c>
      <c r="C11498" t="s">
        <v>428</v>
      </c>
      <c r="D11498" t="str">
        <f>VLOOKUP(C11498,'lookup table'!$A$2:$B$19,2,FALSE)</f>
        <v>LoB</v>
      </c>
      <c r="E11498" t="str">
        <f t="shared" si="179"/>
        <v>TR006_70|LoB</v>
      </c>
    </row>
    <row r="11499" spans="1:5" x14ac:dyDescent="0.2">
      <c r="A11499" t="s">
        <v>3413</v>
      </c>
      <c r="B11499" t="s">
        <v>3414</v>
      </c>
      <c r="C11499" t="s">
        <v>441</v>
      </c>
      <c r="D11499" t="str">
        <f>VLOOKUP(C11499,'lookup table'!$A$2:$B$19,2,FALSE)</f>
        <v>Partner Segment</v>
      </c>
      <c r="E11499" t="str">
        <f t="shared" si="179"/>
        <v>TR006_70|Partner Segment</v>
      </c>
    </row>
    <row r="11500" spans="1:5" x14ac:dyDescent="0.2">
      <c r="A11500" t="s">
        <v>3413</v>
      </c>
      <c r="B11500" t="s">
        <v>3414</v>
      </c>
      <c r="C11500" t="s">
        <v>442</v>
      </c>
      <c r="D11500" t="str">
        <f>VLOOKUP(C11500,'lookup table'!$A$2:$B$19,2,FALSE)</f>
        <v>Partner Unit</v>
      </c>
      <c r="E11500" t="str">
        <f t="shared" si="179"/>
        <v>TR006_70|Partner Unit</v>
      </c>
    </row>
    <row r="11501" spans="1:5" x14ac:dyDescent="0.2">
      <c r="A11501" t="s">
        <v>3415</v>
      </c>
      <c r="B11501" t="s">
        <v>3416</v>
      </c>
      <c r="C11501" t="s">
        <v>20</v>
      </c>
      <c r="D11501" t="str">
        <f>VLOOKUP(C11501,'lookup table'!$A$2:$B$19,2,FALSE)</f>
        <v>AY</v>
      </c>
      <c r="E11501" t="str">
        <f t="shared" si="179"/>
        <v>TR007_17|AY</v>
      </c>
    </row>
    <row r="11502" spans="1:5" x14ac:dyDescent="0.2">
      <c r="A11502" t="s">
        <v>3415</v>
      </c>
      <c r="B11502" t="s">
        <v>3416</v>
      </c>
      <c r="C11502" t="s">
        <v>136</v>
      </c>
      <c r="D11502" t="str">
        <f>VLOOKUP(C11502,'lookup table'!$A$2:$B$19,2,FALSE)</f>
        <v>BBA Set</v>
      </c>
      <c r="E11502" t="str">
        <f t="shared" si="179"/>
        <v>TR007_17|BBA Set</v>
      </c>
    </row>
    <row r="11503" spans="1:5" x14ac:dyDescent="0.2">
      <c r="A11503" t="s">
        <v>3415</v>
      </c>
      <c r="B11503" t="s">
        <v>3416</v>
      </c>
      <c r="C11503" t="s">
        <v>331</v>
      </c>
      <c r="D11503" t="str">
        <f>VLOOKUP(C11503,'lookup table'!$A$2:$B$19,2,FALSE)</f>
        <v>FS Item</v>
      </c>
      <c r="E11503" t="str">
        <f t="shared" si="179"/>
        <v>TR007_17|FS Item</v>
      </c>
    </row>
    <row r="11504" spans="1:5" x14ac:dyDescent="0.2">
      <c r="A11504" t="s">
        <v>3415</v>
      </c>
      <c r="B11504" t="s">
        <v>3416</v>
      </c>
      <c r="C11504" t="s">
        <v>423</v>
      </c>
      <c r="D11504" t="str">
        <f>VLOOKUP(C11504,'lookup table'!$A$2:$B$19,2,FALSE)</f>
        <v>ignore</v>
      </c>
      <c r="E11504" t="str">
        <f t="shared" si="179"/>
        <v>TR007_17|ignore</v>
      </c>
    </row>
    <row r="11505" spans="1:5" x14ac:dyDescent="0.2">
      <c r="A11505" t="s">
        <v>3415</v>
      </c>
      <c r="B11505" t="s">
        <v>3416</v>
      </c>
      <c r="C11505" t="s">
        <v>425</v>
      </c>
      <c r="D11505" t="str">
        <f>VLOOKUP(C11505,'lookup table'!$A$2:$B$19,2,FALSE)</f>
        <v>Investee Segment</v>
      </c>
      <c r="E11505" t="str">
        <f t="shared" si="179"/>
        <v>TR007_17|Investee Segment</v>
      </c>
    </row>
    <row r="11506" spans="1:5" x14ac:dyDescent="0.2">
      <c r="A11506" t="s">
        <v>3415</v>
      </c>
      <c r="B11506" t="s">
        <v>3416</v>
      </c>
      <c r="C11506" t="s">
        <v>426</v>
      </c>
      <c r="D11506" t="str">
        <f>VLOOKUP(C11506,'lookup table'!$A$2:$B$19,2,FALSE)</f>
        <v>Investee Unit</v>
      </c>
      <c r="E11506" t="str">
        <f t="shared" si="179"/>
        <v>TR007_17|Investee Unit</v>
      </c>
    </row>
    <row r="11507" spans="1:5" x14ac:dyDescent="0.2">
      <c r="A11507" t="s">
        <v>3415</v>
      </c>
      <c r="B11507" t="s">
        <v>3416</v>
      </c>
      <c r="C11507" t="s">
        <v>428</v>
      </c>
      <c r="D11507" t="str">
        <f>VLOOKUP(C11507,'lookup table'!$A$2:$B$19,2,FALSE)</f>
        <v>LoB</v>
      </c>
      <c r="E11507" t="str">
        <f t="shared" si="179"/>
        <v>TR007_17|LoB</v>
      </c>
    </row>
    <row r="11508" spans="1:5" x14ac:dyDescent="0.2">
      <c r="A11508" t="s">
        <v>3415</v>
      </c>
      <c r="B11508" t="s">
        <v>3416</v>
      </c>
      <c r="C11508" t="s">
        <v>438</v>
      </c>
      <c r="D11508" t="str">
        <f>VLOOKUP(C11508,'lookup table'!$A$2:$B$19,2,FALSE)</f>
        <v>ToM</v>
      </c>
      <c r="E11508" t="str">
        <f t="shared" si="179"/>
        <v>TR007_17|ToM</v>
      </c>
    </row>
    <row r="11509" spans="1:5" x14ac:dyDescent="0.2">
      <c r="A11509" t="s">
        <v>3415</v>
      </c>
      <c r="B11509" t="s">
        <v>3416</v>
      </c>
      <c r="C11509" t="s">
        <v>441</v>
      </c>
      <c r="D11509" t="str">
        <f>VLOOKUP(C11509,'lookup table'!$A$2:$B$19,2,FALSE)</f>
        <v>Partner Segment</v>
      </c>
      <c r="E11509" t="str">
        <f t="shared" si="179"/>
        <v>TR007_17|Partner Segment</v>
      </c>
    </row>
    <row r="11510" spans="1:5" x14ac:dyDescent="0.2">
      <c r="A11510" t="s">
        <v>3415</v>
      </c>
      <c r="B11510" t="s">
        <v>3416</v>
      </c>
      <c r="C11510" t="s">
        <v>442</v>
      </c>
      <c r="D11510" t="str">
        <f>VLOOKUP(C11510,'lookup table'!$A$2:$B$19,2,FALSE)</f>
        <v>Partner Unit</v>
      </c>
      <c r="E11510" t="str">
        <f t="shared" si="179"/>
        <v>TR007_17|Partner Unit</v>
      </c>
    </row>
    <row r="11511" spans="1:5" x14ac:dyDescent="0.2">
      <c r="A11511" t="s">
        <v>3415</v>
      </c>
      <c r="B11511" t="s">
        <v>3416</v>
      </c>
      <c r="C11511" t="s">
        <v>451</v>
      </c>
      <c r="D11511" t="str">
        <f>VLOOKUP(C11511,'lookup table'!$A$2:$B$19,2,FALSE)</f>
        <v>Segment</v>
      </c>
      <c r="E11511" t="str">
        <f t="shared" si="179"/>
        <v>TR007_17|Segment</v>
      </c>
    </row>
    <row r="11512" spans="1:5" x14ac:dyDescent="0.2">
      <c r="A11512" t="s">
        <v>3415</v>
      </c>
      <c r="B11512" t="s">
        <v>3416</v>
      </c>
      <c r="C11512" t="s">
        <v>461</v>
      </c>
      <c r="D11512" t="str">
        <f>VLOOKUP(C11512,'lookup table'!$A$2:$B$19,2,FALSE)</f>
        <v>Posting Level</v>
      </c>
      <c r="E11512" t="str">
        <f t="shared" si="179"/>
        <v>TR007_17|Posting Level</v>
      </c>
    </row>
    <row r="11513" spans="1:5" x14ac:dyDescent="0.2">
      <c r="A11513" t="s">
        <v>3417</v>
      </c>
      <c r="B11513" t="s">
        <v>3418</v>
      </c>
      <c r="C11513" t="s">
        <v>20</v>
      </c>
      <c r="D11513" t="str">
        <f>VLOOKUP(C11513,'lookup table'!$A$2:$B$19,2,FALSE)</f>
        <v>AY</v>
      </c>
      <c r="E11513" t="str">
        <f t="shared" si="179"/>
        <v>TR007_70|AY</v>
      </c>
    </row>
    <row r="11514" spans="1:5" x14ac:dyDescent="0.2">
      <c r="A11514" t="s">
        <v>3417</v>
      </c>
      <c r="B11514" t="s">
        <v>3418</v>
      </c>
      <c r="C11514" t="s">
        <v>136</v>
      </c>
      <c r="D11514" t="str">
        <f>VLOOKUP(C11514,'lookup table'!$A$2:$B$19,2,FALSE)</f>
        <v>BBA Set</v>
      </c>
      <c r="E11514" t="str">
        <f t="shared" si="179"/>
        <v>TR007_70|BBA Set</v>
      </c>
    </row>
    <row r="11515" spans="1:5" x14ac:dyDescent="0.2">
      <c r="A11515" t="s">
        <v>3417</v>
      </c>
      <c r="B11515" t="s">
        <v>3418</v>
      </c>
      <c r="C11515" t="s">
        <v>331</v>
      </c>
      <c r="D11515" t="str">
        <f>VLOOKUP(C11515,'lookup table'!$A$2:$B$19,2,FALSE)</f>
        <v>FS Item</v>
      </c>
      <c r="E11515" t="str">
        <f t="shared" si="179"/>
        <v>TR007_70|FS Item</v>
      </c>
    </row>
    <row r="11516" spans="1:5" x14ac:dyDescent="0.2">
      <c r="A11516" t="s">
        <v>3417</v>
      </c>
      <c r="B11516" t="s">
        <v>3418</v>
      </c>
      <c r="C11516" t="s">
        <v>423</v>
      </c>
      <c r="D11516" t="str">
        <f>VLOOKUP(C11516,'lookup table'!$A$2:$B$19,2,FALSE)</f>
        <v>ignore</v>
      </c>
      <c r="E11516" t="str">
        <f t="shared" si="179"/>
        <v>TR007_70|ignore</v>
      </c>
    </row>
    <row r="11517" spans="1:5" x14ac:dyDescent="0.2">
      <c r="A11517" t="s">
        <v>3417</v>
      </c>
      <c r="B11517" t="s">
        <v>3418</v>
      </c>
      <c r="C11517" t="s">
        <v>428</v>
      </c>
      <c r="D11517" t="str">
        <f>VLOOKUP(C11517,'lookup table'!$A$2:$B$19,2,FALSE)</f>
        <v>LoB</v>
      </c>
      <c r="E11517" t="str">
        <f t="shared" si="179"/>
        <v>TR007_70|LoB</v>
      </c>
    </row>
    <row r="11518" spans="1:5" x14ac:dyDescent="0.2">
      <c r="A11518" t="s">
        <v>3417</v>
      </c>
      <c r="B11518" t="s">
        <v>3418</v>
      </c>
      <c r="C11518" t="s">
        <v>441</v>
      </c>
      <c r="D11518" t="str">
        <f>VLOOKUP(C11518,'lookup table'!$A$2:$B$19,2,FALSE)</f>
        <v>Partner Segment</v>
      </c>
      <c r="E11518" t="str">
        <f t="shared" si="179"/>
        <v>TR007_70|Partner Segment</v>
      </c>
    </row>
    <row r="11519" spans="1:5" x14ac:dyDescent="0.2">
      <c r="A11519" t="s">
        <v>3417</v>
      </c>
      <c r="B11519" t="s">
        <v>3418</v>
      </c>
      <c r="C11519" t="s">
        <v>442</v>
      </c>
      <c r="D11519" t="str">
        <f>VLOOKUP(C11519,'lookup table'!$A$2:$B$19,2,FALSE)</f>
        <v>Partner Unit</v>
      </c>
      <c r="E11519" t="str">
        <f t="shared" si="179"/>
        <v>TR007_70|Partner Unit</v>
      </c>
    </row>
    <row r="11520" spans="1:5" x14ac:dyDescent="0.2">
      <c r="A11520" t="s">
        <v>3419</v>
      </c>
      <c r="B11520" t="s">
        <v>3420</v>
      </c>
      <c r="C11520" t="s">
        <v>20</v>
      </c>
      <c r="D11520" t="str">
        <f>VLOOKUP(C11520,'lookup table'!$A$2:$B$19,2,FALSE)</f>
        <v>AY</v>
      </c>
      <c r="E11520" t="str">
        <f t="shared" si="179"/>
        <v>TR008_17|AY</v>
      </c>
    </row>
    <row r="11521" spans="1:5" x14ac:dyDescent="0.2">
      <c r="A11521" t="s">
        <v>3419</v>
      </c>
      <c r="B11521" t="s">
        <v>3420</v>
      </c>
      <c r="C11521" t="s">
        <v>136</v>
      </c>
      <c r="D11521" t="str">
        <f>VLOOKUP(C11521,'lookup table'!$A$2:$B$19,2,FALSE)</f>
        <v>BBA Set</v>
      </c>
      <c r="E11521" t="str">
        <f t="shared" si="179"/>
        <v>TR008_17|BBA Set</v>
      </c>
    </row>
    <row r="11522" spans="1:5" x14ac:dyDescent="0.2">
      <c r="A11522" t="s">
        <v>3419</v>
      </c>
      <c r="B11522" t="s">
        <v>3420</v>
      </c>
      <c r="C11522" t="s">
        <v>331</v>
      </c>
      <c r="D11522" t="str">
        <f>VLOOKUP(C11522,'lookup table'!$A$2:$B$19,2,FALSE)</f>
        <v>FS Item</v>
      </c>
      <c r="E11522" t="str">
        <f t="shared" si="179"/>
        <v>TR008_17|FS Item</v>
      </c>
    </row>
    <row r="11523" spans="1:5" x14ac:dyDescent="0.2">
      <c r="A11523" t="s">
        <v>3419</v>
      </c>
      <c r="B11523" t="s">
        <v>3420</v>
      </c>
      <c r="C11523" t="s">
        <v>423</v>
      </c>
      <c r="D11523" t="str">
        <f>VLOOKUP(C11523,'lookup table'!$A$2:$B$19,2,FALSE)</f>
        <v>ignore</v>
      </c>
      <c r="E11523" t="str">
        <f t="shared" ref="E11523:E11586" si="180">IF(ISNA(D11523),"",IF(A11523="","",A11523) &amp; "|" &amp; D11523)</f>
        <v>TR008_17|ignore</v>
      </c>
    </row>
    <row r="11524" spans="1:5" x14ac:dyDescent="0.2">
      <c r="A11524" t="s">
        <v>3419</v>
      </c>
      <c r="B11524" t="s">
        <v>3420</v>
      </c>
      <c r="C11524" t="s">
        <v>425</v>
      </c>
      <c r="D11524" t="str">
        <f>VLOOKUP(C11524,'lookup table'!$A$2:$B$19,2,FALSE)</f>
        <v>Investee Segment</v>
      </c>
      <c r="E11524" t="str">
        <f t="shared" si="180"/>
        <v>TR008_17|Investee Segment</v>
      </c>
    </row>
    <row r="11525" spans="1:5" x14ac:dyDescent="0.2">
      <c r="A11525" t="s">
        <v>3419</v>
      </c>
      <c r="B11525" t="s">
        <v>3420</v>
      </c>
      <c r="C11525" t="s">
        <v>426</v>
      </c>
      <c r="D11525" t="str">
        <f>VLOOKUP(C11525,'lookup table'!$A$2:$B$19,2,FALSE)</f>
        <v>Investee Unit</v>
      </c>
      <c r="E11525" t="str">
        <f t="shared" si="180"/>
        <v>TR008_17|Investee Unit</v>
      </c>
    </row>
    <row r="11526" spans="1:5" x14ac:dyDescent="0.2">
      <c r="A11526" t="s">
        <v>3419</v>
      </c>
      <c r="B11526" t="s">
        <v>3420</v>
      </c>
      <c r="C11526" t="s">
        <v>428</v>
      </c>
      <c r="D11526" t="str">
        <f>VLOOKUP(C11526,'lookup table'!$A$2:$B$19,2,FALSE)</f>
        <v>LoB</v>
      </c>
      <c r="E11526" t="str">
        <f t="shared" si="180"/>
        <v>TR008_17|LoB</v>
      </c>
    </row>
    <row r="11527" spans="1:5" x14ac:dyDescent="0.2">
      <c r="A11527" t="s">
        <v>3419</v>
      </c>
      <c r="B11527" t="s">
        <v>3420</v>
      </c>
      <c r="C11527" t="s">
        <v>438</v>
      </c>
      <c r="D11527" t="str">
        <f>VLOOKUP(C11527,'lookup table'!$A$2:$B$19,2,FALSE)</f>
        <v>ToM</v>
      </c>
      <c r="E11527" t="str">
        <f t="shared" si="180"/>
        <v>TR008_17|ToM</v>
      </c>
    </row>
    <row r="11528" spans="1:5" x14ac:dyDescent="0.2">
      <c r="A11528" t="s">
        <v>3419</v>
      </c>
      <c r="B11528" t="s">
        <v>3420</v>
      </c>
      <c r="C11528" t="s">
        <v>441</v>
      </c>
      <c r="D11528" t="str">
        <f>VLOOKUP(C11528,'lookup table'!$A$2:$B$19,2,FALSE)</f>
        <v>Partner Segment</v>
      </c>
      <c r="E11528" t="str">
        <f t="shared" si="180"/>
        <v>TR008_17|Partner Segment</v>
      </c>
    </row>
    <row r="11529" spans="1:5" x14ac:dyDescent="0.2">
      <c r="A11529" t="s">
        <v>3419</v>
      </c>
      <c r="B11529" t="s">
        <v>3420</v>
      </c>
      <c r="C11529" t="s">
        <v>442</v>
      </c>
      <c r="D11529" t="str">
        <f>VLOOKUP(C11529,'lookup table'!$A$2:$B$19,2,FALSE)</f>
        <v>Partner Unit</v>
      </c>
      <c r="E11529" t="str">
        <f t="shared" si="180"/>
        <v>TR008_17|Partner Unit</v>
      </c>
    </row>
    <row r="11530" spans="1:5" x14ac:dyDescent="0.2">
      <c r="A11530" t="s">
        <v>3419</v>
      </c>
      <c r="B11530" t="s">
        <v>3420</v>
      </c>
      <c r="C11530" t="s">
        <v>451</v>
      </c>
      <c r="D11530" t="str">
        <f>VLOOKUP(C11530,'lookup table'!$A$2:$B$19,2,FALSE)</f>
        <v>Segment</v>
      </c>
      <c r="E11530" t="str">
        <f t="shared" si="180"/>
        <v>TR008_17|Segment</v>
      </c>
    </row>
    <row r="11531" spans="1:5" x14ac:dyDescent="0.2">
      <c r="A11531" t="s">
        <v>3419</v>
      </c>
      <c r="B11531" t="s">
        <v>3420</v>
      </c>
      <c r="C11531" t="s">
        <v>461</v>
      </c>
      <c r="D11531" t="str">
        <f>VLOOKUP(C11531,'lookup table'!$A$2:$B$19,2,FALSE)</f>
        <v>Posting Level</v>
      </c>
      <c r="E11531" t="str">
        <f t="shared" si="180"/>
        <v>TR008_17|Posting Level</v>
      </c>
    </row>
    <row r="11532" spans="1:5" x14ac:dyDescent="0.2">
      <c r="A11532" t="s">
        <v>3421</v>
      </c>
      <c r="B11532" t="s">
        <v>3422</v>
      </c>
      <c r="C11532" t="s">
        <v>331</v>
      </c>
      <c r="D11532" t="str">
        <f>VLOOKUP(C11532,'lookup table'!$A$2:$B$19,2,FALSE)</f>
        <v>FS Item</v>
      </c>
      <c r="E11532" t="str">
        <f t="shared" si="180"/>
        <v>TR008_70|FS Item</v>
      </c>
    </row>
    <row r="11533" spans="1:5" x14ac:dyDescent="0.2">
      <c r="A11533" t="s">
        <v>3421</v>
      </c>
      <c r="B11533" t="s">
        <v>3422</v>
      </c>
      <c r="C11533" t="s">
        <v>423</v>
      </c>
      <c r="D11533" t="str">
        <f>VLOOKUP(C11533,'lookup table'!$A$2:$B$19,2,FALSE)</f>
        <v>ignore</v>
      </c>
      <c r="E11533" t="str">
        <f t="shared" si="180"/>
        <v>TR008_70|ignore</v>
      </c>
    </row>
    <row r="11534" spans="1:5" x14ac:dyDescent="0.2">
      <c r="A11534" t="s">
        <v>3421</v>
      </c>
      <c r="B11534" t="s">
        <v>3422</v>
      </c>
      <c r="C11534" t="s">
        <v>438</v>
      </c>
      <c r="D11534" t="str">
        <f>VLOOKUP(C11534,'lookup table'!$A$2:$B$19,2,FALSE)</f>
        <v>ToM</v>
      </c>
      <c r="E11534" t="str">
        <f t="shared" si="180"/>
        <v>TR008_70|ToM</v>
      </c>
    </row>
    <row r="11535" spans="1:5" x14ac:dyDescent="0.2">
      <c r="A11535" t="s">
        <v>3423</v>
      </c>
      <c r="B11535" t="s">
        <v>3424</v>
      </c>
      <c r="C11535" t="s">
        <v>331</v>
      </c>
      <c r="D11535" t="str">
        <f>VLOOKUP(C11535,'lookup table'!$A$2:$B$19,2,FALSE)</f>
        <v>FS Item</v>
      </c>
      <c r="E11535" t="str">
        <f t="shared" si="180"/>
        <v>TR009_17|FS Item</v>
      </c>
    </row>
    <row r="11536" spans="1:5" x14ac:dyDescent="0.2">
      <c r="A11536" t="s">
        <v>3423</v>
      </c>
      <c r="B11536" t="s">
        <v>3424</v>
      </c>
      <c r="C11536" t="s">
        <v>423</v>
      </c>
      <c r="D11536" t="str">
        <f>VLOOKUP(C11536,'lookup table'!$A$2:$B$19,2,FALSE)</f>
        <v>ignore</v>
      </c>
      <c r="E11536" t="str">
        <f t="shared" si="180"/>
        <v>TR009_17|ignore</v>
      </c>
    </row>
    <row r="11537" spans="1:5" x14ac:dyDescent="0.2">
      <c r="A11537" t="s">
        <v>3423</v>
      </c>
      <c r="B11537" t="s">
        <v>3424</v>
      </c>
      <c r="C11537" t="s">
        <v>438</v>
      </c>
      <c r="D11537" t="str">
        <f>VLOOKUP(C11537,'lookup table'!$A$2:$B$19,2,FALSE)</f>
        <v>ToM</v>
      </c>
      <c r="E11537" t="str">
        <f t="shared" si="180"/>
        <v>TR009_17|ToM</v>
      </c>
    </row>
    <row r="11538" spans="1:5" x14ac:dyDescent="0.2">
      <c r="A11538" t="s">
        <v>3425</v>
      </c>
      <c r="B11538" t="s">
        <v>3426</v>
      </c>
      <c r="C11538" t="s">
        <v>438</v>
      </c>
      <c r="D11538" t="str">
        <f>VLOOKUP(C11538,'lookup table'!$A$2:$B$19,2,FALSE)</f>
        <v>ToM</v>
      </c>
      <c r="E11538" t="str">
        <f t="shared" si="180"/>
        <v>TR009_70|ToM</v>
      </c>
    </row>
    <row r="11539" spans="1:5" x14ac:dyDescent="0.2">
      <c r="A11539" t="s">
        <v>3427</v>
      </c>
      <c r="B11539" t="s">
        <v>3428</v>
      </c>
      <c r="C11539" t="s">
        <v>20</v>
      </c>
      <c r="D11539" t="str">
        <f>VLOOKUP(C11539,'lookup table'!$A$2:$B$19,2,FALSE)</f>
        <v>AY</v>
      </c>
      <c r="E11539" t="str">
        <f t="shared" si="180"/>
        <v>TR01_SST|AY</v>
      </c>
    </row>
    <row r="11540" spans="1:5" x14ac:dyDescent="0.2">
      <c r="A11540" t="s">
        <v>3427</v>
      </c>
      <c r="B11540" t="s">
        <v>3428</v>
      </c>
      <c r="C11540" t="s">
        <v>331</v>
      </c>
      <c r="D11540" t="str">
        <f>VLOOKUP(C11540,'lookup table'!$A$2:$B$19,2,FALSE)</f>
        <v>FS Item</v>
      </c>
      <c r="E11540" t="str">
        <f t="shared" si="180"/>
        <v>TR01_SST|FS Item</v>
      </c>
    </row>
    <row r="11541" spans="1:5" x14ac:dyDescent="0.2">
      <c r="A11541" t="s">
        <v>3427</v>
      </c>
      <c r="B11541" t="s">
        <v>3428</v>
      </c>
      <c r="C11541" t="s">
        <v>423</v>
      </c>
      <c r="D11541" t="str">
        <f>VLOOKUP(C11541,'lookup table'!$A$2:$B$19,2,FALSE)</f>
        <v>ignore</v>
      </c>
      <c r="E11541" t="str">
        <f t="shared" si="180"/>
        <v>TR01_SST|ignore</v>
      </c>
    </row>
    <row r="11542" spans="1:5" x14ac:dyDescent="0.2">
      <c r="A11542" t="s">
        <v>3427</v>
      </c>
      <c r="B11542" t="s">
        <v>3428</v>
      </c>
      <c r="C11542" t="s">
        <v>428</v>
      </c>
      <c r="D11542" t="str">
        <f>VLOOKUP(C11542,'lookup table'!$A$2:$B$19,2,FALSE)</f>
        <v>LoB</v>
      </c>
      <c r="E11542" t="str">
        <f t="shared" si="180"/>
        <v>TR01_SST|LoB</v>
      </c>
    </row>
    <row r="11543" spans="1:5" x14ac:dyDescent="0.2">
      <c r="A11543" t="s">
        <v>3427</v>
      </c>
      <c r="B11543" t="s">
        <v>3428</v>
      </c>
      <c r="C11543" t="s">
        <v>438</v>
      </c>
      <c r="D11543" t="str">
        <f>VLOOKUP(C11543,'lookup table'!$A$2:$B$19,2,FALSE)</f>
        <v>ToM</v>
      </c>
      <c r="E11543" t="str">
        <f t="shared" si="180"/>
        <v>TR01_SST|ToM</v>
      </c>
    </row>
    <row r="11544" spans="1:5" x14ac:dyDescent="0.2">
      <c r="A11544" t="s">
        <v>3427</v>
      </c>
      <c r="B11544" t="s">
        <v>3428</v>
      </c>
      <c r="C11544" t="s">
        <v>441</v>
      </c>
      <c r="D11544" t="str">
        <f>VLOOKUP(C11544,'lookup table'!$A$2:$B$19,2,FALSE)</f>
        <v>Partner Segment</v>
      </c>
      <c r="E11544" t="str">
        <f t="shared" si="180"/>
        <v>TR01_SST|Partner Segment</v>
      </c>
    </row>
    <row r="11545" spans="1:5" x14ac:dyDescent="0.2">
      <c r="A11545" t="s">
        <v>3427</v>
      </c>
      <c r="B11545" t="s">
        <v>3428</v>
      </c>
      <c r="C11545" t="s">
        <v>442</v>
      </c>
      <c r="D11545" t="str">
        <f>VLOOKUP(C11545,'lookup table'!$A$2:$B$19,2,FALSE)</f>
        <v>Partner Unit</v>
      </c>
      <c r="E11545" t="str">
        <f t="shared" si="180"/>
        <v>TR01_SST|Partner Unit</v>
      </c>
    </row>
    <row r="11546" spans="1:5" x14ac:dyDescent="0.2">
      <c r="A11546" t="s">
        <v>3429</v>
      </c>
      <c r="B11546" t="s">
        <v>3430</v>
      </c>
      <c r="C11546" t="s">
        <v>14</v>
      </c>
      <c r="D11546" t="str">
        <f>VLOOKUP(C11546,'lookup table'!$A$2:$B$19,2,FALSE)</f>
        <v>ALC</v>
      </c>
      <c r="E11546" t="str">
        <f t="shared" si="180"/>
        <v>TR010_17|ALC</v>
      </c>
    </row>
    <row r="11547" spans="1:5" x14ac:dyDescent="0.2">
      <c r="A11547" t="s">
        <v>3429</v>
      </c>
      <c r="B11547" t="s">
        <v>3430</v>
      </c>
      <c r="C11547" t="s">
        <v>20</v>
      </c>
      <c r="D11547" t="str">
        <f>VLOOKUP(C11547,'lookup table'!$A$2:$B$19,2,FALSE)</f>
        <v>AY</v>
      </c>
      <c r="E11547" t="str">
        <f t="shared" si="180"/>
        <v>TR010_17|AY</v>
      </c>
    </row>
    <row r="11548" spans="1:5" x14ac:dyDescent="0.2">
      <c r="A11548" t="s">
        <v>3429</v>
      </c>
      <c r="B11548" t="s">
        <v>3430</v>
      </c>
      <c r="C11548" t="s">
        <v>136</v>
      </c>
      <c r="D11548" t="str">
        <f>VLOOKUP(C11548,'lookup table'!$A$2:$B$19,2,FALSE)</f>
        <v>BBA Set</v>
      </c>
      <c r="E11548" t="str">
        <f t="shared" si="180"/>
        <v>TR010_17|BBA Set</v>
      </c>
    </row>
    <row r="11549" spans="1:5" x14ac:dyDescent="0.2">
      <c r="A11549" t="s">
        <v>3429</v>
      </c>
      <c r="B11549" t="s">
        <v>3430</v>
      </c>
      <c r="C11549" t="s">
        <v>331</v>
      </c>
      <c r="D11549" t="str">
        <f>VLOOKUP(C11549,'lookup table'!$A$2:$B$19,2,FALSE)</f>
        <v>FS Item</v>
      </c>
      <c r="E11549" t="str">
        <f t="shared" si="180"/>
        <v>TR010_17|FS Item</v>
      </c>
    </row>
    <row r="11550" spans="1:5" x14ac:dyDescent="0.2">
      <c r="A11550" t="s">
        <v>3429</v>
      </c>
      <c r="B11550" t="s">
        <v>3430</v>
      </c>
      <c r="C11550" t="s">
        <v>423</v>
      </c>
      <c r="D11550" t="str">
        <f>VLOOKUP(C11550,'lookup table'!$A$2:$B$19,2,FALSE)</f>
        <v>ignore</v>
      </c>
      <c r="E11550" t="str">
        <f t="shared" si="180"/>
        <v>TR010_17|ignore</v>
      </c>
    </row>
    <row r="11551" spans="1:5" x14ac:dyDescent="0.2">
      <c r="A11551" t="s">
        <v>3429</v>
      </c>
      <c r="B11551" t="s">
        <v>3430</v>
      </c>
      <c r="C11551" t="s">
        <v>425</v>
      </c>
      <c r="D11551" t="str">
        <f>VLOOKUP(C11551,'lookup table'!$A$2:$B$19,2,FALSE)</f>
        <v>Investee Segment</v>
      </c>
      <c r="E11551" t="str">
        <f t="shared" si="180"/>
        <v>TR010_17|Investee Segment</v>
      </c>
    </row>
    <row r="11552" spans="1:5" x14ac:dyDescent="0.2">
      <c r="A11552" t="s">
        <v>3429</v>
      </c>
      <c r="B11552" t="s">
        <v>3430</v>
      </c>
      <c r="C11552" t="s">
        <v>426</v>
      </c>
      <c r="D11552" t="str">
        <f>VLOOKUP(C11552,'lookup table'!$A$2:$B$19,2,FALSE)</f>
        <v>Investee Unit</v>
      </c>
      <c r="E11552" t="str">
        <f t="shared" si="180"/>
        <v>TR010_17|Investee Unit</v>
      </c>
    </row>
    <row r="11553" spans="1:5" x14ac:dyDescent="0.2">
      <c r="A11553" t="s">
        <v>3429</v>
      </c>
      <c r="B11553" t="s">
        <v>3430</v>
      </c>
      <c r="C11553" t="s">
        <v>428</v>
      </c>
      <c r="D11553" t="str">
        <f>VLOOKUP(C11553,'lookup table'!$A$2:$B$19,2,FALSE)</f>
        <v>LoB</v>
      </c>
      <c r="E11553" t="str">
        <f t="shared" si="180"/>
        <v>TR010_17|LoB</v>
      </c>
    </row>
    <row r="11554" spans="1:5" x14ac:dyDescent="0.2">
      <c r="A11554" t="s">
        <v>3429</v>
      </c>
      <c r="B11554" t="s">
        <v>3430</v>
      </c>
      <c r="C11554" t="s">
        <v>436</v>
      </c>
      <c r="D11554" t="str">
        <f>VLOOKUP(C11554,'lookup table'!$A$2:$B$19,2,FALSE)</f>
        <v>MAT</v>
      </c>
      <c r="E11554" t="str">
        <f t="shared" si="180"/>
        <v>TR010_17|MAT</v>
      </c>
    </row>
    <row r="11555" spans="1:5" x14ac:dyDescent="0.2">
      <c r="A11555" t="s">
        <v>3429</v>
      </c>
      <c r="B11555" t="s">
        <v>3430</v>
      </c>
      <c r="C11555" t="s">
        <v>438</v>
      </c>
      <c r="D11555" t="str">
        <f>VLOOKUP(C11555,'lookup table'!$A$2:$B$19,2,FALSE)</f>
        <v>ToM</v>
      </c>
      <c r="E11555" t="str">
        <f t="shared" si="180"/>
        <v>TR010_17|ToM</v>
      </c>
    </row>
    <row r="11556" spans="1:5" x14ac:dyDescent="0.2">
      <c r="A11556" t="s">
        <v>3429</v>
      </c>
      <c r="B11556" t="s">
        <v>3430</v>
      </c>
      <c r="C11556" t="s">
        <v>441</v>
      </c>
      <c r="D11556" t="str">
        <f>VLOOKUP(C11556,'lookup table'!$A$2:$B$19,2,FALSE)</f>
        <v>Partner Segment</v>
      </c>
      <c r="E11556" t="str">
        <f t="shared" si="180"/>
        <v>TR010_17|Partner Segment</v>
      </c>
    </row>
    <row r="11557" spans="1:5" x14ac:dyDescent="0.2">
      <c r="A11557" t="s">
        <v>3429</v>
      </c>
      <c r="B11557" t="s">
        <v>3430</v>
      </c>
      <c r="C11557" t="s">
        <v>442</v>
      </c>
      <c r="D11557" t="str">
        <f>VLOOKUP(C11557,'lookup table'!$A$2:$B$19,2,FALSE)</f>
        <v>Partner Unit</v>
      </c>
      <c r="E11557" t="str">
        <f t="shared" si="180"/>
        <v>TR010_17|Partner Unit</v>
      </c>
    </row>
    <row r="11558" spans="1:5" x14ac:dyDescent="0.2">
      <c r="A11558" t="s">
        <v>3429</v>
      </c>
      <c r="B11558" t="s">
        <v>3430</v>
      </c>
      <c r="C11558" t="s">
        <v>447</v>
      </c>
      <c r="D11558" t="str">
        <f>VLOOKUP(C11558,'lookup table'!$A$2:$B$19,2,FALSE)</f>
        <v>REX</v>
      </c>
      <c r="E11558" t="str">
        <f t="shared" si="180"/>
        <v>TR010_17|REX</v>
      </c>
    </row>
    <row r="11559" spans="1:5" x14ac:dyDescent="0.2">
      <c r="A11559" t="s">
        <v>3429</v>
      </c>
      <c r="B11559" t="s">
        <v>3430</v>
      </c>
      <c r="C11559" t="s">
        <v>451</v>
      </c>
      <c r="D11559" t="str">
        <f>VLOOKUP(C11559,'lookup table'!$A$2:$B$19,2,FALSE)</f>
        <v>Segment</v>
      </c>
      <c r="E11559" t="str">
        <f t="shared" si="180"/>
        <v>TR010_17|Segment</v>
      </c>
    </row>
    <row r="11560" spans="1:5" x14ac:dyDescent="0.2">
      <c r="A11560" t="s">
        <v>3429</v>
      </c>
      <c r="B11560" t="s">
        <v>3430</v>
      </c>
      <c r="C11560" t="s">
        <v>457</v>
      </c>
      <c r="D11560" t="str">
        <f>VLOOKUP(C11560,'lookup table'!$A$2:$B$19,2,FALSE)</f>
        <v>VLT</v>
      </c>
      <c r="E11560" t="str">
        <f t="shared" si="180"/>
        <v>TR010_17|VLT</v>
      </c>
    </row>
    <row r="11561" spans="1:5" x14ac:dyDescent="0.2">
      <c r="A11561" t="s">
        <v>3429</v>
      </c>
      <c r="B11561" t="s">
        <v>3430</v>
      </c>
      <c r="C11561" t="s">
        <v>458</v>
      </c>
      <c r="D11561" t="str">
        <f>VLOOKUP(C11561,'lookup table'!$A$2:$B$19,2,FALSE)</f>
        <v>VAR</v>
      </c>
      <c r="E11561" t="str">
        <f t="shared" si="180"/>
        <v>TR010_17|VAR</v>
      </c>
    </row>
    <row r="11562" spans="1:5" x14ac:dyDescent="0.2">
      <c r="A11562" t="s">
        <v>3429</v>
      </c>
      <c r="B11562" t="s">
        <v>3430</v>
      </c>
      <c r="C11562" t="s">
        <v>461</v>
      </c>
      <c r="D11562" t="str">
        <f>VLOOKUP(C11562,'lookup table'!$A$2:$B$19,2,FALSE)</f>
        <v>Posting Level</v>
      </c>
      <c r="E11562" t="str">
        <f t="shared" si="180"/>
        <v>TR010_17|Posting Level</v>
      </c>
    </row>
    <row r="11563" spans="1:5" x14ac:dyDescent="0.2">
      <c r="A11563" t="s">
        <v>3431</v>
      </c>
      <c r="B11563" t="s">
        <v>3432</v>
      </c>
      <c r="C11563" t="s">
        <v>331</v>
      </c>
      <c r="D11563" t="str">
        <f>VLOOKUP(C11563,'lookup table'!$A$2:$B$19,2,FALSE)</f>
        <v>FS Item</v>
      </c>
      <c r="E11563" t="str">
        <f t="shared" si="180"/>
        <v>TR010_70|FS Item</v>
      </c>
    </row>
    <row r="11564" spans="1:5" x14ac:dyDescent="0.2">
      <c r="A11564" t="s">
        <v>3431</v>
      </c>
      <c r="B11564" t="s">
        <v>3432</v>
      </c>
      <c r="C11564" t="s">
        <v>423</v>
      </c>
      <c r="D11564" t="str">
        <f>VLOOKUP(C11564,'lookup table'!$A$2:$B$19,2,FALSE)</f>
        <v>ignore</v>
      </c>
      <c r="E11564" t="str">
        <f t="shared" si="180"/>
        <v>TR010_70|ignore</v>
      </c>
    </row>
    <row r="11565" spans="1:5" x14ac:dyDescent="0.2">
      <c r="A11565" t="s">
        <v>3431</v>
      </c>
      <c r="B11565" t="s">
        <v>3432</v>
      </c>
      <c r="C11565" t="s">
        <v>438</v>
      </c>
      <c r="D11565" t="str">
        <f>VLOOKUP(C11565,'lookup table'!$A$2:$B$19,2,FALSE)</f>
        <v>ToM</v>
      </c>
      <c r="E11565" t="str">
        <f t="shared" si="180"/>
        <v>TR010_70|ToM</v>
      </c>
    </row>
    <row r="11566" spans="1:5" x14ac:dyDescent="0.2">
      <c r="A11566" t="s">
        <v>3433</v>
      </c>
      <c r="B11566" t="s">
        <v>3434</v>
      </c>
      <c r="C11566" t="s">
        <v>331</v>
      </c>
      <c r="D11566" t="str">
        <f>VLOOKUP(C11566,'lookup table'!$A$2:$B$19,2,FALSE)</f>
        <v>FS Item</v>
      </c>
      <c r="E11566" t="str">
        <f t="shared" si="180"/>
        <v>TR011_09|FS Item</v>
      </c>
    </row>
    <row r="11567" spans="1:5" x14ac:dyDescent="0.2">
      <c r="A11567" t="s">
        <v>3433</v>
      </c>
      <c r="B11567" t="s">
        <v>3434</v>
      </c>
      <c r="C11567" t="s">
        <v>423</v>
      </c>
      <c r="D11567" t="str">
        <f>VLOOKUP(C11567,'lookup table'!$A$2:$B$19,2,FALSE)</f>
        <v>ignore</v>
      </c>
      <c r="E11567" t="str">
        <f t="shared" si="180"/>
        <v>TR011_09|ignore</v>
      </c>
    </row>
    <row r="11568" spans="1:5" x14ac:dyDescent="0.2">
      <c r="A11568" t="s">
        <v>3433</v>
      </c>
      <c r="B11568" t="s">
        <v>3434</v>
      </c>
      <c r="C11568" t="s">
        <v>438</v>
      </c>
      <c r="D11568" t="str">
        <f>VLOOKUP(C11568,'lookup table'!$A$2:$B$19,2,FALSE)</f>
        <v>ToM</v>
      </c>
      <c r="E11568" t="str">
        <f t="shared" si="180"/>
        <v>TR011_09|ToM</v>
      </c>
    </row>
    <row r="11569" spans="1:5" x14ac:dyDescent="0.2">
      <c r="A11569" t="s">
        <v>3435</v>
      </c>
      <c r="B11569" t="s">
        <v>420</v>
      </c>
      <c r="C11569" t="s">
        <v>331</v>
      </c>
      <c r="D11569" t="str">
        <f>VLOOKUP(C11569,'lookup table'!$A$2:$B$19,2,FALSE)</f>
        <v>FS Item</v>
      </c>
      <c r="E11569" t="str">
        <f t="shared" si="180"/>
        <v>TR011_17|FS Item</v>
      </c>
    </row>
    <row r="11570" spans="1:5" x14ac:dyDescent="0.2">
      <c r="A11570" t="s">
        <v>3435</v>
      </c>
      <c r="B11570" t="s">
        <v>420</v>
      </c>
      <c r="C11570" t="s">
        <v>423</v>
      </c>
      <c r="D11570" t="str">
        <f>VLOOKUP(C11570,'lookup table'!$A$2:$B$19,2,FALSE)</f>
        <v>ignore</v>
      </c>
      <c r="E11570" t="str">
        <f t="shared" si="180"/>
        <v>TR011_17|ignore</v>
      </c>
    </row>
    <row r="11571" spans="1:5" x14ac:dyDescent="0.2">
      <c r="A11571" t="s">
        <v>3435</v>
      </c>
      <c r="B11571" t="s">
        <v>420</v>
      </c>
      <c r="C11571" t="s">
        <v>441</v>
      </c>
      <c r="D11571" t="str">
        <f>VLOOKUP(C11571,'lookup table'!$A$2:$B$19,2,FALSE)</f>
        <v>Partner Segment</v>
      </c>
      <c r="E11571" t="str">
        <f t="shared" si="180"/>
        <v>TR011_17|Partner Segment</v>
      </c>
    </row>
    <row r="11572" spans="1:5" x14ac:dyDescent="0.2">
      <c r="A11572" t="s">
        <v>3435</v>
      </c>
      <c r="B11572" t="s">
        <v>420</v>
      </c>
      <c r="C11572" t="s">
        <v>442</v>
      </c>
      <c r="D11572" t="str">
        <f>VLOOKUP(C11572,'lookup table'!$A$2:$B$19,2,FALSE)</f>
        <v>Partner Unit</v>
      </c>
      <c r="E11572" t="str">
        <f t="shared" si="180"/>
        <v>TR011_17|Partner Unit</v>
      </c>
    </row>
    <row r="11573" spans="1:5" x14ac:dyDescent="0.2">
      <c r="A11573" t="s">
        <v>3435</v>
      </c>
      <c r="B11573" t="s">
        <v>420</v>
      </c>
      <c r="C11573" t="s">
        <v>451</v>
      </c>
      <c r="D11573" t="str">
        <f>VLOOKUP(C11573,'lookup table'!$A$2:$B$19,2,FALSE)</f>
        <v>Segment</v>
      </c>
      <c r="E11573" t="str">
        <f t="shared" si="180"/>
        <v>TR011_17|Segment</v>
      </c>
    </row>
    <row r="11574" spans="1:5" x14ac:dyDescent="0.2">
      <c r="A11574" t="s">
        <v>3436</v>
      </c>
      <c r="B11574" t="s">
        <v>3437</v>
      </c>
      <c r="C11574" t="s">
        <v>331</v>
      </c>
      <c r="D11574" t="str">
        <f>VLOOKUP(C11574,'lookup table'!$A$2:$B$19,2,FALSE)</f>
        <v>FS Item</v>
      </c>
      <c r="E11574" t="str">
        <f t="shared" si="180"/>
        <v>TR011_70|FS Item</v>
      </c>
    </row>
    <row r="11575" spans="1:5" x14ac:dyDescent="0.2">
      <c r="A11575" t="s">
        <v>3436</v>
      </c>
      <c r="B11575" t="s">
        <v>3437</v>
      </c>
      <c r="C11575" t="s">
        <v>423</v>
      </c>
      <c r="D11575" t="str">
        <f>VLOOKUP(C11575,'lookup table'!$A$2:$B$19,2,FALSE)</f>
        <v>ignore</v>
      </c>
      <c r="E11575" t="str">
        <f t="shared" si="180"/>
        <v>TR011_70|ignore</v>
      </c>
    </row>
    <row r="11576" spans="1:5" x14ac:dyDescent="0.2">
      <c r="A11576" t="s">
        <v>3436</v>
      </c>
      <c r="B11576" t="s">
        <v>3437</v>
      </c>
      <c r="C11576" t="s">
        <v>438</v>
      </c>
      <c r="D11576" t="str">
        <f>VLOOKUP(C11576,'lookup table'!$A$2:$B$19,2,FALSE)</f>
        <v>ToM</v>
      </c>
      <c r="E11576" t="str">
        <f t="shared" si="180"/>
        <v>TR011_70|ToM</v>
      </c>
    </row>
    <row r="11577" spans="1:5" x14ac:dyDescent="0.2">
      <c r="A11577" t="s">
        <v>3438</v>
      </c>
      <c r="B11577" t="s">
        <v>3439</v>
      </c>
      <c r="C11577" t="s">
        <v>331</v>
      </c>
      <c r="D11577" t="str">
        <f>VLOOKUP(C11577,'lookup table'!$A$2:$B$19,2,FALSE)</f>
        <v>FS Item</v>
      </c>
      <c r="E11577" t="str">
        <f t="shared" si="180"/>
        <v>TR012_09|FS Item</v>
      </c>
    </row>
    <row r="11578" spans="1:5" x14ac:dyDescent="0.2">
      <c r="A11578" t="s">
        <v>3438</v>
      </c>
      <c r="B11578" t="s">
        <v>3439</v>
      </c>
      <c r="C11578" t="s">
        <v>423</v>
      </c>
      <c r="D11578" t="str">
        <f>VLOOKUP(C11578,'lookup table'!$A$2:$B$19,2,FALSE)</f>
        <v>ignore</v>
      </c>
      <c r="E11578" t="str">
        <f t="shared" si="180"/>
        <v>TR012_09|ignore</v>
      </c>
    </row>
    <row r="11579" spans="1:5" x14ac:dyDescent="0.2">
      <c r="A11579" t="s">
        <v>3438</v>
      </c>
      <c r="B11579" t="s">
        <v>3439</v>
      </c>
      <c r="C11579" t="s">
        <v>438</v>
      </c>
      <c r="D11579" t="str">
        <f>VLOOKUP(C11579,'lookup table'!$A$2:$B$19,2,FALSE)</f>
        <v>ToM</v>
      </c>
      <c r="E11579" t="str">
        <f t="shared" si="180"/>
        <v>TR012_09|ToM</v>
      </c>
    </row>
    <row r="11580" spans="1:5" x14ac:dyDescent="0.2">
      <c r="A11580" t="s">
        <v>3440</v>
      </c>
      <c r="B11580" t="s">
        <v>421</v>
      </c>
      <c r="C11580" t="s">
        <v>331</v>
      </c>
      <c r="D11580" t="str">
        <f>VLOOKUP(C11580,'lookup table'!$A$2:$B$19,2,FALSE)</f>
        <v>FS Item</v>
      </c>
      <c r="E11580" t="str">
        <f t="shared" si="180"/>
        <v>TR012_17|FS Item</v>
      </c>
    </row>
    <row r="11581" spans="1:5" x14ac:dyDescent="0.2">
      <c r="A11581" t="s">
        <v>3440</v>
      </c>
      <c r="B11581" t="s">
        <v>421</v>
      </c>
      <c r="C11581" t="s">
        <v>423</v>
      </c>
      <c r="D11581" t="str">
        <f>VLOOKUP(C11581,'lookup table'!$A$2:$B$19,2,FALSE)</f>
        <v>ignore</v>
      </c>
      <c r="E11581" t="str">
        <f t="shared" si="180"/>
        <v>TR012_17|ignore</v>
      </c>
    </row>
    <row r="11582" spans="1:5" x14ac:dyDescent="0.2">
      <c r="A11582" t="s">
        <v>3440</v>
      </c>
      <c r="B11582" t="s">
        <v>421</v>
      </c>
      <c r="C11582" t="s">
        <v>451</v>
      </c>
      <c r="D11582" t="str">
        <f>VLOOKUP(C11582,'lookup table'!$A$2:$B$19,2,FALSE)</f>
        <v>Segment</v>
      </c>
      <c r="E11582" t="str">
        <f t="shared" si="180"/>
        <v>TR012_17|Segment</v>
      </c>
    </row>
    <row r="11583" spans="1:5" x14ac:dyDescent="0.2">
      <c r="A11583" t="s">
        <v>3441</v>
      </c>
      <c r="B11583" t="s">
        <v>3442</v>
      </c>
      <c r="C11583" t="s">
        <v>331</v>
      </c>
      <c r="D11583" t="str">
        <f>VLOOKUP(C11583,'lookup table'!$A$2:$B$19,2,FALSE)</f>
        <v>FS Item</v>
      </c>
      <c r="E11583" t="str">
        <f t="shared" si="180"/>
        <v>TR012_70|FS Item</v>
      </c>
    </row>
    <row r="11584" spans="1:5" x14ac:dyDescent="0.2">
      <c r="A11584" t="s">
        <v>3441</v>
      </c>
      <c r="B11584" t="s">
        <v>3442</v>
      </c>
      <c r="C11584" t="s">
        <v>423</v>
      </c>
      <c r="D11584" t="str">
        <f>VLOOKUP(C11584,'lookup table'!$A$2:$B$19,2,FALSE)</f>
        <v>ignore</v>
      </c>
      <c r="E11584" t="str">
        <f t="shared" si="180"/>
        <v>TR012_70|ignore</v>
      </c>
    </row>
    <row r="11585" spans="1:5" x14ac:dyDescent="0.2">
      <c r="A11585" t="s">
        <v>3443</v>
      </c>
      <c r="B11585" t="s">
        <v>3444</v>
      </c>
      <c r="C11585" t="s">
        <v>331</v>
      </c>
      <c r="D11585" t="str">
        <f>VLOOKUP(C11585,'lookup table'!$A$2:$B$19,2,FALSE)</f>
        <v>FS Item</v>
      </c>
      <c r="E11585" t="str">
        <f t="shared" si="180"/>
        <v>TR013_09|FS Item</v>
      </c>
    </row>
    <row r="11586" spans="1:5" x14ac:dyDescent="0.2">
      <c r="A11586" t="s">
        <v>3443</v>
      </c>
      <c r="B11586" t="s">
        <v>3444</v>
      </c>
      <c r="C11586" t="s">
        <v>423</v>
      </c>
      <c r="D11586" t="str">
        <f>VLOOKUP(C11586,'lookup table'!$A$2:$B$19,2,FALSE)</f>
        <v>ignore</v>
      </c>
      <c r="E11586" t="str">
        <f t="shared" si="180"/>
        <v>TR013_09|ignore</v>
      </c>
    </row>
    <row r="11587" spans="1:5" x14ac:dyDescent="0.2">
      <c r="A11587" t="s">
        <v>3443</v>
      </c>
      <c r="B11587" t="s">
        <v>3444</v>
      </c>
      <c r="C11587" t="s">
        <v>438</v>
      </c>
      <c r="D11587" t="str">
        <f>VLOOKUP(C11587,'lookup table'!$A$2:$B$19,2,FALSE)</f>
        <v>ToM</v>
      </c>
      <c r="E11587" t="str">
        <f t="shared" ref="E11587:E11650" si="181">IF(ISNA(D11587),"",IF(A11587="","",A11587) &amp; "|" &amp; D11587)</f>
        <v>TR013_09|ToM</v>
      </c>
    </row>
    <row r="11588" spans="1:5" x14ac:dyDescent="0.2">
      <c r="A11588" t="s">
        <v>3445</v>
      </c>
      <c r="B11588" t="s">
        <v>3446</v>
      </c>
      <c r="C11588" t="s">
        <v>20</v>
      </c>
      <c r="D11588" t="str">
        <f>VLOOKUP(C11588,'lookup table'!$A$2:$B$19,2,FALSE)</f>
        <v>AY</v>
      </c>
      <c r="E11588" t="str">
        <f t="shared" si="181"/>
        <v>TR013_17|AY</v>
      </c>
    </row>
    <row r="11589" spans="1:5" x14ac:dyDescent="0.2">
      <c r="A11589" t="s">
        <v>3445</v>
      </c>
      <c r="B11589" t="s">
        <v>3446</v>
      </c>
      <c r="C11589" t="s">
        <v>331</v>
      </c>
      <c r="D11589" t="str">
        <f>VLOOKUP(C11589,'lookup table'!$A$2:$B$19,2,FALSE)</f>
        <v>FS Item</v>
      </c>
      <c r="E11589" t="str">
        <f t="shared" si="181"/>
        <v>TR013_17|FS Item</v>
      </c>
    </row>
    <row r="11590" spans="1:5" x14ac:dyDescent="0.2">
      <c r="A11590" t="s">
        <v>3445</v>
      </c>
      <c r="B11590" t="s">
        <v>3446</v>
      </c>
      <c r="C11590" t="s">
        <v>423</v>
      </c>
      <c r="D11590" t="str">
        <f>VLOOKUP(C11590,'lookup table'!$A$2:$B$19,2,FALSE)</f>
        <v>ignore</v>
      </c>
      <c r="E11590" t="str">
        <f t="shared" si="181"/>
        <v>TR013_17|ignore</v>
      </c>
    </row>
    <row r="11591" spans="1:5" x14ac:dyDescent="0.2">
      <c r="A11591" t="s">
        <v>3445</v>
      </c>
      <c r="B11591" t="s">
        <v>3446</v>
      </c>
      <c r="C11591" t="s">
        <v>428</v>
      </c>
      <c r="D11591" t="str">
        <f>VLOOKUP(C11591,'lookup table'!$A$2:$B$19,2,FALSE)</f>
        <v>LoB</v>
      </c>
      <c r="E11591" t="str">
        <f t="shared" si="181"/>
        <v>TR013_17|LoB</v>
      </c>
    </row>
    <row r="11592" spans="1:5" x14ac:dyDescent="0.2">
      <c r="A11592" t="s">
        <v>3445</v>
      </c>
      <c r="B11592" t="s">
        <v>3446</v>
      </c>
      <c r="C11592" t="s">
        <v>438</v>
      </c>
      <c r="D11592" t="str">
        <f>VLOOKUP(C11592,'lookup table'!$A$2:$B$19,2,FALSE)</f>
        <v>ToM</v>
      </c>
      <c r="E11592" t="str">
        <f t="shared" si="181"/>
        <v>TR013_17|ToM</v>
      </c>
    </row>
    <row r="11593" spans="1:5" x14ac:dyDescent="0.2">
      <c r="A11593" t="s">
        <v>3445</v>
      </c>
      <c r="B11593" t="s">
        <v>3446</v>
      </c>
      <c r="C11593" t="s">
        <v>441</v>
      </c>
      <c r="D11593" t="str">
        <f>VLOOKUP(C11593,'lookup table'!$A$2:$B$19,2,FALSE)</f>
        <v>Partner Segment</v>
      </c>
      <c r="E11593" t="str">
        <f t="shared" si="181"/>
        <v>TR013_17|Partner Segment</v>
      </c>
    </row>
    <row r="11594" spans="1:5" x14ac:dyDescent="0.2">
      <c r="A11594" t="s">
        <v>3445</v>
      </c>
      <c r="B11594" t="s">
        <v>3446</v>
      </c>
      <c r="C11594" t="s">
        <v>442</v>
      </c>
      <c r="D11594" t="str">
        <f>VLOOKUP(C11594,'lookup table'!$A$2:$B$19,2,FALSE)</f>
        <v>Partner Unit</v>
      </c>
      <c r="E11594" t="str">
        <f t="shared" si="181"/>
        <v>TR013_17|Partner Unit</v>
      </c>
    </row>
    <row r="11595" spans="1:5" x14ac:dyDescent="0.2">
      <c r="A11595" t="s">
        <v>3445</v>
      </c>
      <c r="B11595" t="s">
        <v>3446</v>
      </c>
      <c r="C11595" t="s">
        <v>451</v>
      </c>
      <c r="D11595" t="str">
        <f>VLOOKUP(C11595,'lookup table'!$A$2:$B$19,2,FALSE)</f>
        <v>Segment</v>
      </c>
      <c r="E11595" t="str">
        <f t="shared" si="181"/>
        <v>TR013_17|Segment</v>
      </c>
    </row>
    <row r="11596" spans="1:5" x14ac:dyDescent="0.2">
      <c r="A11596" t="s">
        <v>3445</v>
      </c>
      <c r="B11596" t="s">
        <v>3446</v>
      </c>
      <c r="C11596" t="s">
        <v>461</v>
      </c>
      <c r="D11596" t="str">
        <f>VLOOKUP(C11596,'lookup table'!$A$2:$B$19,2,FALSE)</f>
        <v>Posting Level</v>
      </c>
      <c r="E11596" t="str">
        <f t="shared" si="181"/>
        <v>TR013_17|Posting Level</v>
      </c>
    </row>
    <row r="11597" spans="1:5" x14ac:dyDescent="0.2">
      <c r="A11597" t="s">
        <v>3447</v>
      </c>
      <c r="B11597" t="s">
        <v>3448</v>
      </c>
      <c r="C11597" t="s">
        <v>20</v>
      </c>
      <c r="D11597" t="str">
        <f>VLOOKUP(C11597,'lookup table'!$A$2:$B$19,2,FALSE)</f>
        <v>AY</v>
      </c>
      <c r="E11597" t="str">
        <f t="shared" si="181"/>
        <v>TR013_70|AY</v>
      </c>
    </row>
    <row r="11598" spans="1:5" x14ac:dyDescent="0.2">
      <c r="A11598" t="s">
        <v>3447</v>
      </c>
      <c r="B11598" t="s">
        <v>3448</v>
      </c>
      <c r="C11598" t="s">
        <v>331</v>
      </c>
      <c r="D11598" t="str">
        <f>VLOOKUP(C11598,'lookup table'!$A$2:$B$19,2,FALSE)</f>
        <v>FS Item</v>
      </c>
      <c r="E11598" t="str">
        <f t="shared" si="181"/>
        <v>TR013_70|FS Item</v>
      </c>
    </row>
    <row r="11599" spans="1:5" x14ac:dyDescent="0.2">
      <c r="A11599" t="s">
        <v>3447</v>
      </c>
      <c r="B11599" t="s">
        <v>3448</v>
      </c>
      <c r="C11599" t="s">
        <v>423</v>
      </c>
      <c r="D11599" t="str">
        <f>VLOOKUP(C11599,'lookup table'!$A$2:$B$19,2,FALSE)</f>
        <v>ignore</v>
      </c>
      <c r="E11599" t="str">
        <f t="shared" si="181"/>
        <v>TR013_70|ignore</v>
      </c>
    </row>
    <row r="11600" spans="1:5" x14ac:dyDescent="0.2">
      <c r="A11600" t="s">
        <v>3447</v>
      </c>
      <c r="B11600" t="s">
        <v>3448</v>
      </c>
      <c r="C11600" t="s">
        <v>428</v>
      </c>
      <c r="D11600" t="str">
        <f>VLOOKUP(C11600,'lookup table'!$A$2:$B$19,2,FALSE)</f>
        <v>LoB</v>
      </c>
      <c r="E11600" t="str">
        <f t="shared" si="181"/>
        <v>TR013_70|LoB</v>
      </c>
    </row>
    <row r="11601" spans="1:5" x14ac:dyDescent="0.2">
      <c r="A11601" t="s">
        <v>3447</v>
      </c>
      <c r="B11601" t="s">
        <v>3448</v>
      </c>
      <c r="C11601" t="s">
        <v>438</v>
      </c>
      <c r="D11601" t="str">
        <f>VLOOKUP(C11601,'lookup table'!$A$2:$B$19,2,FALSE)</f>
        <v>ToM</v>
      </c>
      <c r="E11601" t="str">
        <f t="shared" si="181"/>
        <v>TR013_70|ToM</v>
      </c>
    </row>
    <row r="11602" spans="1:5" x14ac:dyDescent="0.2">
      <c r="A11602" t="s">
        <v>3447</v>
      </c>
      <c r="B11602" t="s">
        <v>3448</v>
      </c>
      <c r="C11602" t="s">
        <v>441</v>
      </c>
      <c r="D11602" t="str">
        <f>VLOOKUP(C11602,'lookup table'!$A$2:$B$19,2,FALSE)</f>
        <v>Partner Segment</v>
      </c>
      <c r="E11602" t="str">
        <f t="shared" si="181"/>
        <v>TR013_70|Partner Segment</v>
      </c>
    </row>
    <row r="11603" spans="1:5" x14ac:dyDescent="0.2">
      <c r="A11603" t="s">
        <v>3447</v>
      </c>
      <c r="B11603" t="s">
        <v>3448</v>
      </c>
      <c r="C11603" t="s">
        <v>442</v>
      </c>
      <c r="D11603" t="str">
        <f>VLOOKUP(C11603,'lookup table'!$A$2:$B$19,2,FALSE)</f>
        <v>Partner Unit</v>
      </c>
      <c r="E11603" t="str">
        <f t="shared" si="181"/>
        <v>TR013_70|Partner Unit</v>
      </c>
    </row>
    <row r="11604" spans="1:5" x14ac:dyDescent="0.2">
      <c r="A11604" t="s">
        <v>3447</v>
      </c>
      <c r="B11604" t="s">
        <v>3448</v>
      </c>
      <c r="C11604" t="s">
        <v>451</v>
      </c>
      <c r="D11604" t="str">
        <f>VLOOKUP(C11604,'lookup table'!$A$2:$B$19,2,FALSE)</f>
        <v>Segment</v>
      </c>
      <c r="E11604" t="str">
        <f t="shared" si="181"/>
        <v>TR013_70|Segment</v>
      </c>
    </row>
    <row r="11605" spans="1:5" x14ac:dyDescent="0.2">
      <c r="A11605" t="s">
        <v>3447</v>
      </c>
      <c r="B11605" t="s">
        <v>3448</v>
      </c>
      <c r="C11605" t="s">
        <v>461</v>
      </c>
      <c r="D11605" t="str">
        <f>VLOOKUP(C11605,'lookup table'!$A$2:$B$19,2,FALSE)</f>
        <v>Posting Level</v>
      </c>
      <c r="E11605" t="str">
        <f t="shared" si="181"/>
        <v>TR013_70|Posting Level</v>
      </c>
    </row>
    <row r="11606" spans="1:5" x14ac:dyDescent="0.2">
      <c r="A11606" t="s">
        <v>3449</v>
      </c>
      <c r="B11606" t="s">
        <v>3450</v>
      </c>
      <c r="C11606" t="s">
        <v>331</v>
      </c>
      <c r="D11606" t="str">
        <f>VLOOKUP(C11606,'lookup table'!$A$2:$B$19,2,FALSE)</f>
        <v>FS Item</v>
      </c>
      <c r="E11606" t="str">
        <f t="shared" si="181"/>
        <v>TR014_09|FS Item</v>
      </c>
    </row>
    <row r="11607" spans="1:5" x14ac:dyDescent="0.2">
      <c r="A11607" t="s">
        <v>3449</v>
      </c>
      <c r="B11607" t="s">
        <v>3450</v>
      </c>
      <c r="C11607" t="s">
        <v>423</v>
      </c>
      <c r="D11607" t="str">
        <f>VLOOKUP(C11607,'lookup table'!$A$2:$B$19,2,FALSE)</f>
        <v>ignore</v>
      </c>
      <c r="E11607" t="str">
        <f t="shared" si="181"/>
        <v>TR014_09|ignore</v>
      </c>
    </row>
    <row r="11608" spans="1:5" x14ac:dyDescent="0.2">
      <c r="A11608" t="s">
        <v>3449</v>
      </c>
      <c r="B11608" t="s">
        <v>3450</v>
      </c>
      <c r="C11608" t="s">
        <v>438</v>
      </c>
      <c r="D11608" t="str">
        <f>VLOOKUP(C11608,'lookup table'!$A$2:$B$19,2,FALSE)</f>
        <v>ToM</v>
      </c>
      <c r="E11608" t="str">
        <f t="shared" si="181"/>
        <v>TR014_09|ToM</v>
      </c>
    </row>
    <row r="11609" spans="1:5" x14ac:dyDescent="0.2">
      <c r="A11609" t="s">
        <v>3451</v>
      </c>
      <c r="B11609" t="s">
        <v>3452</v>
      </c>
      <c r="C11609" t="s">
        <v>20</v>
      </c>
      <c r="D11609" t="str">
        <f>VLOOKUP(C11609,'lookup table'!$A$2:$B$19,2,FALSE)</f>
        <v>AY</v>
      </c>
      <c r="E11609" t="str">
        <f t="shared" si="181"/>
        <v>TR014_17|AY</v>
      </c>
    </row>
    <row r="11610" spans="1:5" x14ac:dyDescent="0.2">
      <c r="A11610" t="s">
        <v>3451</v>
      </c>
      <c r="B11610" t="s">
        <v>3452</v>
      </c>
      <c r="C11610" t="s">
        <v>331</v>
      </c>
      <c r="D11610" t="str">
        <f>VLOOKUP(C11610,'lookup table'!$A$2:$B$19,2,FALSE)</f>
        <v>FS Item</v>
      </c>
      <c r="E11610" t="str">
        <f t="shared" si="181"/>
        <v>TR014_17|FS Item</v>
      </c>
    </row>
    <row r="11611" spans="1:5" x14ac:dyDescent="0.2">
      <c r="A11611" t="s">
        <v>3451</v>
      </c>
      <c r="B11611" t="s">
        <v>3452</v>
      </c>
      <c r="C11611" t="s">
        <v>423</v>
      </c>
      <c r="D11611" t="str">
        <f>VLOOKUP(C11611,'lookup table'!$A$2:$B$19,2,FALSE)</f>
        <v>ignore</v>
      </c>
      <c r="E11611" t="str">
        <f t="shared" si="181"/>
        <v>TR014_17|ignore</v>
      </c>
    </row>
    <row r="11612" spans="1:5" x14ac:dyDescent="0.2">
      <c r="A11612" t="s">
        <v>3451</v>
      </c>
      <c r="B11612" t="s">
        <v>3452</v>
      </c>
      <c r="C11612" t="s">
        <v>428</v>
      </c>
      <c r="D11612" t="str">
        <f>VLOOKUP(C11612,'lookup table'!$A$2:$B$19,2,FALSE)</f>
        <v>LoB</v>
      </c>
      <c r="E11612" t="str">
        <f t="shared" si="181"/>
        <v>TR014_17|LoB</v>
      </c>
    </row>
    <row r="11613" spans="1:5" x14ac:dyDescent="0.2">
      <c r="A11613" t="s">
        <v>3451</v>
      </c>
      <c r="B11613" t="s">
        <v>3452</v>
      </c>
      <c r="C11613" t="s">
        <v>441</v>
      </c>
      <c r="D11613" t="str">
        <f>VLOOKUP(C11613,'lookup table'!$A$2:$B$19,2,FALSE)</f>
        <v>Partner Segment</v>
      </c>
      <c r="E11613" t="str">
        <f t="shared" si="181"/>
        <v>TR014_17|Partner Segment</v>
      </c>
    </row>
    <row r="11614" spans="1:5" x14ac:dyDescent="0.2">
      <c r="A11614" t="s">
        <v>3451</v>
      </c>
      <c r="B11614" t="s">
        <v>3452</v>
      </c>
      <c r="C11614" t="s">
        <v>442</v>
      </c>
      <c r="D11614" t="str">
        <f>VLOOKUP(C11614,'lookup table'!$A$2:$B$19,2,FALSE)</f>
        <v>Partner Unit</v>
      </c>
      <c r="E11614" t="str">
        <f t="shared" si="181"/>
        <v>TR014_17|Partner Unit</v>
      </c>
    </row>
    <row r="11615" spans="1:5" x14ac:dyDescent="0.2">
      <c r="A11615" t="s">
        <v>3451</v>
      </c>
      <c r="B11615" t="s">
        <v>3452</v>
      </c>
      <c r="C11615" t="s">
        <v>451</v>
      </c>
      <c r="D11615" t="str">
        <f>VLOOKUP(C11615,'lookup table'!$A$2:$B$19,2,FALSE)</f>
        <v>Segment</v>
      </c>
      <c r="E11615" t="str">
        <f t="shared" si="181"/>
        <v>TR014_17|Segment</v>
      </c>
    </row>
    <row r="11616" spans="1:5" x14ac:dyDescent="0.2">
      <c r="A11616" t="s">
        <v>3451</v>
      </c>
      <c r="B11616" t="s">
        <v>3452</v>
      </c>
      <c r="C11616" t="s">
        <v>461</v>
      </c>
      <c r="D11616" t="str">
        <f>VLOOKUP(C11616,'lookup table'!$A$2:$B$19,2,FALSE)</f>
        <v>Posting Level</v>
      </c>
      <c r="E11616" t="str">
        <f t="shared" si="181"/>
        <v>TR014_17|Posting Level</v>
      </c>
    </row>
    <row r="11617" spans="1:5" x14ac:dyDescent="0.2">
      <c r="A11617" t="s">
        <v>3453</v>
      </c>
      <c r="B11617" t="s">
        <v>3454</v>
      </c>
      <c r="C11617" t="s">
        <v>331</v>
      </c>
      <c r="D11617" t="str">
        <f>VLOOKUP(C11617,'lookup table'!$A$2:$B$19,2,FALSE)</f>
        <v>FS Item</v>
      </c>
      <c r="E11617" t="str">
        <f t="shared" si="181"/>
        <v>TR015_09|FS Item</v>
      </c>
    </row>
    <row r="11618" spans="1:5" x14ac:dyDescent="0.2">
      <c r="A11618" t="s">
        <v>3453</v>
      </c>
      <c r="B11618" t="s">
        <v>3454</v>
      </c>
      <c r="C11618" t="s">
        <v>423</v>
      </c>
      <c r="D11618" t="str">
        <f>VLOOKUP(C11618,'lookup table'!$A$2:$B$19,2,FALSE)</f>
        <v>ignore</v>
      </c>
      <c r="E11618" t="str">
        <f t="shared" si="181"/>
        <v>TR015_09|ignore</v>
      </c>
    </row>
    <row r="11619" spans="1:5" x14ac:dyDescent="0.2">
      <c r="A11619" t="s">
        <v>3453</v>
      </c>
      <c r="B11619" t="s">
        <v>3454</v>
      </c>
      <c r="C11619" t="s">
        <v>438</v>
      </c>
      <c r="D11619" t="str">
        <f>VLOOKUP(C11619,'lookup table'!$A$2:$B$19,2,FALSE)</f>
        <v>ToM</v>
      </c>
      <c r="E11619" t="str">
        <f t="shared" si="181"/>
        <v>TR015_09|ToM</v>
      </c>
    </row>
    <row r="11620" spans="1:5" x14ac:dyDescent="0.2">
      <c r="A11620" t="s">
        <v>3455</v>
      </c>
      <c r="B11620" t="s">
        <v>3456</v>
      </c>
      <c r="C11620" t="s">
        <v>20</v>
      </c>
      <c r="D11620" t="str">
        <f>VLOOKUP(C11620,'lookup table'!$A$2:$B$19,2,FALSE)</f>
        <v>AY</v>
      </c>
      <c r="E11620" t="str">
        <f t="shared" si="181"/>
        <v>TR015_17|AY</v>
      </c>
    </row>
    <row r="11621" spans="1:5" x14ac:dyDescent="0.2">
      <c r="A11621" t="s">
        <v>3455</v>
      </c>
      <c r="B11621" t="s">
        <v>3456</v>
      </c>
      <c r="C11621" t="s">
        <v>331</v>
      </c>
      <c r="D11621" t="str">
        <f>VLOOKUP(C11621,'lookup table'!$A$2:$B$19,2,FALSE)</f>
        <v>FS Item</v>
      </c>
      <c r="E11621" t="str">
        <f t="shared" si="181"/>
        <v>TR015_17|FS Item</v>
      </c>
    </row>
    <row r="11622" spans="1:5" x14ac:dyDescent="0.2">
      <c r="A11622" t="s">
        <v>3455</v>
      </c>
      <c r="B11622" t="s">
        <v>3456</v>
      </c>
      <c r="C11622" t="s">
        <v>423</v>
      </c>
      <c r="D11622" t="str">
        <f>VLOOKUP(C11622,'lookup table'!$A$2:$B$19,2,FALSE)</f>
        <v>ignore</v>
      </c>
      <c r="E11622" t="str">
        <f t="shared" si="181"/>
        <v>TR015_17|ignore</v>
      </c>
    </row>
    <row r="11623" spans="1:5" x14ac:dyDescent="0.2">
      <c r="A11623" t="s">
        <v>3455</v>
      </c>
      <c r="B11623" t="s">
        <v>3456</v>
      </c>
      <c r="C11623" t="s">
        <v>428</v>
      </c>
      <c r="D11623" t="str">
        <f>VLOOKUP(C11623,'lookup table'!$A$2:$B$19,2,FALSE)</f>
        <v>LoB</v>
      </c>
      <c r="E11623" t="str">
        <f t="shared" si="181"/>
        <v>TR015_17|LoB</v>
      </c>
    </row>
    <row r="11624" spans="1:5" x14ac:dyDescent="0.2">
      <c r="A11624" t="s">
        <v>3455</v>
      </c>
      <c r="B11624" t="s">
        <v>3456</v>
      </c>
      <c r="C11624" t="s">
        <v>441</v>
      </c>
      <c r="D11624" t="str">
        <f>VLOOKUP(C11624,'lookup table'!$A$2:$B$19,2,FALSE)</f>
        <v>Partner Segment</v>
      </c>
      <c r="E11624" t="str">
        <f t="shared" si="181"/>
        <v>TR015_17|Partner Segment</v>
      </c>
    </row>
    <row r="11625" spans="1:5" x14ac:dyDescent="0.2">
      <c r="A11625" t="s">
        <v>3455</v>
      </c>
      <c r="B11625" t="s">
        <v>3456</v>
      </c>
      <c r="C11625" t="s">
        <v>442</v>
      </c>
      <c r="D11625" t="str">
        <f>VLOOKUP(C11625,'lookup table'!$A$2:$B$19,2,FALSE)</f>
        <v>Partner Unit</v>
      </c>
      <c r="E11625" t="str">
        <f t="shared" si="181"/>
        <v>TR015_17|Partner Unit</v>
      </c>
    </row>
    <row r="11626" spans="1:5" x14ac:dyDescent="0.2">
      <c r="A11626" t="s">
        <v>3455</v>
      </c>
      <c r="B11626" t="s">
        <v>3456</v>
      </c>
      <c r="C11626" t="s">
        <v>451</v>
      </c>
      <c r="D11626" t="str">
        <f>VLOOKUP(C11626,'lookup table'!$A$2:$B$19,2,FALSE)</f>
        <v>Segment</v>
      </c>
      <c r="E11626" t="str">
        <f t="shared" si="181"/>
        <v>TR015_17|Segment</v>
      </c>
    </row>
    <row r="11627" spans="1:5" x14ac:dyDescent="0.2">
      <c r="A11627" t="s">
        <v>3455</v>
      </c>
      <c r="B11627" t="s">
        <v>3456</v>
      </c>
      <c r="C11627" t="s">
        <v>461</v>
      </c>
      <c r="D11627" t="str">
        <f>VLOOKUP(C11627,'lookup table'!$A$2:$B$19,2,FALSE)</f>
        <v>Posting Level</v>
      </c>
      <c r="E11627" t="str">
        <f t="shared" si="181"/>
        <v>TR015_17|Posting Level</v>
      </c>
    </row>
    <row r="11628" spans="1:5" x14ac:dyDescent="0.2">
      <c r="A11628" t="s">
        <v>3457</v>
      </c>
      <c r="B11628" t="s">
        <v>3458</v>
      </c>
      <c r="C11628" t="s">
        <v>331</v>
      </c>
      <c r="D11628" t="str">
        <f>VLOOKUP(C11628,'lookup table'!$A$2:$B$19,2,FALSE)</f>
        <v>FS Item</v>
      </c>
      <c r="E11628" t="str">
        <f t="shared" si="181"/>
        <v>TR016_09|FS Item</v>
      </c>
    </row>
    <row r="11629" spans="1:5" x14ac:dyDescent="0.2">
      <c r="A11629" t="s">
        <v>3457</v>
      </c>
      <c r="B11629" t="s">
        <v>3458</v>
      </c>
      <c r="C11629" t="s">
        <v>423</v>
      </c>
      <c r="D11629" t="str">
        <f>VLOOKUP(C11629,'lookup table'!$A$2:$B$19,2,FALSE)</f>
        <v>ignore</v>
      </c>
      <c r="E11629" t="str">
        <f t="shared" si="181"/>
        <v>TR016_09|ignore</v>
      </c>
    </row>
    <row r="11630" spans="1:5" x14ac:dyDescent="0.2">
      <c r="A11630" t="s">
        <v>3457</v>
      </c>
      <c r="B11630" t="s">
        <v>3458</v>
      </c>
      <c r="C11630" t="s">
        <v>438</v>
      </c>
      <c r="D11630" t="str">
        <f>VLOOKUP(C11630,'lookup table'!$A$2:$B$19,2,FALSE)</f>
        <v>ToM</v>
      </c>
      <c r="E11630" t="str">
        <f t="shared" si="181"/>
        <v>TR016_09|ToM</v>
      </c>
    </row>
    <row r="11631" spans="1:5" x14ac:dyDescent="0.2">
      <c r="A11631" t="s">
        <v>3459</v>
      </c>
      <c r="B11631" t="s">
        <v>450</v>
      </c>
      <c r="C11631" t="s">
        <v>451</v>
      </c>
      <c r="D11631" t="str">
        <f>VLOOKUP(C11631,'lookup table'!$A$2:$B$19,2,FALSE)</f>
        <v>Segment</v>
      </c>
      <c r="E11631" t="str">
        <f t="shared" si="181"/>
        <v>TR016_17|Segment</v>
      </c>
    </row>
    <row r="11632" spans="1:5" x14ac:dyDescent="0.2">
      <c r="A11632" t="s">
        <v>3460</v>
      </c>
      <c r="B11632" t="s">
        <v>3461</v>
      </c>
      <c r="C11632" t="s">
        <v>331</v>
      </c>
      <c r="D11632" t="str">
        <f>VLOOKUP(C11632,'lookup table'!$A$2:$B$19,2,FALSE)</f>
        <v>FS Item</v>
      </c>
      <c r="E11632" t="str">
        <f t="shared" si="181"/>
        <v>TR017_09|FS Item</v>
      </c>
    </row>
    <row r="11633" spans="1:5" x14ac:dyDescent="0.2">
      <c r="A11633" t="s">
        <v>3460</v>
      </c>
      <c r="B11633" t="s">
        <v>3461</v>
      </c>
      <c r="C11633" t="s">
        <v>423</v>
      </c>
      <c r="D11633" t="str">
        <f>VLOOKUP(C11633,'lookup table'!$A$2:$B$19,2,FALSE)</f>
        <v>ignore</v>
      </c>
      <c r="E11633" t="str">
        <f t="shared" si="181"/>
        <v>TR017_09|ignore</v>
      </c>
    </row>
    <row r="11634" spans="1:5" x14ac:dyDescent="0.2">
      <c r="A11634" t="s">
        <v>3460</v>
      </c>
      <c r="B11634" t="s">
        <v>3461</v>
      </c>
      <c r="C11634" t="s">
        <v>438</v>
      </c>
      <c r="D11634" t="str">
        <f>VLOOKUP(C11634,'lookup table'!$A$2:$B$19,2,FALSE)</f>
        <v>ToM</v>
      </c>
      <c r="E11634" t="str">
        <f t="shared" si="181"/>
        <v>TR017_09|ToM</v>
      </c>
    </row>
    <row r="11635" spans="1:5" x14ac:dyDescent="0.2">
      <c r="A11635" t="s">
        <v>3462</v>
      </c>
      <c r="B11635" t="s">
        <v>3463</v>
      </c>
      <c r="C11635" t="s">
        <v>20</v>
      </c>
      <c r="D11635" t="str">
        <f>VLOOKUP(C11635,'lookup table'!$A$2:$B$19,2,FALSE)</f>
        <v>AY</v>
      </c>
      <c r="E11635" t="str">
        <f t="shared" si="181"/>
        <v>TR017_17|AY</v>
      </c>
    </row>
    <row r="11636" spans="1:5" x14ac:dyDescent="0.2">
      <c r="A11636" t="s">
        <v>3462</v>
      </c>
      <c r="B11636" t="s">
        <v>3463</v>
      </c>
      <c r="C11636" t="s">
        <v>136</v>
      </c>
      <c r="D11636" t="str">
        <f>VLOOKUP(C11636,'lookup table'!$A$2:$B$19,2,FALSE)</f>
        <v>BBA Set</v>
      </c>
      <c r="E11636" t="str">
        <f t="shared" si="181"/>
        <v>TR017_17|BBA Set</v>
      </c>
    </row>
    <row r="11637" spans="1:5" x14ac:dyDescent="0.2">
      <c r="A11637" t="s">
        <v>3462</v>
      </c>
      <c r="B11637" t="s">
        <v>3463</v>
      </c>
      <c r="C11637" t="s">
        <v>331</v>
      </c>
      <c r="D11637" t="str">
        <f>VLOOKUP(C11637,'lookup table'!$A$2:$B$19,2,FALSE)</f>
        <v>FS Item</v>
      </c>
      <c r="E11637" t="str">
        <f t="shared" si="181"/>
        <v>TR017_17|FS Item</v>
      </c>
    </row>
    <row r="11638" spans="1:5" x14ac:dyDescent="0.2">
      <c r="A11638" t="s">
        <v>3462</v>
      </c>
      <c r="B11638" t="s">
        <v>3463</v>
      </c>
      <c r="C11638" t="s">
        <v>423</v>
      </c>
      <c r="D11638" t="str">
        <f>VLOOKUP(C11638,'lookup table'!$A$2:$B$19,2,FALSE)</f>
        <v>ignore</v>
      </c>
      <c r="E11638" t="str">
        <f t="shared" si="181"/>
        <v>TR017_17|ignore</v>
      </c>
    </row>
    <row r="11639" spans="1:5" x14ac:dyDescent="0.2">
      <c r="A11639" t="s">
        <v>3462</v>
      </c>
      <c r="B11639" t="s">
        <v>3463</v>
      </c>
      <c r="C11639" t="s">
        <v>428</v>
      </c>
      <c r="D11639" t="str">
        <f>VLOOKUP(C11639,'lookup table'!$A$2:$B$19,2,FALSE)</f>
        <v>LoB</v>
      </c>
      <c r="E11639" t="str">
        <f t="shared" si="181"/>
        <v>TR017_17|LoB</v>
      </c>
    </row>
    <row r="11640" spans="1:5" x14ac:dyDescent="0.2">
      <c r="A11640" t="s">
        <v>3462</v>
      </c>
      <c r="B11640" t="s">
        <v>3463</v>
      </c>
      <c r="C11640" t="s">
        <v>438</v>
      </c>
      <c r="D11640" t="str">
        <f>VLOOKUP(C11640,'lookup table'!$A$2:$B$19,2,FALSE)</f>
        <v>ToM</v>
      </c>
      <c r="E11640" t="str">
        <f t="shared" si="181"/>
        <v>TR017_17|ToM</v>
      </c>
    </row>
    <row r="11641" spans="1:5" x14ac:dyDescent="0.2">
      <c r="A11641" t="s">
        <v>3462</v>
      </c>
      <c r="B11641" t="s">
        <v>3463</v>
      </c>
      <c r="C11641" t="s">
        <v>441</v>
      </c>
      <c r="D11641" t="str">
        <f>VLOOKUP(C11641,'lookup table'!$A$2:$B$19,2,FALSE)</f>
        <v>Partner Segment</v>
      </c>
      <c r="E11641" t="str">
        <f t="shared" si="181"/>
        <v>TR017_17|Partner Segment</v>
      </c>
    </row>
    <row r="11642" spans="1:5" x14ac:dyDescent="0.2">
      <c r="A11642" t="s">
        <v>3462</v>
      </c>
      <c r="B11642" t="s">
        <v>3463</v>
      </c>
      <c r="C11642" t="s">
        <v>442</v>
      </c>
      <c r="D11642" t="str">
        <f>VLOOKUP(C11642,'lookup table'!$A$2:$B$19,2,FALSE)</f>
        <v>Partner Unit</v>
      </c>
      <c r="E11642" t="str">
        <f t="shared" si="181"/>
        <v>TR017_17|Partner Unit</v>
      </c>
    </row>
    <row r="11643" spans="1:5" x14ac:dyDescent="0.2">
      <c r="A11643" t="s">
        <v>3462</v>
      </c>
      <c r="B11643" t="s">
        <v>3463</v>
      </c>
      <c r="C11643" t="s">
        <v>451</v>
      </c>
      <c r="D11643" t="str">
        <f>VLOOKUP(C11643,'lookup table'!$A$2:$B$19,2,FALSE)</f>
        <v>Segment</v>
      </c>
      <c r="E11643" t="str">
        <f t="shared" si="181"/>
        <v>TR017_17|Segment</v>
      </c>
    </row>
    <row r="11644" spans="1:5" x14ac:dyDescent="0.2">
      <c r="A11644" t="s">
        <v>3462</v>
      </c>
      <c r="B11644" t="s">
        <v>3463</v>
      </c>
      <c r="C11644" t="s">
        <v>461</v>
      </c>
      <c r="D11644" t="str">
        <f>VLOOKUP(C11644,'lookup table'!$A$2:$B$19,2,FALSE)</f>
        <v>Posting Level</v>
      </c>
      <c r="E11644" t="str">
        <f t="shared" si="181"/>
        <v>TR017_17|Posting Level</v>
      </c>
    </row>
    <row r="11645" spans="1:5" x14ac:dyDescent="0.2">
      <c r="A11645" t="s">
        <v>3464</v>
      </c>
      <c r="B11645" t="s">
        <v>3465</v>
      </c>
      <c r="C11645" t="s">
        <v>331</v>
      </c>
      <c r="D11645" t="str">
        <f>VLOOKUP(C11645,'lookup table'!$A$2:$B$19,2,FALSE)</f>
        <v>FS Item</v>
      </c>
      <c r="E11645" t="str">
        <f t="shared" si="181"/>
        <v>TR017_70|FS Item</v>
      </c>
    </row>
    <row r="11646" spans="1:5" x14ac:dyDescent="0.2">
      <c r="A11646" t="s">
        <v>3464</v>
      </c>
      <c r="B11646" t="s">
        <v>3465</v>
      </c>
      <c r="C11646" t="s">
        <v>423</v>
      </c>
      <c r="D11646" t="str">
        <f>VLOOKUP(C11646,'lookup table'!$A$2:$B$19,2,FALSE)</f>
        <v>ignore</v>
      </c>
      <c r="E11646" t="str">
        <f t="shared" si="181"/>
        <v>TR017_70|ignore</v>
      </c>
    </row>
    <row r="11647" spans="1:5" x14ac:dyDescent="0.2">
      <c r="A11647" t="s">
        <v>3466</v>
      </c>
      <c r="B11647" t="s">
        <v>3467</v>
      </c>
      <c r="C11647" t="s">
        <v>14</v>
      </c>
      <c r="D11647" t="str">
        <f>VLOOKUP(C11647,'lookup table'!$A$2:$B$19,2,FALSE)</f>
        <v>ALC</v>
      </c>
      <c r="E11647" t="str">
        <f t="shared" si="181"/>
        <v>TR018_17|ALC</v>
      </c>
    </row>
    <row r="11648" spans="1:5" x14ac:dyDescent="0.2">
      <c r="A11648" t="s">
        <v>3466</v>
      </c>
      <c r="B11648" t="s">
        <v>3467</v>
      </c>
      <c r="C11648" t="s">
        <v>20</v>
      </c>
      <c r="D11648" t="str">
        <f>VLOOKUP(C11648,'lookup table'!$A$2:$B$19,2,FALSE)</f>
        <v>AY</v>
      </c>
      <c r="E11648" t="str">
        <f t="shared" si="181"/>
        <v>TR018_17|AY</v>
      </c>
    </row>
    <row r="11649" spans="1:5" x14ac:dyDescent="0.2">
      <c r="A11649" t="s">
        <v>3466</v>
      </c>
      <c r="B11649" t="s">
        <v>3467</v>
      </c>
      <c r="C11649" t="s">
        <v>136</v>
      </c>
      <c r="D11649" t="str">
        <f>VLOOKUP(C11649,'lookup table'!$A$2:$B$19,2,FALSE)</f>
        <v>BBA Set</v>
      </c>
      <c r="E11649" t="str">
        <f t="shared" si="181"/>
        <v>TR018_17|BBA Set</v>
      </c>
    </row>
    <row r="11650" spans="1:5" x14ac:dyDescent="0.2">
      <c r="A11650" t="s">
        <v>3466</v>
      </c>
      <c r="B11650" t="s">
        <v>3467</v>
      </c>
      <c r="C11650" t="s">
        <v>331</v>
      </c>
      <c r="D11650" t="str">
        <f>VLOOKUP(C11650,'lookup table'!$A$2:$B$19,2,FALSE)</f>
        <v>FS Item</v>
      </c>
      <c r="E11650" t="str">
        <f t="shared" si="181"/>
        <v>TR018_17|FS Item</v>
      </c>
    </row>
    <row r="11651" spans="1:5" x14ac:dyDescent="0.2">
      <c r="A11651" t="s">
        <v>3466</v>
      </c>
      <c r="B11651" t="s">
        <v>3467</v>
      </c>
      <c r="C11651" t="s">
        <v>423</v>
      </c>
      <c r="D11651" t="str">
        <f>VLOOKUP(C11651,'lookup table'!$A$2:$B$19,2,FALSE)</f>
        <v>ignore</v>
      </c>
      <c r="E11651" t="str">
        <f t="shared" ref="E11651:E11714" si="182">IF(ISNA(D11651),"",IF(A11651="","",A11651) &amp; "|" &amp; D11651)</f>
        <v>TR018_17|ignore</v>
      </c>
    </row>
    <row r="11652" spans="1:5" x14ac:dyDescent="0.2">
      <c r="A11652" t="s">
        <v>3466</v>
      </c>
      <c r="B11652" t="s">
        <v>3467</v>
      </c>
      <c r="C11652" t="s">
        <v>425</v>
      </c>
      <c r="D11652" t="str">
        <f>VLOOKUP(C11652,'lookup table'!$A$2:$B$19,2,FALSE)</f>
        <v>Investee Segment</v>
      </c>
      <c r="E11652" t="str">
        <f t="shared" si="182"/>
        <v>TR018_17|Investee Segment</v>
      </c>
    </row>
    <row r="11653" spans="1:5" x14ac:dyDescent="0.2">
      <c r="A11653" t="s">
        <v>3466</v>
      </c>
      <c r="B11653" t="s">
        <v>3467</v>
      </c>
      <c r="C11653" t="s">
        <v>426</v>
      </c>
      <c r="D11653" t="str">
        <f>VLOOKUP(C11653,'lookup table'!$A$2:$B$19,2,FALSE)</f>
        <v>Investee Unit</v>
      </c>
      <c r="E11653" t="str">
        <f t="shared" si="182"/>
        <v>TR018_17|Investee Unit</v>
      </c>
    </row>
    <row r="11654" spans="1:5" x14ac:dyDescent="0.2">
      <c r="A11654" t="s">
        <v>3466</v>
      </c>
      <c r="B11654" t="s">
        <v>3467</v>
      </c>
      <c r="C11654" t="s">
        <v>428</v>
      </c>
      <c r="D11654" t="str">
        <f>VLOOKUP(C11654,'lookup table'!$A$2:$B$19,2,FALSE)</f>
        <v>LoB</v>
      </c>
      <c r="E11654" t="str">
        <f t="shared" si="182"/>
        <v>TR018_17|LoB</v>
      </c>
    </row>
    <row r="11655" spans="1:5" x14ac:dyDescent="0.2">
      <c r="A11655" t="s">
        <v>3466</v>
      </c>
      <c r="B11655" t="s">
        <v>3467</v>
      </c>
      <c r="C11655" t="s">
        <v>436</v>
      </c>
      <c r="D11655" t="str">
        <f>VLOOKUP(C11655,'lookup table'!$A$2:$B$19,2,FALSE)</f>
        <v>MAT</v>
      </c>
      <c r="E11655" t="str">
        <f t="shared" si="182"/>
        <v>TR018_17|MAT</v>
      </c>
    </row>
    <row r="11656" spans="1:5" x14ac:dyDescent="0.2">
      <c r="A11656" t="s">
        <v>3466</v>
      </c>
      <c r="B11656" t="s">
        <v>3467</v>
      </c>
      <c r="C11656" t="s">
        <v>438</v>
      </c>
      <c r="D11656" t="str">
        <f>VLOOKUP(C11656,'lookup table'!$A$2:$B$19,2,FALSE)</f>
        <v>ToM</v>
      </c>
      <c r="E11656" t="str">
        <f t="shared" si="182"/>
        <v>TR018_17|ToM</v>
      </c>
    </row>
    <row r="11657" spans="1:5" x14ac:dyDescent="0.2">
      <c r="A11657" t="s">
        <v>3466</v>
      </c>
      <c r="B11657" t="s">
        <v>3467</v>
      </c>
      <c r="C11657" t="s">
        <v>441</v>
      </c>
      <c r="D11657" t="str">
        <f>VLOOKUP(C11657,'lookup table'!$A$2:$B$19,2,FALSE)</f>
        <v>Partner Segment</v>
      </c>
      <c r="E11657" t="str">
        <f t="shared" si="182"/>
        <v>TR018_17|Partner Segment</v>
      </c>
    </row>
    <row r="11658" spans="1:5" x14ac:dyDescent="0.2">
      <c r="A11658" t="s">
        <v>3466</v>
      </c>
      <c r="B11658" t="s">
        <v>3467</v>
      </c>
      <c r="C11658" t="s">
        <v>442</v>
      </c>
      <c r="D11658" t="str">
        <f>VLOOKUP(C11658,'lookup table'!$A$2:$B$19,2,FALSE)</f>
        <v>Partner Unit</v>
      </c>
      <c r="E11658" t="str">
        <f t="shared" si="182"/>
        <v>TR018_17|Partner Unit</v>
      </c>
    </row>
    <row r="11659" spans="1:5" x14ac:dyDescent="0.2">
      <c r="A11659" t="s">
        <v>3466</v>
      </c>
      <c r="B11659" t="s">
        <v>3467</v>
      </c>
      <c r="C11659" t="s">
        <v>447</v>
      </c>
      <c r="D11659" t="str">
        <f>VLOOKUP(C11659,'lookup table'!$A$2:$B$19,2,FALSE)</f>
        <v>REX</v>
      </c>
      <c r="E11659" t="str">
        <f t="shared" si="182"/>
        <v>TR018_17|REX</v>
      </c>
    </row>
    <row r="11660" spans="1:5" x14ac:dyDescent="0.2">
      <c r="A11660" t="s">
        <v>3466</v>
      </c>
      <c r="B11660" t="s">
        <v>3467</v>
      </c>
      <c r="C11660" t="s">
        <v>451</v>
      </c>
      <c r="D11660" t="str">
        <f>VLOOKUP(C11660,'lookup table'!$A$2:$B$19,2,FALSE)</f>
        <v>Segment</v>
      </c>
      <c r="E11660" t="str">
        <f t="shared" si="182"/>
        <v>TR018_17|Segment</v>
      </c>
    </row>
    <row r="11661" spans="1:5" x14ac:dyDescent="0.2">
      <c r="A11661" t="s">
        <v>3466</v>
      </c>
      <c r="B11661" t="s">
        <v>3467</v>
      </c>
      <c r="C11661" t="s">
        <v>457</v>
      </c>
      <c r="D11661" t="str">
        <f>VLOOKUP(C11661,'lookup table'!$A$2:$B$19,2,FALSE)</f>
        <v>VLT</v>
      </c>
      <c r="E11661" t="str">
        <f t="shared" si="182"/>
        <v>TR018_17|VLT</v>
      </c>
    </row>
    <row r="11662" spans="1:5" x14ac:dyDescent="0.2">
      <c r="A11662" t="s">
        <v>3466</v>
      </c>
      <c r="B11662" t="s">
        <v>3467</v>
      </c>
      <c r="C11662" t="s">
        <v>458</v>
      </c>
      <c r="D11662" t="str">
        <f>VLOOKUP(C11662,'lookup table'!$A$2:$B$19,2,FALSE)</f>
        <v>VAR</v>
      </c>
      <c r="E11662" t="str">
        <f t="shared" si="182"/>
        <v>TR018_17|VAR</v>
      </c>
    </row>
    <row r="11663" spans="1:5" x14ac:dyDescent="0.2">
      <c r="A11663" t="s">
        <v>3466</v>
      </c>
      <c r="B11663" t="s">
        <v>3467</v>
      </c>
      <c r="C11663" t="s">
        <v>461</v>
      </c>
      <c r="D11663" t="str">
        <f>VLOOKUP(C11663,'lookup table'!$A$2:$B$19,2,FALSE)</f>
        <v>Posting Level</v>
      </c>
      <c r="E11663" t="str">
        <f t="shared" si="182"/>
        <v>TR018_17|Posting Level</v>
      </c>
    </row>
    <row r="11664" spans="1:5" x14ac:dyDescent="0.2">
      <c r="A11664" t="s">
        <v>3468</v>
      </c>
      <c r="B11664" t="s">
        <v>18</v>
      </c>
      <c r="C11664" t="s">
        <v>14</v>
      </c>
      <c r="D11664" t="str">
        <f>VLOOKUP(C11664,'lookup table'!$A$2:$B$19,2,FALSE)</f>
        <v>ALC</v>
      </c>
      <c r="E11664" t="str">
        <f t="shared" si="182"/>
        <v>TR019_17|ALC</v>
      </c>
    </row>
    <row r="11665" spans="1:5" x14ac:dyDescent="0.2">
      <c r="A11665" t="s">
        <v>3468</v>
      </c>
      <c r="B11665" t="s">
        <v>18</v>
      </c>
      <c r="C11665" t="s">
        <v>331</v>
      </c>
      <c r="D11665" t="str">
        <f>VLOOKUP(C11665,'lookup table'!$A$2:$B$19,2,FALSE)</f>
        <v>FS Item</v>
      </c>
      <c r="E11665" t="str">
        <f t="shared" si="182"/>
        <v>TR019_17|FS Item</v>
      </c>
    </row>
    <row r="11666" spans="1:5" x14ac:dyDescent="0.2">
      <c r="A11666" t="s">
        <v>3468</v>
      </c>
      <c r="B11666" t="s">
        <v>18</v>
      </c>
      <c r="C11666" t="s">
        <v>423</v>
      </c>
      <c r="D11666" t="str">
        <f>VLOOKUP(C11666,'lookup table'!$A$2:$B$19,2,FALSE)</f>
        <v>ignore</v>
      </c>
      <c r="E11666" t="str">
        <f t="shared" si="182"/>
        <v>TR019_17|ignore</v>
      </c>
    </row>
    <row r="11667" spans="1:5" x14ac:dyDescent="0.2">
      <c r="A11667" t="s">
        <v>3468</v>
      </c>
      <c r="B11667" t="s">
        <v>18</v>
      </c>
      <c r="C11667" t="s">
        <v>436</v>
      </c>
      <c r="D11667" t="str">
        <f>VLOOKUP(C11667,'lookup table'!$A$2:$B$19,2,FALSE)</f>
        <v>MAT</v>
      </c>
      <c r="E11667" t="str">
        <f t="shared" si="182"/>
        <v>TR019_17|MAT</v>
      </c>
    </row>
    <row r="11668" spans="1:5" x14ac:dyDescent="0.2">
      <c r="A11668" t="s">
        <v>3468</v>
      </c>
      <c r="B11668" t="s">
        <v>18</v>
      </c>
      <c r="C11668" t="s">
        <v>451</v>
      </c>
      <c r="D11668" t="str">
        <f>VLOOKUP(C11668,'lookup table'!$A$2:$B$19,2,FALSE)</f>
        <v>Segment</v>
      </c>
      <c r="E11668" t="str">
        <f t="shared" si="182"/>
        <v>TR019_17|Segment</v>
      </c>
    </row>
    <row r="11669" spans="1:5" x14ac:dyDescent="0.2">
      <c r="A11669" t="s">
        <v>3468</v>
      </c>
      <c r="B11669" t="s">
        <v>18</v>
      </c>
      <c r="C11669" t="s">
        <v>457</v>
      </c>
      <c r="D11669" t="str">
        <f>VLOOKUP(C11669,'lookup table'!$A$2:$B$19,2,FALSE)</f>
        <v>VLT</v>
      </c>
      <c r="E11669" t="str">
        <f t="shared" si="182"/>
        <v>TR019_17|VLT</v>
      </c>
    </row>
    <row r="11670" spans="1:5" x14ac:dyDescent="0.2">
      <c r="A11670" t="s">
        <v>3468</v>
      </c>
      <c r="B11670" t="s">
        <v>18</v>
      </c>
      <c r="C11670" t="s">
        <v>458</v>
      </c>
      <c r="D11670" t="str">
        <f>VLOOKUP(C11670,'lookup table'!$A$2:$B$19,2,FALSE)</f>
        <v>VAR</v>
      </c>
      <c r="E11670" t="str">
        <f t="shared" si="182"/>
        <v>TR019_17|VAR</v>
      </c>
    </row>
    <row r="11671" spans="1:5" x14ac:dyDescent="0.2">
      <c r="A11671" t="s">
        <v>3469</v>
      </c>
      <c r="B11671" t="s">
        <v>3470</v>
      </c>
      <c r="C11671" t="s">
        <v>331</v>
      </c>
      <c r="D11671" t="str">
        <f>VLOOKUP(C11671,'lookup table'!$A$2:$B$19,2,FALSE)</f>
        <v>FS Item</v>
      </c>
      <c r="E11671" t="str">
        <f t="shared" si="182"/>
        <v>TR02_SST|FS Item</v>
      </c>
    </row>
    <row r="11672" spans="1:5" x14ac:dyDescent="0.2">
      <c r="A11672" t="s">
        <v>3469</v>
      </c>
      <c r="B11672" t="s">
        <v>3470</v>
      </c>
      <c r="C11672" t="s">
        <v>423</v>
      </c>
      <c r="D11672" t="str">
        <f>VLOOKUP(C11672,'lookup table'!$A$2:$B$19,2,FALSE)</f>
        <v>ignore</v>
      </c>
      <c r="E11672" t="str">
        <f t="shared" si="182"/>
        <v>TR02_SST|ignore</v>
      </c>
    </row>
    <row r="11673" spans="1:5" x14ac:dyDescent="0.2">
      <c r="A11673" t="s">
        <v>3469</v>
      </c>
      <c r="B11673" t="s">
        <v>3470</v>
      </c>
      <c r="C11673" t="s">
        <v>441</v>
      </c>
      <c r="D11673" t="str">
        <f>VLOOKUP(C11673,'lookup table'!$A$2:$B$19,2,FALSE)</f>
        <v>Partner Segment</v>
      </c>
      <c r="E11673" t="str">
        <f t="shared" si="182"/>
        <v>TR02_SST|Partner Segment</v>
      </c>
    </row>
    <row r="11674" spans="1:5" x14ac:dyDescent="0.2">
      <c r="A11674" t="s">
        <v>3469</v>
      </c>
      <c r="B11674" t="s">
        <v>3470</v>
      </c>
      <c r="C11674" t="s">
        <v>442</v>
      </c>
      <c r="D11674" t="str">
        <f>VLOOKUP(C11674,'lookup table'!$A$2:$B$19,2,FALSE)</f>
        <v>Partner Unit</v>
      </c>
      <c r="E11674" t="str">
        <f t="shared" si="182"/>
        <v>TR02_SST|Partner Unit</v>
      </c>
    </row>
    <row r="11675" spans="1:5" x14ac:dyDescent="0.2">
      <c r="A11675" t="s">
        <v>3471</v>
      </c>
      <c r="B11675" t="s">
        <v>16</v>
      </c>
      <c r="C11675" t="s">
        <v>14</v>
      </c>
      <c r="D11675" t="str">
        <f>VLOOKUP(C11675,'lookup table'!$A$2:$B$19,2,FALSE)</f>
        <v>ALC</v>
      </c>
      <c r="E11675" t="str">
        <f t="shared" si="182"/>
        <v>TR020_17|ALC</v>
      </c>
    </row>
    <row r="11676" spans="1:5" x14ac:dyDescent="0.2">
      <c r="A11676" t="s">
        <v>3471</v>
      </c>
      <c r="B11676" t="s">
        <v>16</v>
      </c>
      <c r="C11676" t="s">
        <v>20</v>
      </c>
      <c r="D11676" t="str">
        <f>VLOOKUP(C11676,'lookup table'!$A$2:$B$19,2,FALSE)</f>
        <v>AY</v>
      </c>
      <c r="E11676" t="str">
        <f t="shared" si="182"/>
        <v>TR020_17|AY</v>
      </c>
    </row>
    <row r="11677" spans="1:5" x14ac:dyDescent="0.2">
      <c r="A11677" t="s">
        <v>3471</v>
      </c>
      <c r="B11677" t="s">
        <v>16</v>
      </c>
      <c r="C11677" t="s">
        <v>331</v>
      </c>
      <c r="D11677" t="str">
        <f>VLOOKUP(C11677,'lookup table'!$A$2:$B$19,2,FALSE)</f>
        <v>FS Item</v>
      </c>
      <c r="E11677" t="str">
        <f t="shared" si="182"/>
        <v>TR020_17|FS Item</v>
      </c>
    </row>
    <row r="11678" spans="1:5" x14ac:dyDescent="0.2">
      <c r="A11678" t="s">
        <v>3471</v>
      </c>
      <c r="B11678" t="s">
        <v>16</v>
      </c>
      <c r="C11678" t="s">
        <v>423</v>
      </c>
      <c r="D11678" t="str">
        <f>VLOOKUP(C11678,'lookup table'!$A$2:$B$19,2,FALSE)</f>
        <v>ignore</v>
      </c>
      <c r="E11678" t="str">
        <f t="shared" si="182"/>
        <v>TR020_17|ignore</v>
      </c>
    </row>
    <row r="11679" spans="1:5" x14ac:dyDescent="0.2">
      <c r="A11679" t="s">
        <v>3471</v>
      </c>
      <c r="B11679" t="s">
        <v>16</v>
      </c>
      <c r="C11679" t="s">
        <v>425</v>
      </c>
      <c r="D11679" t="str">
        <f>VLOOKUP(C11679,'lookup table'!$A$2:$B$19,2,FALSE)</f>
        <v>Investee Segment</v>
      </c>
      <c r="E11679" t="str">
        <f t="shared" si="182"/>
        <v>TR020_17|Investee Segment</v>
      </c>
    </row>
    <row r="11680" spans="1:5" x14ac:dyDescent="0.2">
      <c r="A11680" t="s">
        <v>3471</v>
      </c>
      <c r="B11680" t="s">
        <v>16</v>
      </c>
      <c r="C11680" t="s">
        <v>426</v>
      </c>
      <c r="D11680" t="str">
        <f>VLOOKUP(C11680,'lookup table'!$A$2:$B$19,2,FALSE)</f>
        <v>Investee Unit</v>
      </c>
      <c r="E11680" t="str">
        <f t="shared" si="182"/>
        <v>TR020_17|Investee Unit</v>
      </c>
    </row>
    <row r="11681" spans="1:5" x14ac:dyDescent="0.2">
      <c r="A11681" t="s">
        <v>3471</v>
      </c>
      <c r="B11681" t="s">
        <v>16</v>
      </c>
      <c r="C11681" t="s">
        <v>428</v>
      </c>
      <c r="D11681" t="str">
        <f>VLOOKUP(C11681,'lookup table'!$A$2:$B$19,2,FALSE)</f>
        <v>LoB</v>
      </c>
      <c r="E11681" t="str">
        <f t="shared" si="182"/>
        <v>TR020_17|LoB</v>
      </c>
    </row>
    <row r="11682" spans="1:5" x14ac:dyDescent="0.2">
      <c r="A11682" t="s">
        <v>3471</v>
      </c>
      <c r="B11682" t="s">
        <v>16</v>
      </c>
      <c r="C11682" t="s">
        <v>436</v>
      </c>
      <c r="D11682" t="str">
        <f>VLOOKUP(C11682,'lookup table'!$A$2:$B$19,2,FALSE)</f>
        <v>MAT</v>
      </c>
      <c r="E11682" t="str">
        <f t="shared" si="182"/>
        <v>TR020_17|MAT</v>
      </c>
    </row>
    <row r="11683" spans="1:5" x14ac:dyDescent="0.2">
      <c r="A11683" t="s">
        <v>3471</v>
      </c>
      <c r="B11683" t="s">
        <v>16</v>
      </c>
      <c r="C11683" t="s">
        <v>438</v>
      </c>
      <c r="D11683" t="str">
        <f>VLOOKUP(C11683,'lookup table'!$A$2:$B$19,2,FALSE)</f>
        <v>ToM</v>
      </c>
      <c r="E11683" t="str">
        <f t="shared" si="182"/>
        <v>TR020_17|ToM</v>
      </c>
    </row>
    <row r="11684" spans="1:5" x14ac:dyDescent="0.2">
      <c r="A11684" t="s">
        <v>3471</v>
      </c>
      <c r="B11684" t="s">
        <v>16</v>
      </c>
      <c r="C11684" t="s">
        <v>441</v>
      </c>
      <c r="D11684" t="str">
        <f>VLOOKUP(C11684,'lookup table'!$A$2:$B$19,2,FALSE)</f>
        <v>Partner Segment</v>
      </c>
      <c r="E11684" t="str">
        <f t="shared" si="182"/>
        <v>TR020_17|Partner Segment</v>
      </c>
    </row>
    <row r="11685" spans="1:5" x14ac:dyDescent="0.2">
      <c r="A11685" t="s">
        <v>3471</v>
      </c>
      <c r="B11685" t="s">
        <v>16</v>
      </c>
      <c r="C11685" t="s">
        <v>442</v>
      </c>
      <c r="D11685" t="str">
        <f>VLOOKUP(C11685,'lookup table'!$A$2:$B$19,2,FALSE)</f>
        <v>Partner Unit</v>
      </c>
      <c r="E11685" t="str">
        <f t="shared" si="182"/>
        <v>TR020_17|Partner Unit</v>
      </c>
    </row>
    <row r="11686" spans="1:5" x14ac:dyDescent="0.2">
      <c r="A11686" t="s">
        <v>3471</v>
      </c>
      <c r="B11686" t="s">
        <v>16</v>
      </c>
      <c r="C11686" t="s">
        <v>447</v>
      </c>
      <c r="D11686" t="str">
        <f>VLOOKUP(C11686,'lookup table'!$A$2:$B$19,2,FALSE)</f>
        <v>REX</v>
      </c>
      <c r="E11686" t="str">
        <f t="shared" si="182"/>
        <v>TR020_17|REX</v>
      </c>
    </row>
    <row r="11687" spans="1:5" x14ac:dyDescent="0.2">
      <c r="A11687" t="s">
        <v>3471</v>
      </c>
      <c r="B11687" t="s">
        <v>16</v>
      </c>
      <c r="C11687" t="s">
        <v>451</v>
      </c>
      <c r="D11687" t="str">
        <f>VLOOKUP(C11687,'lookup table'!$A$2:$B$19,2,FALSE)</f>
        <v>Segment</v>
      </c>
      <c r="E11687" t="str">
        <f t="shared" si="182"/>
        <v>TR020_17|Segment</v>
      </c>
    </row>
    <row r="11688" spans="1:5" x14ac:dyDescent="0.2">
      <c r="A11688" t="s">
        <v>3471</v>
      </c>
      <c r="B11688" t="s">
        <v>16</v>
      </c>
      <c r="C11688" t="s">
        <v>457</v>
      </c>
      <c r="D11688" t="str">
        <f>VLOOKUP(C11688,'lookup table'!$A$2:$B$19,2,FALSE)</f>
        <v>VLT</v>
      </c>
      <c r="E11688" t="str">
        <f t="shared" si="182"/>
        <v>TR020_17|VLT</v>
      </c>
    </row>
    <row r="11689" spans="1:5" x14ac:dyDescent="0.2">
      <c r="A11689" t="s">
        <v>3471</v>
      </c>
      <c r="B11689" t="s">
        <v>16</v>
      </c>
      <c r="C11689" t="s">
        <v>458</v>
      </c>
      <c r="D11689" t="str">
        <f>VLOOKUP(C11689,'lookup table'!$A$2:$B$19,2,FALSE)</f>
        <v>VAR</v>
      </c>
      <c r="E11689" t="str">
        <f t="shared" si="182"/>
        <v>TR020_17|VAR</v>
      </c>
    </row>
    <row r="11690" spans="1:5" x14ac:dyDescent="0.2">
      <c r="A11690" t="s">
        <v>3471</v>
      </c>
      <c r="B11690" t="s">
        <v>16</v>
      </c>
      <c r="C11690" t="s">
        <v>461</v>
      </c>
      <c r="D11690" t="str">
        <f>VLOOKUP(C11690,'lookup table'!$A$2:$B$19,2,FALSE)</f>
        <v>Posting Level</v>
      </c>
      <c r="E11690" t="str">
        <f t="shared" si="182"/>
        <v>TR020_17|Posting Level</v>
      </c>
    </row>
    <row r="11691" spans="1:5" x14ac:dyDescent="0.2">
      <c r="A11691" t="s">
        <v>3472</v>
      </c>
      <c r="B11691" t="s">
        <v>3473</v>
      </c>
      <c r="C11691" t="s">
        <v>14</v>
      </c>
      <c r="D11691" t="str">
        <f>VLOOKUP(C11691,'lookup table'!$A$2:$B$19,2,FALSE)</f>
        <v>ALC</v>
      </c>
      <c r="E11691" t="str">
        <f t="shared" si="182"/>
        <v>TR021_17|ALC</v>
      </c>
    </row>
    <row r="11692" spans="1:5" x14ac:dyDescent="0.2">
      <c r="A11692" t="s">
        <v>3472</v>
      </c>
      <c r="B11692" t="s">
        <v>3473</v>
      </c>
      <c r="C11692" t="s">
        <v>20</v>
      </c>
      <c r="D11692" t="str">
        <f>VLOOKUP(C11692,'lookup table'!$A$2:$B$19,2,FALSE)</f>
        <v>AY</v>
      </c>
      <c r="E11692" t="str">
        <f t="shared" si="182"/>
        <v>TR021_17|AY</v>
      </c>
    </row>
    <row r="11693" spans="1:5" x14ac:dyDescent="0.2">
      <c r="A11693" t="s">
        <v>3472</v>
      </c>
      <c r="B11693" t="s">
        <v>3473</v>
      </c>
      <c r="C11693" t="s">
        <v>331</v>
      </c>
      <c r="D11693" t="str">
        <f>VLOOKUP(C11693,'lookup table'!$A$2:$B$19,2,FALSE)</f>
        <v>FS Item</v>
      </c>
      <c r="E11693" t="str">
        <f t="shared" si="182"/>
        <v>TR021_17|FS Item</v>
      </c>
    </row>
    <row r="11694" spans="1:5" x14ac:dyDescent="0.2">
      <c r="A11694" t="s">
        <v>3472</v>
      </c>
      <c r="B11694" t="s">
        <v>3473</v>
      </c>
      <c r="C11694" t="s">
        <v>423</v>
      </c>
      <c r="D11694" t="str">
        <f>VLOOKUP(C11694,'lookup table'!$A$2:$B$19,2,FALSE)</f>
        <v>ignore</v>
      </c>
      <c r="E11694" t="str">
        <f t="shared" si="182"/>
        <v>TR021_17|ignore</v>
      </c>
    </row>
    <row r="11695" spans="1:5" x14ac:dyDescent="0.2">
      <c r="A11695" t="s">
        <v>3472</v>
      </c>
      <c r="B11695" t="s">
        <v>3473</v>
      </c>
      <c r="C11695" t="s">
        <v>425</v>
      </c>
      <c r="D11695" t="str">
        <f>VLOOKUP(C11695,'lookup table'!$A$2:$B$19,2,FALSE)</f>
        <v>Investee Segment</v>
      </c>
      <c r="E11695" t="str">
        <f t="shared" si="182"/>
        <v>TR021_17|Investee Segment</v>
      </c>
    </row>
    <row r="11696" spans="1:5" x14ac:dyDescent="0.2">
      <c r="A11696" t="s">
        <v>3472</v>
      </c>
      <c r="B11696" t="s">
        <v>3473</v>
      </c>
      <c r="C11696" t="s">
        <v>426</v>
      </c>
      <c r="D11696" t="str">
        <f>VLOOKUP(C11696,'lookup table'!$A$2:$B$19,2,FALSE)</f>
        <v>Investee Unit</v>
      </c>
      <c r="E11696" t="str">
        <f t="shared" si="182"/>
        <v>TR021_17|Investee Unit</v>
      </c>
    </row>
    <row r="11697" spans="1:5" x14ac:dyDescent="0.2">
      <c r="A11697" t="s">
        <v>3472</v>
      </c>
      <c r="B11697" t="s">
        <v>3473</v>
      </c>
      <c r="C11697" t="s">
        <v>428</v>
      </c>
      <c r="D11697" t="str">
        <f>VLOOKUP(C11697,'lookup table'!$A$2:$B$19,2,FALSE)</f>
        <v>LoB</v>
      </c>
      <c r="E11697" t="str">
        <f t="shared" si="182"/>
        <v>TR021_17|LoB</v>
      </c>
    </row>
    <row r="11698" spans="1:5" x14ac:dyDescent="0.2">
      <c r="A11698" t="s">
        <v>3472</v>
      </c>
      <c r="B11698" t="s">
        <v>3473</v>
      </c>
      <c r="C11698" t="s">
        <v>436</v>
      </c>
      <c r="D11698" t="str">
        <f>VLOOKUP(C11698,'lookup table'!$A$2:$B$19,2,FALSE)</f>
        <v>MAT</v>
      </c>
      <c r="E11698" t="str">
        <f t="shared" si="182"/>
        <v>TR021_17|MAT</v>
      </c>
    </row>
    <row r="11699" spans="1:5" x14ac:dyDescent="0.2">
      <c r="A11699" t="s">
        <v>3472</v>
      </c>
      <c r="B11699" t="s">
        <v>3473</v>
      </c>
      <c r="C11699" t="s">
        <v>438</v>
      </c>
      <c r="D11699" t="str">
        <f>VLOOKUP(C11699,'lookup table'!$A$2:$B$19,2,FALSE)</f>
        <v>ToM</v>
      </c>
      <c r="E11699" t="str">
        <f t="shared" si="182"/>
        <v>TR021_17|ToM</v>
      </c>
    </row>
    <row r="11700" spans="1:5" x14ac:dyDescent="0.2">
      <c r="A11700" t="s">
        <v>3472</v>
      </c>
      <c r="B11700" t="s">
        <v>3473</v>
      </c>
      <c r="C11700" t="s">
        <v>441</v>
      </c>
      <c r="D11700" t="str">
        <f>VLOOKUP(C11700,'lookup table'!$A$2:$B$19,2,FALSE)</f>
        <v>Partner Segment</v>
      </c>
      <c r="E11700" t="str">
        <f t="shared" si="182"/>
        <v>TR021_17|Partner Segment</v>
      </c>
    </row>
    <row r="11701" spans="1:5" x14ac:dyDescent="0.2">
      <c r="A11701" t="s">
        <v>3472</v>
      </c>
      <c r="B11701" t="s">
        <v>3473</v>
      </c>
      <c r="C11701" t="s">
        <v>442</v>
      </c>
      <c r="D11701" t="str">
        <f>VLOOKUP(C11701,'lookup table'!$A$2:$B$19,2,FALSE)</f>
        <v>Partner Unit</v>
      </c>
      <c r="E11701" t="str">
        <f t="shared" si="182"/>
        <v>TR021_17|Partner Unit</v>
      </c>
    </row>
    <row r="11702" spans="1:5" x14ac:dyDescent="0.2">
      <c r="A11702" t="s">
        <v>3472</v>
      </c>
      <c r="B11702" t="s">
        <v>3473</v>
      </c>
      <c r="C11702" t="s">
        <v>447</v>
      </c>
      <c r="D11702" t="str">
        <f>VLOOKUP(C11702,'lookup table'!$A$2:$B$19,2,FALSE)</f>
        <v>REX</v>
      </c>
      <c r="E11702" t="str">
        <f t="shared" si="182"/>
        <v>TR021_17|REX</v>
      </c>
    </row>
    <row r="11703" spans="1:5" x14ac:dyDescent="0.2">
      <c r="A11703" t="s">
        <v>3472</v>
      </c>
      <c r="B11703" t="s">
        <v>3473</v>
      </c>
      <c r="C11703" t="s">
        <v>451</v>
      </c>
      <c r="D11703" t="str">
        <f>VLOOKUP(C11703,'lookup table'!$A$2:$B$19,2,FALSE)</f>
        <v>Segment</v>
      </c>
      <c r="E11703" t="str">
        <f t="shared" si="182"/>
        <v>TR021_17|Segment</v>
      </c>
    </row>
    <row r="11704" spans="1:5" x14ac:dyDescent="0.2">
      <c r="A11704" t="s">
        <v>3472</v>
      </c>
      <c r="B11704" t="s">
        <v>3473</v>
      </c>
      <c r="C11704" t="s">
        <v>457</v>
      </c>
      <c r="D11704" t="str">
        <f>VLOOKUP(C11704,'lookup table'!$A$2:$B$19,2,FALSE)</f>
        <v>VLT</v>
      </c>
      <c r="E11704" t="str">
        <f t="shared" si="182"/>
        <v>TR021_17|VLT</v>
      </c>
    </row>
    <row r="11705" spans="1:5" x14ac:dyDescent="0.2">
      <c r="A11705" t="s">
        <v>3472</v>
      </c>
      <c r="B11705" t="s">
        <v>3473</v>
      </c>
      <c r="C11705" t="s">
        <v>458</v>
      </c>
      <c r="D11705" t="str">
        <f>VLOOKUP(C11705,'lookup table'!$A$2:$B$19,2,FALSE)</f>
        <v>VAR</v>
      </c>
      <c r="E11705" t="str">
        <f t="shared" si="182"/>
        <v>TR021_17|VAR</v>
      </c>
    </row>
    <row r="11706" spans="1:5" x14ac:dyDescent="0.2">
      <c r="A11706" t="s">
        <v>3472</v>
      </c>
      <c r="B11706" t="s">
        <v>3473</v>
      </c>
      <c r="C11706" t="s">
        <v>461</v>
      </c>
      <c r="D11706" t="str">
        <f>VLOOKUP(C11706,'lookup table'!$A$2:$B$19,2,FALSE)</f>
        <v>Posting Level</v>
      </c>
      <c r="E11706" t="str">
        <f t="shared" si="182"/>
        <v>TR021_17|Posting Level</v>
      </c>
    </row>
    <row r="11707" spans="1:5" x14ac:dyDescent="0.2">
      <c r="A11707" t="s">
        <v>3474</v>
      </c>
      <c r="B11707" t="s">
        <v>3475</v>
      </c>
      <c r="C11707" t="s">
        <v>331</v>
      </c>
      <c r="D11707" t="str">
        <f>VLOOKUP(C11707,'lookup table'!$A$2:$B$19,2,FALSE)</f>
        <v>FS Item</v>
      </c>
      <c r="E11707" t="str">
        <f t="shared" si="182"/>
        <v>TR023_09|FS Item</v>
      </c>
    </row>
    <row r="11708" spans="1:5" x14ac:dyDescent="0.2">
      <c r="A11708" t="s">
        <v>3474</v>
      </c>
      <c r="B11708" t="s">
        <v>3475</v>
      </c>
      <c r="C11708" t="s">
        <v>423</v>
      </c>
      <c r="D11708" t="str">
        <f>VLOOKUP(C11708,'lookup table'!$A$2:$B$19,2,FALSE)</f>
        <v>ignore</v>
      </c>
      <c r="E11708" t="str">
        <f t="shared" si="182"/>
        <v>TR023_09|ignore</v>
      </c>
    </row>
    <row r="11709" spans="1:5" x14ac:dyDescent="0.2">
      <c r="A11709" t="s">
        <v>3474</v>
      </c>
      <c r="B11709" t="s">
        <v>3475</v>
      </c>
      <c r="C11709" t="s">
        <v>438</v>
      </c>
      <c r="D11709" t="str">
        <f>VLOOKUP(C11709,'lookup table'!$A$2:$B$19,2,FALSE)</f>
        <v>ToM</v>
      </c>
      <c r="E11709" t="str">
        <f t="shared" si="182"/>
        <v>TR023_09|ToM</v>
      </c>
    </row>
    <row r="11710" spans="1:5" x14ac:dyDescent="0.2">
      <c r="A11710" t="s">
        <v>3476</v>
      </c>
      <c r="B11710" t="s">
        <v>3477</v>
      </c>
      <c r="C11710" t="s">
        <v>331</v>
      </c>
      <c r="D11710" t="str">
        <f>VLOOKUP(C11710,'lookup table'!$A$2:$B$19,2,FALSE)</f>
        <v>FS Item</v>
      </c>
      <c r="E11710" t="str">
        <f t="shared" si="182"/>
        <v>TR026_09|FS Item</v>
      </c>
    </row>
    <row r="11711" spans="1:5" x14ac:dyDescent="0.2">
      <c r="A11711" t="s">
        <v>3476</v>
      </c>
      <c r="B11711" t="s">
        <v>3477</v>
      </c>
      <c r="C11711" t="s">
        <v>423</v>
      </c>
      <c r="D11711" t="str">
        <f>VLOOKUP(C11711,'lookup table'!$A$2:$B$19,2,FALSE)</f>
        <v>ignore</v>
      </c>
      <c r="E11711" t="str">
        <f t="shared" si="182"/>
        <v>TR026_09|ignore</v>
      </c>
    </row>
    <row r="11712" spans="1:5" x14ac:dyDescent="0.2">
      <c r="A11712" t="s">
        <v>3476</v>
      </c>
      <c r="B11712" t="s">
        <v>3477</v>
      </c>
      <c r="C11712" t="s">
        <v>438</v>
      </c>
      <c r="D11712" t="str">
        <f>VLOOKUP(C11712,'lookup table'!$A$2:$B$19,2,FALSE)</f>
        <v>ToM</v>
      </c>
      <c r="E11712" t="str">
        <f t="shared" si="182"/>
        <v>TR026_09|ToM</v>
      </c>
    </row>
    <row r="11713" spans="1:5" x14ac:dyDescent="0.2">
      <c r="A11713" t="s">
        <v>3478</v>
      </c>
      <c r="B11713" t="s">
        <v>3479</v>
      </c>
      <c r="C11713" t="s">
        <v>331</v>
      </c>
      <c r="D11713" t="str">
        <f>VLOOKUP(C11713,'lookup table'!$A$2:$B$19,2,FALSE)</f>
        <v>FS Item</v>
      </c>
      <c r="E11713" t="str">
        <f t="shared" si="182"/>
        <v>TR027_09|FS Item</v>
      </c>
    </row>
    <row r="11714" spans="1:5" x14ac:dyDescent="0.2">
      <c r="A11714" t="s">
        <v>3478</v>
      </c>
      <c r="B11714" t="s">
        <v>3479</v>
      </c>
      <c r="C11714" t="s">
        <v>423</v>
      </c>
      <c r="D11714" t="str">
        <f>VLOOKUP(C11714,'lookup table'!$A$2:$B$19,2,FALSE)</f>
        <v>ignore</v>
      </c>
      <c r="E11714" t="str">
        <f t="shared" si="182"/>
        <v>TR027_09|ignore</v>
      </c>
    </row>
    <row r="11715" spans="1:5" x14ac:dyDescent="0.2">
      <c r="A11715" t="s">
        <v>3478</v>
      </c>
      <c r="B11715" t="s">
        <v>3479</v>
      </c>
      <c r="C11715" t="s">
        <v>438</v>
      </c>
      <c r="D11715" t="str">
        <f>VLOOKUP(C11715,'lookup table'!$A$2:$B$19,2,FALSE)</f>
        <v>ToM</v>
      </c>
      <c r="E11715" t="str">
        <f t="shared" ref="E11715:E11778" si="183">IF(ISNA(D11715),"",IF(A11715="","",A11715) &amp; "|" &amp; D11715)</f>
        <v>TR027_09|ToM</v>
      </c>
    </row>
    <row r="11716" spans="1:5" x14ac:dyDescent="0.2">
      <c r="A11716" t="s">
        <v>3480</v>
      </c>
      <c r="B11716" t="s">
        <v>3481</v>
      </c>
      <c r="C11716" t="s">
        <v>331</v>
      </c>
      <c r="D11716" t="str">
        <f>VLOOKUP(C11716,'lookup table'!$A$2:$B$19,2,FALSE)</f>
        <v>FS Item</v>
      </c>
      <c r="E11716" t="str">
        <f t="shared" si="183"/>
        <v>TR028_09|FS Item</v>
      </c>
    </row>
    <row r="11717" spans="1:5" x14ac:dyDescent="0.2">
      <c r="A11717" t="s">
        <v>3480</v>
      </c>
      <c r="B11717" t="s">
        <v>3481</v>
      </c>
      <c r="C11717" t="s">
        <v>423</v>
      </c>
      <c r="D11717" t="str">
        <f>VLOOKUP(C11717,'lookup table'!$A$2:$B$19,2,FALSE)</f>
        <v>ignore</v>
      </c>
      <c r="E11717" t="str">
        <f t="shared" si="183"/>
        <v>TR028_09|ignore</v>
      </c>
    </row>
    <row r="11718" spans="1:5" x14ac:dyDescent="0.2">
      <c r="A11718" t="s">
        <v>3480</v>
      </c>
      <c r="B11718" t="s">
        <v>3481</v>
      </c>
      <c r="C11718" t="s">
        <v>438</v>
      </c>
      <c r="D11718" t="str">
        <f>VLOOKUP(C11718,'lookup table'!$A$2:$B$19,2,FALSE)</f>
        <v>ToM</v>
      </c>
      <c r="E11718" t="str">
        <f t="shared" si="183"/>
        <v>TR028_09|ToM</v>
      </c>
    </row>
    <row r="11719" spans="1:5" x14ac:dyDescent="0.2">
      <c r="A11719" t="s">
        <v>3482</v>
      </c>
      <c r="B11719" t="s">
        <v>3483</v>
      </c>
      <c r="C11719" t="s">
        <v>331</v>
      </c>
      <c r="D11719" t="str">
        <f>VLOOKUP(C11719,'lookup table'!$A$2:$B$19,2,FALSE)</f>
        <v>FS Item</v>
      </c>
      <c r="E11719" t="str">
        <f t="shared" si="183"/>
        <v>TR029_09|FS Item</v>
      </c>
    </row>
    <row r="11720" spans="1:5" x14ac:dyDescent="0.2">
      <c r="A11720" t="s">
        <v>3482</v>
      </c>
      <c r="B11720" t="s">
        <v>3483</v>
      </c>
      <c r="C11720" t="s">
        <v>423</v>
      </c>
      <c r="D11720" t="str">
        <f>VLOOKUP(C11720,'lookup table'!$A$2:$B$19,2,FALSE)</f>
        <v>ignore</v>
      </c>
      <c r="E11720" t="str">
        <f t="shared" si="183"/>
        <v>TR029_09|ignore</v>
      </c>
    </row>
    <row r="11721" spans="1:5" x14ac:dyDescent="0.2">
      <c r="A11721" t="s">
        <v>3482</v>
      </c>
      <c r="B11721" t="s">
        <v>3483</v>
      </c>
      <c r="C11721" t="s">
        <v>438</v>
      </c>
      <c r="D11721" t="str">
        <f>VLOOKUP(C11721,'lookup table'!$A$2:$B$19,2,FALSE)</f>
        <v>ToM</v>
      </c>
      <c r="E11721" t="str">
        <f t="shared" si="183"/>
        <v>TR029_09|ToM</v>
      </c>
    </row>
    <row r="11722" spans="1:5" x14ac:dyDescent="0.2">
      <c r="A11722" t="s">
        <v>3484</v>
      </c>
      <c r="B11722" t="s">
        <v>3485</v>
      </c>
      <c r="C11722" t="s">
        <v>331</v>
      </c>
      <c r="D11722" t="str">
        <f>VLOOKUP(C11722,'lookup table'!$A$2:$B$19,2,FALSE)</f>
        <v>FS Item</v>
      </c>
      <c r="E11722" t="str">
        <f t="shared" si="183"/>
        <v>TR03_SST|FS Item</v>
      </c>
    </row>
    <row r="11723" spans="1:5" x14ac:dyDescent="0.2">
      <c r="A11723" t="s">
        <v>3484</v>
      </c>
      <c r="B11723" t="s">
        <v>3485</v>
      </c>
      <c r="C11723" t="s">
        <v>423</v>
      </c>
      <c r="D11723" t="str">
        <f>VLOOKUP(C11723,'lookup table'!$A$2:$B$19,2,FALSE)</f>
        <v>ignore</v>
      </c>
      <c r="E11723" t="str">
        <f t="shared" si="183"/>
        <v>TR03_SST|ignore</v>
      </c>
    </row>
    <row r="11724" spans="1:5" x14ac:dyDescent="0.2">
      <c r="A11724" t="s">
        <v>3484</v>
      </c>
      <c r="B11724" t="s">
        <v>3485</v>
      </c>
      <c r="C11724" t="s">
        <v>441</v>
      </c>
      <c r="D11724" t="str">
        <f>VLOOKUP(C11724,'lookup table'!$A$2:$B$19,2,FALSE)</f>
        <v>Partner Segment</v>
      </c>
      <c r="E11724" t="str">
        <f t="shared" si="183"/>
        <v>TR03_SST|Partner Segment</v>
      </c>
    </row>
    <row r="11725" spans="1:5" x14ac:dyDescent="0.2">
      <c r="A11725" t="s">
        <v>3484</v>
      </c>
      <c r="B11725" t="s">
        <v>3485</v>
      </c>
      <c r="C11725" t="s">
        <v>442</v>
      </c>
      <c r="D11725" t="str">
        <f>VLOOKUP(C11725,'lookup table'!$A$2:$B$19,2,FALSE)</f>
        <v>Partner Unit</v>
      </c>
      <c r="E11725" t="str">
        <f t="shared" si="183"/>
        <v>TR03_SST|Partner Unit</v>
      </c>
    </row>
    <row r="11726" spans="1:5" x14ac:dyDescent="0.2">
      <c r="A11726" t="s">
        <v>3486</v>
      </c>
      <c r="B11726" t="s">
        <v>3487</v>
      </c>
      <c r="C11726" t="s">
        <v>331</v>
      </c>
      <c r="D11726" t="str">
        <f>VLOOKUP(C11726,'lookup table'!$A$2:$B$19,2,FALSE)</f>
        <v>FS Item</v>
      </c>
      <c r="E11726" t="str">
        <f t="shared" si="183"/>
        <v>TR030_09|FS Item</v>
      </c>
    </row>
    <row r="11727" spans="1:5" x14ac:dyDescent="0.2">
      <c r="A11727" t="s">
        <v>3486</v>
      </c>
      <c r="B11727" t="s">
        <v>3487</v>
      </c>
      <c r="C11727" t="s">
        <v>423</v>
      </c>
      <c r="D11727" t="str">
        <f>VLOOKUP(C11727,'lookup table'!$A$2:$B$19,2,FALSE)</f>
        <v>ignore</v>
      </c>
      <c r="E11727" t="str">
        <f t="shared" si="183"/>
        <v>TR030_09|ignore</v>
      </c>
    </row>
    <row r="11728" spans="1:5" x14ac:dyDescent="0.2">
      <c r="A11728" t="s">
        <v>3486</v>
      </c>
      <c r="B11728" t="s">
        <v>3487</v>
      </c>
      <c r="C11728" t="s">
        <v>438</v>
      </c>
      <c r="D11728" t="str">
        <f>VLOOKUP(C11728,'lookup table'!$A$2:$B$19,2,FALSE)</f>
        <v>ToM</v>
      </c>
      <c r="E11728" t="str">
        <f t="shared" si="183"/>
        <v>TR030_09|ToM</v>
      </c>
    </row>
    <row r="11729" spans="1:5" x14ac:dyDescent="0.2">
      <c r="A11729" t="s">
        <v>3488</v>
      </c>
      <c r="B11729" t="s">
        <v>3489</v>
      </c>
      <c r="C11729" t="s">
        <v>331</v>
      </c>
      <c r="D11729" t="str">
        <f>VLOOKUP(C11729,'lookup table'!$A$2:$B$19,2,FALSE)</f>
        <v>FS Item</v>
      </c>
      <c r="E11729" t="str">
        <f t="shared" si="183"/>
        <v>TR031_09|FS Item</v>
      </c>
    </row>
    <row r="11730" spans="1:5" x14ac:dyDescent="0.2">
      <c r="A11730" t="s">
        <v>3488</v>
      </c>
      <c r="B11730" t="s">
        <v>3489</v>
      </c>
      <c r="C11730" t="s">
        <v>423</v>
      </c>
      <c r="D11730" t="str">
        <f>VLOOKUP(C11730,'lookup table'!$A$2:$B$19,2,FALSE)</f>
        <v>ignore</v>
      </c>
      <c r="E11730" t="str">
        <f t="shared" si="183"/>
        <v>TR031_09|ignore</v>
      </c>
    </row>
    <row r="11731" spans="1:5" x14ac:dyDescent="0.2">
      <c r="A11731" t="s">
        <v>3488</v>
      </c>
      <c r="B11731" t="s">
        <v>3489</v>
      </c>
      <c r="C11731" t="s">
        <v>438</v>
      </c>
      <c r="D11731" t="str">
        <f>VLOOKUP(C11731,'lookup table'!$A$2:$B$19,2,FALSE)</f>
        <v>ToM</v>
      </c>
      <c r="E11731" t="str">
        <f t="shared" si="183"/>
        <v>TR031_09|ToM</v>
      </c>
    </row>
    <row r="11732" spans="1:5" x14ac:dyDescent="0.2">
      <c r="A11732" t="s">
        <v>3490</v>
      </c>
      <c r="B11732" t="s">
        <v>3491</v>
      </c>
      <c r="C11732" t="s">
        <v>331</v>
      </c>
      <c r="D11732" t="str">
        <f>VLOOKUP(C11732,'lookup table'!$A$2:$B$19,2,FALSE)</f>
        <v>FS Item</v>
      </c>
      <c r="E11732" t="str">
        <f t="shared" si="183"/>
        <v>TR032_09|FS Item</v>
      </c>
    </row>
    <row r="11733" spans="1:5" x14ac:dyDescent="0.2">
      <c r="A11733" t="s">
        <v>3490</v>
      </c>
      <c r="B11733" t="s">
        <v>3491</v>
      </c>
      <c r="C11733" t="s">
        <v>423</v>
      </c>
      <c r="D11733" t="str">
        <f>VLOOKUP(C11733,'lookup table'!$A$2:$B$19,2,FALSE)</f>
        <v>ignore</v>
      </c>
      <c r="E11733" t="str">
        <f t="shared" si="183"/>
        <v>TR032_09|ignore</v>
      </c>
    </row>
    <row r="11734" spans="1:5" x14ac:dyDescent="0.2">
      <c r="A11734" t="s">
        <v>3490</v>
      </c>
      <c r="B11734" t="s">
        <v>3491</v>
      </c>
      <c r="C11734" t="s">
        <v>438</v>
      </c>
      <c r="D11734" t="str">
        <f>VLOOKUP(C11734,'lookup table'!$A$2:$B$19,2,FALSE)</f>
        <v>ToM</v>
      </c>
      <c r="E11734" t="str">
        <f t="shared" si="183"/>
        <v>TR032_09|ToM</v>
      </c>
    </row>
    <row r="11735" spans="1:5" x14ac:dyDescent="0.2">
      <c r="A11735" t="s">
        <v>3492</v>
      </c>
      <c r="B11735" t="s">
        <v>3493</v>
      </c>
      <c r="C11735" t="s">
        <v>331</v>
      </c>
      <c r="D11735" t="str">
        <f>VLOOKUP(C11735,'lookup table'!$A$2:$B$19,2,FALSE)</f>
        <v>FS Item</v>
      </c>
      <c r="E11735" t="str">
        <f t="shared" si="183"/>
        <v>TR033_09|FS Item</v>
      </c>
    </row>
    <row r="11736" spans="1:5" x14ac:dyDescent="0.2">
      <c r="A11736" t="s">
        <v>3492</v>
      </c>
      <c r="B11736" t="s">
        <v>3493</v>
      </c>
      <c r="C11736" t="s">
        <v>423</v>
      </c>
      <c r="D11736" t="str">
        <f>VLOOKUP(C11736,'lookup table'!$A$2:$B$19,2,FALSE)</f>
        <v>ignore</v>
      </c>
      <c r="E11736" t="str">
        <f t="shared" si="183"/>
        <v>TR033_09|ignore</v>
      </c>
    </row>
    <row r="11737" spans="1:5" x14ac:dyDescent="0.2">
      <c r="A11737" t="s">
        <v>3492</v>
      </c>
      <c r="B11737" t="s">
        <v>3493</v>
      </c>
      <c r="C11737" t="s">
        <v>438</v>
      </c>
      <c r="D11737" t="str">
        <f>VLOOKUP(C11737,'lookup table'!$A$2:$B$19,2,FALSE)</f>
        <v>ToM</v>
      </c>
      <c r="E11737" t="str">
        <f t="shared" si="183"/>
        <v>TR033_09|ToM</v>
      </c>
    </row>
    <row r="11738" spans="1:5" x14ac:dyDescent="0.2">
      <c r="A11738" t="s">
        <v>3494</v>
      </c>
      <c r="B11738" t="s">
        <v>3495</v>
      </c>
      <c r="C11738" t="s">
        <v>331</v>
      </c>
      <c r="D11738" t="str">
        <f>VLOOKUP(C11738,'lookup table'!$A$2:$B$19,2,FALSE)</f>
        <v>FS Item</v>
      </c>
      <c r="E11738" t="str">
        <f t="shared" si="183"/>
        <v>TR034_09|FS Item</v>
      </c>
    </row>
    <row r="11739" spans="1:5" x14ac:dyDescent="0.2">
      <c r="A11739" t="s">
        <v>3494</v>
      </c>
      <c r="B11739" t="s">
        <v>3495</v>
      </c>
      <c r="C11739" t="s">
        <v>423</v>
      </c>
      <c r="D11739" t="str">
        <f>VLOOKUP(C11739,'lookup table'!$A$2:$B$19,2,FALSE)</f>
        <v>ignore</v>
      </c>
      <c r="E11739" t="str">
        <f t="shared" si="183"/>
        <v>TR034_09|ignore</v>
      </c>
    </row>
    <row r="11740" spans="1:5" x14ac:dyDescent="0.2">
      <c r="A11740" t="s">
        <v>3494</v>
      </c>
      <c r="B11740" t="s">
        <v>3495</v>
      </c>
      <c r="C11740" t="s">
        <v>438</v>
      </c>
      <c r="D11740" t="str">
        <f>VLOOKUP(C11740,'lookup table'!$A$2:$B$19,2,FALSE)</f>
        <v>ToM</v>
      </c>
      <c r="E11740" t="str">
        <f t="shared" si="183"/>
        <v>TR034_09|ToM</v>
      </c>
    </row>
    <row r="11741" spans="1:5" x14ac:dyDescent="0.2">
      <c r="A11741" t="s">
        <v>3496</v>
      </c>
      <c r="B11741" t="s">
        <v>3497</v>
      </c>
      <c r="C11741" t="s">
        <v>14</v>
      </c>
      <c r="D11741" t="str">
        <f>VLOOKUP(C11741,'lookup table'!$A$2:$B$19,2,FALSE)</f>
        <v>ALC</v>
      </c>
      <c r="E11741" t="str">
        <f t="shared" si="183"/>
        <v>TR035_09|ALC</v>
      </c>
    </row>
    <row r="11742" spans="1:5" x14ac:dyDescent="0.2">
      <c r="A11742" t="s">
        <v>3496</v>
      </c>
      <c r="B11742" t="s">
        <v>3497</v>
      </c>
      <c r="C11742" t="s">
        <v>20</v>
      </c>
      <c r="D11742" t="str">
        <f>VLOOKUP(C11742,'lookup table'!$A$2:$B$19,2,FALSE)</f>
        <v>AY</v>
      </c>
      <c r="E11742" t="str">
        <f t="shared" si="183"/>
        <v>TR035_09|AY</v>
      </c>
    </row>
    <row r="11743" spans="1:5" x14ac:dyDescent="0.2">
      <c r="A11743" t="s">
        <v>3496</v>
      </c>
      <c r="B11743" t="s">
        <v>3497</v>
      </c>
      <c r="C11743" t="s">
        <v>136</v>
      </c>
      <c r="D11743" t="str">
        <f>VLOOKUP(C11743,'lookup table'!$A$2:$B$19,2,FALSE)</f>
        <v>BBA Set</v>
      </c>
      <c r="E11743" t="str">
        <f t="shared" si="183"/>
        <v>TR035_09|BBA Set</v>
      </c>
    </row>
    <row r="11744" spans="1:5" x14ac:dyDescent="0.2">
      <c r="A11744" t="s">
        <v>3496</v>
      </c>
      <c r="B11744" t="s">
        <v>3497</v>
      </c>
      <c r="C11744" t="s">
        <v>331</v>
      </c>
      <c r="D11744" t="str">
        <f>VLOOKUP(C11744,'lookup table'!$A$2:$B$19,2,FALSE)</f>
        <v>FS Item</v>
      </c>
      <c r="E11744" t="str">
        <f t="shared" si="183"/>
        <v>TR035_09|FS Item</v>
      </c>
    </row>
    <row r="11745" spans="1:5" x14ac:dyDescent="0.2">
      <c r="A11745" t="s">
        <v>3496</v>
      </c>
      <c r="B11745" t="s">
        <v>3497</v>
      </c>
      <c r="C11745" t="s">
        <v>423</v>
      </c>
      <c r="D11745" t="str">
        <f>VLOOKUP(C11745,'lookup table'!$A$2:$B$19,2,FALSE)</f>
        <v>ignore</v>
      </c>
      <c r="E11745" t="str">
        <f t="shared" si="183"/>
        <v>TR035_09|ignore</v>
      </c>
    </row>
    <row r="11746" spans="1:5" x14ac:dyDescent="0.2">
      <c r="A11746" t="s">
        <v>3496</v>
      </c>
      <c r="B11746" t="s">
        <v>3497</v>
      </c>
      <c r="C11746" t="s">
        <v>428</v>
      </c>
      <c r="D11746" t="str">
        <f>VLOOKUP(C11746,'lookup table'!$A$2:$B$19,2,FALSE)</f>
        <v>LoB</v>
      </c>
      <c r="E11746" t="str">
        <f t="shared" si="183"/>
        <v>TR035_09|LoB</v>
      </c>
    </row>
    <row r="11747" spans="1:5" x14ac:dyDescent="0.2">
      <c r="A11747" t="s">
        <v>3496</v>
      </c>
      <c r="B11747" t="s">
        <v>3497</v>
      </c>
      <c r="C11747" t="s">
        <v>436</v>
      </c>
      <c r="D11747" t="str">
        <f>VLOOKUP(C11747,'lookup table'!$A$2:$B$19,2,FALSE)</f>
        <v>MAT</v>
      </c>
      <c r="E11747" t="str">
        <f t="shared" si="183"/>
        <v>TR035_09|MAT</v>
      </c>
    </row>
    <row r="11748" spans="1:5" x14ac:dyDescent="0.2">
      <c r="A11748" t="s">
        <v>3496</v>
      </c>
      <c r="B11748" t="s">
        <v>3497</v>
      </c>
      <c r="C11748" t="s">
        <v>438</v>
      </c>
      <c r="D11748" t="str">
        <f>VLOOKUP(C11748,'lookup table'!$A$2:$B$19,2,FALSE)</f>
        <v>ToM</v>
      </c>
      <c r="E11748" t="str">
        <f t="shared" si="183"/>
        <v>TR035_09|ToM</v>
      </c>
    </row>
    <row r="11749" spans="1:5" x14ac:dyDescent="0.2">
      <c r="A11749" t="s">
        <v>3496</v>
      </c>
      <c r="B11749" t="s">
        <v>3497</v>
      </c>
      <c r="C11749" t="s">
        <v>441</v>
      </c>
      <c r="D11749" t="str">
        <f>VLOOKUP(C11749,'lookup table'!$A$2:$B$19,2,FALSE)</f>
        <v>Partner Segment</v>
      </c>
      <c r="E11749" t="str">
        <f t="shared" si="183"/>
        <v>TR035_09|Partner Segment</v>
      </c>
    </row>
    <row r="11750" spans="1:5" x14ac:dyDescent="0.2">
      <c r="A11750" t="s">
        <v>3496</v>
      </c>
      <c r="B11750" t="s">
        <v>3497</v>
      </c>
      <c r="C11750" t="s">
        <v>442</v>
      </c>
      <c r="D11750" t="str">
        <f>VLOOKUP(C11750,'lookup table'!$A$2:$B$19,2,FALSE)</f>
        <v>Partner Unit</v>
      </c>
      <c r="E11750" t="str">
        <f t="shared" si="183"/>
        <v>TR035_09|Partner Unit</v>
      </c>
    </row>
    <row r="11751" spans="1:5" x14ac:dyDescent="0.2">
      <c r="A11751" t="s">
        <v>3496</v>
      </c>
      <c r="B11751" t="s">
        <v>3497</v>
      </c>
      <c r="C11751" t="s">
        <v>447</v>
      </c>
      <c r="D11751" t="str">
        <f>VLOOKUP(C11751,'lookup table'!$A$2:$B$19,2,FALSE)</f>
        <v>REX</v>
      </c>
      <c r="E11751" t="str">
        <f t="shared" si="183"/>
        <v>TR035_09|REX</v>
      </c>
    </row>
    <row r="11752" spans="1:5" x14ac:dyDescent="0.2">
      <c r="A11752" t="s">
        <v>3496</v>
      </c>
      <c r="B11752" t="s">
        <v>3497</v>
      </c>
      <c r="C11752" t="s">
        <v>451</v>
      </c>
      <c r="D11752" t="str">
        <f>VLOOKUP(C11752,'lookup table'!$A$2:$B$19,2,FALSE)</f>
        <v>Segment</v>
      </c>
      <c r="E11752" t="str">
        <f t="shared" si="183"/>
        <v>TR035_09|Segment</v>
      </c>
    </row>
    <row r="11753" spans="1:5" x14ac:dyDescent="0.2">
      <c r="A11753" t="s">
        <v>3496</v>
      </c>
      <c r="B11753" t="s">
        <v>3497</v>
      </c>
      <c r="C11753" t="s">
        <v>457</v>
      </c>
      <c r="D11753" t="str">
        <f>VLOOKUP(C11753,'lookup table'!$A$2:$B$19,2,FALSE)</f>
        <v>VLT</v>
      </c>
      <c r="E11753" t="str">
        <f t="shared" si="183"/>
        <v>TR035_09|VLT</v>
      </c>
    </row>
    <row r="11754" spans="1:5" x14ac:dyDescent="0.2">
      <c r="A11754" t="s">
        <v>3496</v>
      </c>
      <c r="B11754" t="s">
        <v>3497</v>
      </c>
      <c r="C11754" t="s">
        <v>458</v>
      </c>
      <c r="D11754" t="str">
        <f>VLOOKUP(C11754,'lookup table'!$A$2:$B$19,2,FALSE)</f>
        <v>VAR</v>
      </c>
      <c r="E11754" t="str">
        <f t="shared" si="183"/>
        <v>TR035_09|VAR</v>
      </c>
    </row>
    <row r="11755" spans="1:5" x14ac:dyDescent="0.2">
      <c r="A11755" t="s">
        <v>3498</v>
      </c>
      <c r="B11755" t="s">
        <v>3499</v>
      </c>
      <c r="C11755" t="s">
        <v>14</v>
      </c>
      <c r="D11755" t="str">
        <f>VLOOKUP(C11755,'lookup table'!$A$2:$B$19,2,FALSE)</f>
        <v>ALC</v>
      </c>
      <c r="E11755" t="str">
        <f t="shared" si="183"/>
        <v>TR035A_09|ALC</v>
      </c>
    </row>
    <row r="11756" spans="1:5" x14ac:dyDescent="0.2">
      <c r="A11756" t="s">
        <v>3498</v>
      </c>
      <c r="B11756" t="s">
        <v>3499</v>
      </c>
      <c r="C11756" t="s">
        <v>20</v>
      </c>
      <c r="D11756" t="str">
        <f>VLOOKUP(C11756,'lookup table'!$A$2:$B$19,2,FALSE)</f>
        <v>AY</v>
      </c>
      <c r="E11756" t="str">
        <f t="shared" si="183"/>
        <v>TR035A_09|AY</v>
      </c>
    </row>
    <row r="11757" spans="1:5" x14ac:dyDescent="0.2">
      <c r="A11757" t="s">
        <v>3498</v>
      </c>
      <c r="B11757" t="s">
        <v>3499</v>
      </c>
      <c r="C11757" t="s">
        <v>136</v>
      </c>
      <c r="D11757" t="str">
        <f>VLOOKUP(C11757,'lookup table'!$A$2:$B$19,2,FALSE)</f>
        <v>BBA Set</v>
      </c>
      <c r="E11757" t="str">
        <f t="shared" si="183"/>
        <v>TR035A_09|BBA Set</v>
      </c>
    </row>
    <row r="11758" spans="1:5" x14ac:dyDescent="0.2">
      <c r="A11758" t="s">
        <v>3498</v>
      </c>
      <c r="B11758" t="s">
        <v>3499</v>
      </c>
      <c r="C11758" t="s">
        <v>331</v>
      </c>
      <c r="D11758" t="str">
        <f>VLOOKUP(C11758,'lookup table'!$A$2:$B$19,2,FALSE)</f>
        <v>FS Item</v>
      </c>
      <c r="E11758" t="str">
        <f t="shared" si="183"/>
        <v>TR035A_09|FS Item</v>
      </c>
    </row>
    <row r="11759" spans="1:5" x14ac:dyDescent="0.2">
      <c r="A11759" t="s">
        <v>3498</v>
      </c>
      <c r="B11759" t="s">
        <v>3499</v>
      </c>
      <c r="C11759" t="s">
        <v>423</v>
      </c>
      <c r="D11759" t="str">
        <f>VLOOKUP(C11759,'lookup table'!$A$2:$B$19,2,FALSE)</f>
        <v>ignore</v>
      </c>
      <c r="E11759" t="str">
        <f t="shared" si="183"/>
        <v>TR035A_09|ignore</v>
      </c>
    </row>
    <row r="11760" spans="1:5" x14ac:dyDescent="0.2">
      <c r="A11760" t="s">
        <v>3498</v>
      </c>
      <c r="B11760" t="s">
        <v>3499</v>
      </c>
      <c r="C11760" t="s">
        <v>428</v>
      </c>
      <c r="D11760" t="str">
        <f>VLOOKUP(C11760,'lookup table'!$A$2:$B$19,2,FALSE)</f>
        <v>LoB</v>
      </c>
      <c r="E11760" t="str">
        <f t="shared" si="183"/>
        <v>TR035A_09|LoB</v>
      </c>
    </row>
    <row r="11761" spans="1:5" x14ac:dyDescent="0.2">
      <c r="A11761" t="s">
        <v>3498</v>
      </c>
      <c r="B11761" t="s">
        <v>3499</v>
      </c>
      <c r="C11761" t="s">
        <v>436</v>
      </c>
      <c r="D11761" t="str">
        <f>VLOOKUP(C11761,'lookup table'!$A$2:$B$19,2,FALSE)</f>
        <v>MAT</v>
      </c>
      <c r="E11761" t="str">
        <f t="shared" si="183"/>
        <v>TR035A_09|MAT</v>
      </c>
    </row>
    <row r="11762" spans="1:5" x14ac:dyDescent="0.2">
      <c r="A11762" t="s">
        <v>3498</v>
      </c>
      <c r="B11762" t="s">
        <v>3499</v>
      </c>
      <c r="C11762" t="s">
        <v>438</v>
      </c>
      <c r="D11762" t="str">
        <f>VLOOKUP(C11762,'lookup table'!$A$2:$B$19,2,FALSE)</f>
        <v>ToM</v>
      </c>
      <c r="E11762" t="str">
        <f t="shared" si="183"/>
        <v>TR035A_09|ToM</v>
      </c>
    </row>
    <row r="11763" spans="1:5" x14ac:dyDescent="0.2">
      <c r="A11763" t="s">
        <v>3498</v>
      </c>
      <c r="B11763" t="s">
        <v>3499</v>
      </c>
      <c r="C11763" t="s">
        <v>441</v>
      </c>
      <c r="D11763" t="str">
        <f>VLOOKUP(C11763,'lookup table'!$A$2:$B$19,2,FALSE)</f>
        <v>Partner Segment</v>
      </c>
      <c r="E11763" t="str">
        <f t="shared" si="183"/>
        <v>TR035A_09|Partner Segment</v>
      </c>
    </row>
    <row r="11764" spans="1:5" x14ac:dyDescent="0.2">
      <c r="A11764" t="s">
        <v>3498</v>
      </c>
      <c r="B11764" t="s">
        <v>3499</v>
      </c>
      <c r="C11764" t="s">
        <v>442</v>
      </c>
      <c r="D11764" t="str">
        <f>VLOOKUP(C11764,'lookup table'!$A$2:$B$19,2,FALSE)</f>
        <v>Partner Unit</v>
      </c>
      <c r="E11764" t="str">
        <f t="shared" si="183"/>
        <v>TR035A_09|Partner Unit</v>
      </c>
    </row>
    <row r="11765" spans="1:5" x14ac:dyDescent="0.2">
      <c r="A11765" t="s">
        <v>3498</v>
      </c>
      <c r="B11765" t="s">
        <v>3499</v>
      </c>
      <c r="C11765" t="s">
        <v>447</v>
      </c>
      <c r="D11765" t="str">
        <f>VLOOKUP(C11765,'lookup table'!$A$2:$B$19,2,FALSE)</f>
        <v>REX</v>
      </c>
      <c r="E11765" t="str">
        <f t="shared" si="183"/>
        <v>TR035A_09|REX</v>
      </c>
    </row>
    <row r="11766" spans="1:5" x14ac:dyDescent="0.2">
      <c r="A11766" t="s">
        <v>3498</v>
      </c>
      <c r="B11766" t="s">
        <v>3499</v>
      </c>
      <c r="C11766" t="s">
        <v>451</v>
      </c>
      <c r="D11766" t="str">
        <f>VLOOKUP(C11766,'lookup table'!$A$2:$B$19,2,FALSE)</f>
        <v>Segment</v>
      </c>
      <c r="E11766" t="str">
        <f t="shared" si="183"/>
        <v>TR035A_09|Segment</v>
      </c>
    </row>
    <row r="11767" spans="1:5" x14ac:dyDescent="0.2">
      <c r="A11767" t="s">
        <v>3498</v>
      </c>
      <c r="B11767" t="s">
        <v>3499</v>
      </c>
      <c r="C11767" t="s">
        <v>457</v>
      </c>
      <c r="D11767" t="str">
        <f>VLOOKUP(C11767,'lookup table'!$A$2:$B$19,2,FALSE)</f>
        <v>VLT</v>
      </c>
      <c r="E11767" t="str">
        <f t="shared" si="183"/>
        <v>TR035A_09|VLT</v>
      </c>
    </row>
    <row r="11768" spans="1:5" x14ac:dyDescent="0.2">
      <c r="A11768" t="s">
        <v>3498</v>
      </c>
      <c r="B11768" t="s">
        <v>3499</v>
      </c>
      <c r="C11768" t="s">
        <v>458</v>
      </c>
      <c r="D11768" t="str">
        <f>VLOOKUP(C11768,'lookup table'!$A$2:$B$19,2,FALSE)</f>
        <v>VAR</v>
      </c>
      <c r="E11768" t="str">
        <f t="shared" si="183"/>
        <v>TR035A_09|VAR</v>
      </c>
    </row>
    <row r="11769" spans="1:5" x14ac:dyDescent="0.2">
      <c r="A11769" t="s">
        <v>3500</v>
      </c>
      <c r="B11769" t="s">
        <v>3501</v>
      </c>
      <c r="C11769" t="s">
        <v>331</v>
      </c>
      <c r="D11769" t="str">
        <f>VLOOKUP(C11769,'lookup table'!$A$2:$B$19,2,FALSE)</f>
        <v>FS Item</v>
      </c>
      <c r="E11769" t="str">
        <f t="shared" si="183"/>
        <v>TR035B_09|FS Item</v>
      </c>
    </row>
    <row r="11770" spans="1:5" x14ac:dyDescent="0.2">
      <c r="A11770" t="s">
        <v>3500</v>
      </c>
      <c r="B11770" t="s">
        <v>3501</v>
      </c>
      <c r="C11770" t="s">
        <v>423</v>
      </c>
      <c r="D11770" t="str">
        <f>VLOOKUP(C11770,'lookup table'!$A$2:$B$19,2,FALSE)</f>
        <v>ignore</v>
      </c>
      <c r="E11770" t="str">
        <f t="shared" si="183"/>
        <v>TR035B_09|ignore</v>
      </c>
    </row>
    <row r="11771" spans="1:5" x14ac:dyDescent="0.2">
      <c r="A11771" t="s">
        <v>3500</v>
      </c>
      <c r="B11771" t="s">
        <v>3501</v>
      </c>
      <c r="C11771" t="s">
        <v>438</v>
      </c>
      <c r="D11771" t="str">
        <f>VLOOKUP(C11771,'lookup table'!$A$2:$B$19,2,FALSE)</f>
        <v>ToM</v>
      </c>
      <c r="E11771" t="str">
        <f t="shared" si="183"/>
        <v>TR035B_09|ToM</v>
      </c>
    </row>
    <row r="11772" spans="1:5" x14ac:dyDescent="0.2">
      <c r="A11772" t="s">
        <v>3502</v>
      </c>
      <c r="B11772" t="s">
        <v>3503</v>
      </c>
      <c r="C11772" t="s">
        <v>20</v>
      </c>
      <c r="D11772" t="str">
        <f>VLOOKUP(C11772,'lookup table'!$A$2:$B$19,2,FALSE)</f>
        <v>AY</v>
      </c>
      <c r="E11772" t="str">
        <f t="shared" si="183"/>
        <v>TR036_09|AY</v>
      </c>
    </row>
    <row r="11773" spans="1:5" x14ac:dyDescent="0.2">
      <c r="A11773" t="s">
        <v>3502</v>
      </c>
      <c r="B11773" t="s">
        <v>3503</v>
      </c>
      <c r="C11773" t="s">
        <v>331</v>
      </c>
      <c r="D11773" t="str">
        <f>VLOOKUP(C11773,'lookup table'!$A$2:$B$19,2,FALSE)</f>
        <v>FS Item</v>
      </c>
      <c r="E11773" t="str">
        <f t="shared" si="183"/>
        <v>TR036_09|FS Item</v>
      </c>
    </row>
    <row r="11774" spans="1:5" x14ac:dyDescent="0.2">
      <c r="A11774" t="s">
        <v>3502</v>
      </c>
      <c r="B11774" t="s">
        <v>3503</v>
      </c>
      <c r="C11774" t="s">
        <v>423</v>
      </c>
      <c r="D11774" t="str">
        <f>VLOOKUP(C11774,'lookup table'!$A$2:$B$19,2,FALSE)</f>
        <v>ignore</v>
      </c>
      <c r="E11774" t="str">
        <f t="shared" si="183"/>
        <v>TR036_09|ignore</v>
      </c>
    </row>
    <row r="11775" spans="1:5" x14ac:dyDescent="0.2">
      <c r="A11775" t="s">
        <v>3502</v>
      </c>
      <c r="B11775" t="s">
        <v>3503</v>
      </c>
      <c r="C11775" t="s">
        <v>428</v>
      </c>
      <c r="D11775" t="str">
        <f>VLOOKUP(C11775,'lookup table'!$A$2:$B$19,2,FALSE)</f>
        <v>LoB</v>
      </c>
      <c r="E11775" t="str">
        <f t="shared" si="183"/>
        <v>TR036_09|LoB</v>
      </c>
    </row>
    <row r="11776" spans="1:5" x14ac:dyDescent="0.2">
      <c r="A11776" t="s">
        <v>3502</v>
      </c>
      <c r="B11776" t="s">
        <v>3503</v>
      </c>
      <c r="C11776" t="s">
        <v>438</v>
      </c>
      <c r="D11776" t="str">
        <f>VLOOKUP(C11776,'lookup table'!$A$2:$B$19,2,FALSE)</f>
        <v>ToM</v>
      </c>
      <c r="E11776" t="str">
        <f t="shared" si="183"/>
        <v>TR036_09|ToM</v>
      </c>
    </row>
    <row r="11777" spans="1:5" x14ac:dyDescent="0.2">
      <c r="A11777" t="s">
        <v>3502</v>
      </c>
      <c r="B11777" t="s">
        <v>3503</v>
      </c>
      <c r="C11777" t="s">
        <v>441</v>
      </c>
      <c r="D11777" t="str">
        <f>VLOOKUP(C11777,'lookup table'!$A$2:$B$19,2,FALSE)</f>
        <v>Partner Segment</v>
      </c>
      <c r="E11777" t="str">
        <f t="shared" si="183"/>
        <v>TR036_09|Partner Segment</v>
      </c>
    </row>
    <row r="11778" spans="1:5" x14ac:dyDescent="0.2">
      <c r="A11778" t="s">
        <v>3502</v>
      </c>
      <c r="B11778" t="s">
        <v>3503</v>
      </c>
      <c r="C11778" t="s">
        <v>442</v>
      </c>
      <c r="D11778" t="str">
        <f>VLOOKUP(C11778,'lookup table'!$A$2:$B$19,2,FALSE)</f>
        <v>Partner Unit</v>
      </c>
      <c r="E11778" t="str">
        <f t="shared" si="183"/>
        <v>TR036_09|Partner Unit</v>
      </c>
    </row>
    <row r="11779" spans="1:5" x14ac:dyDescent="0.2">
      <c r="A11779" t="s">
        <v>3502</v>
      </c>
      <c r="B11779" t="s">
        <v>3503</v>
      </c>
      <c r="C11779" t="s">
        <v>451</v>
      </c>
      <c r="D11779" t="str">
        <f>VLOOKUP(C11779,'lookup table'!$A$2:$B$19,2,FALSE)</f>
        <v>Segment</v>
      </c>
      <c r="E11779" t="str">
        <f t="shared" ref="E11779:E11842" si="184">IF(ISNA(D11779),"",IF(A11779="","",A11779) &amp; "|" &amp; D11779)</f>
        <v>TR036_09|Segment</v>
      </c>
    </row>
    <row r="11780" spans="1:5" x14ac:dyDescent="0.2">
      <c r="A11780" t="s">
        <v>3504</v>
      </c>
      <c r="B11780" t="s">
        <v>3505</v>
      </c>
      <c r="C11780" t="s">
        <v>331</v>
      </c>
      <c r="D11780" t="str">
        <f>VLOOKUP(C11780,'lookup table'!$A$2:$B$19,2,FALSE)</f>
        <v>FS Item</v>
      </c>
      <c r="E11780" t="str">
        <f t="shared" si="184"/>
        <v>TR036B_09|FS Item</v>
      </c>
    </row>
    <row r="11781" spans="1:5" x14ac:dyDescent="0.2">
      <c r="A11781" t="s">
        <v>3504</v>
      </c>
      <c r="B11781" t="s">
        <v>3505</v>
      </c>
      <c r="C11781" t="s">
        <v>423</v>
      </c>
      <c r="D11781" t="str">
        <f>VLOOKUP(C11781,'lookup table'!$A$2:$B$19,2,FALSE)</f>
        <v>ignore</v>
      </c>
      <c r="E11781" t="str">
        <f t="shared" si="184"/>
        <v>TR036B_09|ignore</v>
      </c>
    </row>
    <row r="11782" spans="1:5" x14ac:dyDescent="0.2">
      <c r="A11782" t="s">
        <v>3506</v>
      </c>
      <c r="B11782" t="s">
        <v>3507</v>
      </c>
      <c r="C11782" t="s">
        <v>14</v>
      </c>
      <c r="D11782" t="str">
        <f>VLOOKUP(C11782,'lookup table'!$A$2:$B$19,2,FALSE)</f>
        <v>ALC</v>
      </c>
      <c r="E11782" t="str">
        <f t="shared" si="184"/>
        <v>TR036C_09|ALC</v>
      </c>
    </row>
    <row r="11783" spans="1:5" x14ac:dyDescent="0.2">
      <c r="A11783" t="s">
        <v>3506</v>
      </c>
      <c r="B11783" t="s">
        <v>3507</v>
      </c>
      <c r="C11783" t="s">
        <v>331</v>
      </c>
      <c r="D11783" t="str">
        <f>VLOOKUP(C11783,'lookup table'!$A$2:$B$19,2,FALSE)</f>
        <v>FS Item</v>
      </c>
      <c r="E11783" t="str">
        <f t="shared" si="184"/>
        <v>TR036C_09|FS Item</v>
      </c>
    </row>
    <row r="11784" spans="1:5" x14ac:dyDescent="0.2">
      <c r="A11784" t="s">
        <v>3506</v>
      </c>
      <c r="B11784" t="s">
        <v>3507</v>
      </c>
      <c r="C11784" t="s">
        <v>423</v>
      </c>
      <c r="D11784" t="str">
        <f>VLOOKUP(C11784,'lookup table'!$A$2:$B$19,2,FALSE)</f>
        <v>ignore</v>
      </c>
      <c r="E11784" t="str">
        <f t="shared" si="184"/>
        <v>TR036C_09|ignore</v>
      </c>
    </row>
    <row r="11785" spans="1:5" x14ac:dyDescent="0.2">
      <c r="A11785" t="s">
        <v>3506</v>
      </c>
      <c r="B11785" t="s">
        <v>3507</v>
      </c>
      <c r="C11785" t="s">
        <v>438</v>
      </c>
      <c r="D11785" t="str">
        <f>VLOOKUP(C11785,'lookup table'!$A$2:$B$19,2,FALSE)</f>
        <v>ToM</v>
      </c>
      <c r="E11785" t="str">
        <f t="shared" si="184"/>
        <v>TR036C_09|ToM</v>
      </c>
    </row>
    <row r="11786" spans="1:5" x14ac:dyDescent="0.2">
      <c r="A11786" t="s">
        <v>3508</v>
      </c>
      <c r="B11786" t="s">
        <v>3509</v>
      </c>
      <c r="C11786" t="s">
        <v>14</v>
      </c>
      <c r="D11786" t="str">
        <f>VLOOKUP(C11786,'lookup table'!$A$2:$B$19,2,FALSE)</f>
        <v>ALC</v>
      </c>
      <c r="E11786" t="str">
        <f t="shared" si="184"/>
        <v>TR036D_09|ALC</v>
      </c>
    </row>
    <row r="11787" spans="1:5" x14ac:dyDescent="0.2">
      <c r="A11787" t="s">
        <v>3508</v>
      </c>
      <c r="B11787" t="s">
        <v>3509</v>
      </c>
      <c r="C11787" t="s">
        <v>331</v>
      </c>
      <c r="D11787" t="str">
        <f>VLOOKUP(C11787,'lookup table'!$A$2:$B$19,2,FALSE)</f>
        <v>FS Item</v>
      </c>
      <c r="E11787" t="str">
        <f t="shared" si="184"/>
        <v>TR036D_09|FS Item</v>
      </c>
    </row>
    <row r="11788" spans="1:5" x14ac:dyDescent="0.2">
      <c r="A11788" t="s">
        <v>3508</v>
      </c>
      <c r="B11788" t="s">
        <v>3509</v>
      </c>
      <c r="C11788" t="s">
        <v>423</v>
      </c>
      <c r="D11788" t="str">
        <f>VLOOKUP(C11788,'lookup table'!$A$2:$B$19,2,FALSE)</f>
        <v>ignore</v>
      </c>
      <c r="E11788" t="str">
        <f t="shared" si="184"/>
        <v>TR036D_09|ignore</v>
      </c>
    </row>
    <row r="11789" spans="1:5" x14ac:dyDescent="0.2">
      <c r="A11789" t="s">
        <v>3508</v>
      </c>
      <c r="B11789" t="s">
        <v>3509</v>
      </c>
      <c r="C11789" t="s">
        <v>438</v>
      </c>
      <c r="D11789" t="str">
        <f>VLOOKUP(C11789,'lookup table'!$A$2:$B$19,2,FALSE)</f>
        <v>ToM</v>
      </c>
      <c r="E11789" t="str">
        <f t="shared" si="184"/>
        <v>TR036D_09|ToM</v>
      </c>
    </row>
    <row r="11790" spans="1:5" x14ac:dyDescent="0.2">
      <c r="A11790" t="s">
        <v>3510</v>
      </c>
      <c r="B11790" t="s">
        <v>3511</v>
      </c>
      <c r="C11790" t="s">
        <v>331</v>
      </c>
      <c r="D11790" t="str">
        <f>VLOOKUP(C11790,'lookup table'!$A$2:$B$19,2,FALSE)</f>
        <v>FS Item</v>
      </c>
      <c r="E11790" t="str">
        <f t="shared" si="184"/>
        <v>TR036E_FIP|FS Item</v>
      </c>
    </row>
    <row r="11791" spans="1:5" x14ac:dyDescent="0.2">
      <c r="A11791" t="s">
        <v>3510</v>
      </c>
      <c r="B11791" t="s">
        <v>3511</v>
      </c>
      <c r="C11791" t="s">
        <v>423</v>
      </c>
      <c r="D11791" t="str">
        <f>VLOOKUP(C11791,'lookup table'!$A$2:$B$19,2,FALSE)</f>
        <v>ignore</v>
      </c>
      <c r="E11791" t="str">
        <f t="shared" si="184"/>
        <v>TR036E_FIP|ignore</v>
      </c>
    </row>
    <row r="11792" spans="1:5" x14ac:dyDescent="0.2">
      <c r="A11792" t="s">
        <v>3510</v>
      </c>
      <c r="B11792" t="s">
        <v>3511</v>
      </c>
      <c r="C11792" t="s">
        <v>438</v>
      </c>
      <c r="D11792" t="str">
        <f>VLOOKUP(C11792,'lookup table'!$A$2:$B$19,2,FALSE)</f>
        <v>ToM</v>
      </c>
      <c r="E11792" t="str">
        <f t="shared" si="184"/>
        <v>TR036E_FIP|ToM</v>
      </c>
    </row>
    <row r="11793" spans="1:5" x14ac:dyDescent="0.2">
      <c r="A11793" t="s">
        <v>3512</v>
      </c>
      <c r="B11793" t="s">
        <v>3513</v>
      </c>
      <c r="C11793" t="s">
        <v>331</v>
      </c>
      <c r="D11793" t="str">
        <f>VLOOKUP(C11793,'lookup table'!$A$2:$B$19,2,FALSE)</f>
        <v>FS Item</v>
      </c>
      <c r="E11793" t="str">
        <f t="shared" si="184"/>
        <v>TR036F_FIP|FS Item</v>
      </c>
    </row>
    <row r="11794" spans="1:5" x14ac:dyDescent="0.2">
      <c r="A11794" t="s">
        <v>3512</v>
      </c>
      <c r="B11794" t="s">
        <v>3513</v>
      </c>
      <c r="C11794" t="s">
        <v>423</v>
      </c>
      <c r="D11794" t="str">
        <f>VLOOKUP(C11794,'lookup table'!$A$2:$B$19,2,FALSE)</f>
        <v>ignore</v>
      </c>
      <c r="E11794" t="str">
        <f t="shared" si="184"/>
        <v>TR036F_FIP|ignore</v>
      </c>
    </row>
    <row r="11795" spans="1:5" x14ac:dyDescent="0.2">
      <c r="A11795" t="s">
        <v>3512</v>
      </c>
      <c r="B11795" t="s">
        <v>3513</v>
      </c>
      <c r="C11795" t="s">
        <v>438</v>
      </c>
      <c r="D11795" t="str">
        <f>VLOOKUP(C11795,'lookup table'!$A$2:$B$19,2,FALSE)</f>
        <v>ToM</v>
      </c>
      <c r="E11795" t="str">
        <f t="shared" si="184"/>
        <v>TR036F_FIP|ToM</v>
      </c>
    </row>
    <row r="11796" spans="1:5" x14ac:dyDescent="0.2">
      <c r="A11796" t="s">
        <v>3514</v>
      </c>
      <c r="B11796" t="s">
        <v>3515</v>
      </c>
      <c r="C11796" t="s">
        <v>331</v>
      </c>
      <c r="D11796" t="str">
        <f>VLOOKUP(C11796,'lookup table'!$A$2:$B$19,2,FALSE)</f>
        <v>FS Item</v>
      </c>
      <c r="E11796" t="str">
        <f t="shared" si="184"/>
        <v>TR036G_FIP|FS Item</v>
      </c>
    </row>
    <row r="11797" spans="1:5" x14ac:dyDescent="0.2">
      <c r="A11797" t="s">
        <v>3514</v>
      </c>
      <c r="B11797" t="s">
        <v>3515</v>
      </c>
      <c r="C11797" t="s">
        <v>423</v>
      </c>
      <c r="D11797" t="str">
        <f>VLOOKUP(C11797,'lookup table'!$A$2:$B$19,2,FALSE)</f>
        <v>ignore</v>
      </c>
      <c r="E11797" t="str">
        <f t="shared" si="184"/>
        <v>TR036G_FIP|ignore</v>
      </c>
    </row>
    <row r="11798" spans="1:5" x14ac:dyDescent="0.2">
      <c r="A11798" t="s">
        <v>3514</v>
      </c>
      <c r="B11798" t="s">
        <v>3515</v>
      </c>
      <c r="C11798" t="s">
        <v>438</v>
      </c>
      <c r="D11798" t="str">
        <f>VLOOKUP(C11798,'lookup table'!$A$2:$B$19,2,FALSE)</f>
        <v>ToM</v>
      </c>
      <c r="E11798" t="str">
        <f t="shared" si="184"/>
        <v>TR036G_FIP|ToM</v>
      </c>
    </row>
    <row r="11799" spans="1:5" x14ac:dyDescent="0.2">
      <c r="A11799" t="s">
        <v>3516</v>
      </c>
      <c r="B11799" t="s">
        <v>3517</v>
      </c>
      <c r="C11799" t="s">
        <v>331</v>
      </c>
      <c r="D11799" t="str">
        <f>VLOOKUP(C11799,'lookup table'!$A$2:$B$19,2,FALSE)</f>
        <v>FS Item</v>
      </c>
      <c r="E11799" t="str">
        <f t="shared" si="184"/>
        <v>TR036H_FIP|FS Item</v>
      </c>
    </row>
    <row r="11800" spans="1:5" x14ac:dyDescent="0.2">
      <c r="A11800" t="s">
        <v>3516</v>
      </c>
      <c r="B11800" t="s">
        <v>3517</v>
      </c>
      <c r="C11800" t="s">
        <v>423</v>
      </c>
      <c r="D11800" t="str">
        <f>VLOOKUP(C11800,'lookup table'!$A$2:$B$19,2,FALSE)</f>
        <v>ignore</v>
      </c>
      <c r="E11800" t="str">
        <f t="shared" si="184"/>
        <v>TR036H_FIP|ignore</v>
      </c>
    </row>
    <row r="11801" spans="1:5" x14ac:dyDescent="0.2">
      <c r="A11801" t="s">
        <v>3516</v>
      </c>
      <c r="B11801" t="s">
        <v>3517</v>
      </c>
      <c r="C11801" t="s">
        <v>438</v>
      </c>
      <c r="D11801" t="str">
        <f>VLOOKUP(C11801,'lookup table'!$A$2:$B$19,2,FALSE)</f>
        <v>ToM</v>
      </c>
      <c r="E11801" t="str">
        <f t="shared" si="184"/>
        <v>TR036H_FIP|ToM</v>
      </c>
    </row>
    <row r="11802" spans="1:5" x14ac:dyDescent="0.2">
      <c r="A11802" t="s">
        <v>3518</v>
      </c>
      <c r="B11802" t="s">
        <v>3519</v>
      </c>
      <c r="C11802" t="s">
        <v>331</v>
      </c>
      <c r="D11802" t="str">
        <f>VLOOKUP(C11802,'lookup table'!$A$2:$B$19,2,FALSE)</f>
        <v>FS Item</v>
      </c>
      <c r="E11802" t="str">
        <f t="shared" si="184"/>
        <v>TR036I_FIP|FS Item</v>
      </c>
    </row>
    <row r="11803" spans="1:5" x14ac:dyDescent="0.2">
      <c r="A11803" t="s">
        <v>3518</v>
      </c>
      <c r="B11803" t="s">
        <v>3519</v>
      </c>
      <c r="C11803" t="s">
        <v>423</v>
      </c>
      <c r="D11803" t="str">
        <f>VLOOKUP(C11803,'lookup table'!$A$2:$B$19,2,FALSE)</f>
        <v>ignore</v>
      </c>
      <c r="E11803" t="str">
        <f t="shared" si="184"/>
        <v>TR036I_FIP|ignore</v>
      </c>
    </row>
    <row r="11804" spans="1:5" x14ac:dyDescent="0.2">
      <c r="A11804" t="s">
        <v>3518</v>
      </c>
      <c r="B11804" t="s">
        <v>3519</v>
      </c>
      <c r="C11804" t="s">
        <v>438</v>
      </c>
      <c r="D11804" t="str">
        <f>VLOOKUP(C11804,'lookup table'!$A$2:$B$19,2,FALSE)</f>
        <v>ToM</v>
      </c>
      <c r="E11804" t="str">
        <f t="shared" si="184"/>
        <v>TR036I_FIP|ToM</v>
      </c>
    </row>
    <row r="11805" spans="1:5" x14ac:dyDescent="0.2">
      <c r="A11805" t="s">
        <v>3520</v>
      </c>
      <c r="B11805" t="s">
        <v>3521</v>
      </c>
      <c r="C11805" t="s">
        <v>331</v>
      </c>
      <c r="D11805" t="str">
        <f>VLOOKUP(C11805,'lookup table'!$A$2:$B$19,2,FALSE)</f>
        <v>FS Item</v>
      </c>
      <c r="E11805" t="str">
        <f t="shared" si="184"/>
        <v>TR036J_FIP|FS Item</v>
      </c>
    </row>
    <row r="11806" spans="1:5" x14ac:dyDescent="0.2">
      <c r="A11806" t="s">
        <v>3520</v>
      </c>
      <c r="B11806" t="s">
        <v>3521</v>
      </c>
      <c r="C11806" t="s">
        <v>423</v>
      </c>
      <c r="D11806" t="str">
        <f>VLOOKUP(C11806,'lookup table'!$A$2:$B$19,2,FALSE)</f>
        <v>ignore</v>
      </c>
      <c r="E11806" t="str">
        <f t="shared" si="184"/>
        <v>TR036J_FIP|ignore</v>
      </c>
    </row>
    <row r="11807" spans="1:5" x14ac:dyDescent="0.2">
      <c r="A11807" t="s">
        <v>3520</v>
      </c>
      <c r="B11807" t="s">
        <v>3521</v>
      </c>
      <c r="C11807" t="s">
        <v>438</v>
      </c>
      <c r="D11807" t="str">
        <f>VLOOKUP(C11807,'lookup table'!$A$2:$B$19,2,FALSE)</f>
        <v>ToM</v>
      </c>
      <c r="E11807" t="str">
        <f t="shared" si="184"/>
        <v>TR036J_FIP|ToM</v>
      </c>
    </row>
    <row r="11808" spans="1:5" x14ac:dyDescent="0.2">
      <c r="A11808" t="s">
        <v>3522</v>
      </c>
      <c r="B11808" t="s">
        <v>3523</v>
      </c>
      <c r="C11808" t="s">
        <v>331</v>
      </c>
      <c r="D11808" t="str">
        <f>VLOOKUP(C11808,'lookup table'!$A$2:$B$19,2,FALSE)</f>
        <v>FS Item</v>
      </c>
      <c r="E11808" t="str">
        <f t="shared" si="184"/>
        <v>TR036K_FIP|FS Item</v>
      </c>
    </row>
    <row r="11809" spans="1:5" x14ac:dyDescent="0.2">
      <c r="A11809" t="s">
        <v>3522</v>
      </c>
      <c r="B11809" t="s">
        <v>3523</v>
      </c>
      <c r="C11809" t="s">
        <v>423</v>
      </c>
      <c r="D11809" t="str">
        <f>VLOOKUP(C11809,'lookup table'!$A$2:$B$19,2,FALSE)</f>
        <v>ignore</v>
      </c>
      <c r="E11809" t="str">
        <f t="shared" si="184"/>
        <v>TR036K_FIP|ignore</v>
      </c>
    </row>
    <row r="11810" spans="1:5" x14ac:dyDescent="0.2">
      <c r="A11810" t="s">
        <v>3522</v>
      </c>
      <c r="B11810" t="s">
        <v>3523</v>
      </c>
      <c r="C11810" t="s">
        <v>438</v>
      </c>
      <c r="D11810" t="str">
        <f>VLOOKUP(C11810,'lookup table'!$A$2:$B$19,2,FALSE)</f>
        <v>ToM</v>
      </c>
      <c r="E11810" t="str">
        <f t="shared" si="184"/>
        <v>TR036K_FIP|ToM</v>
      </c>
    </row>
    <row r="11811" spans="1:5" x14ac:dyDescent="0.2">
      <c r="A11811" t="s">
        <v>3524</v>
      </c>
      <c r="B11811" t="s">
        <v>3525</v>
      </c>
      <c r="C11811" t="s">
        <v>331</v>
      </c>
      <c r="D11811" t="str">
        <f>VLOOKUP(C11811,'lookup table'!$A$2:$B$19,2,FALSE)</f>
        <v>FS Item</v>
      </c>
      <c r="E11811" t="str">
        <f t="shared" si="184"/>
        <v>TR036L_FIP|FS Item</v>
      </c>
    </row>
    <row r="11812" spans="1:5" x14ac:dyDescent="0.2">
      <c r="A11812" t="s">
        <v>3524</v>
      </c>
      <c r="B11812" t="s">
        <v>3525</v>
      </c>
      <c r="C11812" t="s">
        <v>423</v>
      </c>
      <c r="D11812" t="str">
        <f>VLOOKUP(C11812,'lookup table'!$A$2:$B$19,2,FALSE)</f>
        <v>ignore</v>
      </c>
      <c r="E11812" t="str">
        <f t="shared" si="184"/>
        <v>TR036L_FIP|ignore</v>
      </c>
    </row>
    <row r="11813" spans="1:5" x14ac:dyDescent="0.2">
      <c r="A11813" t="s">
        <v>3524</v>
      </c>
      <c r="B11813" t="s">
        <v>3525</v>
      </c>
      <c r="C11813" t="s">
        <v>438</v>
      </c>
      <c r="D11813" t="str">
        <f>VLOOKUP(C11813,'lookup table'!$A$2:$B$19,2,FALSE)</f>
        <v>ToM</v>
      </c>
      <c r="E11813" t="str">
        <f t="shared" si="184"/>
        <v>TR036L_FIP|ToM</v>
      </c>
    </row>
    <row r="11814" spans="1:5" x14ac:dyDescent="0.2">
      <c r="A11814" t="s">
        <v>3526</v>
      </c>
      <c r="B11814" t="s">
        <v>3527</v>
      </c>
      <c r="C11814" t="s">
        <v>331</v>
      </c>
      <c r="D11814" t="str">
        <f>VLOOKUP(C11814,'lookup table'!$A$2:$B$19,2,FALSE)</f>
        <v>FS Item</v>
      </c>
      <c r="E11814" t="str">
        <f t="shared" si="184"/>
        <v>TR036M_FIP|FS Item</v>
      </c>
    </row>
    <row r="11815" spans="1:5" x14ac:dyDescent="0.2">
      <c r="A11815" t="s">
        <v>3526</v>
      </c>
      <c r="B11815" t="s">
        <v>3527</v>
      </c>
      <c r="C11815" t="s">
        <v>423</v>
      </c>
      <c r="D11815" t="str">
        <f>VLOOKUP(C11815,'lookup table'!$A$2:$B$19,2,FALSE)</f>
        <v>ignore</v>
      </c>
      <c r="E11815" t="str">
        <f t="shared" si="184"/>
        <v>TR036M_FIP|ignore</v>
      </c>
    </row>
    <row r="11816" spans="1:5" x14ac:dyDescent="0.2">
      <c r="A11816" t="s">
        <v>3526</v>
      </c>
      <c r="B11816" t="s">
        <v>3527</v>
      </c>
      <c r="C11816" t="s">
        <v>438</v>
      </c>
      <c r="D11816" t="str">
        <f>VLOOKUP(C11816,'lookup table'!$A$2:$B$19,2,FALSE)</f>
        <v>ToM</v>
      </c>
      <c r="E11816" t="str">
        <f t="shared" si="184"/>
        <v>TR036M_FIP|ToM</v>
      </c>
    </row>
    <row r="11817" spans="1:5" x14ac:dyDescent="0.2">
      <c r="A11817" t="s">
        <v>3528</v>
      </c>
      <c r="B11817" t="s">
        <v>3529</v>
      </c>
      <c r="C11817" t="s">
        <v>331</v>
      </c>
      <c r="D11817" t="str">
        <f>VLOOKUP(C11817,'lookup table'!$A$2:$B$19,2,FALSE)</f>
        <v>FS Item</v>
      </c>
      <c r="E11817" t="str">
        <f t="shared" si="184"/>
        <v>TR036N_FIP|FS Item</v>
      </c>
    </row>
    <row r="11818" spans="1:5" x14ac:dyDescent="0.2">
      <c r="A11818" t="s">
        <v>3528</v>
      </c>
      <c r="B11818" t="s">
        <v>3529</v>
      </c>
      <c r="C11818" t="s">
        <v>423</v>
      </c>
      <c r="D11818" t="str">
        <f>VLOOKUP(C11818,'lookup table'!$A$2:$B$19,2,FALSE)</f>
        <v>ignore</v>
      </c>
      <c r="E11818" t="str">
        <f t="shared" si="184"/>
        <v>TR036N_FIP|ignore</v>
      </c>
    </row>
    <row r="11819" spans="1:5" x14ac:dyDescent="0.2">
      <c r="A11819" t="s">
        <v>3528</v>
      </c>
      <c r="B11819" t="s">
        <v>3529</v>
      </c>
      <c r="C11819" t="s">
        <v>438</v>
      </c>
      <c r="D11819" t="str">
        <f>VLOOKUP(C11819,'lookup table'!$A$2:$B$19,2,FALSE)</f>
        <v>ToM</v>
      </c>
      <c r="E11819" t="str">
        <f t="shared" si="184"/>
        <v>TR036N_FIP|ToM</v>
      </c>
    </row>
    <row r="11820" spans="1:5" x14ac:dyDescent="0.2">
      <c r="A11820" t="s">
        <v>3530</v>
      </c>
      <c r="B11820" t="s">
        <v>3531</v>
      </c>
      <c r="C11820" t="s">
        <v>331</v>
      </c>
      <c r="D11820" t="str">
        <f>VLOOKUP(C11820,'lookup table'!$A$2:$B$19,2,FALSE)</f>
        <v>FS Item</v>
      </c>
      <c r="E11820" t="str">
        <f t="shared" si="184"/>
        <v>TR036O_FIP|FS Item</v>
      </c>
    </row>
    <row r="11821" spans="1:5" x14ac:dyDescent="0.2">
      <c r="A11821" t="s">
        <v>3530</v>
      </c>
      <c r="B11821" t="s">
        <v>3531</v>
      </c>
      <c r="C11821" t="s">
        <v>423</v>
      </c>
      <c r="D11821" t="str">
        <f>VLOOKUP(C11821,'lookup table'!$A$2:$B$19,2,FALSE)</f>
        <v>ignore</v>
      </c>
      <c r="E11821" t="str">
        <f t="shared" si="184"/>
        <v>TR036O_FIP|ignore</v>
      </c>
    </row>
    <row r="11822" spans="1:5" x14ac:dyDescent="0.2">
      <c r="A11822" t="s">
        <v>3530</v>
      </c>
      <c r="B11822" t="s">
        <v>3531</v>
      </c>
      <c r="C11822" t="s">
        <v>438</v>
      </c>
      <c r="D11822" t="str">
        <f>VLOOKUP(C11822,'lookup table'!$A$2:$B$19,2,FALSE)</f>
        <v>ToM</v>
      </c>
      <c r="E11822" t="str">
        <f t="shared" si="184"/>
        <v>TR036O_FIP|ToM</v>
      </c>
    </row>
    <row r="11823" spans="1:5" x14ac:dyDescent="0.2">
      <c r="A11823" t="s">
        <v>3532</v>
      </c>
      <c r="B11823" t="s">
        <v>3533</v>
      </c>
      <c r="C11823" t="s">
        <v>331</v>
      </c>
      <c r="D11823" t="str">
        <f>VLOOKUP(C11823,'lookup table'!$A$2:$B$19,2,FALSE)</f>
        <v>FS Item</v>
      </c>
      <c r="E11823" t="str">
        <f t="shared" si="184"/>
        <v>TR036P_FIP|FS Item</v>
      </c>
    </row>
    <row r="11824" spans="1:5" x14ac:dyDescent="0.2">
      <c r="A11824" t="s">
        <v>3532</v>
      </c>
      <c r="B11824" t="s">
        <v>3533</v>
      </c>
      <c r="C11824" t="s">
        <v>423</v>
      </c>
      <c r="D11824" t="str">
        <f>VLOOKUP(C11824,'lookup table'!$A$2:$B$19,2,FALSE)</f>
        <v>ignore</v>
      </c>
      <c r="E11824" t="str">
        <f t="shared" si="184"/>
        <v>TR036P_FIP|ignore</v>
      </c>
    </row>
    <row r="11825" spans="1:5" x14ac:dyDescent="0.2">
      <c r="A11825" t="s">
        <v>3532</v>
      </c>
      <c r="B11825" t="s">
        <v>3533</v>
      </c>
      <c r="C11825" t="s">
        <v>438</v>
      </c>
      <c r="D11825" t="str">
        <f>VLOOKUP(C11825,'lookup table'!$A$2:$B$19,2,FALSE)</f>
        <v>ToM</v>
      </c>
      <c r="E11825" t="str">
        <f t="shared" si="184"/>
        <v>TR036P_FIP|ToM</v>
      </c>
    </row>
    <row r="11826" spans="1:5" x14ac:dyDescent="0.2">
      <c r="A11826" t="s">
        <v>3534</v>
      </c>
      <c r="B11826" t="s">
        <v>3535</v>
      </c>
      <c r="C11826" t="s">
        <v>331</v>
      </c>
      <c r="D11826" t="str">
        <f>VLOOKUP(C11826,'lookup table'!$A$2:$B$19,2,FALSE)</f>
        <v>FS Item</v>
      </c>
      <c r="E11826" t="str">
        <f t="shared" si="184"/>
        <v>TR036Q_FIP|FS Item</v>
      </c>
    </row>
    <row r="11827" spans="1:5" x14ac:dyDescent="0.2">
      <c r="A11827" t="s">
        <v>3534</v>
      </c>
      <c r="B11827" t="s">
        <v>3535</v>
      </c>
      <c r="C11827" t="s">
        <v>423</v>
      </c>
      <c r="D11827" t="str">
        <f>VLOOKUP(C11827,'lookup table'!$A$2:$B$19,2,FALSE)</f>
        <v>ignore</v>
      </c>
      <c r="E11827" t="str">
        <f t="shared" si="184"/>
        <v>TR036Q_FIP|ignore</v>
      </c>
    </row>
    <row r="11828" spans="1:5" x14ac:dyDescent="0.2">
      <c r="A11828" t="s">
        <v>3534</v>
      </c>
      <c r="B11828" t="s">
        <v>3535</v>
      </c>
      <c r="C11828" t="s">
        <v>438</v>
      </c>
      <c r="D11828" t="str">
        <f>VLOOKUP(C11828,'lookup table'!$A$2:$B$19,2,FALSE)</f>
        <v>ToM</v>
      </c>
      <c r="E11828" t="str">
        <f t="shared" si="184"/>
        <v>TR036Q_FIP|ToM</v>
      </c>
    </row>
    <row r="11829" spans="1:5" x14ac:dyDescent="0.2">
      <c r="A11829" t="s">
        <v>3536</v>
      </c>
      <c r="B11829" t="s">
        <v>3537</v>
      </c>
      <c r="C11829" t="s">
        <v>331</v>
      </c>
      <c r="D11829" t="str">
        <f>VLOOKUP(C11829,'lookup table'!$A$2:$B$19,2,FALSE)</f>
        <v>FS Item</v>
      </c>
      <c r="E11829" t="str">
        <f t="shared" si="184"/>
        <v>TR036R_FIP|FS Item</v>
      </c>
    </row>
    <row r="11830" spans="1:5" x14ac:dyDescent="0.2">
      <c r="A11830" t="s">
        <v>3536</v>
      </c>
      <c r="B11830" t="s">
        <v>3537</v>
      </c>
      <c r="C11830" t="s">
        <v>423</v>
      </c>
      <c r="D11830" t="str">
        <f>VLOOKUP(C11830,'lookup table'!$A$2:$B$19,2,FALSE)</f>
        <v>ignore</v>
      </c>
      <c r="E11830" t="str">
        <f t="shared" si="184"/>
        <v>TR036R_FIP|ignore</v>
      </c>
    </row>
    <row r="11831" spans="1:5" x14ac:dyDescent="0.2">
      <c r="A11831" t="s">
        <v>3536</v>
      </c>
      <c r="B11831" t="s">
        <v>3537</v>
      </c>
      <c r="C11831" t="s">
        <v>438</v>
      </c>
      <c r="D11831" t="str">
        <f>VLOOKUP(C11831,'lookup table'!$A$2:$B$19,2,FALSE)</f>
        <v>ToM</v>
      </c>
      <c r="E11831" t="str">
        <f t="shared" si="184"/>
        <v>TR036R_FIP|ToM</v>
      </c>
    </row>
    <row r="11832" spans="1:5" x14ac:dyDescent="0.2">
      <c r="A11832" t="s">
        <v>3538</v>
      </c>
      <c r="B11832" t="s">
        <v>3539</v>
      </c>
      <c r="C11832" t="s">
        <v>331</v>
      </c>
      <c r="D11832" t="str">
        <f>VLOOKUP(C11832,'lookup table'!$A$2:$B$19,2,FALSE)</f>
        <v>FS Item</v>
      </c>
      <c r="E11832" t="str">
        <f t="shared" si="184"/>
        <v>TR036S_FIP|FS Item</v>
      </c>
    </row>
    <row r="11833" spans="1:5" x14ac:dyDescent="0.2">
      <c r="A11833" t="s">
        <v>3538</v>
      </c>
      <c r="B11833" t="s">
        <v>3539</v>
      </c>
      <c r="C11833" t="s">
        <v>423</v>
      </c>
      <c r="D11833" t="str">
        <f>VLOOKUP(C11833,'lookup table'!$A$2:$B$19,2,FALSE)</f>
        <v>ignore</v>
      </c>
      <c r="E11833" t="str">
        <f t="shared" si="184"/>
        <v>TR036S_FIP|ignore</v>
      </c>
    </row>
    <row r="11834" spans="1:5" x14ac:dyDescent="0.2">
      <c r="A11834" t="s">
        <v>3538</v>
      </c>
      <c r="B11834" t="s">
        <v>3539</v>
      </c>
      <c r="C11834" t="s">
        <v>438</v>
      </c>
      <c r="D11834" t="str">
        <f>VLOOKUP(C11834,'lookup table'!$A$2:$B$19,2,FALSE)</f>
        <v>ToM</v>
      </c>
      <c r="E11834" t="str">
        <f t="shared" si="184"/>
        <v>TR036S_FIP|ToM</v>
      </c>
    </row>
    <row r="11835" spans="1:5" x14ac:dyDescent="0.2">
      <c r="A11835" t="s">
        <v>3540</v>
      </c>
      <c r="B11835" t="s">
        <v>3541</v>
      </c>
      <c r="C11835" t="s">
        <v>331</v>
      </c>
      <c r="D11835" t="str">
        <f>VLOOKUP(C11835,'lookup table'!$A$2:$B$19,2,FALSE)</f>
        <v>FS Item</v>
      </c>
      <c r="E11835" t="str">
        <f t="shared" si="184"/>
        <v>TR036T_FIP|FS Item</v>
      </c>
    </row>
    <row r="11836" spans="1:5" x14ac:dyDescent="0.2">
      <c r="A11836" t="s">
        <v>3540</v>
      </c>
      <c r="B11836" t="s">
        <v>3541</v>
      </c>
      <c r="C11836" t="s">
        <v>423</v>
      </c>
      <c r="D11836" t="str">
        <f>VLOOKUP(C11836,'lookup table'!$A$2:$B$19,2,FALSE)</f>
        <v>ignore</v>
      </c>
      <c r="E11836" t="str">
        <f t="shared" si="184"/>
        <v>TR036T_FIP|ignore</v>
      </c>
    </row>
    <row r="11837" spans="1:5" x14ac:dyDescent="0.2">
      <c r="A11837" t="s">
        <v>3542</v>
      </c>
      <c r="B11837" t="s">
        <v>3543</v>
      </c>
      <c r="C11837" t="s">
        <v>331</v>
      </c>
      <c r="D11837" t="str">
        <f>VLOOKUP(C11837,'lookup table'!$A$2:$B$19,2,FALSE)</f>
        <v>FS Item</v>
      </c>
      <c r="E11837" t="str">
        <f t="shared" si="184"/>
        <v>TR038_09|FS Item</v>
      </c>
    </row>
    <row r="11838" spans="1:5" x14ac:dyDescent="0.2">
      <c r="A11838" t="s">
        <v>3542</v>
      </c>
      <c r="B11838" t="s">
        <v>3543</v>
      </c>
      <c r="C11838" t="s">
        <v>423</v>
      </c>
      <c r="D11838" t="str">
        <f>VLOOKUP(C11838,'lookup table'!$A$2:$B$19,2,FALSE)</f>
        <v>ignore</v>
      </c>
      <c r="E11838" t="str">
        <f t="shared" si="184"/>
        <v>TR038_09|ignore</v>
      </c>
    </row>
    <row r="11839" spans="1:5" x14ac:dyDescent="0.2">
      <c r="A11839" t="s">
        <v>3544</v>
      </c>
      <c r="B11839" t="s">
        <v>3545</v>
      </c>
      <c r="C11839" t="s">
        <v>20</v>
      </c>
      <c r="D11839" t="str">
        <f>VLOOKUP(C11839,'lookup table'!$A$2:$B$19,2,FALSE)</f>
        <v>AY</v>
      </c>
      <c r="E11839" t="str">
        <f t="shared" si="184"/>
        <v>TR044_09|AY</v>
      </c>
    </row>
    <row r="11840" spans="1:5" x14ac:dyDescent="0.2">
      <c r="A11840" t="s">
        <v>3544</v>
      </c>
      <c r="B11840" t="s">
        <v>3545</v>
      </c>
      <c r="C11840" t="s">
        <v>136</v>
      </c>
      <c r="D11840" t="str">
        <f>VLOOKUP(C11840,'lookup table'!$A$2:$B$19,2,FALSE)</f>
        <v>BBA Set</v>
      </c>
      <c r="E11840" t="str">
        <f t="shared" si="184"/>
        <v>TR044_09|BBA Set</v>
      </c>
    </row>
    <row r="11841" spans="1:5" x14ac:dyDescent="0.2">
      <c r="A11841" t="s">
        <v>3544</v>
      </c>
      <c r="B11841" t="s">
        <v>3545</v>
      </c>
      <c r="C11841" t="s">
        <v>331</v>
      </c>
      <c r="D11841" t="str">
        <f>VLOOKUP(C11841,'lookup table'!$A$2:$B$19,2,FALSE)</f>
        <v>FS Item</v>
      </c>
      <c r="E11841" t="str">
        <f t="shared" si="184"/>
        <v>TR044_09|FS Item</v>
      </c>
    </row>
    <row r="11842" spans="1:5" x14ac:dyDescent="0.2">
      <c r="A11842" t="s">
        <v>3544</v>
      </c>
      <c r="B11842" t="s">
        <v>3545</v>
      </c>
      <c r="C11842" t="s">
        <v>423</v>
      </c>
      <c r="D11842" t="str">
        <f>VLOOKUP(C11842,'lookup table'!$A$2:$B$19,2,FALSE)</f>
        <v>ignore</v>
      </c>
      <c r="E11842" t="str">
        <f t="shared" si="184"/>
        <v>TR044_09|ignore</v>
      </c>
    </row>
    <row r="11843" spans="1:5" x14ac:dyDescent="0.2">
      <c r="A11843" t="s">
        <v>3544</v>
      </c>
      <c r="B11843" t="s">
        <v>3545</v>
      </c>
      <c r="C11843" t="s">
        <v>428</v>
      </c>
      <c r="D11843" t="str">
        <f>VLOOKUP(C11843,'lookup table'!$A$2:$B$19,2,FALSE)</f>
        <v>LoB</v>
      </c>
      <c r="E11843" t="str">
        <f t="shared" ref="E11843:E11906" si="185">IF(ISNA(D11843),"",IF(A11843="","",A11843) &amp; "|" &amp; D11843)</f>
        <v>TR044_09|LoB</v>
      </c>
    </row>
    <row r="11844" spans="1:5" x14ac:dyDescent="0.2">
      <c r="A11844" t="s">
        <v>3544</v>
      </c>
      <c r="B11844" t="s">
        <v>3545</v>
      </c>
      <c r="C11844" t="s">
        <v>451</v>
      </c>
      <c r="D11844" t="str">
        <f>VLOOKUP(C11844,'lookup table'!$A$2:$B$19,2,FALSE)</f>
        <v>Segment</v>
      </c>
      <c r="E11844" t="str">
        <f t="shared" si="185"/>
        <v>TR044_09|Segment</v>
      </c>
    </row>
    <row r="11845" spans="1:5" x14ac:dyDescent="0.2">
      <c r="A11845" t="s">
        <v>3546</v>
      </c>
      <c r="B11845" t="s">
        <v>3547</v>
      </c>
      <c r="C11845" t="s">
        <v>14</v>
      </c>
      <c r="D11845" t="str">
        <f>VLOOKUP(C11845,'lookup table'!$A$2:$B$19,2,FALSE)</f>
        <v>ALC</v>
      </c>
      <c r="E11845" t="str">
        <f t="shared" si="185"/>
        <v>TR101_17|ALC</v>
      </c>
    </row>
    <row r="11846" spans="1:5" x14ac:dyDescent="0.2">
      <c r="A11846" t="s">
        <v>3546</v>
      </c>
      <c r="B11846" t="s">
        <v>3547</v>
      </c>
      <c r="C11846" t="s">
        <v>20</v>
      </c>
      <c r="D11846" t="str">
        <f>VLOOKUP(C11846,'lookup table'!$A$2:$B$19,2,FALSE)</f>
        <v>AY</v>
      </c>
      <c r="E11846" t="str">
        <f t="shared" si="185"/>
        <v>TR101_17|AY</v>
      </c>
    </row>
    <row r="11847" spans="1:5" x14ac:dyDescent="0.2">
      <c r="A11847" t="s">
        <v>3546</v>
      </c>
      <c r="B11847" t="s">
        <v>3547</v>
      </c>
      <c r="C11847" t="s">
        <v>136</v>
      </c>
      <c r="D11847" t="str">
        <f>VLOOKUP(C11847,'lookup table'!$A$2:$B$19,2,FALSE)</f>
        <v>BBA Set</v>
      </c>
      <c r="E11847" t="str">
        <f t="shared" si="185"/>
        <v>TR101_17|BBA Set</v>
      </c>
    </row>
    <row r="11848" spans="1:5" x14ac:dyDescent="0.2">
      <c r="A11848" t="s">
        <v>3546</v>
      </c>
      <c r="B11848" t="s">
        <v>3547</v>
      </c>
      <c r="C11848" t="s">
        <v>331</v>
      </c>
      <c r="D11848" t="str">
        <f>VLOOKUP(C11848,'lookup table'!$A$2:$B$19,2,FALSE)</f>
        <v>FS Item</v>
      </c>
      <c r="E11848" t="str">
        <f t="shared" si="185"/>
        <v>TR101_17|FS Item</v>
      </c>
    </row>
    <row r="11849" spans="1:5" x14ac:dyDescent="0.2">
      <c r="A11849" t="s">
        <v>3546</v>
      </c>
      <c r="B11849" t="s">
        <v>3547</v>
      </c>
      <c r="C11849" t="s">
        <v>423</v>
      </c>
      <c r="D11849" t="str">
        <f>VLOOKUP(C11849,'lookup table'!$A$2:$B$19,2,FALSE)</f>
        <v>ignore</v>
      </c>
      <c r="E11849" t="str">
        <f t="shared" si="185"/>
        <v>TR101_17|ignore</v>
      </c>
    </row>
    <row r="11850" spans="1:5" x14ac:dyDescent="0.2">
      <c r="A11850" t="s">
        <v>3546</v>
      </c>
      <c r="B11850" t="s">
        <v>3547</v>
      </c>
      <c r="C11850" t="s">
        <v>425</v>
      </c>
      <c r="D11850" t="str">
        <f>VLOOKUP(C11850,'lookup table'!$A$2:$B$19,2,FALSE)</f>
        <v>Investee Segment</v>
      </c>
      <c r="E11850" t="str">
        <f t="shared" si="185"/>
        <v>TR101_17|Investee Segment</v>
      </c>
    </row>
    <row r="11851" spans="1:5" x14ac:dyDescent="0.2">
      <c r="A11851" t="s">
        <v>3546</v>
      </c>
      <c r="B11851" t="s">
        <v>3547</v>
      </c>
      <c r="C11851" t="s">
        <v>426</v>
      </c>
      <c r="D11851" t="str">
        <f>VLOOKUP(C11851,'lookup table'!$A$2:$B$19,2,FALSE)</f>
        <v>Investee Unit</v>
      </c>
      <c r="E11851" t="str">
        <f t="shared" si="185"/>
        <v>TR101_17|Investee Unit</v>
      </c>
    </row>
    <row r="11852" spans="1:5" x14ac:dyDescent="0.2">
      <c r="A11852" t="s">
        <v>3546</v>
      </c>
      <c r="B11852" t="s">
        <v>3547</v>
      </c>
      <c r="C11852" t="s">
        <v>428</v>
      </c>
      <c r="D11852" t="str">
        <f>VLOOKUP(C11852,'lookup table'!$A$2:$B$19,2,FALSE)</f>
        <v>LoB</v>
      </c>
      <c r="E11852" t="str">
        <f t="shared" si="185"/>
        <v>TR101_17|LoB</v>
      </c>
    </row>
    <row r="11853" spans="1:5" x14ac:dyDescent="0.2">
      <c r="A11853" t="s">
        <v>3546</v>
      </c>
      <c r="B11853" t="s">
        <v>3547</v>
      </c>
      <c r="C11853" t="s">
        <v>436</v>
      </c>
      <c r="D11853" t="str">
        <f>VLOOKUP(C11853,'lookup table'!$A$2:$B$19,2,FALSE)</f>
        <v>MAT</v>
      </c>
      <c r="E11853" t="str">
        <f t="shared" si="185"/>
        <v>TR101_17|MAT</v>
      </c>
    </row>
    <row r="11854" spans="1:5" x14ac:dyDescent="0.2">
      <c r="A11854" t="s">
        <v>3546</v>
      </c>
      <c r="B11854" t="s">
        <v>3547</v>
      </c>
      <c r="C11854" t="s">
        <v>438</v>
      </c>
      <c r="D11854" t="str">
        <f>VLOOKUP(C11854,'lookup table'!$A$2:$B$19,2,FALSE)</f>
        <v>ToM</v>
      </c>
      <c r="E11854" t="str">
        <f t="shared" si="185"/>
        <v>TR101_17|ToM</v>
      </c>
    </row>
    <row r="11855" spans="1:5" x14ac:dyDescent="0.2">
      <c r="A11855" t="s">
        <v>3546</v>
      </c>
      <c r="B11855" t="s">
        <v>3547</v>
      </c>
      <c r="C11855" t="s">
        <v>441</v>
      </c>
      <c r="D11855" t="str">
        <f>VLOOKUP(C11855,'lookup table'!$A$2:$B$19,2,FALSE)</f>
        <v>Partner Segment</v>
      </c>
      <c r="E11855" t="str">
        <f t="shared" si="185"/>
        <v>TR101_17|Partner Segment</v>
      </c>
    </row>
    <row r="11856" spans="1:5" x14ac:dyDescent="0.2">
      <c r="A11856" t="s">
        <v>3546</v>
      </c>
      <c r="B11856" t="s">
        <v>3547</v>
      </c>
      <c r="C11856" t="s">
        <v>442</v>
      </c>
      <c r="D11856" t="str">
        <f>VLOOKUP(C11856,'lookup table'!$A$2:$B$19,2,FALSE)</f>
        <v>Partner Unit</v>
      </c>
      <c r="E11856" t="str">
        <f t="shared" si="185"/>
        <v>TR101_17|Partner Unit</v>
      </c>
    </row>
    <row r="11857" spans="1:5" x14ac:dyDescent="0.2">
      <c r="A11857" t="s">
        <v>3546</v>
      </c>
      <c r="B11857" t="s">
        <v>3547</v>
      </c>
      <c r="C11857" t="s">
        <v>447</v>
      </c>
      <c r="D11857" t="str">
        <f>VLOOKUP(C11857,'lookup table'!$A$2:$B$19,2,FALSE)</f>
        <v>REX</v>
      </c>
      <c r="E11857" t="str">
        <f t="shared" si="185"/>
        <v>TR101_17|REX</v>
      </c>
    </row>
    <row r="11858" spans="1:5" x14ac:dyDescent="0.2">
      <c r="A11858" t="s">
        <v>3546</v>
      </c>
      <c r="B11858" t="s">
        <v>3547</v>
      </c>
      <c r="C11858" t="s">
        <v>451</v>
      </c>
      <c r="D11858" t="str">
        <f>VLOOKUP(C11858,'lookup table'!$A$2:$B$19,2,FALSE)</f>
        <v>Segment</v>
      </c>
      <c r="E11858" t="str">
        <f t="shared" si="185"/>
        <v>TR101_17|Segment</v>
      </c>
    </row>
    <row r="11859" spans="1:5" x14ac:dyDescent="0.2">
      <c r="A11859" t="s">
        <v>3546</v>
      </c>
      <c r="B11859" t="s">
        <v>3547</v>
      </c>
      <c r="C11859" t="s">
        <v>457</v>
      </c>
      <c r="D11859" t="str">
        <f>VLOOKUP(C11859,'lookup table'!$A$2:$B$19,2,FALSE)</f>
        <v>VLT</v>
      </c>
      <c r="E11859" t="str">
        <f t="shared" si="185"/>
        <v>TR101_17|VLT</v>
      </c>
    </row>
    <row r="11860" spans="1:5" x14ac:dyDescent="0.2">
      <c r="A11860" t="s">
        <v>3546</v>
      </c>
      <c r="B11860" t="s">
        <v>3547</v>
      </c>
      <c r="C11860" t="s">
        <v>458</v>
      </c>
      <c r="D11860" t="str">
        <f>VLOOKUP(C11860,'lookup table'!$A$2:$B$19,2,FALSE)</f>
        <v>VAR</v>
      </c>
      <c r="E11860" t="str">
        <f t="shared" si="185"/>
        <v>TR101_17|VAR</v>
      </c>
    </row>
    <row r="11861" spans="1:5" x14ac:dyDescent="0.2">
      <c r="A11861" t="s">
        <v>3546</v>
      </c>
      <c r="B11861" t="s">
        <v>3547</v>
      </c>
      <c r="C11861" t="s">
        <v>461</v>
      </c>
      <c r="D11861" t="str">
        <f>VLOOKUP(C11861,'lookup table'!$A$2:$B$19,2,FALSE)</f>
        <v>Posting Level</v>
      </c>
      <c r="E11861" t="str">
        <f t="shared" si="185"/>
        <v>TR101_17|Posting Level</v>
      </c>
    </row>
    <row r="11862" spans="1:5" x14ac:dyDescent="0.2">
      <c r="A11862" t="s">
        <v>3548</v>
      </c>
      <c r="B11862" t="s">
        <v>3549</v>
      </c>
      <c r="C11862" t="s">
        <v>331</v>
      </c>
      <c r="D11862" t="str">
        <f>VLOOKUP(C11862,'lookup table'!$A$2:$B$19,2,FALSE)</f>
        <v>FS Item</v>
      </c>
      <c r="E11862" t="str">
        <f t="shared" si="185"/>
        <v>TR101_70|FS Item</v>
      </c>
    </row>
    <row r="11863" spans="1:5" x14ac:dyDescent="0.2">
      <c r="A11863" t="s">
        <v>3548</v>
      </c>
      <c r="B11863" t="s">
        <v>3549</v>
      </c>
      <c r="C11863" t="s">
        <v>423</v>
      </c>
      <c r="D11863" t="str">
        <f>VLOOKUP(C11863,'lookup table'!$A$2:$B$19,2,FALSE)</f>
        <v>ignore</v>
      </c>
      <c r="E11863" t="str">
        <f t="shared" si="185"/>
        <v>TR101_70|ignore</v>
      </c>
    </row>
    <row r="11864" spans="1:5" x14ac:dyDescent="0.2">
      <c r="A11864" t="s">
        <v>3548</v>
      </c>
      <c r="B11864" t="s">
        <v>3549</v>
      </c>
      <c r="C11864" t="s">
        <v>438</v>
      </c>
      <c r="D11864" t="str">
        <f>VLOOKUP(C11864,'lookup table'!$A$2:$B$19,2,FALSE)</f>
        <v>ToM</v>
      </c>
      <c r="E11864" t="str">
        <f t="shared" si="185"/>
        <v>TR101_70|ToM</v>
      </c>
    </row>
    <row r="11865" spans="1:5" x14ac:dyDescent="0.2">
      <c r="A11865" t="s">
        <v>3550</v>
      </c>
      <c r="B11865" t="s">
        <v>3403</v>
      </c>
      <c r="C11865" t="s">
        <v>331</v>
      </c>
      <c r="D11865" t="str">
        <f>VLOOKUP(C11865,'lookup table'!$A$2:$B$19,2,FALSE)</f>
        <v>FS Item</v>
      </c>
      <c r="E11865" t="str">
        <f t="shared" si="185"/>
        <v>TR102_17|FS Item</v>
      </c>
    </row>
    <row r="11866" spans="1:5" x14ac:dyDescent="0.2">
      <c r="A11866" t="s">
        <v>3550</v>
      </c>
      <c r="B11866" t="s">
        <v>3403</v>
      </c>
      <c r="C11866" t="s">
        <v>423</v>
      </c>
      <c r="D11866" t="str">
        <f>VLOOKUP(C11866,'lookup table'!$A$2:$B$19,2,FALSE)</f>
        <v>ignore</v>
      </c>
      <c r="E11866" t="str">
        <f t="shared" si="185"/>
        <v>TR102_17|ignore</v>
      </c>
    </row>
    <row r="11867" spans="1:5" x14ac:dyDescent="0.2">
      <c r="A11867" t="s">
        <v>3550</v>
      </c>
      <c r="B11867" t="s">
        <v>3403</v>
      </c>
      <c r="C11867" t="s">
        <v>441</v>
      </c>
      <c r="D11867" t="str">
        <f>VLOOKUP(C11867,'lookup table'!$A$2:$B$19,2,FALSE)</f>
        <v>Partner Segment</v>
      </c>
      <c r="E11867" t="str">
        <f t="shared" si="185"/>
        <v>TR102_17|Partner Segment</v>
      </c>
    </row>
    <row r="11868" spans="1:5" x14ac:dyDescent="0.2">
      <c r="A11868" t="s">
        <v>3550</v>
      </c>
      <c r="B11868" t="s">
        <v>3403</v>
      </c>
      <c r="C11868" t="s">
        <v>442</v>
      </c>
      <c r="D11868" t="str">
        <f>VLOOKUP(C11868,'lookup table'!$A$2:$B$19,2,FALSE)</f>
        <v>Partner Unit</v>
      </c>
      <c r="E11868" t="str">
        <f t="shared" si="185"/>
        <v>TR102_17|Partner Unit</v>
      </c>
    </row>
    <row r="11869" spans="1:5" x14ac:dyDescent="0.2">
      <c r="A11869" t="s">
        <v>3550</v>
      </c>
      <c r="B11869" t="s">
        <v>3403</v>
      </c>
      <c r="C11869" t="s">
        <v>451</v>
      </c>
      <c r="D11869" t="str">
        <f>VLOOKUP(C11869,'lookup table'!$A$2:$B$19,2,FALSE)</f>
        <v>Segment</v>
      </c>
      <c r="E11869" t="str">
        <f t="shared" si="185"/>
        <v>TR102_17|Segment</v>
      </c>
    </row>
    <row r="11870" spans="1:5" x14ac:dyDescent="0.2">
      <c r="A11870" t="s">
        <v>3550</v>
      </c>
      <c r="B11870" t="s">
        <v>3403</v>
      </c>
      <c r="C11870" t="s">
        <v>461</v>
      </c>
      <c r="D11870" t="str">
        <f>VLOOKUP(C11870,'lookup table'!$A$2:$B$19,2,FALSE)</f>
        <v>Posting Level</v>
      </c>
      <c r="E11870" t="str">
        <f t="shared" si="185"/>
        <v>TR102_17|Posting Level</v>
      </c>
    </row>
    <row r="11871" spans="1:5" x14ac:dyDescent="0.2">
      <c r="A11871" t="s">
        <v>3551</v>
      </c>
      <c r="B11871" t="s">
        <v>3552</v>
      </c>
      <c r="C11871" t="s">
        <v>331</v>
      </c>
      <c r="D11871" t="str">
        <f>VLOOKUP(C11871,'lookup table'!$A$2:$B$19,2,FALSE)</f>
        <v>FS Item</v>
      </c>
      <c r="E11871" t="str">
        <f t="shared" si="185"/>
        <v>TR102_70|FS Item</v>
      </c>
    </row>
    <row r="11872" spans="1:5" x14ac:dyDescent="0.2">
      <c r="A11872" t="s">
        <v>3551</v>
      </c>
      <c r="B11872" t="s">
        <v>3552</v>
      </c>
      <c r="C11872" t="s">
        <v>423</v>
      </c>
      <c r="D11872" t="str">
        <f>VLOOKUP(C11872,'lookup table'!$A$2:$B$19,2,FALSE)</f>
        <v>ignore</v>
      </c>
      <c r="E11872" t="str">
        <f t="shared" si="185"/>
        <v>TR102_70|ignore</v>
      </c>
    </row>
    <row r="11873" spans="1:5" x14ac:dyDescent="0.2">
      <c r="A11873" t="s">
        <v>3553</v>
      </c>
      <c r="B11873" t="s">
        <v>105</v>
      </c>
      <c r="C11873" t="s">
        <v>20</v>
      </c>
      <c r="D11873" t="str">
        <f>VLOOKUP(C11873,'lookup table'!$A$2:$B$19,2,FALSE)</f>
        <v>AY</v>
      </c>
      <c r="E11873" t="str">
        <f t="shared" si="185"/>
        <v>TR104_17|AY</v>
      </c>
    </row>
    <row r="11874" spans="1:5" x14ac:dyDescent="0.2">
      <c r="A11874" t="s">
        <v>3553</v>
      </c>
      <c r="B11874" t="s">
        <v>105</v>
      </c>
      <c r="C11874" t="s">
        <v>136</v>
      </c>
      <c r="D11874" t="str">
        <f>VLOOKUP(C11874,'lookup table'!$A$2:$B$19,2,FALSE)</f>
        <v>BBA Set</v>
      </c>
      <c r="E11874" t="str">
        <f t="shared" si="185"/>
        <v>TR104_17|BBA Set</v>
      </c>
    </row>
    <row r="11875" spans="1:5" x14ac:dyDescent="0.2">
      <c r="A11875" t="s">
        <v>3553</v>
      </c>
      <c r="B11875" t="s">
        <v>105</v>
      </c>
      <c r="C11875" t="s">
        <v>331</v>
      </c>
      <c r="D11875" t="str">
        <f>VLOOKUP(C11875,'lookup table'!$A$2:$B$19,2,FALSE)</f>
        <v>FS Item</v>
      </c>
      <c r="E11875" t="str">
        <f t="shared" si="185"/>
        <v>TR104_17|FS Item</v>
      </c>
    </row>
    <row r="11876" spans="1:5" x14ac:dyDescent="0.2">
      <c r="A11876" t="s">
        <v>3553</v>
      </c>
      <c r="B11876" t="s">
        <v>105</v>
      </c>
      <c r="C11876" t="s">
        <v>423</v>
      </c>
      <c r="D11876" t="str">
        <f>VLOOKUP(C11876,'lookup table'!$A$2:$B$19,2,FALSE)</f>
        <v>ignore</v>
      </c>
      <c r="E11876" t="str">
        <f t="shared" si="185"/>
        <v>TR104_17|ignore</v>
      </c>
    </row>
    <row r="11877" spans="1:5" x14ac:dyDescent="0.2">
      <c r="A11877" t="s">
        <v>3553</v>
      </c>
      <c r="B11877" t="s">
        <v>105</v>
      </c>
      <c r="C11877" t="s">
        <v>425</v>
      </c>
      <c r="D11877" t="str">
        <f>VLOOKUP(C11877,'lookup table'!$A$2:$B$19,2,FALSE)</f>
        <v>Investee Segment</v>
      </c>
      <c r="E11877" t="str">
        <f t="shared" si="185"/>
        <v>TR104_17|Investee Segment</v>
      </c>
    </row>
    <row r="11878" spans="1:5" x14ac:dyDescent="0.2">
      <c r="A11878" t="s">
        <v>3553</v>
      </c>
      <c r="B11878" t="s">
        <v>105</v>
      </c>
      <c r="C11878" t="s">
        <v>426</v>
      </c>
      <c r="D11878" t="str">
        <f>VLOOKUP(C11878,'lookup table'!$A$2:$B$19,2,FALSE)</f>
        <v>Investee Unit</v>
      </c>
      <c r="E11878" t="str">
        <f t="shared" si="185"/>
        <v>TR104_17|Investee Unit</v>
      </c>
    </row>
    <row r="11879" spans="1:5" x14ac:dyDescent="0.2">
      <c r="A11879" t="s">
        <v>3553</v>
      </c>
      <c r="B11879" t="s">
        <v>105</v>
      </c>
      <c r="C11879" t="s">
        <v>428</v>
      </c>
      <c r="D11879" t="str">
        <f>VLOOKUP(C11879,'lookup table'!$A$2:$B$19,2,FALSE)</f>
        <v>LoB</v>
      </c>
      <c r="E11879" t="str">
        <f t="shared" si="185"/>
        <v>TR104_17|LoB</v>
      </c>
    </row>
    <row r="11880" spans="1:5" x14ac:dyDescent="0.2">
      <c r="A11880" t="s">
        <v>3553</v>
      </c>
      <c r="B11880" t="s">
        <v>105</v>
      </c>
      <c r="C11880" t="s">
        <v>441</v>
      </c>
      <c r="D11880" t="str">
        <f>VLOOKUP(C11880,'lookup table'!$A$2:$B$19,2,FALSE)</f>
        <v>Partner Segment</v>
      </c>
      <c r="E11880" t="str">
        <f t="shared" si="185"/>
        <v>TR104_17|Partner Segment</v>
      </c>
    </row>
    <row r="11881" spans="1:5" x14ac:dyDescent="0.2">
      <c r="A11881" t="s">
        <v>3553</v>
      </c>
      <c r="B11881" t="s">
        <v>105</v>
      </c>
      <c r="C11881" t="s">
        <v>442</v>
      </c>
      <c r="D11881" t="str">
        <f>VLOOKUP(C11881,'lookup table'!$A$2:$B$19,2,FALSE)</f>
        <v>Partner Unit</v>
      </c>
      <c r="E11881" t="str">
        <f t="shared" si="185"/>
        <v>TR104_17|Partner Unit</v>
      </c>
    </row>
    <row r="11882" spans="1:5" x14ac:dyDescent="0.2">
      <c r="A11882" t="s">
        <v>3553</v>
      </c>
      <c r="B11882" t="s">
        <v>105</v>
      </c>
      <c r="C11882" t="s">
        <v>451</v>
      </c>
      <c r="D11882" t="str">
        <f>VLOOKUP(C11882,'lookup table'!$A$2:$B$19,2,FALSE)</f>
        <v>Segment</v>
      </c>
      <c r="E11882" t="str">
        <f t="shared" si="185"/>
        <v>TR104_17|Segment</v>
      </c>
    </row>
    <row r="11883" spans="1:5" x14ac:dyDescent="0.2">
      <c r="A11883" t="s">
        <v>3553</v>
      </c>
      <c r="B11883" t="s">
        <v>105</v>
      </c>
      <c r="C11883" t="s">
        <v>461</v>
      </c>
      <c r="D11883" t="str">
        <f>VLOOKUP(C11883,'lookup table'!$A$2:$B$19,2,FALSE)</f>
        <v>Posting Level</v>
      </c>
      <c r="E11883" t="str">
        <f t="shared" si="185"/>
        <v>TR104_17|Posting Level</v>
      </c>
    </row>
    <row r="11884" spans="1:5" x14ac:dyDescent="0.2">
      <c r="A11884" t="s">
        <v>3554</v>
      </c>
      <c r="B11884" t="s">
        <v>3555</v>
      </c>
      <c r="C11884" t="s">
        <v>20</v>
      </c>
      <c r="D11884" t="str">
        <f>VLOOKUP(C11884,'lookup table'!$A$2:$B$19,2,FALSE)</f>
        <v>AY</v>
      </c>
      <c r="E11884" t="str">
        <f t="shared" si="185"/>
        <v>TR104_70|AY</v>
      </c>
    </row>
    <row r="11885" spans="1:5" x14ac:dyDescent="0.2">
      <c r="A11885" t="s">
        <v>3554</v>
      </c>
      <c r="B11885" t="s">
        <v>3555</v>
      </c>
      <c r="C11885" t="s">
        <v>331</v>
      </c>
      <c r="D11885" t="str">
        <f>VLOOKUP(C11885,'lookup table'!$A$2:$B$19,2,FALSE)</f>
        <v>FS Item</v>
      </c>
      <c r="E11885" t="str">
        <f t="shared" si="185"/>
        <v>TR104_70|FS Item</v>
      </c>
    </row>
    <row r="11886" spans="1:5" x14ac:dyDescent="0.2">
      <c r="A11886" t="s">
        <v>3554</v>
      </c>
      <c r="B11886" t="s">
        <v>3555</v>
      </c>
      <c r="C11886" t="s">
        <v>423</v>
      </c>
      <c r="D11886" t="str">
        <f>VLOOKUP(C11886,'lookup table'!$A$2:$B$19,2,FALSE)</f>
        <v>ignore</v>
      </c>
      <c r="E11886" t="str">
        <f t="shared" si="185"/>
        <v>TR104_70|ignore</v>
      </c>
    </row>
    <row r="11887" spans="1:5" x14ac:dyDescent="0.2">
      <c r="A11887" t="s">
        <v>3554</v>
      </c>
      <c r="B11887" t="s">
        <v>3555</v>
      </c>
      <c r="C11887" t="s">
        <v>428</v>
      </c>
      <c r="D11887" t="str">
        <f>VLOOKUP(C11887,'lookup table'!$A$2:$B$19,2,FALSE)</f>
        <v>LoB</v>
      </c>
      <c r="E11887" t="str">
        <f t="shared" si="185"/>
        <v>TR104_70|LoB</v>
      </c>
    </row>
    <row r="11888" spans="1:5" x14ac:dyDescent="0.2">
      <c r="A11888" t="s">
        <v>3554</v>
      </c>
      <c r="B11888" t="s">
        <v>3555</v>
      </c>
      <c r="C11888" t="s">
        <v>441</v>
      </c>
      <c r="D11888" t="str">
        <f>VLOOKUP(C11888,'lookup table'!$A$2:$B$19,2,FALSE)</f>
        <v>Partner Segment</v>
      </c>
      <c r="E11888" t="str">
        <f t="shared" si="185"/>
        <v>TR104_70|Partner Segment</v>
      </c>
    </row>
    <row r="11889" spans="1:5" x14ac:dyDescent="0.2">
      <c r="A11889" t="s">
        <v>3554</v>
      </c>
      <c r="B11889" t="s">
        <v>3555</v>
      </c>
      <c r="C11889" t="s">
        <v>442</v>
      </c>
      <c r="D11889" t="str">
        <f>VLOOKUP(C11889,'lookup table'!$A$2:$B$19,2,FALSE)</f>
        <v>Partner Unit</v>
      </c>
      <c r="E11889" t="str">
        <f t="shared" si="185"/>
        <v>TR104_70|Partner Unit</v>
      </c>
    </row>
    <row r="11890" spans="1:5" x14ac:dyDescent="0.2">
      <c r="A11890" t="s">
        <v>3554</v>
      </c>
      <c r="B11890" t="s">
        <v>3555</v>
      </c>
      <c r="C11890" t="s">
        <v>451</v>
      </c>
      <c r="D11890" t="str">
        <f>VLOOKUP(C11890,'lookup table'!$A$2:$B$19,2,FALSE)</f>
        <v>Segment</v>
      </c>
      <c r="E11890" t="str">
        <f t="shared" si="185"/>
        <v>TR104_70|Segment</v>
      </c>
    </row>
    <row r="11891" spans="1:5" x14ac:dyDescent="0.2">
      <c r="A11891" t="s">
        <v>3554</v>
      </c>
      <c r="B11891" t="s">
        <v>3555</v>
      </c>
      <c r="C11891" t="s">
        <v>461</v>
      </c>
      <c r="D11891" t="str">
        <f>VLOOKUP(C11891,'lookup table'!$A$2:$B$19,2,FALSE)</f>
        <v>Posting Level</v>
      </c>
      <c r="E11891" t="str">
        <f t="shared" si="185"/>
        <v>TR104_70|Posting Level</v>
      </c>
    </row>
    <row r="11892" spans="1:5" x14ac:dyDescent="0.2">
      <c r="A11892" t="s">
        <v>3556</v>
      </c>
      <c r="B11892" t="s">
        <v>3410</v>
      </c>
      <c r="C11892" t="s">
        <v>20</v>
      </c>
      <c r="D11892" t="str">
        <f>VLOOKUP(C11892,'lookup table'!$A$2:$B$19,2,FALSE)</f>
        <v>AY</v>
      </c>
      <c r="E11892" t="str">
        <f t="shared" si="185"/>
        <v>TR105_17|AY</v>
      </c>
    </row>
    <row r="11893" spans="1:5" x14ac:dyDescent="0.2">
      <c r="A11893" t="s">
        <v>3556</v>
      </c>
      <c r="B11893" t="s">
        <v>3410</v>
      </c>
      <c r="C11893" t="s">
        <v>136</v>
      </c>
      <c r="D11893" t="str">
        <f>VLOOKUP(C11893,'lookup table'!$A$2:$B$19,2,FALSE)</f>
        <v>BBA Set</v>
      </c>
      <c r="E11893" t="str">
        <f t="shared" si="185"/>
        <v>TR105_17|BBA Set</v>
      </c>
    </row>
    <row r="11894" spans="1:5" x14ac:dyDescent="0.2">
      <c r="A11894" t="s">
        <v>3556</v>
      </c>
      <c r="B11894" t="s">
        <v>3410</v>
      </c>
      <c r="C11894" t="s">
        <v>331</v>
      </c>
      <c r="D11894" t="str">
        <f>VLOOKUP(C11894,'lookup table'!$A$2:$B$19,2,FALSE)</f>
        <v>FS Item</v>
      </c>
      <c r="E11894" t="str">
        <f t="shared" si="185"/>
        <v>TR105_17|FS Item</v>
      </c>
    </row>
    <row r="11895" spans="1:5" x14ac:dyDescent="0.2">
      <c r="A11895" t="s">
        <v>3556</v>
      </c>
      <c r="B11895" t="s">
        <v>3410</v>
      </c>
      <c r="C11895" t="s">
        <v>423</v>
      </c>
      <c r="D11895" t="str">
        <f>VLOOKUP(C11895,'lookup table'!$A$2:$B$19,2,FALSE)</f>
        <v>ignore</v>
      </c>
      <c r="E11895" t="str">
        <f t="shared" si="185"/>
        <v>TR105_17|ignore</v>
      </c>
    </row>
    <row r="11896" spans="1:5" x14ac:dyDescent="0.2">
      <c r="A11896" t="s">
        <v>3556</v>
      </c>
      <c r="B11896" t="s">
        <v>3410</v>
      </c>
      <c r="C11896" t="s">
        <v>425</v>
      </c>
      <c r="D11896" t="str">
        <f>VLOOKUP(C11896,'lookup table'!$A$2:$B$19,2,FALSE)</f>
        <v>Investee Segment</v>
      </c>
      <c r="E11896" t="str">
        <f t="shared" si="185"/>
        <v>TR105_17|Investee Segment</v>
      </c>
    </row>
    <row r="11897" spans="1:5" x14ac:dyDescent="0.2">
      <c r="A11897" t="s">
        <v>3556</v>
      </c>
      <c r="B11897" t="s">
        <v>3410</v>
      </c>
      <c r="C11897" t="s">
        <v>426</v>
      </c>
      <c r="D11897" t="str">
        <f>VLOOKUP(C11897,'lookup table'!$A$2:$B$19,2,FALSE)</f>
        <v>Investee Unit</v>
      </c>
      <c r="E11897" t="str">
        <f t="shared" si="185"/>
        <v>TR105_17|Investee Unit</v>
      </c>
    </row>
    <row r="11898" spans="1:5" x14ac:dyDescent="0.2">
      <c r="A11898" t="s">
        <v>3556</v>
      </c>
      <c r="B11898" t="s">
        <v>3410</v>
      </c>
      <c r="C11898" t="s">
        <v>428</v>
      </c>
      <c r="D11898" t="str">
        <f>VLOOKUP(C11898,'lookup table'!$A$2:$B$19,2,FALSE)</f>
        <v>LoB</v>
      </c>
      <c r="E11898" t="str">
        <f t="shared" si="185"/>
        <v>TR105_17|LoB</v>
      </c>
    </row>
    <row r="11899" spans="1:5" x14ac:dyDescent="0.2">
      <c r="A11899" t="s">
        <v>3556</v>
      </c>
      <c r="B11899" t="s">
        <v>3410</v>
      </c>
      <c r="C11899" t="s">
        <v>438</v>
      </c>
      <c r="D11899" t="str">
        <f>VLOOKUP(C11899,'lookup table'!$A$2:$B$19,2,FALSE)</f>
        <v>ToM</v>
      </c>
      <c r="E11899" t="str">
        <f t="shared" si="185"/>
        <v>TR105_17|ToM</v>
      </c>
    </row>
    <row r="11900" spans="1:5" x14ac:dyDescent="0.2">
      <c r="A11900" t="s">
        <v>3556</v>
      </c>
      <c r="B11900" t="s">
        <v>3410</v>
      </c>
      <c r="C11900" t="s">
        <v>441</v>
      </c>
      <c r="D11900" t="str">
        <f>VLOOKUP(C11900,'lookup table'!$A$2:$B$19,2,FALSE)</f>
        <v>Partner Segment</v>
      </c>
      <c r="E11900" t="str">
        <f t="shared" si="185"/>
        <v>TR105_17|Partner Segment</v>
      </c>
    </row>
    <row r="11901" spans="1:5" x14ac:dyDescent="0.2">
      <c r="A11901" t="s">
        <v>3556</v>
      </c>
      <c r="B11901" t="s">
        <v>3410</v>
      </c>
      <c r="C11901" t="s">
        <v>442</v>
      </c>
      <c r="D11901" t="str">
        <f>VLOOKUP(C11901,'lookup table'!$A$2:$B$19,2,FALSE)</f>
        <v>Partner Unit</v>
      </c>
      <c r="E11901" t="str">
        <f t="shared" si="185"/>
        <v>TR105_17|Partner Unit</v>
      </c>
    </row>
    <row r="11902" spans="1:5" x14ac:dyDescent="0.2">
      <c r="A11902" t="s">
        <v>3556</v>
      </c>
      <c r="B11902" t="s">
        <v>3410</v>
      </c>
      <c r="C11902" t="s">
        <v>451</v>
      </c>
      <c r="D11902" t="str">
        <f>VLOOKUP(C11902,'lookup table'!$A$2:$B$19,2,FALSE)</f>
        <v>Segment</v>
      </c>
      <c r="E11902" t="str">
        <f t="shared" si="185"/>
        <v>TR105_17|Segment</v>
      </c>
    </row>
    <row r="11903" spans="1:5" x14ac:dyDescent="0.2">
      <c r="A11903" t="s">
        <v>3556</v>
      </c>
      <c r="B11903" t="s">
        <v>3410</v>
      </c>
      <c r="C11903" t="s">
        <v>461</v>
      </c>
      <c r="D11903" t="str">
        <f>VLOOKUP(C11903,'lookup table'!$A$2:$B$19,2,FALSE)</f>
        <v>Posting Level</v>
      </c>
      <c r="E11903" t="str">
        <f t="shared" si="185"/>
        <v>TR105_17|Posting Level</v>
      </c>
    </row>
    <row r="11904" spans="1:5" x14ac:dyDescent="0.2">
      <c r="A11904" t="s">
        <v>3557</v>
      </c>
      <c r="B11904" t="s">
        <v>3558</v>
      </c>
      <c r="C11904" t="s">
        <v>20</v>
      </c>
      <c r="D11904" t="str">
        <f>VLOOKUP(C11904,'lookup table'!$A$2:$B$19,2,FALSE)</f>
        <v>AY</v>
      </c>
      <c r="E11904" t="str">
        <f t="shared" si="185"/>
        <v>TR105_70|AY</v>
      </c>
    </row>
    <row r="11905" spans="1:5" x14ac:dyDescent="0.2">
      <c r="A11905" t="s">
        <v>3557</v>
      </c>
      <c r="B11905" t="s">
        <v>3558</v>
      </c>
      <c r="C11905" t="s">
        <v>331</v>
      </c>
      <c r="D11905" t="str">
        <f>VLOOKUP(C11905,'lookup table'!$A$2:$B$19,2,FALSE)</f>
        <v>FS Item</v>
      </c>
      <c r="E11905" t="str">
        <f t="shared" si="185"/>
        <v>TR105_70|FS Item</v>
      </c>
    </row>
    <row r="11906" spans="1:5" x14ac:dyDescent="0.2">
      <c r="A11906" t="s">
        <v>3557</v>
      </c>
      <c r="B11906" t="s">
        <v>3558</v>
      </c>
      <c r="C11906" t="s">
        <v>423</v>
      </c>
      <c r="D11906" t="str">
        <f>VLOOKUP(C11906,'lookup table'!$A$2:$B$19,2,FALSE)</f>
        <v>ignore</v>
      </c>
      <c r="E11906" t="str">
        <f t="shared" si="185"/>
        <v>TR105_70|ignore</v>
      </c>
    </row>
    <row r="11907" spans="1:5" x14ac:dyDescent="0.2">
      <c r="A11907" t="s">
        <v>3557</v>
      </c>
      <c r="B11907" t="s">
        <v>3558</v>
      </c>
      <c r="C11907" t="s">
        <v>428</v>
      </c>
      <c r="D11907" t="str">
        <f>VLOOKUP(C11907,'lookup table'!$A$2:$B$19,2,FALSE)</f>
        <v>LoB</v>
      </c>
      <c r="E11907" t="str">
        <f t="shared" ref="E11907:E11970" si="186">IF(ISNA(D11907),"",IF(A11907="","",A11907) &amp; "|" &amp; D11907)</f>
        <v>TR105_70|LoB</v>
      </c>
    </row>
    <row r="11908" spans="1:5" x14ac:dyDescent="0.2">
      <c r="A11908" t="s">
        <v>3557</v>
      </c>
      <c r="B11908" t="s">
        <v>3558</v>
      </c>
      <c r="C11908" t="s">
        <v>438</v>
      </c>
      <c r="D11908" t="str">
        <f>VLOOKUP(C11908,'lookup table'!$A$2:$B$19,2,FALSE)</f>
        <v>ToM</v>
      </c>
      <c r="E11908" t="str">
        <f t="shared" si="186"/>
        <v>TR105_70|ToM</v>
      </c>
    </row>
    <row r="11909" spans="1:5" x14ac:dyDescent="0.2">
      <c r="A11909" t="s">
        <v>3557</v>
      </c>
      <c r="B11909" t="s">
        <v>3558</v>
      </c>
      <c r="C11909" t="s">
        <v>441</v>
      </c>
      <c r="D11909" t="str">
        <f>VLOOKUP(C11909,'lookup table'!$A$2:$B$19,2,FALSE)</f>
        <v>Partner Segment</v>
      </c>
      <c r="E11909" t="str">
        <f t="shared" si="186"/>
        <v>TR105_70|Partner Segment</v>
      </c>
    </row>
    <row r="11910" spans="1:5" x14ac:dyDescent="0.2">
      <c r="A11910" t="s">
        <v>3557</v>
      </c>
      <c r="B11910" t="s">
        <v>3558</v>
      </c>
      <c r="C11910" t="s">
        <v>442</v>
      </c>
      <c r="D11910" t="str">
        <f>VLOOKUP(C11910,'lookup table'!$A$2:$B$19,2,FALSE)</f>
        <v>Partner Unit</v>
      </c>
      <c r="E11910" t="str">
        <f t="shared" si="186"/>
        <v>TR105_70|Partner Unit</v>
      </c>
    </row>
    <row r="11911" spans="1:5" x14ac:dyDescent="0.2">
      <c r="A11911" t="s">
        <v>3557</v>
      </c>
      <c r="B11911" t="s">
        <v>3558</v>
      </c>
      <c r="C11911" t="s">
        <v>451</v>
      </c>
      <c r="D11911" t="str">
        <f>VLOOKUP(C11911,'lookup table'!$A$2:$B$19,2,FALSE)</f>
        <v>Segment</v>
      </c>
      <c r="E11911" t="str">
        <f t="shared" si="186"/>
        <v>TR105_70|Segment</v>
      </c>
    </row>
    <row r="11912" spans="1:5" x14ac:dyDescent="0.2">
      <c r="A11912" t="s">
        <v>3557</v>
      </c>
      <c r="B11912" t="s">
        <v>3558</v>
      </c>
      <c r="C11912" t="s">
        <v>461</v>
      </c>
      <c r="D11912" t="str">
        <f>VLOOKUP(C11912,'lookup table'!$A$2:$B$19,2,FALSE)</f>
        <v>Posting Level</v>
      </c>
      <c r="E11912" t="str">
        <f t="shared" si="186"/>
        <v>TR105_70|Posting Level</v>
      </c>
    </row>
    <row r="11913" spans="1:5" x14ac:dyDescent="0.2">
      <c r="A11913" t="s">
        <v>3559</v>
      </c>
      <c r="B11913" t="s">
        <v>3412</v>
      </c>
      <c r="C11913" t="s">
        <v>20</v>
      </c>
      <c r="D11913" t="str">
        <f>VLOOKUP(C11913,'lookup table'!$A$2:$B$19,2,FALSE)</f>
        <v>AY</v>
      </c>
      <c r="E11913" t="str">
        <f t="shared" si="186"/>
        <v>TR106_17|AY</v>
      </c>
    </row>
    <row r="11914" spans="1:5" x14ac:dyDescent="0.2">
      <c r="A11914" t="s">
        <v>3559</v>
      </c>
      <c r="B11914" t="s">
        <v>3412</v>
      </c>
      <c r="C11914" t="s">
        <v>136</v>
      </c>
      <c r="D11914" t="str">
        <f>VLOOKUP(C11914,'lookup table'!$A$2:$B$19,2,FALSE)</f>
        <v>BBA Set</v>
      </c>
      <c r="E11914" t="str">
        <f t="shared" si="186"/>
        <v>TR106_17|BBA Set</v>
      </c>
    </row>
    <row r="11915" spans="1:5" x14ac:dyDescent="0.2">
      <c r="A11915" t="s">
        <v>3559</v>
      </c>
      <c r="B11915" t="s">
        <v>3412</v>
      </c>
      <c r="C11915" t="s">
        <v>331</v>
      </c>
      <c r="D11915" t="str">
        <f>VLOOKUP(C11915,'lookup table'!$A$2:$B$19,2,FALSE)</f>
        <v>FS Item</v>
      </c>
      <c r="E11915" t="str">
        <f t="shared" si="186"/>
        <v>TR106_17|FS Item</v>
      </c>
    </row>
    <row r="11916" spans="1:5" x14ac:dyDescent="0.2">
      <c r="A11916" t="s">
        <v>3559</v>
      </c>
      <c r="B11916" t="s">
        <v>3412</v>
      </c>
      <c r="C11916" t="s">
        <v>423</v>
      </c>
      <c r="D11916" t="str">
        <f>VLOOKUP(C11916,'lookup table'!$A$2:$B$19,2,FALSE)</f>
        <v>ignore</v>
      </c>
      <c r="E11916" t="str">
        <f t="shared" si="186"/>
        <v>TR106_17|ignore</v>
      </c>
    </row>
    <row r="11917" spans="1:5" x14ac:dyDescent="0.2">
      <c r="A11917" t="s">
        <v>3559</v>
      </c>
      <c r="B11917" t="s">
        <v>3412</v>
      </c>
      <c r="C11917" t="s">
        <v>425</v>
      </c>
      <c r="D11917" t="str">
        <f>VLOOKUP(C11917,'lookup table'!$A$2:$B$19,2,FALSE)</f>
        <v>Investee Segment</v>
      </c>
      <c r="E11917" t="str">
        <f t="shared" si="186"/>
        <v>TR106_17|Investee Segment</v>
      </c>
    </row>
    <row r="11918" spans="1:5" x14ac:dyDescent="0.2">
      <c r="A11918" t="s">
        <v>3559</v>
      </c>
      <c r="B11918" t="s">
        <v>3412</v>
      </c>
      <c r="C11918" t="s">
        <v>426</v>
      </c>
      <c r="D11918" t="str">
        <f>VLOOKUP(C11918,'lookup table'!$A$2:$B$19,2,FALSE)</f>
        <v>Investee Unit</v>
      </c>
      <c r="E11918" t="str">
        <f t="shared" si="186"/>
        <v>TR106_17|Investee Unit</v>
      </c>
    </row>
    <row r="11919" spans="1:5" x14ac:dyDescent="0.2">
      <c r="A11919" t="s">
        <v>3559</v>
      </c>
      <c r="B11919" t="s">
        <v>3412</v>
      </c>
      <c r="C11919" t="s">
        <v>428</v>
      </c>
      <c r="D11919" t="str">
        <f>VLOOKUP(C11919,'lookup table'!$A$2:$B$19,2,FALSE)</f>
        <v>LoB</v>
      </c>
      <c r="E11919" t="str">
        <f t="shared" si="186"/>
        <v>TR106_17|LoB</v>
      </c>
    </row>
    <row r="11920" spans="1:5" x14ac:dyDescent="0.2">
      <c r="A11920" t="s">
        <v>3559</v>
      </c>
      <c r="B11920" t="s">
        <v>3412</v>
      </c>
      <c r="C11920" t="s">
        <v>441</v>
      </c>
      <c r="D11920" t="str">
        <f>VLOOKUP(C11920,'lookup table'!$A$2:$B$19,2,FALSE)</f>
        <v>Partner Segment</v>
      </c>
      <c r="E11920" t="str">
        <f t="shared" si="186"/>
        <v>TR106_17|Partner Segment</v>
      </c>
    </row>
    <row r="11921" spans="1:5" x14ac:dyDescent="0.2">
      <c r="A11921" t="s">
        <v>3559</v>
      </c>
      <c r="B11921" t="s">
        <v>3412</v>
      </c>
      <c r="C11921" t="s">
        <v>442</v>
      </c>
      <c r="D11921" t="str">
        <f>VLOOKUP(C11921,'lookup table'!$A$2:$B$19,2,FALSE)</f>
        <v>Partner Unit</v>
      </c>
      <c r="E11921" t="str">
        <f t="shared" si="186"/>
        <v>TR106_17|Partner Unit</v>
      </c>
    </row>
    <row r="11922" spans="1:5" x14ac:dyDescent="0.2">
      <c r="A11922" t="s">
        <v>3559</v>
      </c>
      <c r="B11922" t="s">
        <v>3412</v>
      </c>
      <c r="C11922" t="s">
        <v>451</v>
      </c>
      <c r="D11922" t="str">
        <f>VLOOKUP(C11922,'lookup table'!$A$2:$B$19,2,FALSE)</f>
        <v>Segment</v>
      </c>
      <c r="E11922" t="str">
        <f t="shared" si="186"/>
        <v>TR106_17|Segment</v>
      </c>
    </row>
    <row r="11923" spans="1:5" x14ac:dyDescent="0.2">
      <c r="A11923" t="s">
        <v>3559</v>
      </c>
      <c r="B11923" t="s">
        <v>3412</v>
      </c>
      <c r="C11923" t="s">
        <v>461</v>
      </c>
      <c r="D11923" t="str">
        <f>VLOOKUP(C11923,'lookup table'!$A$2:$B$19,2,FALSE)</f>
        <v>Posting Level</v>
      </c>
      <c r="E11923" t="str">
        <f t="shared" si="186"/>
        <v>TR106_17|Posting Level</v>
      </c>
    </row>
    <row r="11924" spans="1:5" x14ac:dyDescent="0.2">
      <c r="A11924" t="s">
        <v>3560</v>
      </c>
      <c r="B11924" t="s">
        <v>3561</v>
      </c>
      <c r="C11924" t="s">
        <v>20</v>
      </c>
      <c r="D11924" t="str">
        <f>VLOOKUP(C11924,'lookup table'!$A$2:$B$19,2,FALSE)</f>
        <v>AY</v>
      </c>
      <c r="E11924" t="str">
        <f t="shared" si="186"/>
        <v>TR106_70|AY</v>
      </c>
    </row>
    <row r="11925" spans="1:5" x14ac:dyDescent="0.2">
      <c r="A11925" t="s">
        <v>3560</v>
      </c>
      <c r="B11925" t="s">
        <v>3561</v>
      </c>
      <c r="C11925" t="s">
        <v>331</v>
      </c>
      <c r="D11925" t="str">
        <f>VLOOKUP(C11925,'lookup table'!$A$2:$B$19,2,FALSE)</f>
        <v>FS Item</v>
      </c>
      <c r="E11925" t="str">
        <f t="shared" si="186"/>
        <v>TR106_70|FS Item</v>
      </c>
    </row>
    <row r="11926" spans="1:5" x14ac:dyDescent="0.2">
      <c r="A11926" t="s">
        <v>3560</v>
      </c>
      <c r="B11926" t="s">
        <v>3561</v>
      </c>
      <c r="C11926" t="s">
        <v>423</v>
      </c>
      <c r="D11926" t="str">
        <f>VLOOKUP(C11926,'lookup table'!$A$2:$B$19,2,FALSE)</f>
        <v>ignore</v>
      </c>
      <c r="E11926" t="str">
        <f t="shared" si="186"/>
        <v>TR106_70|ignore</v>
      </c>
    </row>
    <row r="11927" spans="1:5" x14ac:dyDescent="0.2">
      <c r="A11927" t="s">
        <v>3560</v>
      </c>
      <c r="B11927" t="s">
        <v>3561</v>
      </c>
      <c r="C11927" t="s">
        <v>428</v>
      </c>
      <c r="D11927" t="str">
        <f>VLOOKUP(C11927,'lookup table'!$A$2:$B$19,2,FALSE)</f>
        <v>LoB</v>
      </c>
      <c r="E11927" t="str">
        <f t="shared" si="186"/>
        <v>TR106_70|LoB</v>
      </c>
    </row>
    <row r="11928" spans="1:5" x14ac:dyDescent="0.2">
      <c r="A11928" t="s">
        <v>3560</v>
      </c>
      <c r="B11928" t="s">
        <v>3561</v>
      </c>
      <c r="C11928" t="s">
        <v>441</v>
      </c>
      <c r="D11928" t="str">
        <f>VLOOKUP(C11928,'lookup table'!$A$2:$B$19,2,FALSE)</f>
        <v>Partner Segment</v>
      </c>
      <c r="E11928" t="str">
        <f t="shared" si="186"/>
        <v>TR106_70|Partner Segment</v>
      </c>
    </row>
    <row r="11929" spans="1:5" x14ac:dyDescent="0.2">
      <c r="A11929" t="s">
        <v>3560</v>
      </c>
      <c r="B11929" t="s">
        <v>3561</v>
      </c>
      <c r="C11929" t="s">
        <v>442</v>
      </c>
      <c r="D11929" t="str">
        <f>VLOOKUP(C11929,'lookup table'!$A$2:$B$19,2,FALSE)</f>
        <v>Partner Unit</v>
      </c>
      <c r="E11929" t="str">
        <f t="shared" si="186"/>
        <v>TR106_70|Partner Unit</v>
      </c>
    </row>
    <row r="11930" spans="1:5" x14ac:dyDescent="0.2">
      <c r="A11930" t="s">
        <v>3560</v>
      </c>
      <c r="B11930" t="s">
        <v>3561</v>
      </c>
      <c r="C11930" t="s">
        <v>451</v>
      </c>
      <c r="D11930" t="str">
        <f>VLOOKUP(C11930,'lookup table'!$A$2:$B$19,2,FALSE)</f>
        <v>Segment</v>
      </c>
      <c r="E11930" t="str">
        <f t="shared" si="186"/>
        <v>TR106_70|Segment</v>
      </c>
    </row>
    <row r="11931" spans="1:5" x14ac:dyDescent="0.2">
      <c r="A11931" t="s">
        <v>3560</v>
      </c>
      <c r="B11931" t="s">
        <v>3561</v>
      </c>
      <c r="C11931" t="s">
        <v>461</v>
      </c>
      <c r="D11931" t="str">
        <f>VLOOKUP(C11931,'lookup table'!$A$2:$B$19,2,FALSE)</f>
        <v>Posting Level</v>
      </c>
      <c r="E11931" t="str">
        <f t="shared" si="186"/>
        <v>TR106_70|Posting Level</v>
      </c>
    </row>
    <row r="11932" spans="1:5" x14ac:dyDescent="0.2">
      <c r="A11932" t="s">
        <v>3562</v>
      </c>
      <c r="B11932" t="s">
        <v>3563</v>
      </c>
      <c r="C11932" t="s">
        <v>20</v>
      </c>
      <c r="D11932" t="str">
        <f>VLOOKUP(C11932,'lookup table'!$A$2:$B$19,2,FALSE)</f>
        <v>AY</v>
      </c>
      <c r="E11932" t="str">
        <f t="shared" si="186"/>
        <v>TR107_17|AY</v>
      </c>
    </row>
    <row r="11933" spans="1:5" x14ac:dyDescent="0.2">
      <c r="A11933" t="s">
        <v>3562</v>
      </c>
      <c r="B11933" t="s">
        <v>3563</v>
      </c>
      <c r="C11933" t="s">
        <v>136</v>
      </c>
      <c r="D11933" t="str">
        <f>VLOOKUP(C11933,'lookup table'!$A$2:$B$19,2,FALSE)</f>
        <v>BBA Set</v>
      </c>
      <c r="E11933" t="str">
        <f t="shared" si="186"/>
        <v>TR107_17|BBA Set</v>
      </c>
    </row>
    <row r="11934" spans="1:5" x14ac:dyDescent="0.2">
      <c r="A11934" t="s">
        <v>3562</v>
      </c>
      <c r="B11934" t="s">
        <v>3563</v>
      </c>
      <c r="C11934" t="s">
        <v>331</v>
      </c>
      <c r="D11934" t="str">
        <f>VLOOKUP(C11934,'lookup table'!$A$2:$B$19,2,FALSE)</f>
        <v>FS Item</v>
      </c>
      <c r="E11934" t="str">
        <f t="shared" si="186"/>
        <v>TR107_17|FS Item</v>
      </c>
    </row>
    <row r="11935" spans="1:5" x14ac:dyDescent="0.2">
      <c r="A11935" t="s">
        <v>3562</v>
      </c>
      <c r="B11935" t="s">
        <v>3563</v>
      </c>
      <c r="C11935" t="s">
        <v>423</v>
      </c>
      <c r="D11935" t="str">
        <f>VLOOKUP(C11935,'lookup table'!$A$2:$B$19,2,FALSE)</f>
        <v>ignore</v>
      </c>
      <c r="E11935" t="str">
        <f t="shared" si="186"/>
        <v>TR107_17|ignore</v>
      </c>
    </row>
    <row r="11936" spans="1:5" x14ac:dyDescent="0.2">
      <c r="A11936" t="s">
        <v>3562</v>
      </c>
      <c r="B11936" t="s">
        <v>3563</v>
      </c>
      <c r="C11936" t="s">
        <v>425</v>
      </c>
      <c r="D11936" t="str">
        <f>VLOOKUP(C11936,'lookup table'!$A$2:$B$19,2,FALSE)</f>
        <v>Investee Segment</v>
      </c>
      <c r="E11936" t="str">
        <f t="shared" si="186"/>
        <v>TR107_17|Investee Segment</v>
      </c>
    </row>
    <row r="11937" spans="1:5" x14ac:dyDescent="0.2">
      <c r="A11937" t="s">
        <v>3562</v>
      </c>
      <c r="B11937" t="s">
        <v>3563</v>
      </c>
      <c r="C11937" t="s">
        <v>426</v>
      </c>
      <c r="D11937" t="str">
        <f>VLOOKUP(C11937,'lookup table'!$A$2:$B$19,2,FALSE)</f>
        <v>Investee Unit</v>
      </c>
      <c r="E11937" t="str">
        <f t="shared" si="186"/>
        <v>TR107_17|Investee Unit</v>
      </c>
    </row>
    <row r="11938" spans="1:5" x14ac:dyDescent="0.2">
      <c r="A11938" t="s">
        <v>3562</v>
      </c>
      <c r="B11938" t="s">
        <v>3563</v>
      </c>
      <c r="C11938" t="s">
        <v>428</v>
      </c>
      <c r="D11938" t="str">
        <f>VLOOKUP(C11938,'lookup table'!$A$2:$B$19,2,FALSE)</f>
        <v>LoB</v>
      </c>
      <c r="E11938" t="str">
        <f t="shared" si="186"/>
        <v>TR107_17|LoB</v>
      </c>
    </row>
    <row r="11939" spans="1:5" x14ac:dyDescent="0.2">
      <c r="A11939" t="s">
        <v>3562</v>
      </c>
      <c r="B11939" t="s">
        <v>3563</v>
      </c>
      <c r="C11939" t="s">
        <v>438</v>
      </c>
      <c r="D11939" t="str">
        <f>VLOOKUP(C11939,'lookup table'!$A$2:$B$19,2,FALSE)</f>
        <v>ToM</v>
      </c>
      <c r="E11939" t="str">
        <f t="shared" si="186"/>
        <v>TR107_17|ToM</v>
      </c>
    </row>
    <row r="11940" spans="1:5" x14ac:dyDescent="0.2">
      <c r="A11940" t="s">
        <v>3562</v>
      </c>
      <c r="B11940" t="s">
        <v>3563</v>
      </c>
      <c r="C11940" t="s">
        <v>441</v>
      </c>
      <c r="D11940" t="str">
        <f>VLOOKUP(C11940,'lookup table'!$A$2:$B$19,2,FALSE)</f>
        <v>Partner Segment</v>
      </c>
      <c r="E11940" t="str">
        <f t="shared" si="186"/>
        <v>TR107_17|Partner Segment</v>
      </c>
    </row>
    <row r="11941" spans="1:5" x14ac:dyDescent="0.2">
      <c r="A11941" t="s">
        <v>3562</v>
      </c>
      <c r="B11941" t="s">
        <v>3563</v>
      </c>
      <c r="C11941" t="s">
        <v>442</v>
      </c>
      <c r="D11941" t="str">
        <f>VLOOKUP(C11941,'lookup table'!$A$2:$B$19,2,FALSE)</f>
        <v>Partner Unit</v>
      </c>
      <c r="E11941" t="str">
        <f t="shared" si="186"/>
        <v>TR107_17|Partner Unit</v>
      </c>
    </row>
    <row r="11942" spans="1:5" x14ac:dyDescent="0.2">
      <c r="A11942" t="s">
        <v>3562</v>
      </c>
      <c r="B11942" t="s">
        <v>3563</v>
      </c>
      <c r="C11942" t="s">
        <v>451</v>
      </c>
      <c r="D11942" t="str">
        <f>VLOOKUP(C11942,'lookup table'!$A$2:$B$19,2,FALSE)</f>
        <v>Segment</v>
      </c>
      <c r="E11942" t="str">
        <f t="shared" si="186"/>
        <v>TR107_17|Segment</v>
      </c>
    </row>
    <row r="11943" spans="1:5" x14ac:dyDescent="0.2">
      <c r="A11943" t="s">
        <v>3562</v>
      </c>
      <c r="B11943" t="s">
        <v>3563</v>
      </c>
      <c r="C11943" t="s">
        <v>461</v>
      </c>
      <c r="D11943" t="str">
        <f>VLOOKUP(C11943,'lookup table'!$A$2:$B$19,2,FALSE)</f>
        <v>Posting Level</v>
      </c>
      <c r="E11943" t="str">
        <f t="shared" si="186"/>
        <v>TR107_17|Posting Level</v>
      </c>
    </row>
    <row r="11944" spans="1:5" x14ac:dyDescent="0.2">
      <c r="A11944" t="s">
        <v>3564</v>
      </c>
      <c r="B11944" t="s">
        <v>3565</v>
      </c>
      <c r="C11944" t="s">
        <v>20</v>
      </c>
      <c r="D11944" t="str">
        <f>VLOOKUP(C11944,'lookup table'!$A$2:$B$19,2,FALSE)</f>
        <v>AY</v>
      </c>
      <c r="E11944" t="str">
        <f t="shared" si="186"/>
        <v>TR107_70|AY</v>
      </c>
    </row>
    <row r="11945" spans="1:5" x14ac:dyDescent="0.2">
      <c r="A11945" t="s">
        <v>3564</v>
      </c>
      <c r="B11945" t="s">
        <v>3565</v>
      </c>
      <c r="C11945" t="s">
        <v>331</v>
      </c>
      <c r="D11945" t="str">
        <f>VLOOKUP(C11945,'lookup table'!$A$2:$B$19,2,FALSE)</f>
        <v>FS Item</v>
      </c>
      <c r="E11945" t="str">
        <f t="shared" si="186"/>
        <v>TR107_70|FS Item</v>
      </c>
    </row>
    <row r="11946" spans="1:5" x14ac:dyDescent="0.2">
      <c r="A11946" t="s">
        <v>3564</v>
      </c>
      <c r="B11946" t="s">
        <v>3565</v>
      </c>
      <c r="C11946" t="s">
        <v>423</v>
      </c>
      <c r="D11946" t="str">
        <f>VLOOKUP(C11946,'lookup table'!$A$2:$B$19,2,FALSE)</f>
        <v>ignore</v>
      </c>
      <c r="E11946" t="str">
        <f t="shared" si="186"/>
        <v>TR107_70|ignore</v>
      </c>
    </row>
    <row r="11947" spans="1:5" x14ac:dyDescent="0.2">
      <c r="A11947" t="s">
        <v>3564</v>
      </c>
      <c r="B11947" t="s">
        <v>3565</v>
      </c>
      <c r="C11947" t="s">
        <v>428</v>
      </c>
      <c r="D11947" t="str">
        <f>VLOOKUP(C11947,'lookup table'!$A$2:$B$19,2,FALSE)</f>
        <v>LoB</v>
      </c>
      <c r="E11947" t="str">
        <f t="shared" si="186"/>
        <v>TR107_70|LoB</v>
      </c>
    </row>
    <row r="11948" spans="1:5" x14ac:dyDescent="0.2">
      <c r="A11948" t="s">
        <v>3564</v>
      </c>
      <c r="B11948" t="s">
        <v>3565</v>
      </c>
      <c r="C11948" t="s">
        <v>441</v>
      </c>
      <c r="D11948" t="str">
        <f>VLOOKUP(C11948,'lookup table'!$A$2:$B$19,2,FALSE)</f>
        <v>Partner Segment</v>
      </c>
      <c r="E11948" t="str">
        <f t="shared" si="186"/>
        <v>TR107_70|Partner Segment</v>
      </c>
    </row>
    <row r="11949" spans="1:5" x14ac:dyDescent="0.2">
      <c r="A11949" t="s">
        <v>3564</v>
      </c>
      <c r="B11949" t="s">
        <v>3565</v>
      </c>
      <c r="C11949" t="s">
        <v>442</v>
      </c>
      <c r="D11949" t="str">
        <f>VLOOKUP(C11949,'lookup table'!$A$2:$B$19,2,FALSE)</f>
        <v>Partner Unit</v>
      </c>
      <c r="E11949" t="str">
        <f t="shared" si="186"/>
        <v>TR107_70|Partner Unit</v>
      </c>
    </row>
    <row r="11950" spans="1:5" x14ac:dyDescent="0.2">
      <c r="A11950" t="s">
        <v>3564</v>
      </c>
      <c r="B11950" t="s">
        <v>3565</v>
      </c>
      <c r="C11950" t="s">
        <v>451</v>
      </c>
      <c r="D11950" t="str">
        <f>VLOOKUP(C11950,'lookup table'!$A$2:$B$19,2,FALSE)</f>
        <v>Segment</v>
      </c>
      <c r="E11950" t="str">
        <f t="shared" si="186"/>
        <v>TR107_70|Segment</v>
      </c>
    </row>
    <row r="11951" spans="1:5" x14ac:dyDescent="0.2">
      <c r="A11951" t="s">
        <v>3564</v>
      </c>
      <c r="B11951" t="s">
        <v>3565</v>
      </c>
      <c r="C11951" t="s">
        <v>461</v>
      </c>
      <c r="D11951" t="str">
        <f>VLOOKUP(C11951,'lookup table'!$A$2:$B$19,2,FALSE)</f>
        <v>Posting Level</v>
      </c>
      <c r="E11951" t="str">
        <f t="shared" si="186"/>
        <v>TR107_70|Posting Level</v>
      </c>
    </row>
    <row r="11952" spans="1:5" x14ac:dyDescent="0.2">
      <c r="A11952" t="s">
        <v>3566</v>
      </c>
      <c r="B11952" t="s">
        <v>3420</v>
      </c>
      <c r="C11952" t="s">
        <v>20</v>
      </c>
      <c r="D11952" t="str">
        <f>VLOOKUP(C11952,'lookup table'!$A$2:$B$19,2,FALSE)</f>
        <v>AY</v>
      </c>
      <c r="E11952" t="str">
        <f t="shared" si="186"/>
        <v>TR108_17|AY</v>
      </c>
    </row>
    <row r="11953" spans="1:5" x14ac:dyDescent="0.2">
      <c r="A11953" t="s">
        <v>3566</v>
      </c>
      <c r="B11953" t="s">
        <v>3420</v>
      </c>
      <c r="C11953" t="s">
        <v>136</v>
      </c>
      <c r="D11953" t="str">
        <f>VLOOKUP(C11953,'lookup table'!$A$2:$B$19,2,FALSE)</f>
        <v>BBA Set</v>
      </c>
      <c r="E11953" t="str">
        <f t="shared" si="186"/>
        <v>TR108_17|BBA Set</v>
      </c>
    </row>
    <row r="11954" spans="1:5" x14ac:dyDescent="0.2">
      <c r="A11954" t="s">
        <v>3566</v>
      </c>
      <c r="B11954" t="s">
        <v>3420</v>
      </c>
      <c r="C11954" t="s">
        <v>331</v>
      </c>
      <c r="D11954" t="str">
        <f>VLOOKUP(C11954,'lookup table'!$A$2:$B$19,2,FALSE)</f>
        <v>FS Item</v>
      </c>
      <c r="E11954" t="str">
        <f t="shared" si="186"/>
        <v>TR108_17|FS Item</v>
      </c>
    </row>
    <row r="11955" spans="1:5" x14ac:dyDescent="0.2">
      <c r="A11955" t="s">
        <v>3566</v>
      </c>
      <c r="B11955" t="s">
        <v>3420</v>
      </c>
      <c r="C11955" t="s">
        <v>423</v>
      </c>
      <c r="D11955" t="str">
        <f>VLOOKUP(C11955,'lookup table'!$A$2:$B$19,2,FALSE)</f>
        <v>ignore</v>
      </c>
      <c r="E11955" t="str">
        <f t="shared" si="186"/>
        <v>TR108_17|ignore</v>
      </c>
    </row>
    <row r="11956" spans="1:5" x14ac:dyDescent="0.2">
      <c r="A11956" t="s">
        <v>3566</v>
      </c>
      <c r="B11956" t="s">
        <v>3420</v>
      </c>
      <c r="C11956" t="s">
        <v>425</v>
      </c>
      <c r="D11956" t="str">
        <f>VLOOKUP(C11956,'lookup table'!$A$2:$B$19,2,FALSE)</f>
        <v>Investee Segment</v>
      </c>
      <c r="E11956" t="str">
        <f t="shared" si="186"/>
        <v>TR108_17|Investee Segment</v>
      </c>
    </row>
    <row r="11957" spans="1:5" x14ac:dyDescent="0.2">
      <c r="A11957" t="s">
        <v>3566</v>
      </c>
      <c r="B11957" t="s">
        <v>3420</v>
      </c>
      <c r="C11957" t="s">
        <v>426</v>
      </c>
      <c r="D11957" t="str">
        <f>VLOOKUP(C11957,'lookup table'!$A$2:$B$19,2,FALSE)</f>
        <v>Investee Unit</v>
      </c>
      <c r="E11957" t="str">
        <f t="shared" si="186"/>
        <v>TR108_17|Investee Unit</v>
      </c>
    </row>
    <row r="11958" spans="1:5" x14ac:dyDescent="0.2">
      <c r="A11958" t="s">
        <v>3566</v>
      </c>
      <c r="B11958" t="s">
        <v>3420</v>
      </c>
      <c r="C11958" t="s">
        <v>428</v>
      </c>
      <c r="D11958" t="str">
        <f>VLOOKUP(C11958,'lookup table'!$A$2:$B$19,2,FALSE)</f>
        <v>LoB</v>
      </c>
      <c r="E11958" t="str">
        <f t="shared" si="186"/>
        <v>TR108_17|LoB</v>
      </c>
    </row>
    <row r="11959" spans="1:5" x14ac:dyDescent="0.2">
      <c r="A11959" t="s">
        <v>3566</v>
      </c>
      <c r="B11959" t="s">
        <v>3420</v>
      </c>
      <c r="C11959" t="s">
        <v>438</v>
      </c>
      <c r="D11959" t="str">
        <f>VLOOKUP(C11959,'lookup table'!$A$2:$B$19,2,FALSE)</f>
        <v>ToM</v>
      </c>
      <c r="E11959" t="str">
        <f t="shared" si="186"/>
        <v>TR108_17|ToM</v>
      </c>
    </row>
    <row r="11960" spans="1:5" x14ac:dyDescent="0.2">
      <c r="A11960" t="s">
        <v>3566</v>
      </c>
      <c r="B11960" t="s">
        <v>3420</v>
      </c>
      <c r="C11960" t="s">
        <v>441</v>
      </c>
      <c r="D11960" t="str">
        <f>VLOOKUP(C11960,'lookup table'!$A$2:$B$19,2,FALSE)</f>
        <v>Partner Segment</v>
      </c>
      <c r="E11960" t="str">
        <f t="shared" si="186"/>
        <v>TR108_17|Partner Segment</v>
      </c>
    </row>
    <row r="11961" spans="1:5" x14ac:dyDescent="0.2">
      <c r="A11961" t="s">
        <v>3566</v>
      </c>
      <c r="B11961" t="s">
        <v>3420</v>
      </c>
      <c r="C11961" t="s">
        <v>442</v>
      </c>
      <c r="D11961" t="str">
        <f>VLOOKUP(C11961,'lookup table'!$A$2:$B$19,2,FALSE)</f>
        <v>Partner Unit</v>
      </c>
      <c r="E11961" t="str">
        <f t="shared" si="186"/>
        <v>TR108_17|Partner Unit</v>
      </c>
    </row>
    <row r="11962" spans="1:5" x14ac:dyDescent="0.2">
      <c r="A11962" t="s">
        <v>3566</v>
      </c>
      <c r="B11962" t="s">
        <v>3420</v>
      </c>
      <c r="C11962" t="s">
        <v>451</v>
      </c>
      <c r="D11962" t="str">
        <f>VLOOKUP(C11962,'lookup table'!$A$2:$B$19,2,FALSE)</f>
        <v>Segment</v>
      </c>
      <c r="E11962" t="str">
        <f t="shared" si="186"/>
        <v>TR108_17|Segment</v>
      </c>
    </row>
    <row r="11963" spans="1:5" x14ac:dyDescent="0.2">
      <c r="A11963" t="s">
        <v>3566</v>
      </c>
      <c r="B11963" t="s">
        <v>3420</v>
      </c>
      <c r="C11963" t="s">
        <v>461</v>
      </c>
      <c r="D11963" t="str">
        <f>VLOOKUP(C11963,'lookup table'!$A$2:$B$19,2,FALSE)</f>
        <v>Posting Level</v>
      </c>
      <c r="E11963" t="str">
        <f t="shared" si="186"/>
        <v>TR108_17|Posting Level</v>
      </c>
    </row>
    <row r="11964" spans="1:5" x14ac:dyDescent="0.2">
      <c r="A11964" t="s">
        <v>3567</v>
      </c>
      <c r="B11964" t="s">
        <v>3568</v>
      </c>
      <c r="C11964" t="s">
        <v>331</v>
      </c>
      <c r="D11964" t="str">
        <f>VLOOKUP(C11964,'lookup table'!$A$2:$B$19,2,FALSE)</f>
        <v>FS Item</v>
      </c>
      <c r="E11964" t="str">
        <f t="shared" si="186"/>
        <v>TR108_70|FS Item</v>
      </c>
    </row>
    <row r="11965" spans="1:5" x14ac:dyDescent="0.2">
      <c r="A11965" t="s">
        <v>3567</v>
      </c>
      <c r="B11965" t="s">
        <v>3568</v>
      </c>
      <c r="C11965" t="s">
        <v>423</v>
      </c>
      <c r="D11965" t="str">
        <f>VLOOKUP(C11965,'lookup table'!$A$2:$B$19,2,FALSE)</f>
        <v>ignore</v>
      </c>
      <c r="E11965" t="str">
        <f t="shared" si="186"/>
        <v>TR108_70|ignore</v>
      </c>
    </row>
    <row r="11966" spans="1:5" x14ac:dyDescent="0.2">
      <c r="A11966" t="s">
        <v>3567</v>
      </c>
      <c r="B11966" t="s">
        <v>3568</v>
      </c>
      <c r="C11966" t="s">
        <v>438</v>
      </c>
      <c r="D11966" t="str">
        <f>VLOOKUP(C11966,'lookup table'!$A$2:$B$19,2,FALSE)</f>
        <v>ToM</v>
      </c>
      <c r="E11966" t="str">
        <f t="shared" si="186"/>
        <v>TR108_70|ToM</v>
      </c>
    </row>
    <row r="11967" spans="1:5" x14ac:dyDescent="0.2">
      <c r="A11967" t="s">
        <v>3569</v>
      </c>
      <c r="B11967" t="s">
        <v>3424</v>
      </c>
      <c r="C11967" t="s">
        <v>331</v>
      </c>
      <c r="D11967" t="str">
        <f>VLOOKUP(C11967,'lookup table'!$A$2:$B$19,2,FALSE)</f>
        <v>FS Item</v>
      </c>
      <c r="E11967" t="str">
        <f t="shared" si="186"/>
        <v>TR109_17|FS Item</v>
      </c>
    </row>
    <row r="11968" spans="1:5" x14ac:dyDescent="0.2">
      <c r="A11968" t="s">
        <v>3569</v>
      </c>
      <c r="B11968" t="s">
        <v>3424</v>
      </c>
      <c r="C11968" t="s">
        <v>423</v>
      </c>
      <c r="D11968" t="str">
        <f>VLOOKUP(C11968,'lookup table'!$A$2:$B$19,2,FALSE)</f>
        <v>ignore</v>
      </c>
      <c r="E11968" t="str">
        <f t="shared" si="186"/>
        <v>TR109_17|ignore</v>
      </c>
    </row>
    <row r="11969" spans="1:5" x14ac:dyDescent="0.2">
      <c r="A11969" t="s">
        <v>3569</v>
      </c>
      <c r="B11969" t="s">
        <v>3424</v>
      </c>
      <c r="C11969" t="s">
        <v>438</v>
      </c>
      <c r="D11969" t="str">
        <f>VLOOKUP(C11969,'lookup table'!$A$2:$B$19,2,FALSE)</f>
        <v>ToM</v>
      </c>
      <c r="E11969" t="str">
        <f t="shared" si="186"/>
        <v>TR109_17|ToM</v>
      </c>
    </row>
    <row r="11970" spans="1:5" x14ac:dyDescent="0.2">
      <c r="A11970" t="s">
        <v>3569</v>
      </c>
      <c r="B11970" t="s">
        <v>3424</v>
      </c>
      <c r="C11970" t="s">
        <v>461</v>
      </c>
      <c r="D11970" t="str">
        <f>VLOOKUP(C11970,'lookup table'!$A$2:$B$19,2,FALSE)</f>
        <v>Posting Level</v>
      </c>
      <c r="E11970" t="str">
        <f t="shared" si="186"/>
        <v>TR109_17|Posting Level</v>
      </c>
    </row>
    <row r="11971" spans="1:5" x14ac:dyDescent="0.2">
      <c r="A11971" t="s">
        <v>3570</v>
      </c>
      <c r="B11971" t="s">
        <v>3571</v>
      </c>
      <c r="C11971" t="s">
        <v>438</v>
      </c>
      <c r="D11971" t="str">
        <f>VLOOKUP(C11971,'lookup table'!$A$2:$B$19,2,FALSE)</f>
        <v>ToM</v>
      </c>
      <c r="E11971" t="str">
        <f t="shared" ref="E11971:E12034" si="187">IF(ISNA(D11971),"",IF(A11971="","",A11971) &amp; "|" &amp; D11971)</f>
        <v>TR109_70|ToM</v>
      </c>
    </row>
    <row r="11972" spans="1:5" x14ac:dyDescent="0.2">
      <c r="A11972" t="s">
        <v>3572</v>
      </c>
      <c r="B11972" t="s">
        <v>3430</v>
      </c>
      <c r="C11972" t="s">
        <v>14</v>
      </c>
      <c r="D11972" t="str">
        <f>VLOOKUP(C11972,'lookup table'!$A$2:$B$19,2,FALSE)</f>
        <v>ALC</v>
      </c>
      <c r="E11972" t="str">
        <f t="shared" si="187"/>
        <v>TR110_17|ALC</v>
      </c>
    </row>
    <row r="11973" spans="1:5" x14ac:dyDescent="0.2">
      <c r="A11973" t="s">
        <v>3572</v>
      </c>
      <c r="B11973" t="s">
        <v>3430</v>
      </c>
      <c r="C11973" t="s">
        <v>20</v>
      </c>
      <c r="D11973" t="str">
        <f>VLOOKUP(C11973,'lookup table'!$A$2:$B$19,2,FALSE)</f>
        <v>AY</v>
      </c>
      <c r="E11973" t="str">
        <f t="shared" si="187"/>
        <v>TR110_17|AY</v>
      </c>
    </row>
    <row r="11974" spans="1:5" x14ac:dyDescent="0.2">
      <c r="A11974" t="s">
        <v>3572</v>
      </c>
      <c r="B11974" t="s">
        <v>3430</v>
      </c>
      <c r="C11974" t="s">
        <v>136</v>
      </c>
      <c r="D11974" t="str">
        <f>VLOOKUP(C11974,'lookup table'!$A$2:$B$19,2,FALSE)</f>
        <v>BBA Set</v>
      </c>
      <c r="E11974" t="str">
        <f t="shared" si="187"/>
        <v>TR110_17|BBA Set</v>
      </c>
    </row>
    <row r="11975" spans="1:5" x14ac:dyDescent="0.2">
      <c r="A11975" t="s">
        <v>3572</v>
      </c>
      <c r="B11975" t="s">
        <v>3430</v>
      </c>
      <c r="C11975" t="s">
        <v>331</v>
      </c>
      <c r="D11975" t="str">
        <f>VLOOKUP(C11975,'lookup table'!$A$2:$B$19,2,FALSE)</f>
        <v>FS Item</v>
      </c>
      <c r="E11975" t="str">
        <f t="shared" si="187"/>
        <v>TR110_17|FS Item</v>
      </c>
    </row>
    <row r="11976" spans="1:5" x14ac:dyDescent="0.2">
      <c r="A11976" t="s">
        <v>3572</v>
      </c>
      <c r="B11976" t="s">
        <v>3430</v>
      </c>
      <c r="C11976" t="s">
        <v>423</v>
      </c>
      <c r="D11976" t="str">
        <f>VLOOKUP(C11976,'lookup table'!$A$2:$B$19,2,FALSE)</f>
        <v>ignore</v>
      </c>
      <c r="E11976" t="str">
        <f t="shared" si="187"/>
        <v>TR110_17|ignore</v>
      </c>
    </row>
    <row r="11977" spans="1:5" x14ac:dyDescent="0.2">
      <c r="A11977" t="s">
        <v>3572</v>
      </c>
      <c r="B11977" t="s">
        <v>3430</v>
      </c>
      <c r="C11977" t="s">
        <v>425</v>
      </c>
      <c r="D11977" t="str">
        <f>VLOOKUP(C11977,'lookup table'!$A$2:$B$19,2,FALSE)</f>
        <v>Investee Segment</v>
      </c>
      <c r="E11977" t="str">
        <f t="shared" si="187"/>
        <v>TR110_17|Investee Segment</v>
      </c>
    </row>
    <row r="11978" spans="1:5" x14ac:dyDescent="0.2">
      <c r="A11978" t="s">
        <v>3572</v>
      </c>
      <c r="B11978" t="s">
        <v>3430</v>
      </c>
      <c r="C11978" t="s">
        <v>426</v>
      </c>
      <c r="D11978" t="str">
        <f>VLOOKUP(C11978,'lookup table'!$A$2:$B$19,2,FALSE)</f>
        <v>Investee Unit</v>
      </c>
      <c r="E11978" t="str">
        <f t="shared" si="187"/>
        <v>TR110_17|Investee Unit</v>
      </c>
    </row>
    <row r="11979" spans="1:5" x14ac:dyDescent="0.2">
      <c r="A11979" t="s">
        <v>3572</v>
      </c>
      <c r="B11979" t="s">
        <v>3430</v>
      </c>
      <c r="C11979" t="s">
        <v>428</v>
      </c>
      <c r="D11979" t="str">
        <f>VLOOKUP(C11979,'lookup table'!$A$2:$B$19,2,FALSE)</f>
        <v>LoB</v>
      </c>
      <c r="E11979" t="str">
        <f t="shared" si="187"/>
        <v>TR110_17|LoB</v>
      </c>
    </row>
    <row r="11980" spans="1:5" x14ac:dyDescent="0.2">
      <c r="A11980" t="s">
        <v>3572</v>
      </c>
      <c r="B11980" t="s">
        <v>3430</v>
      </c>
      <c r="C11980" t="s">
        <v>436</v>
      </c>
      <c r="D11980" t="str">
        <f>VLOOKUP(C11980,'lookup table'!$A$2:$B$19,2,FALSE)</f>
        <v>MAT</v>
      </c>
      <c r="E11980" t="str">
        <f t="shared" si="187"/>
        <v>TR110_17|MAT</v>
      </c>
    </row>
    <row r="11981" spans="1:5" x14ac:dyDescent="0.2">
      <c r="A11981" t="s">
        <v>3572</v>
      </c>
      <c r="B11981" t="s">
        <v>3430</v>
      </c>
      <c r="C11981" t="s">
        <v>438</v>
      </c>
      <c r="D11981" t="str">
        <f>VLOOKUP(C11981,'lookup table'!$A$2:$B$19,2,FALSE)</f>
        <v>ToM</v>
      </c>
      <c r="E11981" t="str">
        <f t="shared" si="187"/>
        <v>TR110_17|ToM</v>
      </c>
    </row>
    <row r="11982" spans="1:5" x14ac:dyDescent="0.2">
      <c r="A11982" t="s">
        <v>3572</v>
      </c>
      <c r="B11982" t="s">
        <v>3430</v>
      </c>
      <c r="C11982" t="s">
        <v>441</v>
      </c>
      <c r="D11982" t="str">
        <f>VLOOKUP(C11982,'lookup table'!$A$2:$B$19,2,FALSE)</f>
        <v>Partner Segment</v>
      </c>
      <c r="E11982" t="str">
        <f t="shared" si="187"/>
        <v>TR110_17|Partner Segment</v>
      </c>
    </row>
    <row r="11983" spans="1:5" x14ac:dyDescent="0.2">
      <c r="A11983" t="s">
        <v>3572</v>
      </c>
      <c r="B11983" t="s">
        <v>3430</v>
      </c>
      <c r="C11983" t="s">
        <v>442</v>
      </c>
      <c r="D11983" t="str">
        <f>VLOOKUP(C11983,'lookup table'!$A$2:$B$19,2,FALSE)</f>
        <v>Partner Unit</v>
      </c>
      <c r="E11983" t="str">
        <f t="shared" si="187"/>
        <v>TR110_17|Partner Unit</v>
      </c>
    </row>
    <row r="11984" spans="1:5" x14ac:dyDescent="0.2">
      <c r="A11984" t="s">
        <v>3572</v>
      </c>
      <c r="B11984" t="s">
        <v>3430</v>
      </c>
      <c r="C11984" t="s">
        <v>447</v>
      </c>
      <c r="D11984" t="str">
        <f>VLOOKUP(C11984,'lookup table'!$A$2:$B$19,2,FALSE)</f>
        <v>REX</v>
      </c>
      <c r="E11984" t="str">
        <f t="shared" si="187"/>
        <v>TR110_17|REX</v>
      </c>
    </row>
    <row r="11985" spans="1:5" x14ac:dyDescent="0.2">
      <c r="A11985" t="s">
        <v>3572</v>
      </c>
      <c r="B11985" t="s">
        <v>3430</v>
      </c>
      <c r="C11985" t="s">
        <v>451</v>
      </c>
      <c r="D11985" t="str">
        <f>VLOOKUP(C11985,'lookup table'!$A$2:$B$19,2,FALSE)</f>
        <v>Segment</v>
      </c>
      <c r="E11985" t="str">
        <f t="shared" si="187"/>
        <v>TR110_17|Segment</v>
      </c>
    </row>
    <row r="11986" spans="1:5" x14ac:dyDescent="0.2">
      <c r="A11986" t="s">
        <v>3572</v>
      </c>
      <c r="B11986" t="s">
        <v>3430</v>
      </c>
      <c r="C11986" t="s">
        <v>457</v>
      </c>
      <c r="D11986" t="str">
        <f>VLOOKUP(C11986,'lookup table'!$A$2:$B$19,2,FALSE)</f>
        <v>VLT</v>
      </c>
      <c r="E11986" t="str">
        <f t="shared" si="187"/>
        <v>TR110_17|VLT</v>
      </c>
    </row>
    <row r="11987" spans="1:5" x14ac:dyDescent="0.2">
      <c r="A11987" t="s">
        <v>3572</v>
      </c>
      <c r="B11987" t="s">
        <v>3430</v>
      </c>
      <c r="C11987" t="s">
        <v>458</v>
      </c>
      <c r="D11987" t="str">
        <f>VLOOKUP(C11987,'lookup table'!$A$2:$B$19,2,FALSE)</f>
        <v>VAR</v>
      </c>
      <c r="E11987" t="str">
        <f t="shared" si="187"/>
        <v>TR110_17|VAR</v>
      </c>
    </row>
    <row r="11988" spans="1:5" x14ac:dyDescent="0.2">
      <c r="A11988" t="s">
        <v>3572</v>
      </c>
      <c r="B11988" t="s">
        <v>3430</v>
      </c>
      <c r="C11988" t="s">
        <v>461</v>
      </c>
      <c r="D11988" t="str">
        <f>VLOOKUP(C11988,'lookup table'!$A$2:$B$19,2,FALSE)</f>
        <v>Posting Level</v>
      </c>
      <c r="E11988" t="str">
        <f t="shared" si="187"/>
        <v>TR110_17|Posting Level</v>
      </c>
    </row>
    <row r="11989" spans="1:5" x14ac:dyDescent="0.2">
      <c r="A11989" t="s">
        <v>3573</v>
      </c>
      <c r="B11989" t="s">
        <v>3574</v>
      </c>
      <c r="C11989" t="s">
        <v>331</v>
      </c>
      <c r="D11989" t="str">
        <f>VLOOKUP(C11989,'lookup table'!$A$2:$B$19,2,FALSE)</f>
        <v>FS Item</v>
      </c>
      <c r="E11989" t="str">
        <f t="shared" si="187"/>
        <v>TR110_70|FS Item</v>
      </c>
    </row>
    <row r="11990" spans="1:5" x14ac:dyDescent="0.2">
      <c r="A11990" t="s">
        <v>3573</v>
      </c>
      <c r="B11990" t="s">
        <v>3574</v>
      </c>
      <c r="C11990" t="s">
        <v>423</v>
      </c>
      <c r="D11990" t="str">
        <f>VLOOKUP(C11990,'lookup table'!$A$2:$B$19,2,FALSE)</f>
        <v>ignore</v>
      </c>
      <c r="E11990" t="str">
        <f t="shared" si="187"/>
        <v>TR110_70|ignore</v>
      </c>
    </row>
    <row r="11991" spans="1:5" x14ac:dyDescent="0.2">
      <c r="A11991" t="s">
        <v>3573</v>
      </c>
      <c r="B11991" t="s">
        <v>3574</v>
      </c>
      <c r="C11991" t="s">
        <v>438</v>
      </c>
      <c r="D11991" t="str">
        <f>VLOOKUP(C11991,'lookup table'!$A$2:$B$19,2,FALSE)</f>
        <v>ToM</v>
      </c>
      <c r="E11991" t="str">
        <f t="shared" si="187"/>
        <v>TR110_70|ToM</v>
      </c>
    </row>
    <row r="11992" spans="1:5" x14ac:dyDescent="0.2">
      <c r="A11992" t="s">
        <v>3575</v>
      </c>
      <c r="B11992" t="s">
        <v>420</v>
      </c>
      <c r="C11992" t="s">
        <v>331</v>
      </c>
      <c r="D11992" t="str">
        <f>VLOOKUP(C11992,'lookup table'!$A$2:$B$19,2,FALSE)</f>
        <v>FS Item</v>
      </c>
      <c r="E11992" t="str">
        <f t="shared" si="187"/>
        <v>TR111_17|FS Item</v>
      </c>
    </row>
    <row r="11993" spans="1:5" x14ac:dyDescent="0.2">
      <c r="A11993" t="s">
        <v>3575</v>
      </c>
      <c r="B11993" t="s">
        <v>420</v>
      </c>
      <c r="C11993" t="s">
        <v>423</v>
      </c>
      <c r="D11993" t="str">
        <f>VLOOKUP(C11993,'lookup table'!$A$2:$B$19,2,FALSE)</f>
        <v>ignore</v>
      </c>
      <c r="E11993" t="str">
        <f t="shared" si="187"/>
        <v>TR111_17|ignore</v>
      </c>
    </row>
    <row r="11994" spans="1:5" x14ac:dyDescent="0.2">
      <c r="A11994" t="s">
        <v>3575</v>
      </c>
      <c r="B11994" t="s">
        <v>420</v>
      </c>
      <c r="C11994" t="s">
        <v>441</v>
      </c>
      <c r="D11994" t="str">
        <f>VLOOKUP(C11994,'lookup table'!$A$2:$B$19,2,FALSE)</f>
        <v>Partner Segment</v>
      </c>
      <c r="E11994" t="str">
        <f t="shared" si="187"/>
        <v>TR111_17|Partner Segment</v>
      </c>
    </row>
    <row r="11995" spans="1:5" x14ac:dyDescent="0.2">
      <c r="A11995" t="s">
        <v>3575</v>
      </c>
      <c r="B11995" t="s">
        <v>420</v>
      </c>
      <c r="C11995" t="s">
        <v>442</v>
      </c>
      <c r="D11995" t="str">
        <f>VLOOKUP(C11995,'lookup table'!$A$2:$B$19,2,FALSE)</f>
        <v>Partner Unit</v>
      </c>
      <c r="E11995" t="str">
        <f t="shared" si="187"/>
        <v>TR111_17|Partner Unit</v>
      </c>
    </row>
    <row r="11996" spans="1:5" x14ac:dyDescent="0.2">
      <c r="A11996" t="s">
        <v>3575</v>
      </c>
      <c r="B11996" t="s">
        <v>420</v>
      </c>
      <c r="C11996" t="s">
        <v>451</v>
      </c>
      <c r="D11996" t="str">
        <f>VLOOKUP(C11996,'lookup table'!$A$2:$B$19,2,FALSE)</f>
        <v>Segment</v>
      </c>
      <c r="E11996" t="str">
        <f t="shared" si="187"/>
        <v>TR111_17|Segment</v>
      </c>
    </row>
    <row r="11997" spans="1:5" x14ac:dyDescent="0.2">
      <c r="A11997" t="s">
        <v>3575</v>
      </c>
      <c r="B11997" t="s">
        <v>420</v>
      </c>
      <c r="C11997" t="s">
        <v>461</v>
      </c>
      <c r="D11997" t="str">
        <f>VLOOKUP(C11997,'lookup table'!$A$2:$B$19,2,FALSE)</f>
        <v>Posting Level</v>
      </c>
      <c r="E11997" t="str">
        <f t="shared" si="187"/>
        <v>TR111_17|Posting Level</v>
      </c>
    </row>
    <row r="11998" spans="1:5" x14ac:dyDescent="0.2">
      <c r="A11998" t="s">
        <v>3576</v>
      </c>
      <c r="B11998" t="s">
        <v>3577</v>
      </c>
      <c r="C11998" t="s">
        <v>331</v>
      </c>
      <c r="D11998" t="str">
        <f>VLOOKUP(C11998,'lookup table'!$A$2:$B$19,2,FALSE)</f>
        <v>FS Item</v>
      </c>
      <c r="E11998" t="str">
        <f t="shared" si="187"/>
        <v>TR111_70|FS Item</v>
      </c>
    </row>
    <row r="11999" spans="1:5" x14ac:dyDescent="0.2">
      <c r="A11999" t="s">
        <v>3576</v>
      </c>
      <c r="B11999" t="s">
        <v>3577</v>
      </c>
      <c r="C11999" t="s">
        <v>423</v>
      </c>
      <c r="D11999" t="str">
        <f>VLOOKUP(C11999,'lookup table'!$A$2:$B$19,2,FALSE)</f>
        <v>ignore</v>
      </c>
      <c r="E11999" t="str">
        <f t="shared" si="187"/>
        <v>TR111_70|ignore</v>
      </c>
    </row>
    <row r="12000" spans="1:5" x14ac:dyDescent="0.2">
      <c r="A12000" t="s">
        <v>3578</v>
      </c>
      <c r="B12000" t="s">
        <v>421</v>
      </c>
      <c r="C12000" t="s">
        <v>331</v>
      </c>
      <c r="D12000" t="str">
        <f>VLOOKUP(C12000,'lookup table'!$A$2:$B$19,2,FALSE)</f>
        <v>FS Item</v>
      </c>
      <c r="E12000" t="str">
        <f t="shared" si="187"/>
        <v>TR112_17|FS Item</v>
      </c>
    </row>
    <row r="12001" spans="1:5" x14ac:dyDescent="0.2">
      <c r="A12001" t="s">
        <v>3578</v>
      </c>
      <c r="B12001" t="s">
        <v>421</v>
      </c>
      <c r="C12001" t="s">
        <v>423</v>
      </c>
      <c r="D12001" t="str">
        <f>VLOOKUP(C12001,'lookup table'!$A$2:$B$19,2,FALSE)</f>
        <v>ignore</v>
      </c>
      <c r="E12001" t="str">
        <f t="shared" si="187"/>
        <v>TR112_17|ignore</v>
      </c>
    </row>
    <row r="12002" spans="1:5" x14ac:dyDescent="0.2">
      <c r="A12002" t="s">
        <v>3578</v>
      </c>
      <c r="B12002" t="s">
        <v>421</v>
      </c>
      <c r="C12002" t="s">
        <v>451</v>
      </c>
      <c r="D12002" t="str">
        <f>VLOOKUP(C12002,'lookup table'!$A$2:$B$19,2,FALSE)</f>
        <v>Segment</v>
      </c>
      <c r="E12002" t="str">
        <f t="shared" si="187"/>
        <v>TR112_17|Segment</v>
      </c>
    </row>
    <row r="12003" spans="1:5" x14ac:dyDescent="0.2">
      <c r="A12003" t="s">
        <v>3578</v>
      </c>
      <c r="B12003" t="s">
        <v>421</v>
      </c>
      <c r="C12003" t="s">
        <v>461</v>
      </c>
      <c r="D12003" t="str">
        <f>VLOOKUP(C12003,'lookup table'!$A$2:$B$19,2,FALSE)</f>
        <v>Posting Level</v>
      </c>
      <c r="E12003" t="str">
        <f t="shared" si="187"/>
        <v>TR112_17|Posting Level</v>
      </c>
    </row>
    <row r="12004" spans="1:5" x14ac:dyDescent="0.2">
      <c r="A12004" t="s">
        <v>3579</v>
      </c>
      <c r="B12004" t="s">
        <v>3580</v>
      </c>
      <c r="C12004" t="s">
        <v>331</v>
      </c>
      <c r="D12004" t="str">
        <f>VLOOKUP(C12004,'lookup table'!$A$2:$B$19,2,FALSE)</f>
        <v>FS Item</v>
      </c>
      <c r="E12004" t="str">
        <f t="shared" si="187"/>
        <v>TR112_70|FS Item</v>
      </c>
    </row>
    <row r="12005" spans="1:5" x14ac:dyDescent="0.2">
      <c r="A12005" t="s">
        <v>3579</v>
      </c>
      <c r="B12005" t="s">
        <v>3580</v>
      </c>
      <c r="C12005" t="s">
        <v>423</v>
      </c>
      <c r="D12005" t="str">
        <f>VLOOKUP(C12005,'lookup table'!$A$2:$B$19,2,FALSE)</f>
        <v>ignore</v>
      </c>
      <c r="E12005" t="str">
        <f t="shared" si="187"/>
        <v>TR112_70|ignore</v>
      </c>
    </row>
    <row r="12006" spans="1:5" x14ac:dyDescent="0.2">
      <c r="A12006" t="s">
        <v>3581</v>
      </c>
      <c r="B12006" t="s">
        <v>3582</v>
      </c>
      <c r="C12006" t="s">
        <v>20</v>
      </c>
      <c r="D12006" t="str">
        <f>VLOOKUP(C12006,'lookup table'!$A$2:$B$19,2,FALSE)</f>
        <v>AY</v>
      </c>
      <c r="E12006" t="str">
        <f t="shared" si="187"/>
        <v>TR113_70|AY</v>
      </c>
    </row>
    <row r="12007" spans="1:5" x14ac:dyDescent="0.2">
      <c r="A12007" t="s">
        <v>3581</v>
      </c>
      <c r="B12007" t="s">
        <v>3582</v>
      </c>
      <c r="C12007" t="s">
        <v>331</v>
      </c>
      <c r="D12007" t="str">
        <f>VLOOKUP(C12007,'lookup table'!$A$2:$B$19,2,FALSE)</f>
        <v>FS Item</v>
      </c>
      <c r="E12007" t="str">
        <f t="shared" si="187"/>
        <v>TR113_70|FS Item</v>
      </c>
    </row>
    <row r="12008" spans="1:5" x14ac:dyDescent="0.2">
      <c r="A12008" t="s">
        <v>3581</v>
      </c>
      <c r="B12008" t="s">
        <v>3582</v>
      </c>
      <c r="C12008" t="s">
        <v>423</v>
      </c>
      <c r="D12008" t="str">
        <f>VLOOKUP(C12008,'lookup table'!$A$2:$B$19,2,FALSE)</f>
        <v>ignore</v>
      </c>
      <c r="E12008" t="str">
        <f t="shared" si="187"/>
        <v>TR113_70|ignore</v>
      </c>
    </row>
    <row r="12009" spans="1:5" x14ac:dyDescent="0.2">
      <c r="A12009" t="s">
        <v>3581</v>
      </c>
      <c r="B12009" t="s">
        <v>3582</v>
      </c>
      <c r="C12009" t="s">
        <v>428</v>
      </c>
      <c r="D12009" t="str">
        <f>VLOOKUP(C12009,'lookup table'!$A$2:$B$19,2,FALSE)</f>
        <v>LoB</v>
      </c>
      <c r="E12009" t="str">
        <f t="shared" si="187"/>
        <v>TR113_70|LoB</v>
      </c>
    </row>
    <row r="12010" spans="1:5" x14ac:dyDescent="0.2">
      <c r="A12010" t="s">
        <v>3581</v>
      </c>
      <c r="B12010" t="s">
        <v>3582</v>
      </c>
      <c r="C12010" t="s">
        <v>438</v>
      </c>
      <c r="D12010" t="str">
        <f>VLOOKUP(C12010,'lookup table'!$A$2:$B$19,2,FALSE)</f>
        <v>ToM</v>
      </c>
      <c r="E12010" t="str">
        <f t="shared" si="187"/>
        <v>TR113_70|ToM</v>
      </c>
    </row>
    <row r="12011" spans="1:5" x14ac:dyDescent="0.2">
      <c r="A12011" t="s">
        <v>3581</v>
      </c>
      <c r="B12011" t="s">
        <v>3582</v>
      </c>
      <c r="C12011" t="s">
        <v>441</v>
      </c>
      <c r="D12011" t="str">
        <f>VLOOKUP(C12011,'lookup table'!$A$2:$B$19,2,FALSE)</f>
        <v>Partner Segment</v>
      </c>
      <c r="E12011" t="str">
        <f t="shared" si="187"/>
        <v>TR113_70|Partner Segment</v>
      </c>
    </row>
    <row r="12012" spans="1:5" x14ac:dyDescent="0.2">
      <c r="A12012" t="s">
        <v>3581</v>
      </c>
      <c r="B12012" t="s">
        <v>3582</v>
      </c>
      <c r="C12012" t="s">
        <v>442</v>
      </c>
      <c r="D12012" t="str">
        <f>VLOOKUP(C12012,'lookup table'!$A$2:$B$19,2,FALSE)</f>
        <v>Partner Unit</v>
      </c>
      <c r="E12012" t="str">
        <f t="shared" si="187"/>
        <v>TR113_70|Partner Unit</v>
      </c>
    </row>
    <row r="12013" spans="1:5" x14ac:dyDescent="0.2">
      <c r="A12013" t="s">
        <v>3581</v>
      </c>
      <c r="B12013" t="s">
        <v>3582</v>
      </c>
      <c r="C12013" t="s">
        <v>451</v>
      </c>
      <c r="D12013" t="str">
        <f>VLOOKUP(C12013,'lookup table'!$A$2:$B$19,2,FALSE)</f>
        <v>Segment</v>
      </c>
      <c r="E12013" t="str">
        <f t="shared" si="187"/>
        <v>TR113_70|Segment</v>
      </c>
    </row>
    <row r="12014" spans="1:5" x14ac:dyDescent="0.2">
      <c r="A12014" t="s">
        <v>3581</v>
      </c>
      <c r="B12014" t="s">
        <v>3582</v>
      </c>
      <c r="C12014" t="s">
        <v>461</v>
      </c>
      <c r="D12014" t="str">
        <f>VLOOKUP(C12014,'lookup table'!$A$2:$B$19,2,FALSE)</f>
        <v>Posting Level</v>
      </c>
      <c r="E12014" t="str">
        <f t="shared" si="187"/>
        <v>TR113_70|Posting Level</v>
      </c>
    </row>
    <row r="12015" spans="1:5" x14ac:dyDescent="0.2">
      <c r="A12015" t="s">
        <v>3583</v>
      </c>
      <c r="B12015" t="s">
        <v>3584</v>
      </c>
      <c r="C12015" t="s">
        <v>20</v>
      </c>
      <c r="D12015" t="str">
        <f>VLOOKUP(C12015,'lookup table'!$A$2:$B$19,2,FALSE)</f>
        <v>AY</v>
      </c>
      <c r="E12015" t="str">
        <f t="shared" si="187"/>
        <v>TR114_70|AY</v>
      </c>
    </row>
    <row r="12016" spans="1:5" x14ac:dyDescent="0.2">
      <c r="A12016" t="s">
        <v>3583</v>
      </c>
      <c r="B12016" t="s">
        <v>3584</v>
      </c>
      <c r="C12016" t="s">
        <v>331</v>
      </c>
      <c r="D12016" t="str">
        <f>VLOOKUP(C12016,'lookup table'!$A$2:$B$19,2,FALSE)</f>
        <v>FS Item</v>
      </c>
      <c r="E12016" t="str">
        <f t="shared" si="187"/>
        <v>TR114_70|FS Item</v>
      </c>
    </row>
    <row r="12017" spans="1:5" x14ac:dyDescent="0.2">
      <c r="A12017" t="s">
        <v>3583</v>
      </c>
      <c r="B12017" t="s">
        <v>3584</v>
      </c>
      <c r="C12017" t="s">
        <v>423</v>
      </c>
      <c r="D12017" t="str">
        <f>VLOOKUP(C12017,'lookup table'!$A$2:$B$19,2,FALSE)</f>
        <v>ignore</v>
      </c>
      <c r="E12017" t="str">
        <f t="shared" si="187"/>
        <v>TR114_70|ignore</v>
      </c>
    </row>
    <row r="12018" spans="1:5" x14ac:dyDescent="0.2">
      <c r="A12018" t="s">
        <v>3583</v>
      </c>
      <c r="B12018" t="s">
        <v>3584</v>
      </c>
      <c r="C12018" t="s">
        <v>428</v>
      </c>
      <c r="D12018" t="str">
        <f>VLOOKUP(C12018,'lookup table'!$A$2:$B$19,2,FALSE)</f>
        <v>LoB</v>
      </c>
      <c r="E12018" t="str">
        <f t="shared" si="187"/>
        <v>TR114_70|LoB</v>
      </c>
    </row>
    <row r="12019" spans="1:5" x14ac:dyDescent="0.2">
      <c r="A12019" t="s">
        <v>3583</v>
      </c>
      <c r="B12019" t="s">
        <v>3584</v>
      </c>
      <c r="C12019" t="s">
        <v>441</v>
      </c>
      <c r="D12019" t="str">
        <f>VLOOKUP(C12019,'lookup table'!$A$2:$B$19,2,FALSE)</f>
        <v>Partner Segment</v>
      </c>
      <c r="E12019" t="str">
        <f t="shared" si="187"/>
        <v>TR114_70|Partner Segment</v>
      </c>
    </row>
    <row r="12020" spans="1:5" x14ac:dyDescent="0.2">
      <c r="A12020" t="s">
        <v>3583</v>
      </c>
      <c r="B12020" t="s">
        <v>3584</v>
      </c>
      <c r="C12020" t="s">
        <v>442</v>
      </c>
      <c r="D12020" t="str">
        <f>VLOOKUP(C12020,'lookup table'!$A$2:$B$19,2,FALSE)</f>
        <v>Partner Unit</v>
      </c>
      <c r="E12020" t="str">
        <f t="shared" si="187"/>
        <v>TR114_70|Partner Unit</v>
      </c>
    </row>
    <row r="12021" spans="1:5" x14ac:dyDescent="0.2">
      <c r="A12021" t="s">
        <v>3583</v>
      </c>
      <c r="B12021" t="s">
        <v>3584</v>
      </c>
      <c r="C12021" t="s">
        <v>451</v>
      </c>
      <c r="D12021" t="str">
        <f>VLOOKUP(C12021,'lookup table'!$A$2:$B$19,2,FALSE)</f>
        <v>Segment</v>
      </c>
      <c r="E12021" t="str">
        <f t="shared" si="187"/>
        <v>TR114_70|Segment</v>
      </c>
    </row>
    <row r="12022" spans="1:5" x14ac:dyDescent="0.2">
      <c r="A12022" t="s">
        <v>3583</v>
      </c>
      <c r="B12022" t="s">
        <v>3584</v>
      </c>
      <c r="C12022" t="s">
        <v>461</v>
      </c>
      <c r="D12022" t="str">
        <f>VLOOKUP(C12022,'lookup table'!$A$2:$B$19,2,FALSE)</f>
        <v>Posting Level</v>
      </c>
      <c r="E12022" t="str">
        <f t="shared" si="187"/>
        <v>TR114_70|Posting Level</v>
      </c>
    </row>
    <row r="12023" spans="1:5" x14ac:dyDescent="0.2">
      <c r="A12023" t="s">
        <v>3585</v>
      </c>
      <c r="B12023" t="s">
        <v>3586</v>
      </c>
      <c r="C12023" t="s">
        <v>20</v>
      </c>
      <c r="D12023" t="str">
        <f>VLOOKUP(C12023,'lookup table'!$A$2:$B$19,2,FALSE)</f>
        <v>AY</v>
      </c>
      <c r="E12023" t="str">
        <f t="shared" si="187"/>
        <v>TR115_70|AY</v>
      </c>
    </row>
    <row r="12024" spans="1:5" x14ac:dyDescent="0.2">
      <c r="A12024" t="s">
        <v>3585</v>
      </c>
      <c r="B12024" t="s">
        <v>3586</v>
      </c>
      <c r="C12024" t="s">
        <v>331</v>
      </c>
      <c r="D12024" t="str">
        <f>VLOOKUP(C12024,'lookup table'!$A$2:$B$19,2,FALSE)</f>
        <v>FS Item</v>
      </c>
      <c r="E12024" t="str">
        <f t="shared" si="187"/>
        <v>TR115_70|FS Item</v>
      </c>
    </row>
    <row r="12025" spans="1:5" x14ac:dyDescent="0.2">
      <c r="A12025" t="s">
        <v>3585</v>
      </c>
      <c r="B12025" t="s">
        <v>3586</v>
      </c>
      <c r="C12025" t="s">
        <v>423</v>
      </c>
      <c r="D12025" t="str">
        <f>VLOOKUP(C12025,'lookup table'!$A$2:$B$19,2,FALSE)</f>
        <v>ignore</v>
      </c>
      <c r="E12025" t="str">
        <f t="shared" si="187"/>
        <v>TR115_70|ignore</v>
      </c>
    </row>
    <row r="12026" spans="1:5" x14ac:dyDescent="0.2">
      <c r="A12026" t="s">
        <v>3585</v>
      </c>
      <c r="B12026" t="s">
        <v>3586</v>
      </c>
      <c r="C12026" t="s">
        <v>428</v>
      </c>
      <c r="D12026" t="str">
        <f>VLOOKUP(C12026,'lookup table'!$A$2:$B$19,2,FALSE)</f>
        <v>LoB</v>
      </c>
      <c r="E12026" t="str">
        <f t="shared" si="187"/>
        <v>TR115_70|LoB</v>
      </c>
    </row>
    <row r="12027" spans="1:5" x14ac:dyDescent="0.2">
      <c r="A12027" t="s">
        <v>3585</v>
      </c>
      <c r="B12027" t="s">
        <v>3586</v>
      </c>
      <c r="C12027" t="s">
        <v>441</v>
      </c>
      <c r="D12027" t="str">
        <f>VLOOKUP(C12027,'lookup table'!$A$2:$B$19,2,FALSE)</f>
        <v>Partner Segment</v>
      </c>
      <c r="E12027" t="str">
        <f t="shared" si="187"/>
        <v>TR115_70|Partner Segment</v>
      </c>
    </row>
    <row r="12028" spans="1:5" x14ac:dyDescent="0.2">
      <c r="A12028" t="s">
        <v>3585</v>
      </c>
      <c r="B12028" t="s">
        <v>3586</v>
      </c>
      <c r="C12028" t="s">
        <v>442</v>
      </c>
      <c r="D12028" t="str">
        <f>VLOOKUP(C12028,'lookup table'!$A$2:$B$19,2,FALSE)</f>
        <v>Partner Unit</v>
      </c>
      <c r="E12028" t="str">
        <f t="shared" si="187"/>
        <v>TR115_70|Partner Unit</v>
      </c>
    </row>
    <row r="12029" spans="1:5" x14ac:dyDescent="0.2">
      <c r="A12029" t="s">
        <v>3585</v>
      </c>
      <c r="B12029" t="s">
        <v>3586</v>
      </c>
      <c r="C12029" t="s">
        <v>451</v>
      </c>
      <c r="D12029" t="str">
        <f>VLOOKUP(C12029,'lookup table'!$A$2:$B$19,2,FALSE)</f>
        <v>Segment</v>
      </c>
      <c r="E12029" t="str">
        <f t="shared" si="187"/>
        <v>TR115_70|Segment</v>
      </c>
    </row>
    <row r="12030" spans="1:5" x14ac:dyDescent="0.2">
      <c r="A12030" t="s">
        <v>3585</v>
      </c>
      <c r="B12030" t="s">
        <v>3586</v>
      </c>
      <c r="C12030" t="s">
        <v>461</v>
      </c>
      <c r="D12030" t="str">
        <f>VLOOKUP(C12030,'lookup table'!$A$2:$B$19,2,FALSE)</f>
        <v>Posting Level</v>
      </c>
      <c r="E12030" t="str">
        <f t="shared" si="187"/>
        <v>TR115_70|Posting Level</v>
      </c>
    </row>
    <row r="12031" spans="1:5" x14ac:dyDescent="0.2">
      <c r="A12031" t="s">
        <v>3587</v>
      </c>
      <c r="B12031" t="s">
        <v>450</v>
      </c>
      <c r="C12031" t="s">
        <v>461</v>
      </c>
      <c r="D12031" t="str">
        <f>VLOOKUP(C12031,'lookup table'!$A$2:$B$19,2,FALSE)</f>
        <v>Posting Level</v>
      </c>
      <c r="E12031" t="str">
        <f t="shared" si="187"/>
        <v>TR116_17|Posting Level</v>
      </c>
    </row>
    <row r="12032" spans="1:5" x14ac:dyDescent="0.2">
      <c r="A12032" t="s">
        <v>3588</v>
      </c>
      <c r="B12032" t="s">
        <v>3463</v>
      </c>
      <c r="C12032" t="s">
        <v>20</v>
      </c>
      <c r="D12032" t="str">
        <f>VLOOKUP(C12032,'lookup table'!$A$2:$B$19,2,FALSE)</f>
        <v>AY</v>
      </c>
      <c r="E12032" t="str">
        <f t="shared" si="187"/>
        <v>TR117_17|AY</v>
      </c>
    </row>
    <row r="12033" spans="1:5" x14ac:dyDescent="0.2">
      <c r="A12033" t="s">
        <v>3588</v>
      </c>
      <c r="B12033" t="s">
        <v>3463</v>
      </c>
      <c r="C12033" t="s">
        <v>136</v>
      </c>
      <c r="D12033" t="str">
        <f>VLOOKUP(C12033,'lookup table'!$A$2:$B$19,2,FALSE)</f>
        <v>BBA Set</v>
      </c>
      <c r="E12033" t="str">
        <f t="shared" si="187"/>
        <v>TR117_17|BBA Set</v>
      </c>
    </row>
    <row r="12034" spans="1:5" x14ac:dyDescent="0.2">
      <c r="A12034" t="s">
        <v>3588</v>
      </c>
      <c r="B12034" t="s">
        <v>3463</v>
      </c>
      <c r="C12034" t="s">
        <v>331</v>
      </c>
      <c r="D12034" t="str">
        <f>VLOOKUP(C12034,'lookup table'!$A$2:$B$19,2,FALSE)</f>
        <v>FS Item</v>
      </c>
      <c r="E12034" t="str">
        <f t="shared" si="187"/>
        <v>TR117_17|FS Item</v>
      </c>
    </row>
    <row r="12035" spans="1:5" x14ac:dyDescent="0.2">
      <c r="A12035" t="s">
        <v>3588</v>
      </c>
      <c r="B12035" t="s">
        <v>3463</v>
      </c>
      <c r="C12035" t="s">
        <v>423</v>
      </c>
      <c r="D12035" t="str">
        <f>VLOOKUP(C12035,'lookup table'!$A$2:$B$19,2,FALSE)</f>
        <v>ignore</v>
      </c>
      <c r="E12035" t="str">
        <f t="shared" ref="E12035:E12098" si="188">IF(ISNA(D12035),"",IF(A12035="","",A12035) &amp; "|" &amp; D12035)</f>
        <v>TR117_17|ignore</v>
      </c>
    </row>
    <row r="12036" spans="1:5" x14ac:dyDescent="0.2">
      <c r="A12036" t="s">
        <v>3588</v>
      </c>
      <c r="B12036" t="s">
        <v>3463</v>
      </c>
      <c r="C12036" t="s">
        <v>428</v>
      </c>
      <c r="D12036" t="str">
        <f>VLOOKUP(C12036,'lookup table'!$A$2:$B$19,2,FALSE)</f>
        <v>LoB</v>
      </c>
      <c r="E12036" t="str">
        <f t="shared" si="188"/>
        <v>TR117_17|LoB</v>
      </c>
    </row>
    <row r="12037" spans="1:5" x14ac:dyDescent="0.2">
      <c r="A12037" t="s">
        <v>3588</v>
      </c>
      <c r="B12037" t="s">
        <v>3463</v>
      </c>
      <c r="C12037" t="s">
        <v>438</v>
      </c>
      <c r="D12037" t="str">
        <f>VLOOKUP(C12037,'lookup table'!$A$2:$B$19,2,FALSE)</f>
        <v>ToM</v>
      </c>
      <c r="E12037" t="str">
        <f t="shared" si="188"/>
        <v>TR117_17|ToM</v>
      </c>
    </row>
    <row r="12038" spans="1:5" x14ac:dyDescent="0.2">
      <c r="A12038" t="s">
        <v>3588</v>
      </c>
      <c r="B12038" t="s">
        <v>3463</v>
      </c>
      <c r="C12038" t="s">
        <v>441</v>
      </c>
      <c r="D12038" t="str">
        <f>VLOOKUP(C12038,'lookup table'!$A$2:$B$19,2,FALSE)</f>
        <v>Partner Segment</v>
      </c>
      <c r="E12038" t="str">
        <f t="shared" si="188"/>
        <v>TR117_17|Partner Segment</v>
      </c>
    </row>
    <row r="12039" spans="1:5" x14ac:dyDescent="0.2">
      <c r="A12039" t="s">
        <v>3588</v>
      </c>
      <c r="B12039" t="s">
        <v>3463</v>
      </c>
      <c r="C12039" t="s">
        <v>442</v>
      </c>
      <c r="D12039" t="str">
        <f>VLOOKUP(C12039,'lookup table'!$A$2:$B$19,2,FALSE)</f>
        <v>Partner Unit</v>
      </c>
      <c r="E12039" t="str">
        <f t="shared" si="188"/>
        <v>TR117_17|Partner Unit</v>
      </c>
    </row>
    <row r="12040" spans="1:5" x14ac:dyDescent="0.2">
      <c r="A12040" t="s">
        <v>3588</v>
      </c>
      <c r="B12040" t="s">
        <v>3463</v>
      </c>
      <c r="C12040" t="s">
        <v>451</v>
      </c>
      <c r="D12040" t="str">
        <f>VLOOKUP(C12040,'lookup table'!$A$2:$B$19,2,FALSE)</f>
        <v>Segment</v>
      </c>
      <c r="E12040" t="str">
        <f t="shared" si="188"/>
        <v>TR117_17|Segment</v>
      </c>
    </row>
    <row r="12041" spans="1:5" x14ac:dyDescent="0.2">
      <c r="A12041" t="s">
        <v>3588</v>
      </c>
      <c r="B12041" t="s">
        <v>3463</v>
      </c>
      <c r="C12041" t="s">
        <v>461</v>
      </c>
      <c r="D12041" t="str">
        <f>VLOOKUP(C12041,'lookup table'!$A$2:$B$19,2,FALSE)</f>
        <v>Posting Level</v>
      </c>
      <c r="E12041" t="str">
        <f t="shared" si="188"/>
        <v>TR117_17|Posting Level</v>
      </c>
    </row>
    <row r="12042" spans="1:5" x14ac:dyDescent="0.2">
      <c r="A12042" t="s">
        <v>3589</v>
      </c>
      <c r="B12042" t="s">
        <v>130</v>
      </c>
      <c r="C12042" t="s">
        <v>20</v>
      </c>
      <c r="D12042" t="str">
        <f>VLOOKUP(C12042,'lookup table'!$A$2:$B$19,2,FALSE)</f>
        <v>AY</v>
      </c>
      <c r="E12042" t="str">
        <f t="shared" si="188"/>
        <v>TR117_70|AY</v>
      </c>
    </row>
    <row r="12043" spans="1:5" x14ac:dyDescent="0.2">
      <c r="A12043" t="s">
        <v>3589</v>
      </c>
      <c r="B12043" t="s">
        <v>130</v>
      </c>
      <c r="C12043" t="s">
        <v>331</v>
      </c>
      <c r="D12043" t="str">
        <f>VLOOKUP(C12043,'lookup table'!$A$2:$B$19,2,FALSE)</f>
        <v>FS Item</v>
      </c>
      <c r="E12043" t="str">
        <f t="shared" si="188"/>
        <v>TR117_70|FS Item</v>
      </c>
    </row>
    <row r="12044" spans="1:5" x14ac:dyDescent="0.2">
      <c r="A12044" t="s">
        <v>3589</v>
      </c>
      <c r="B12044" t="s">
        <v>130</v>
      </c>
      <c r="C12044" t="s">
        <v>423</v>
      </c>
      <c r="D12044" t="str">
        <f>VLOOKUP(C12044,'lookup table'!$A$2:$B$19,2,FALSE)</f>
        <v>ignore</v>
      </c>
      <c r="E12044" t="str">
        <f t="shared" si="188"/>
        <v>TR117_70|ignore</v>
      </c>
    </row>
    <row r="12045" spans="1:5" x14ac:dyDescent="0.2">
      <c r="A12045" t="s">
        <v>3589</v>
      </c>
      <c r="B12045" t="s">
        <v>130</v>
      </c>
      <c r="C12045" t="s">
        <v>428</v>
      </c>
      <c r="D12045" t="str">
        <f>VLOOKUP(C12045,'lookup table'!$A$2:$B$19,2,FALSE)</f>
        <v>LoB</v>
      </c>
      <c r="E12045" t="str">
        <f t="shared" si="188"/>
        <v>TR117_70|LoB</v>
      </c>
    </row>
    <row r="12046" spans="1:5" x14ac:dyDescent="0.2">
      <c r="A12046" t="s">
        <v>3589</v>
      </c>
      <c r="B12046" t="s">
        <v>130</v>
      </c>
      <c r="C12046" t="s">
        <v>438</v>
      </c>
      <c r="D12046" t="str">
        <f>VLOOKUP(C12046,'lookup table'!$A$2:$B$19,2,FALSE)</f>
        <v>ToM</v>
      </c>
      <c r="E12046" t="str">
        <f t="shared" si="188"/>
        <v>TR117_70|ToM</v>
      </c>
    </row>
    <row r="12047" spans="1:5" x14ac:dyDescent="0.2">
      <c r="A12047" t="s">
        <v>3589</v>
      </c>
      <c r="B12047" t="s">
        <v>130</v>
      </c>
      <c r="C12047" t="s">
        <v>441</v>
      </c>
      <c r="D12047" t="str">
        <f>VLOOKUP(C12047,'lookup table'!$A$2:$B$19,2,FALSE)</f>
        <v>Partner Segment</v>
      </c>
      <c r="E12047" t="str">
        <f t="shared" si="188"/>
        <v>TR117_70|Partner Segment</v>
      </c>
    </row>
    <row r="12048" spans="1:5" x14ac:dyDescent="0.2">
      <c r="A12048" t="s">
        <v>3589</v>
      </c>
      <c r="B12048" t="s">
        <v>130</v>
      </c>
      <c r="C12048" t="s">
        <v>442</v>
      </c>
      <c r="D12048" t="str">
        <f>VLOOKUP(C12048,'lookup table'!$A$2:$B$19,2,FALSE)</f>
        <v>Partner Unit</v>
      </c>
      <c r="E12048" t="str">
        <f t="shared" si="188"/>
        <v>TR117_70|Partner Unit</v>
      </c>
    </row>
    <row r="12049" spans="1:5" x14ac:dyDescent="0.2">
      <c r="A12049" t="s">
        <v>3589</v>
      </c>
      <c r="B12049" t="s">
        <v>130</v>
      </c>
      <c r="C12049" t="s">
        <v>451</v>
      </c>
      <c r="D12049" t="str">
        <f>VLOOKUP(C12049,'lookup table'!$A$2:$B$19,2,FALSE)</f>
        <v>Segment</v>
      </c>
      <c r="E12049" t="str">
        <f t="shared" si="188"/>
        <v>TR117_70|Segment</v>
      </c>
    </row>
    <row r="12050" spans="1:5" x14ac:dyDescent="0.2">
      <c r="A12050" t="s">
        <v>3589</v>
      </c>
      <c r="B12050" t="s">
        <v>130</v>
      </c>
      <c r="C12050" t="s">
        <v>461</v>
      </c>
      <c r="D12050" t="str">
        <f>VLOOKUP(C12050,'lookup table'!$A$2:$B$19,2,FALSE)</f>
        <v>Posting Level</v>
      </c>
      <c r="E12050" t="str">
        <f t="shared" si="188"/>
        <v>TR117_70|Posting Level</v>
      </c>
    </row>
    <row r="12051" spans="1:5" x14ac:dyDescent="0.2">
      <c r="A12051" t="s">
        <v>3590</v>
      </c>
      <c r="B12051" t="s">
        <v>3467</v>
      </c>
      <c r="C12051" t="s">
        <v>14</v>
      </c>
      <c r="D12051" t="str">
        <f>VLOOKUP(C12051,'lookup table'!$A$2:$B$19,2,FALSE)</f>
        <v>ALC</v>
      </c>
      <c r="E12051" t="str">
        <f t="shared" si="188"/>
        <v>TR118_17|ALC</v>
      </c>
    </row>
    <row r="12052" spans="1:5" x14ac:dyDescent="0.2">
      <c r="A12052" t="s">
        <v>3590</v>
      </c>
      <c r="B12052" t="s">
        <v>3467</v>
      </c>
      <c r="C12052" t="s">
        <v>20</v>
      </c>
      <c r="D12052" t="str">
        <f>VLOOKUP(C12052,'lookup table'!$A$2:$B$19,2,FALSE)</f>
        <v>AY</v>
      </c>
      <c r="E12052" t="str">
        <f t="shared" si="188"/>
        <v>TR118_17|AY</v>
      </c>
    </row>
    <row r="12053" spans="1:5" x14ac:dyDescent="0.2">
      <c r="A12053" t="s">
        <v>3590</v>
      </c>
      <c r="B12053" t="s">
        <v>3467</v>
      </c>
      <c r="C12053" t="s">
        <v>136</v>
      </c>
      <c r="D12053" t="str">
        <f>VLOOKUP(C12053,'lookup table'!$A$2:$B$19,2,FALSE)</f>
        <v>BBA Set</v>
      </c>
      <c r="E12053" t="str">
        <f t="shared" si="188"/>
        <v>TR118_17|BBA Set</v>
      </c>
    </row>
    <row r="12054" spans="1:5" x14ac:dyDescent="0.2">
      <c r="A12054" t="s">
        <v>3590</v>
      </c>
      <c r="B12054" t="s">
        <v>3467</v>
      </c>
      <c r="C12054" t="s">
        <v>331</v>
      </c>
      <c r="D12054" t="str">
        <f>VLOOKUP(C12054,'lookup table'!$A$2:$B$19,2,FALSE)</f>
        <v>FS Item</v>
      </c>
      <c r="E12054" t="str">
        <f t="shared" si="188"/>
        <v>TR118_17|FS Item</v>
      </c>
    </row>
    <row r="12055" spans="1:5" x14ac:dyDescent="0.2">
      <c r="A12055" t="s">
        <v>3590</v>
      </c>
      <c r="B12055" t="s">
        <v>3467</v>
      </c>
      <c r="C12055" t="s">
        <v>423</v>
      </c>
      <c r="D12055" t="str">
        <f>VLOOKUP(C12055,'lookup table'!$A$2:$B$19,2,FALSE)</f>
        <v>ignore</v>
      </c>
      <c r="E12055" t="str">
        <f t="shared" si="188"/>
        <v>TR118_17|ignore</v>
      </c>
    </row>
    <row r="12056" spans="1:5" x14ac:dyDescent="0.2">
      <c r="A12056" t="s">
        <v>3590</v>
      </c>
      <c r="B12056" t="s">
        <v>3467</v>
      </c>
      <c r="C12056" t="s">
        <v>425</v>
      </c>
      <c r="D12056" t="str">
        <f>VLOOKUP(C12056,'lookup table'!$A$2:$B$19,2,FALSE)</f>
        <v>Investee Segment</v>
      </c>
      <c r="E12056" t="str">
        <f t="shared" si="188"/>
        <v>TR118_17|Investee Segment</v>
      </c>
    </row>
    <row r="12057" spans="1:5" x14ac:dyDescent="0.2">
      <c r="A12057" t="s">
        <v>3590</v>
      </c>
      <c r="B12057" t="s">
        <v>3467</v>
      </c>
      <c r="C12057" t="s">
        <v>426</v>
      </c>
      <c r="D12057" t="str">
        <f>VLOOKUP(C12057,'lookup table'!$A$2:$B$19,2,FALSE)</f>
        <v>Investee Unit</v>
      </c>
      <c r="E12057" t="str">
        <f t="shared" si="188"/>
        <v>TR118_17|Investee Unit</v>
      </c>
    </row>
    <row r="12058" spans="1:5" x14ac:dyDescent="0.2">
      <c r="A12058" t="s">
        <v>3590</v>
      </c>
      <c r="B12058" t="s">
        <v>3467</v>
      </c>
      <c r="C12058" t="s">
        <v>428</v>
      </c>
      <c r="D12058" t="str">
        <f>VLOOKUP(C12058,'lookup table'!$A$2:$B$19,2,FALSE)</f>
        <v>LoB</v>
      </c>
      <c r="E12058" t="str">
        <f t="shared" si="188"/>
        <v>TR118_17|LoB</v>
      </c>
    </row>
    <row r="12059" spans="1:5" x14ac:dyDescent="0.2">
      <c r="A12059" t="s">
        <v>3590</v>
      </c>
      <c r="B12059" t="s">
        <v>3467</v>
      </c>
      <c r="C12059" t="s">
        <v>436</v>
      </c>
      <c r="D12059" t="str">
        <f>VLOOKUP(C12059,'lookup table'!$A$2:$B$19,2,FALSE)</f>
        <v>MAT</v>
      </c>
      <c r="E12059" t="str">
        <f t="shared" si="188"/>
        <v>TR118_17|MAT</v>
      </c>
    </row>
    <row r="12060" spans="1:5" x14ac:dyDescent="0.2">
      <c r="A12060" t="s">
        <v>3590</v>
      </c>
      <c r="B12060" t="s">
        <v>3467</v>
      </c>
      <c r="C12060" t="s">
        <v>438</v>
      </c>
      <c r="D12060" t="str">
        <f>VLOOKUP(C12060,'lookup table'!$A$2:$B$19,2,FALSE)</f>
        <v>ToM</v>
      </c>
      <c r="E12060" t="str">
        <f t="shared" si="188"/>
        <v>TR118_17|ToM</v>
      </c>
    </row>
    <row r="12061" spans="1:5" x14ac:dyDescent="0.2">
      <c r="A12061" t="s">
        <v>3590</v>
      </c>
      <c r="B12061" t="s">
        <v>3467</v>
      </c>
      <c r="C12061" t="s">
        <v>441</v>
      </c>
      <c r="D12061" t="str">
        <f>VLOOKUP(C12061,'lookup table'!$A$2:$B$19,2,FALSE)</f>
        <v>Partner Segment</v>
      </c>
      <c r="E12061" t="str">
        <f t="shared" si="188"/>
        <v>TR118_17|Partner Segment</v>
      </c>
    </row>
    <row r="12062" spans="1:5" x14ac:dyDescent="0.2">
      <c r="A12062" t="s">
        <v>3590</v>
      </c>
      <c r="B12062" t="s">
        <v>3467</v>
      </c>
      <c r="C12062" t="s">
        <v>442</v>
      </c>
      <c r="D12062" t="str">
        <f>VLOOKUP(C12062,'lookup table'!$A$2:$B$19,2,FALSE)</f>
        <v>Partner Unit</v>
      </c>
      <c r="E12062" t="str">
        <f t="shared" si="188"/>
        <v>TR118_17|Partner Unit</v>
      </c>
    </row>
    <row r="12063" spans="1:5" x14ac:dyDescent="0.2">
      <c r="A12063" t="s">
        <v>3590</v>
      </c>
      <c r="B12063" t="s">
        <v>3467</v>
      </c>
      <c r="C12063" t="s">
        <v>447</v>
      </c>
      <c r="D12063" t="str">
        <f>VLOOKUP(C12063,'lookup table'!$A$2:$B$19,2,FALSE)</f>
        <v>REX</v>
      </c>
      <c r="E12063" t="str">
        <f t="shared" si="188"/>
        <v>TR118_17|REX</v>
      </c>
    </row>
    <row r="12064" spans="1:5" x14ac:dyDescent="0.2">
      <c r="A12064" t="s">
        <v>3590</v>
      </c>
      <c r="B12064" t="s">
        <v>3467</v>
      </c>
      <c r="C12064" t="s">
        <v>451</v>
      </c>
      <c r="D12064" t="str">
        <f>VLOOKUP(C12064,'lookup table'!$A$2:$B$19,2,FALSE)</f>
        <v>Segment</v>
      </c>
      <c r="E12064" t="str">
        <f t="shared" si="188"/>
        <v>TR118_17|Segment</v>
      </c>
    </row>
    <row r="12065" spans="1:5" x14ac:dyDescent="0.2">
      <c r="A12065" t="s">
        <v>3590</v>
      </c>
      <c r="B12065" t="s">
        <v>3467</v>
      </c>
      <c r="C12065" t="s">
        <v>457</v>
      </c>
      <c r="D12065" t="str">
        <f>VLOOKUP(C12065,'lookup table'!$A$2:$B$19,2,FALSE)</f>
        <v>VLT</v>
      </c>
      <c r="E12065" t="str">
        <f t="shared" si="188"/>
        <v>TR118_17|VLT</v>
      </c>
    </row>
    <row r="12066" spans="1:5" x14ac:dyDescent="0.2">
      <c r="A12066" t="s">
        <v>3590</v>
      </c>
      <c r="B12066" t="s">
        <v>3467</v>
      </c>
      <c r="C12066" t="s">
        <v>458</v>
      </c>
      <c r="D12066" t="str">
        <f>VLOOKUP(C12066,'lookup table'!$A$2:$B$19,2,FALSE)</f>
        <v>VAR</v>
      </c>
      <c r="E12066" t="str">
        <f t="shared" si="188"/>
        <v>TR118_17|VAR</v>
      </c>
    </row>
    <row r="12067" spans="1:5" x14ac:dyDescent="0.2">
      <c r="A12067" t="s">
        <v>3590</v>
      </c>
      <c r="B12067" t="s">
        <v>3467</v>
      </c>
      <c r="C12067" t="s">
        <v>461</v>
      </c>
      <c r="D12067" t="str">
        <f>VLOOKUP(C12067,'lookup table'!$A$2:$B$19,2,FALSE)</f>
        <v>Posting Level</v>
      </c>
      <c r="E12067" t="str">
        <f t="shared" si="188"/>
        <v>TR118_17|Posting Level</v>
      </c>
    </row>
    <row r="12068" spans="1:5" x14ac:dyDescent="0.2">
      <c r="A12068" t="s">
        <v>3591</v>
      </c>
      <c r="B12068" t="s">
        <v>18</v>
      </c>
      <c r="C12068" t="s">
        <v>14</v>
      </c>
      <c r="D12068" t="str">
        <f>VLOOKUP(C12068,'lookup table'!$A$2:$B$19,2,FALSE)</f>
        <v>ALC</v>
      </c>
      <c r="E12068" t="str">
        <f t="shared" si="188"/>
        <v>TR119_17|ALC</v>
      </c>
    </row>
    <row r="12069" spans="1:5" x14ac:dyDescent="0.2">
      <c r="A12069" t="s">
        <v>3591</v>
      </c>
      <c r="B12069" t="s">
        <v>18</v>
      </c>
      <c r="C12069" t="s">
        <v>331</v>
      </c>
      <c r="D12069" t="str">
        <f>VLOOKUP(C12069,'lookup table'!$A$2:$B$19,2,FALSE)</f>
        <v>FS Item</v>
      </c>
      <c r="E12069" t="str">
        <f t="shared" si="188"/>
        <v>TR119_17|FS Item</v>
      </c>
    </row>
    <row r="12070" spans="1:5" x14ac:dyDescent="0.2">
      <c r="A12070" t="s">
        <v>3591</v>
      </c>
      <c r="B12070" t="s">
        <v>18</v>
      </c>
      <c r="C12070" t="s">
        <v>423</v>
      </c>
      <c r="D12070" t="str">
        <f>VLOOKUP(C12070,'lookup table'!$A$2:$B$19,2,FALSE)</f>
        <v>ignore</v>
      </c>
      <c r="E12070" t="str">
        <f t="shared" si="188"/>
        <v>TR119_17|ignore</v>
      </c>
    </row>
    <row r="12071" spans="1:5" x14ac:dyDescent="0.2">
      <c r="A12071" t="s">
        <v>3591</v>
      </c>
      <c r="B12071" t="s">
        <v>18</v>
      </c>
      <c r="C12071" t="s">
        <v>436</v>
      </c>
      <c r="D12071" t="str">
        <f>VLOOKUP(C12071,'lookup table'!$A$2:$B$19,2,FALSE)</f>
        <v>MAT</v>
      </c>
      <c r="E12071" t="str">
        <f t="shared" si="188"/>
        <v>TR119_17|MAT</v>
      </c>
    </row>
    <row r="12072" spans="1:5" x14ac:dyDescent="0.2">
      <c r="A12072" t="s">
        <v>3591</v>
      </c>
      <c r="B12072" t="s">
        <v>18</v>
      </c>
      <c r="C12072" t="s">
        <v>451</v>
      </c>
      <c r="D12072" t="str">
        <f>VLOOKUP(C12072,'lookup table'!$A$2:$B$19,2,FALSE)</f>
        <v>Segment</v>
      </c>
      <c r="E12072" t="str">
        <f t="shared" si="188"/>
        <v>TR119_17|Segment</v>
      </c>
    </row>
    <row r="12073" spans="1:5" x14ac:dyDescent="0.2">
      <c r="A12073" t="s">
        <v>3591</v>
      </c>
      <c r="B12073" t="s">
        <v>18</v>
      </c>
      <c r="C12073" t="s">
        <v>457</v>
      </c>
      <c r="D12073" t="str">
        <f>VLOOKUP(C12073,'lookup table'!$A$2:$B$19,2,FALSE)</f>
        <v>VLT</v>
      </c>
      <c r="E12073" t="str">
        <f t="shared" si="188"/>
        <v>TR119_17|VLT</v>
      </c>
    </row>
    <row r="12074" spans="1:5" x14ac:dyDescent="0.2">
      <c r="A12074" t="s">
        <v>3591</v>
      </c>
      <c r="B12074" t="s">
        <v>18</v>
      </c>
      <c r="C12074" t="s">
        <v>458</v>
      </c>
      <c r="D12074" t="str">
        <f>VLOOKUP(C12074,'lookup table'!$A$2:$B$19,2,FALSE)</f>
        <v>VAR</v>
      </c>
      <c r="E12074" t="str">
        <f t="shared" si="188"/>
        <v>TR119_17|VAR</v>
      </c>
    </row>
    <row r="12075" spans="1:5" x14ac:dyDescent="0.2">
      <c r="A12075" t="s">
        <v>3591</v>
      </c>
      <c r="B12075" t="s">
        <v>18</v>
      </c>
      <c r="C12075" t="s">
        <v>461</v>
      </c>
      <c r="D12075" t="str">
        <f>VLOOKUP(C12075,'lookup table'!$A$2:$B$19,2,FALSE)</f>
        <v>Posting Level</v>
      </c>
      <c r="E12075" t="str">
        <f t="shared" si="188"/>
        <v>TR119_17|Posting Level</v>
      </c>
    </row>
    <row r="12076" spans="1:5" x14ac:dyDescent="0.2">
      <c r="A12076" t="s">
        <v>3592</v>
      </c>
      <c r="B12076" t="s">
        <v>16</v>
      </c>
      <c r="C12076" t="s">
        <v>14</v>
      </c>
      <c r="D12076" t="str">
        <f>VLOOKUP(C12076,'lookup table'!$A$2:$B$19,2,FALSE)</f>
        <v>ALC</v>
      </c>
      <c r="E12076" t="str">
        <f t="shared" si="188"/>
        <v>TR120_17|ALC</v>
      </c>
    </row>
    <row r="12077" spans="1:5" x14ac:dyDescent="0.2">
      <c r="A12077" t="s">
        <v>3592</v>
      </c>
      <c r="B12077" t="s">
        <v>16</v>
      </c>
      <c r="C12077" t="s">
        <v>20</v>
      </c>
      <c r="D12077" t="str">
        <f>VLOOKUP(C12077,'lookup table'!$A$2:$B$19,2,FALSE)</f>
        <v>AY</v>
      </c>
      <c r="E12077" t="str">
        <f t="shared" si="188"/>
        <v>TR120_17|AY</v>
      </c>
    </row>
    <row r="12078" spans="1:5" x14ac:dyDescent="0.2">
      <c r="A12078" t="s">
        <v>3592</v>
      </c>
      <c r="B12078" t="s">
        <v>16</v>
      </c>
      <c r="C12078" t="s">
        <v>331</v>
      </c>
      <c r="D12078" t="str">
        <f>VLOOKUP(C12078,'lookup table'!$A$2:$B$19,2,FALSE)</f>
        <v>FS Item</v>
      </c>
      <c r="E12078" t="str">
        <f t="shared" si="188"/>
        <v>TR120_17|FS Item</v>
      </c>
    </row>
    <row r="12079" spans="1:5" x14ac:dyDescent="0.2">
      <c r="A12079" t="s">
        <v>3592</v>
      </c>
      <c r="B12079" t="s">
        <v>16</v>
      </c>
      <c r="C12079" t="s">
        <v>423</v>
      </c>
      <c r="D12079" t="str">
        <f>VLOOKUP(C12079,'lookup table'!$A$2:$B$19,2,FALSE)</f>
        <v>ignore</v>
      </c>
      <c r="E12079" t="str">
        <f t="shared" si="188"/>
        <v>TR120_17|ignore</v>
      </c>
    </row>
    <row r="12080" spans="1:5" x14ac:dyDescent="0.2">
      <c r="A12080" t="s">
        <v>3592</v>
      </c>
      <c r="B12080" t="s">
        <v>16</v>
      </c>
      <c r="C12080" t="s">
        <v>425</v>
      </c>
      <c r="D12080" t="str">
        <f>VLOOKUP(C12080,'lookup table'!$A$2:$B$19,2,FALSE)</f>
        <v>Investee Segment</v>
      </c>
      <c r="E12080" t="str">
        <f t="shared" si="188"/>
        <v>TR120_17|Investee Segment</v>
      </c>
    </row>
    <row r="12081" spans="1:5" x14ac:dyDescent="0.2">
      <c r="A12081" t="s">
        <v>3592</v>
      </c>
      <c r="B12081" t="s">
        <v>16</v>
      </c>
      <c r="C12081" t="s">
        <v>426</v>
      </c>
      <c r="D12081" t="str">
        <f>VLOOKUP(C12081,'lookup table'!$A$2:$B$19,2,FALSE)</f>
        <v>Investee Unit</v>
      </c>
      <c r="E12081" t="str">
        <f t="shared" si="188"/>
        <v>TR120_17|Investee Unit</v>
      </c>
    </row>
    <row r="12082" spans="1:5" x14ac:dyDescent="0.2">
      <c r="A12082" t="s">
        <v>3592</v>
      </c>
      <c r="B12082" t="s">
        <v>16</v>
      </c>
      <c r="C12082" t="s">
        <v>428</v>
      </c>
      <c r="D12082" t="str">
        <f>VLOOKUP(C12082,'lookup table'!$A$2:$B$19,2,FALSE)</f>
        <v>LoB</v>
      </c>
      <c r="E12082" t="str">
        <f t="shared" si="188"/>
        <v>TR120_17|LoB</v>
      </c>
    </row>
    <row r="12083" spans="1:5" x14ac:dyDescent="0.2">
      <c r="A12083" t="s">
        <v>3592</v>
      </c>
      <c r="B12083" t="s">
        <v>16</v>
      </c>
      <c r="C12083" t="s">
        <v>436</v>
      </c>
      <c r="D12083" t="str">
        <f>VLOOKUP(C12083,'lookup table'!$A$2:$B$19,2,FALSE)</f>
        <v>MAT</v>
      </c>
      <c r="E12083" t="str">
        <f t="shared" si="188"/>
        <v>TR120_17|MAT</v>
      </c>
    </row>
    <row r="12084" spans="1:5" x14ac:dyDescent="0.2">
      <c r="A12084" t="s">
        <v>3592</v>
      </c>
      <c r="B12084" t="s">
        <v>16</v>
      </c>
      <c r="C12084" t="s">
        <v>438</v>
      </c>
      <c r="D12084" t="str">
        <f>VLOOKUP(C12084,'lookup table'!$A$2:$B$19,2,FALSE)</f>
        <v>ToM</v>
      </c>
      <c r="E12084" t="str">
        <f t="shared" si="188"/>
        <v>TR120_17|ToM</v>
      </c>
    </row>
    <row r="12085" spans="1:5" x14ac:dyDescent="0.2">
      <c r="A12085" t="s">
        <v>3592</v>
      </c>
      <c r="B12085" t="s">
        <v>16</v>
      </c>
      <c r="C12085" t="s">
        <v>441</v>
      </c>
      <c r="D12085" t="str">
        <f>VLOOKUP(C12085,'lookup table'!$A$2:$B$19,2,FALSE)</f>
        <v>Partner Segment</v>
      </c>
      <c r="E12085" t="str">
        <f t="shared" si="188"/>
        <v>TR120_17|Partner Segment</v>
      </c>
    </row>
    <row r="12086" spans="1:5" x14ac:dyDescent="0.2">
      <c r="A12086" t="s">
        <v>3592</v>
      </c>
      <c r="B12086" t="s">
        <v>16</v>
      </c>
      <c r="C12086" t="s">
        <v>442</v>
      </c>
      <c r="D12086" t="str">
        <f>VLOOKUP(C12086,'lookup table'!$A$2:$B$19,2,FALSE)</f>
        <v>Partner Unit</v>
      </c>
      <c r="E12086" t="str">
        <f t="shared" si="188"/>
        <v>TR120_17|Partner Unit</v>
      </c>
    </row>
    <row r="12087" spans="1:5" x14ac:dyDescent="0.2">
      <c r="A12087" t="s">
        <v>3592</v>
      </c>
      <c r="B12087" t="s">
        <v>16</v>
      </c>
      <c r="C12087" t="s">
        <v>447</v>
      </c>
      <c r="D12087" t="str">
        <f>VLOOKUP(C12087,'lookup table'!$A$2:$B$19,2,FALSE)</f>
        <v>REX</v>
      </c>
      <c r="E12087" t="str">
        <f t="shared" si="188"/>
        <v>TR120_17|REX</v>
      </c>
    </row>
    <row r="12088" spans="1:5" x14ac:dyDescent="0.2">
      <c r="A12088" t="s">
        <v>3592</v>
      </c>
      <c r="B12088" t="s">
        <v>16</v>
      </c>
      <c r="C12088" t="s">
        <v>451</v>
      </c>
      <c r="D12088" t="str">
        <f>VLOOKUP(C12088,'lookup table'!$A$2:$B$19,2,FALSE)</f>
        <v>Segment</v>
      </c>
      <c r="E12088" t="str">
        <f t="shared" si="188"/>
        <v>TR120_17|Segment</v>
      </c>
    </row>
    <row r="12089" spans="1:5" x14ac:dyDescent="0.2">
      <c r="A12089" t="s">
        <v>3592</v>
      </c>
      <c r="B12089" t="s">
        <v>16</v>
      </c>
      <c r="C12089" t="s">
        <v>457</v>
      </c>
      <c r="D12089" t="str">
        <f>VLOOKUP(C12089,'lookup table'!$A$2:$B$19,2,FALSE)</f>
        <v>VLT</v>
      </c>
      <c r="E12089" t="str">
        <f t="shared" si="188"/>
        <v>TR120_17|VLT</v>
      </c>
    </row>
    <row r="12090" spans="1:5" x14ac:dyDescent="0.2">
      <c r="A12090" t="s">
        <v>3592</v>
      </c>
      <c r="B12090" t="s">
        <v>16</v>
      </c>
      <c r="C12090" t="s">
        <v>458</v>
      </c>
      <c r="D12090" t="str">
        <f>VLOOKUP(C12090,'lookup table'!$A$2:$B$19,2,FALSE)</f>
        <v>VAR</v>
      </c>
      <c r="E12090" t="str">
        <f t="shared" si="188"/>
        <v>TR120_17|VAR</v>
      </c>
    </row>
    <row r="12091" spans="1:5" x14ac:dyDescent="0.2">
      <c r="A12091" t="s">
        <v>3592</v>
      </c>
      <c r="B12091" t="s">
        <v>16</v>
      </c>
      <c r="C12091" t="s">
        <v>461</v>
      </c>
      <c r="D12091" t="str">
        <f>VLOOKUP(C12091,'lookup table'!$A$2:$B$19,2,FALSE)</f>
        <v>Posting Level</v>
      </c>
      <c r="E12091" t="str">
        <f t="shared" si="188"/>
        <v>TR120_17|Posting Level</v>
      </c>
    </row>
    <row r="12092" spans="1:5" x14ac:dyDescent="0.2">
      <c r="A12092" t="s">
        <v>3593</v>
      </c>
      <c r="B12092" t="s">
        <v>3594</v>
      </c>
      <c r="C12092" t="s">
        <v>20</v>
      </c>
      <c r="D12092" t="str">
        <f>VLOOKUP(C12092,'lookup table'!$A$2:$B$19,2,FALSE)</f>
        <v>AY</v>
      </c>
      <c r="E12092" t="str">
        <f t="shared" si="188"/>
        <v>TR120_70|AY</v>
      </c>
    </row>
    <row r="12093" spans="1:5" x14ac:dyDescent="0.2">
      <c r="A12093" t="s">
        <v>3593</v>
      </c>
      <c r="B12093" t="s">
        <v>3594</v>
      </c>
      <c r="C12093" t="s">
        <v>331</v>
      </c>
      <c r="D12093" t="str">
        <f>VLOOKUP(C12093,'lookup table'!$A$2:$B$19,2,FALSE)</f>
        <v>FS Item</v>
      </c>
      <c r="E12093" t="str">
        <f t="shared" si="188"/>
        <v>TR120_70|FS Item</v>
      </c>
    </row>
    <row r="12094" spans="1:5" x14ac:dyDescent="0.2">
      <c r="A12094" t="s">
        <v>3593</v>
      </c>
      <c r="B12094" t="s">
        <v>3594</v>
      </c>
      <c r="C12094" t="s">
        <v>423</v>
      </c>
      <c r="D12094" t="str">
        <f>VLOOKUP(C12094,'lookup table'!$A$2:$B$19,2,FALSE)</f>
        <v>ignore</v>
      </c>
      <c r="E12094" t="str">
        <f t="shared" si="188"/>
        <v>TR120_70|ignore</v>
      </c>
    </row>
    <row r="12095" spans="1:5" x14ac:dyDescent="0.2">
      <c r="A12095" t="s">
        <v>3593</v>
      </c>
      <c r="B12095" t="s">
        <v>3594</v>
      </c>
      <c r="C12095" t="s">
        <v>428</v>
      </c>
      <c r="D12095" t="str">
        <f>VLOOKUP(C12095,'lookup table'!$A$2:$B$19,2,FALSE)</f>
        <v>LoB</v>
      </c>
      <c r="E12095" t="str">
        <f t="shared" si="188"/>
        <v>TR120_70|LoB</v>
      </c>
    </row>
    <row r="12096" spans="1:5" x14ac:dyDescent="0.2">
      <c r="A12096" t="s">
        <v>3593</v>
      </c>
      <c r="B12096" t="s">
        <v>3594</v>
      </c>
      <c r="C12096" t="s">
        <v>441</v>
      </c>
      <c r="D12096" t="str">
        <f>VLOOKUP(C12096,'lookup table'!$A$2:$B$19,2,FALSE)</f>
        <v>Partner Segment</v>
      </c>
      <c r="E12096" t="str">
        <f t="shared" si="188"/>
        <v>TR120_70|Partner Segment</v>
      </c>
    </row>
    <row r="12097" spans="1:5" x14ac:dyDescent="0.2">
      <c r="A12097" t="s">
        <v>3593</v>
      </c>
      <c r="B12097" t="s">
        <v>3594</v>
      </c>
      <c r="C12097" t="s">
        <v>442</v>
      </c>
      <c r="D12097" t="str">
        <f>VLOOKUP(C12097,'lookup table'!$A$2:$B$19,2,FALSE)</f>
        <v>Partner Unit</v>
      </c>
      <c r="E12097" t="str">
        <f t="shared" si="188"/>
        <v>TR120_70|Partner Unit</v>
      </c>
    </row>
    <row r="12098" spans="1:5" x14ac:dyDescent="0.2">
      <c r="A12098" t="s">
        <v>3593</v>
      </c>
      <c r="B12098" t="s">
        <v>3594</v>
      </c>
      <c r="C12098" t="s">
        <v>451</v>
      </c>
      <c r="D12098" t="str">
        <f>VLOOKUP(C12098,'lookup table'!$A$2:$B$19,2,FALSE)</f>
        <v>Segment</v>
      </c>
      <c r="E12098" t="str">
        <f t="shared" si="188"/>
        <v>TR120_70|Segment</v>
      </c>
    </row>
    <row r="12099" spans="1:5" x14ac:dyDescent="0.2">
      <c r="A12099" t="s">
        <v>3593</v>
      </c>
      <c r="B12099" t="s">
        <v>3594</v>
      </c>
      <c r="C12099" t="s">
        <v>461</v>
      </c>
      <c r="D12099" t="str">
        <f>VLOOKUP(C12099,'lookup table'!$A$2:$B$19,2,FALSE)</f>
        <v>Posting Level</v>
      </c>
      <c r="E12099" t="str">
        <f t="shared" ref="E12099:E12162" si="189">IF(ISNA(D12099),"",IF(A12099="","",A12099) &amp; "|" &amp; D12099)</f>
        <v>TR120_70|Posting Level</v>
      </c>
    </row>
    <row r="12100" spans="1:5" x14ac:dyDescent="0.2">
      <c r="A12100" t="s">
        <v>3595</v>
      </c>
      <c r="B12100" t="s">
        <v>3549</v>
      </c>
      <c r="C12100" t="s">
        <v>331</v>
      </c>
      <c r="D12100" t="str">
        <f>VLOOKUP(C12100,'lookup table'!$A$2:$B$19,2,FALSE)</f>
        <v>FS Item</v>
      </c>
      <c r="E12100" t="str">
        <f t="shared" si="189"/>
        <v>TR201_70|FS Item</v>
      </c>
    </row>
    <row r="12101" spans="1:5" x14ac:dyDescent="0.2">
      <c r="A12101" t="s">
        <v>3595</v>
      </c>
      <c r="B12101" t="s">
        <v>3549</v>
      </c>
      <c r="C12101" t="s">
        <v>423</v>
      </c>
      <c r="D12101" t="str">
        <f>VLOOKUP(C12101,'lookup table'!$A$2:$B$19,2,FALSE)</f>
        <v>ignore</v>
      </c>
      <c r="E12101" t="str">
        <f t="shared" si="189"/>
        <v>TR201_70|ignore</v>
      </c>
    </row>
    <row r="12102" spans="1:5" x14ac:dyDescent="0.2">
      <c r="A12102" t="s">
        <v>3595</v>
      </c>
      <c r="B12102" t="s">
        <v>3549</v>
      </c>
      <c r="C12102" t="s">
        <v>438</v>
      </c>
      <c r="D12102" t="str">
        <f>VLOOKUP(C12102,'lookup table'!$A$2:$B$19,2,FALSE)</f>
        <v>ToM</v>
      </c>
      <c r="E12102" t="str">
        <f t="shared" si="189"/>
        <v>TR201_70|ToM</v>
      </c>
    </row>
    <row r="12103" spans="1:5" x14ac:dyDescent="0.2">
      <c r="A12103" t="s">
        <v>3595</v>
      </c>
      <c r="B12103" t="s">
        <v>3549</v>
      </c>
      <c r="C12103" t="s">
        <v>461</v>
      </c>
      <c r="D12103" t="str">
        <f>VLOOKUP(C12103,'lookup table'!$A$2:$B$19,2,FALSE)</f>
        <v>Posting Level</v>
      </c>
      <c r="E12103" t="str">
        <f t="shared" si="189"/>
        <v>TR201_70|Posting Level</v>
      </c>
    </row>
    <row r="12104" spans="1:5" x14ac:dyDescent="0.2">
      <c r="A12104" t="s">
        <v>3596</v>
      </c>
      <c r="B12104" t="s">
        <v>3552</v>
      </c>
      <c r="C12104" t="s">
        <v>331</v>
      </c>
      <c r="D12104" t="str">
        <f>VLOOKUP(C12104,'lookup table'!$A$2:$B$19,2,FALSE)</f>
        <v>FS Item</v>
      </c>
      <c r="E12104" t="str">
        <f t="shared" si="189"/>
        <v>TR202_70|FS Item</v>
      </c>
    </row>
    <row r="12105" spans="1:5" x14ac:dyDescent="0.2">
      <c r="A12105" t="s">
        <v>3596</v>
      </c>
      <c r="B12105" t="s">
        <v>3552</v>
      </c>
      <c r="C12105" t="s">
        <v>423</v>
      </c>
      <c r="D12105" t="str">
        <f>VLOOKUP(C12105,'lookup table'!$A$2:$B$19,2,FALSE)</f>
        <v>ignore</v>
      </c>
      <c r="E12105" t="str">
        <f t="shared" si="189"/>
        <v>TR202_70|ignore</v>
      </c>
    </row>
    <row r="12106" spans="1:5" x14ac:dyDescent="0.2">
      <c r="A12106" t="s">
        <v>3596</v>
      </c>
      <c r="B12106" t="s">
        <v>3552</v>
      </c>
      <c r="C12106" t="s">
        <v>461</v>
      </c>
      <c r="D12106" t="str">
        <f>VLOOKUP(C12106,'lookup table'!$A$2:$B$19,2,FALSE)</f>
        <v>Posting Level</v>
      </c>
      <c r="E12106" t="str">
        <f t="shared" si="189"/>
        <v>TR202_70|Posting Level</v>
      </c>
    </row>
    <row r="12107" spans="1:5" x14ac:dyDescent="0.2">
      <c r="A12107" t="s">
        <v>3597</v>
      </c>
      <c r="B12107" t="s">
        <v>3555</v>
      </c>
      <c r="C12107" t="s">
        <v>20</v>
      </c>
      <c r="D12107" t="str">
        <f>VLOOKUP(C12107,'lookup table'!$A$2:$B$19,2,FALSE)</f>
        <v>AY</v>
      </c>
      <c r="E12107" t="str">
        <f t="shared" si="189"/>
        <v>TR204_70|AY</v>
      </c>
    </row>
    <row r="12108" spans="1:5" x14ac:dyDescent="0.2">
      <c r="A12108" t="s">
        <v>3597</v>
      </c>
      <c r="B12108" t="s">
        <v>3555</v>
      </c>
      <c r="C12108" t="s">
        <v>136</v>
      </c>
      <c r="D12108" t="str">
        <f>VLOOKUP(C12108,'lookup table'!$A$2:$B$19,2,FALSE)</f>
        <v>BBA Set</v>
      </c>
      <c r="E12108" t="str">
        <f t="shared" si="189"/>
        <v>TR204_70|BBA Set</v>
      </c>
    </row>
    <row r="12109" spans="1:5" x14ac:dyDescent="0.2">
      <c r="A12109" t="s">
        <v>3597</v>
      </c>
      <c r="B12109" t="s">
        <v>3555</v>
      </c>
      <c r="C12109" t="s">
        <v>331</v>
      </c>
      <c r="D12109" t="str">
        <f>VLOOKUP(C12109,'lookup table'!$A$2:$B$19,2,FALSE)</f>
        <v>FS Item</v>
      </c>
      <c r="E12109" t="str">
        <f t="shared" si="189"/>
        <v>TR204_70|FS Item</v>
      </c>
    </row>
    <row r="12110" spans="1:5" x14ac:dyDescent="0.2">
      <c r="A12110" t="s">
        <v>3597</v>
      </c>
      <c r="B12110" t="s">
        <v>3555</v>
      </c>
      <c r="C12110" t="s">
        <v>423</v>
      </c>
      <c r="D12110" t="str">
        <f>VLOOKUP(C12110,'lookup table'!$A$2:$B$19,2,FALSE)</f>
        <v>ignore</v>
      </c>
      <c r="E12110" t="str">
        <f t="shared" si="189"/>
        <v>TR204_70|ignore</v>
      </c>
    </row>
    <row r="12111" spans="1:5" x14ac:dyDescent="0.2">
      <c r="A12111" t="s">
        <v>3597</v>
      </c>
      <c r="B12111" t="s">
        <v>3555</v>
      </c>
      <c r="C12111" t="s">
        <v>428</v>
      </c>
      <c r="D12111" t="str">
        <f>VLOOKUP(C12111,'lookup table'!$A$2:$B$19,2,FALSE)</f>
        <v>LoB</v>
      </c>
      <c r="E12111" t="str">
        <f t="shared" si="189"/>
        <v>TR204_70|LoB</v>
      </c>
    </row>
    <row r="12112" spans="1:5" x14ac:dyDescent="0.2">
      <c r="A12112" t="s">
        <v>3597</v>
      </c>
      <c r="B12112" t="s">
        <v>3555</v>
      </c>
      <c r="C12112" t="s">
        <v>441</v>
      </c>
      <c r="D12112" t="str">
        <f>VLOOKUP(C12112,'lookup table'!$A$2:$B$19,2,FALSE)</f>
        <v>Partner Segment</v>
      </c>
      <c r="E12112" t="str">
        <f t="shared" si="189"/>
        <v>TR204_70|Partner Segment</v>
      </c>
    </row>
    <row r="12113" spans="1:5" x14ac:dyDescent="0.2">
      <c r="A12113" t="s">
        <v>3597</v>
      </c>
      <c r="B12113" t="s">
        <v>3555</v>
      </c>
      <c r="C12113" t="s">
        <v>442</v>
      </c>
      <c r="D12113" t="str">
        <f>VLOOKUP(C12113,'lookup table'!$A$2:$B$19,2,FALSE)</f>
        <v>Partner Unit</v>
      </c>
      <c r="E12113" t="str">
        <f t="shared" si="189"/>
        <v>TR204_70|Partner Unit</v>
      </c>
    </row>
    <row r="12114" spans="1:5" x14ac:dyDescent="0.2">
      <c r="A12114" t="s">
        <v>3597</v>
      </c>
      <c r="B12114" t="s">
        <v>3555</v>
      </c>
      <c r="C12114" t="s">
        <v>461</v>
      </c>
      <c r="D12114" t="str">
        <f>VLOOKUP(C12114,'lookup table'!$A$2:$B$19,2,FALSE)</f>
        <v>Posting Level</v>
      </c>
      <c r="E12114" t="str">
        <f t="shared" si="189"/>
        <v>TR204_70|Posting Level</v>
      </c>
    </row>
    <row r="12115" spans="1:5" x14ac:dyDescent="0.2">
      <c r="A12115" t="s">
        <v>3598</v>
      </c>
      <c r="B12115" t="s">
        <v>3599</v>
      </c>
      <c r="C12115" t="s">
        <v>331</v>
      </c>
      <c r="D12115" t="str">
        <f>VLOOKUP(C12115,'lookup table'!$A$2:$B$19,2,FALSE)</f>
        <v>FS Item</v>
      </c>
      <c r="E12115" t="str">
        <f t="shared" si="189"/>
        <v>TR205_70|FS Item</v>
      </c>
    </row>
    <row r="12116" spans="1:5" x14ac:dyDescent="0.2">
      <c r="A12116" t="s">
        <v>3598</v>
      </c>
      <c r="B12116" t="s">
        <v>3599</v>
      </c>
      <c r="C12116" t="s">
        <v>423</v>
      </c>
      <c r="D12116" t="str">
        <f>VLOOKUP(C12116,'lookup table'!$A$2:$B$19,2,FALSE)</f>
        <v>ignore</v>
      </c>
      <c r="E12116" t="str">
        <f t="shared" si="189"/>
        <v>TR205_70|ignore</v>
      </c>
    </row>
    <row r="12117" spans="1:5" x14ac:dyDescent="0.2">
      <c r="A12117" t="s">
        <v>3598</v>
      </c>
      <c r="B12117" t="s">
        <v>3599</v>
      </c>
      <c r="C12117" t="s">
        <v>438</v>
      </c>
      <c r="D12117" t="str">
        <f>VLOOKUP(C12117,'lookup table'!$A$2:$B$19,2,FALSE)</f>
        <v>ToM</v>
      </c>
      <c r="E12117" t="str">
        <f t="shared" si="189"/>
        <v>TR205_70|ToM</v>
      </c>
    </row>
    <row r="12118" spans="1:5" x14ac:dyDescent="0.2">
      <c r="A12118" t="s">
        <v>3598</v>
      </c>
      <c r="B12118" t="s">
        <v>3599</v>
      </c>
      <c r="C12118" t="s">
        <v>461</v>
      </c>
      <c r="D12118" t="str">
        <f>VLOOKUP(C12118,'lookup table'!$A$2:$B$19,2,FALSE)</f>
        <v>Posting Level</v>
      </c>
      <c r="E12118" t="str">
        <f t="shared" si="189"/>
        <v>TR205_70|Posting Level</v>
      </c>
    </row>
    <row r="12119" spans="1:5" x14ac:dyDescent="0.2">
      <c r="A12119" t="s">
        <v>3600</v>
      </c>
      <c r="B12119" t="s">
        <v>3561</v>
      </c>
      <c r="C12119" t="s">
        <v>20</v>
      </c>
      <c r="D12119" t="str">
        <f>VLOOKUP(C12119,'lookup table'!$A$2:$B$19,2,FALSE)</f>
        <v>AY</v>
      </c>
      <c r="E12119" t="str">
        <f t="shared" si="189"/>
        <v>TR206_70|AY</v>
      </c>
    </row>
    <row r="12120" spans="1:5" x14ac:dyDescent="0.2">
      <c r="A12120" t="s">
        <v>3600</v>
      </c>
      <c r="B12120" t="s">
        <v>3561</v>
      </c>
      <c r="C12120" t="s">
        <v>331</v>
      </c>
      <c r="D12120" t="str">
        <f>VLOOKUP(C12120,'lookup table'!$A$2:$B$19,2,FALSE)</f>
        <v>FS Item</v>
      </c>
      <c r="E12120" t="str">
        <f t="shared" si="189"/>
        <v>TR206_70|FS Item</v>
      </c>
    </row>
    <row r="12121" spans="1:5" x14ac:dyDescent="0.2">
      <c r="A12121" t="s">
        <v>3600</v>
      </c>
      <c r="B12121" t="s">
        <v>3561</v>
      </c>
      <c r="C12121" t="s">
        <v>423</v>
      </c>
      <c r="D12121" t="str">
        <f>VLOOKUP(C12121,'lookup table'!$A$2:$B$19,2,FALSE)</f>
        <v>ignore</v>
      </c>
      <c r="E12121" t="str">
        <f t="shared" si="189"/>
        <v>TR206_70|ignore</v>
      </c>
    </row>
    <row r="12122" spans="1:5" x14ac:dyDescent="0.2">
      <c r="A12122" t="s">
        <v>3600</v>
      </c>
      <c r="B12122" t="s">
        <v>3561</v>
      </c>
      <c r="C12122" t="s">
        <v>428</v>
      </c>
      <c r="D12122" t="str">
        <f>VLOOKUP(C12122,'lookup table'!$A$2:$B$19,2,FALSE)</f>
        <v>LoB</v>
      </c>
      <c r="E12122" t="str">
        <f t="shared" si="189"/>
        <v>TR206_70|LoB</v>
      </c>
    </row>
    <row r="12123" spans="1:5" x14ac:dyDescent="0.2">
      <c r="A12123" t="s">
        <v>3600</v>
      </c>
      <c r="B12123" t="s">
        <v>3561</v>
      </c>
      <c r="C12123" t="s">
        <v>441</v>
      </c>
      <c r="D12123" t="str">
        <f>VLOOKUP(C12123,'lookup table'!$A$2:$B$19,2,FALSE)</f>
        <v>Partner Segment</v>
      </c>
      <c r="E12123" t="str">
        <f t="shared" si="189"/>
        <v>TR206_70|Partner Segment</v>
      </c>
    </row>
    <row r="12124" spans="1:5" x14ac:dyDescent="0.2">
      <c r="A12124" t="s">
        <v>3600</v>
      </c>
      <c r="B12124" t="s">
        <v>3561</v>
      </c>
      <c r="C12124" t="s">
        <v>442</v>
      </c>
      <c r="D12124" t="str">
        <f>VLOOKUP(C12124,'lookup table'!$A$2:$B$19,2,FALSE)</f>
        <v>Partner Unit</v>
      </c>
      <c r="E12124" t="str">
        <f t="shared" si="189"/>
        <v>TR206_70|Partner Unit</v>
      </c>
    </row>
    <row r="12125" spans="1:5" x14ac:dyDescent="0.2">
      <c r="A12125" t="s">
        <v>3600</v>
      </c>
      <c r="B12125" t="s">
        <v>3561</v>
      </c>
      <c r="C12125" t="s">
        <v>451</v>
      </c>
      <c r="D12125" t="str">
        <f>VLOOKUP(C12125,'lookup table'!$A$2:$B$19,2,FALSE)</f>
        <v>Segment</v>
      </c>
      <c r="E12125" t="str">
        <f t="shared" si="189"/>
        <v>TR206_70|Segment</v>
      </c>
    </row>
    <row r="12126" spans="1:5" x14ac:dyDescent="0.2">
      <c r="A12126" t="s">
        <v>3600</v>
      </c>
      <c r="B12126" t="s">
        <v>3561</v>
      </c>
      <c r="C12126" t="s">
        <v>461</v>
      </c>
      <c r="D12126" t="str">
        <f>VLOOKUP(C12126,'lookup table'!$A$2:$B$19,2,FALSE)</f>
        <v>Posting Level</v>
      </c>
      <c r="E12126" t="str">
        <f t="shared" si="189"/>
        <v>TR206_70|Posting Level</v>
      </c>
    </row>
    <row r="12127" spans="1:5" x14ac:dyDescent="0.2">
      <c r="A12127" t="s">
        <v>3601</v>
      </c>
      <c r="B12127" t="s">
        <v>3565</v>
      </c>
      <c r="C12127" t="s">
        <v>20</v>
      </c>
      <c r="D12127" t="str">
        <f>VLOOKUP(C12127,'lookup table'!$A$2:$B$19,2,FALSE)</f>
        <v>AY</v>
      </c>
      <c r="E12127" t="str">
        <f t="shared" si="189"/>
        <v>TR207_70|AY</v>
      </c>
    </row>
    <row r="12128" spans="1:5" x14ac:dyDescent="0.2">
      <c r="A12128" t="s">
        <v>3601</v>
      </c>
      <c r="B12128" t="s">
        <v>3565</v>
      </c>
      <c r="C12128" t="s">
        <v>331</v>
      </c>
      <c r="D12128" t="str">
        <f>VLOOKUP(C12128,'lookup table'!$A$2:$B$19,2,FALSE)</f>
        <v>FS Item</v>
      </c>
      <c r="E12128" t="str">
        <f t="shared" si="189"/>
        <v>TR207_70|FS Item</v>
      </c>
    </row>
    <row r="12129" spans="1:5" x14ac:dyDescent="0.2">
      <c r="A12129" t="s">
        <v>3601</v>
      </c>
      <c r="B12129" t="s">
        <v>3565</v>
      </c>
      <c r="C12129" t="s">
        <v>423</v>
      </c>
      <c r="D12129" t="str">
        <f>VLOOKUP(C12129,'lookup table'!$A$2:$B$19,2,FALSE)</f>
        <v>ignore</v>
      </c>
      <c r="E12129" t="str">
        <f t="shared" si="189"/>
        <v>TR207_70|ignore</v>
      </c>
    </row>
    <row r="12130" spans="1:5" x14ac:dyDescent="0.2">
      <c r="A12130" t="s">
        <v>3601</v>
      </c>
      <c r="B12130" t="s">
        <v>3565</v>
      </c>
      <c r="C12130" t="s">
        <v>428</v>
      </c>
      <c r="D12130" t="str">
        <f>VLOOKUP(C12130,'lookup table'!$A$2:$B$19,2,FALSE)</f>
        <v>LoB</v>
      </c>
      <c r="E12130" t="str">
        <f t="shared" si="189"/>
        <v>TR207_70|LoB</v>
      </c>
    </row>
    <row r="12131" spans="1:5" x14ac:dyDescent="0.2">
      <c r="A12131" t="s">
        <v>3601</v>
      </c>
      <c r="B12131" t="s">
        <v>3565</v>
      </c>
      <c r="C12131" t="s">
        <v>441</v>
      </c>
      <c r="D12131" t="str">
        <f>VLOOKUP(C12131,'lookup table'!$A$2:$B$19,2,FALSE)</f>
        <v>Partner Segment</v>
      </c>
      <c r="E12131" t="str">
        <f t="shared" si="189"/>
        <v>TR207_70|Partner Segment</v>
      </c>
    </row>
    <row r="12132" spans="1:5" x14ac:dyDescent="0.2">
      <c r="A12132" t="s">
        <v>3601</v>
      </c>
      <c r="B12132" t="s">
        <v>3565</v>
      </c>
      <c r="C12132" t="s">
        <v>442</v>
      </c>
      <c r="D12132" t="str">
        <f>VLOOKUP(C12132,'lookup table'!$A$2:$B$19,2,FALSE)</f>
        <v>Partner Unit</v>
      </c>
      <c r="E12132" t="str">
        <f t="shared" si="189"/>
        <v>TR207_70|Partner Unit</v>
      </c>
    </row>
    <row r="12133" spans="1:5" x14ac:dyDescent="0.2">
      <c r="A12133" t="s">
        <v>3601</v>
      </c>
      <c r="B12133" t="s">
        <v>3565</v>
      </c>
      <c r="C12133" t="s">
        <v>451</v>
      </c>
      <c r="D12133" t="str">
        <f>VLOOKUP(C12133,'lookup table'!$A$2:$B$19,2,FALSE)</f>
        <v>Segment</v>
      </c>
      <c r="E12133" t="str">
        <f t="shared" si="189"/>
        <v>TR207_70|Segment</v>
      </c>
    </row>
    <row r="12134" spans="1:5" x14ac:dyDescent="0.2">
      <c r="A12134" t="s">
        <v>3601</v>
      </c>
      <c r="B12134" t="s">
        <v>3565</v>
      </c>
      <c r="C12134" t="s">
        <v>461</v>
      </c>
      <c r="D12134" t="str">
        <f>VLOOKUP(C12134,'lookup table'!$A$2:$B$19,2,FALSE)</f>
        <v>Posting Level</v>
      </c>
      <c r="E12134" t="str">
        <f t="shared" si="189"/>
        <v>TR207_70|Posting Level</v>
      </c>
    </row>
    <row r="12135" spans="1:5" x14ac:dyDescent="0.2">
      <c r="A12135" t="s">
        <v>3602</v>
      </c>
      <c r="B12135" t="s">
        <v>3568</v>
      </c>
      <c r="C12135" t="s">
        <v>331</v>
      </c>
      <c r="D12135" t="str">
        <f>VLOOKUP(C12135,'lookup table'!$A$2:$B$19,2,FALSE)</f>
        <v>FS Item</v>
      </c>
      <c r="E12135" t="str">
        <f t="shared" si="189"/>
        <v>TR208_70|FS Item</v>
      </c>
    </row>
    <row r="12136" spans="1:5" x14ac:dyDescent="0.2">
      <c r="A12136" t="s">
        <v>3602</v>
      </c>
      <c r="B12136" t="s">
        <v>3568</v>
      </c>
      <c r="C12136" t="s">
        <v>423</v>
      </c>
      <c r="D12136" t="str">
        <f>VLOOKUP(C12136,'lookup table'!$A$2:$B$19,2,FALSE)</f>
        <v>ignore</v>
      </c>
      <c r="E12136" t="str">
        <f t="shared" si="189"/>
        <v>TR208_70|ignore</v>
      </c>
    </row>
    <row r="12137" spans="1:5" x14ac:dyDescent="0.2">
      <c r="A12137" t="s">
        <v>3602</v>
      </c>
      <c r="B12137" t="s">
        <v>3568</v>
      </c>
      <c r="C12137" t="s">
        <v>438</v>
      </c>
      <c r="D12137" t="str">
        <f>VLOOKUP(C12137,'lookup table'!$A$2:$B$19,2,FALSE)</f>
        <v>ToM</v>
      </c>
      <c r="E12137" t="str">
        <f t="shared" si="189"/>
        <v>TR208_70|ToM</v>
      </c>
    </row>
    <row r="12138" spans="1:5" x14ac:dyDescent="0.2">
      <c r="A12138" t="s">
        <v>3602</v>
      </c>
      <c r="B12138" t="s">
        <v>3568</v>
      </c>
      <c r="C12138" t="s">
        <v>461</v>
      </c>
      <c r="D12138" t="str">
        <f>VLOOKUP(C12138,'lookup table'!$A$2:$B$19,2,FALSE)</f>
        <v>Posting Level</v>
      </c>
      <c r="E12138" t="str">
        <f t="shared" si="189"/>
        <v>TR208_70|Posting Level</v>
      </c>
    </row>
    <row r="12139" spans="1:5" x14ac:dyDescent="0.2">
      <c r="A12139" t="s">
        <v>3603</v>
      </c>
      <c r="B12139" t="s">
        <v>3571</v>
      </c>
      <c r="C12139" t="s">
        <v>438</v>
      </c>
      <c r="D12139" t="str">
        <f>VLOOKUP(C12139,'lookup table'!$A$2:$B$19,2,FALSE)</f>
        <v>ToM</v>
      </c>
      <c r="E12139" t="str">
        <f t="shared" si="189"/>
        <v>TR209_70|ToM</v>
      </c>
    </row>
    <row r="12140" spans="1:5" x14ac:dyDescent="0.2">
      <c r="A12140" t="s">
        <v>3603</v>
      </c>
      <c r="B12140" t="s">
        <v>3571</v>
      </c>
      <c r="C12140" t="s">
        <v>461</v>
      </c>
      <c r="D12140" t="str">
        <f>VLOOKUP(C12140,'lookup table'!$A$2:$B$19,2,FALSE)</f>
        <v>Posting Level</v>
      </c>
      <c r="E12140" t="str">
        <f t="shared" si="189"/>
        <v>TR209_70|Posting Level</v>
      </c>
    </row>
    <row r="12141" spans="1:5" x14ac:dyDescent="0.2">
      <c r="A12141" t="s">
        <v>3604</v>
      </c>
      <c r="B12141" t="s">
        <v>3574</v>
      </c>
      <c r="C12141" t="s">
        <v>331</v>
      </c>
      <c r="D12141" t="str">
        <f>VLOOKUP(C12141,'lookup table'!$A$2:$B$19,2,FALSE)</f>
        <v>FS Item</v>
      </c>
      <c r="E12141" t="str">
        <f t="shared" si="189"/>
        <v>TR210_70|FS Item</v>
      </c>
    </row>
    <row r="12142" spans="1:5" x14ac:dyDescent="0.2">
      <c r="A12142" t="s">
        <v>3604</v>
      </c>
      <c r="B12142" t="s">
        <v>3574</v>
      </c>
      <c r="C12142" t="s">
        <v>423</v>
      </c>
      <c r="D12142" t="str">
        <f>VLOOKUP(C12142,'lookup table'!$A$2:$B$19,2,FALSE)</f>
        <v>ignore</v>
      </c>
      <c r="E12142" t="str">
        <f t="shared" si="189"/>
        <v>TR210_70|ignore</v>
      </c>
    </row>
    <row r="12143" spans="1:5" x14ac:dyDescent="0.2">
      <c r="A12143" t="s">
        <v>3604</v>
      </c>
      <c r="B12143" t="s">
        <v>3574</v>
      </c>
      <c r="C12143" t="s">
        <v>438</v>
      </c>
      <c r="D12143" t="str">
        <f>VLOOKUP(C12143,'lookup table'!$A$2:$B$19,2,FALSE)</f>
        <v>ToM</v>
      </c>
      <c r="E12143" t="str">
        <f t="shared" si="189"/>
        <v>TR210_70|ToM</v>
      </c>
    </row>
    <row r="12144" spans="1:5" x14ac:dyDescent="0.2">
      <c r="A12144" t="s">
        <v>3604</v>
      </c>
      <c r="B12144" t="s">
        <v>3574</v>
      </c>
      <c r="C12144" t="s">
        <v>461</v>
      </c>
      <c r="D12144" t="str">
        <f>VLOOKUP(C12144,'lookup table'!$A$2:$B$19,2,FALSE)</f>
        <v>Posting Level</v>
      </c>
      <c r="E12144" t="str">
        <f t="shared" si="189"/>
        <v>TR210_70|Posting Level</v>
      </c>
    </row>
    <row r="12145" spans="1:5" x14ac:dyDescent="0.2">
      <c r="A12145" t="s">
        <v>3605</v>
      </c>
      <c r="B12145" t="s">
        <v>3606</v>
      </c>
      <c r="C12145" t="s">
        <v>331</v>
      </c>
      <c r="D12145" t="str">
        <f>VLOOKUP(C12145,'lookup table'!$A$2:$B$19,2,FALSE)</f>
        <v>FS Item</v>
      </c>
      <c r="E12145" t="str">
        <f t="shared" si="189"/>
        <v>TR211_17|FS Item</v>
      </c>
    </row>
    <row r="12146" spans="1:5" x14ac:dyDescent="0.2">
      <c r="A12146" t="s">
        <v>3605</v>
      </c>
      <c r="B12146" t="s">
        <v>3606</v>
      </c>
      <c r="C12146" t="s">
        <v>423</v>
      </c>
      <c r="D12146" t="str">
        <f>VLOOKUP(C12146,'lookup table'!$A$2:$B$19,2,FALSE)</f>
        <v>ignore</v>
      </c>
      <c r="E12146" t="str">
        <f t="shared" si="189"/>
        <v>TR211_17|ignore</v>
      </c>
    </row>
    <row r="12147" spans="1:5" x14ac:dyDescent="0.2">
      <c r="A12147" t="s">
        <v>3605</v>
      </c>
      <c r="B12147" t="s">
        <v>3606</v>
      </c>
      <c r="C12147" t="s">
        <v>461</v>
      </c>
      <c r="D12147" t="str">
        <f>VLOOKUP(C12147,'lookup table'!$A$2:$B$19,2,FALSE)</f>
        <v>Posting Level</v>
      </c>
      <c r="E12147" t="str">
        <f t="shared" si="189"/>
        <v>TR211_17|Posting Level</v>
      </c>
    </row>
    <row r="12148" spans="1:5" x14ac:dyDescent="0.2">
      <c r="A12148" t="s">
        <v>3607</v>
      </c>
      <c r="B12148" t="s">
        <v>3577</v>
      </c>
      <c r="C12148" t="s">
        <v>331</v>
      </c>
      <c r="D12148" t="str">
        <f>VLOOKUP(C12148,'lookup table'!$A$2:$B$19,2,FALSE)</f>
        <v>FS Item</v>
      </c>
      <c r="E12148" t="str">
        <f t="shared" si="189"/>
        <v>TR211_70|FS Item</v>
      </c>
    </row>
    <row r="12149" spans="1:5" x14ac:dyDescent="0.2">
      <c r="A12149" t="s">
        <v>3607</v>
      </c>
      <c r="B12149" t="s">
        <v>3577</v>
      </c>
      <c r="C12149" t="s">
        <v>423</v>
      </c>
      <c r="D12149" t="str">
        <f>VLOOKUP(C12149,'lookup table'!$A$2:$B$19,2,FALSE)</f>
        <v>ignore</v>
      </c>
      <c r="E12149" t="str">
        <f t="shared" si="189"/>
        <v>TR211_70|ignore</v>
      </c>
    </row>
    <row r="12150" spans="1:5" x14ac:dyDescent="0.2">
      <c r="A12150" t="s">
        <v>3607</v>
      </c>
      <c r="B12150" t="s">
        <v>3577</v>
      </c>
      <c r="C12150" t="s">
        <v>461</v>
      </c>
      <c r="D12150" t="str">
        <f>VLOOKUP(C12150,'lookup table'!$A$2:$B$19,2,FALSE)</f>
        <v>Posting Level</v>
      </c>
      <c r="E12150" t="str">
        <f t="shared" si="189"/>
        <v>TR211_70|Posting Level</v>
      </c>
    </row>
    <row r="12151" spans="1:5" x14ac:dyDescent="0.2">
      <c r="A12151" t="s">
        <v>3608</v>
      </c>
      <c r="B12151" t="s">
        <v>3580</v>
      </c>
      <c r="C12151" t="s">
        <v>331</v>
      </c>
      <c r="D12151" t="str">
        <f>VLOOKUP(C12151,'lookup table'!$A$2:$B$19,2,FALSE)</f>
        <v>FS Item</v>
      </c>
      <c r="E12151" t="str">
        <f t="shared" si="189"/>
        <v>TR212_70|FS Item</v>
      </c>
    </row>
    <row r="12152" spans="1:5" x14ac:dyDescent="0.2">
      <c r="A12152" t="s">
        <v>3608</v>
      </c>
      <c r="B12152" t="s">
        <v>3580</v>
      </c>
      <c r="C12152" t="s">
        <v>423</v>
      </c>
      <c r="D12152" t="str">
        <f>VLOOKUP(C12152,'lookup table'!$A$2:$B$19,2,FALSE)</f>
        <v>ignore</v>
      </c>
      <c r="E12152" t="str">
        <f t="shared" si="189"/>
        <v>TR212_70|ignore</v>
      </c>
    </row>
    <row r="12153" spans="1:5" x14ac:dyDescent="0.2">
      <c r="A12153" t="s">
        <v>3609</v>
      </c>
      <c r="B12153" t="s">
        <v>131</v>
      </c>
      <c r="C12153" t="s">
        <v>20</v>
      </c>
      <c r="D12153" t="str">
        <f>VLOOKUP(C12153,'lookup table'!$A$2:$B$19,2,FALSE)</f>
        <v>AY</v>
      </c>
      <c r="E12153" t="str">
        <f t="shared" si="189"/>
        <v>TR216_70|AY</v>
      </c>
    </row>
    <row r="12154" spans="1:5" x14ac:dyDescent="0.2">
      <c r="A12154" t="s">
        <v>3609</v>
      </c>
      <c r="B12154" t="s">
        <v>131</v>
      </c>
      <c r="C12154" t="s">
        <v>331</v>
      </c>
      <c r="D12154" t="str">
        <f>VLOOKUP(C12154,'lookup table'!$A$2:$B$19,2,FALSE)</f>
        <v>FS Item</v>
      </c>
      <c r="E12154" t="str">
        <f t="shared" si="189"/>
        <v>TR216_70|FS Item</v>
      </c>
    </row>
    <row r="12155" spans="1:5" x14ac:dyDescent="0.2">
      <c r="A12155" t="s">
        <v>3609</v>
      </c>
      <c r="B12155" t="s">
        <v>131</v>
      </c>
      <c r="C12155" t="s">
        <v>423</v>
      </c>
      <c r="D12155" t="str">
        <f>VLOOKUP(C12155,'lookup table'!$A$2:$B$19,2,FALSE)</f>
        <v>ignore</v>
      </c>
      <c r="E12155" t="str">
        <f t="shared" si="189"/>
        <v>TR216_70|ignore</v>
      </c>
    </row>
    <row r="12156" spans="1:5" x14ac:dyDescent="0.2">
      <c r="A12156" t="s">
        <v>3609</v>
      </c>
      <c r="B12156" t="s">
        <v>131</v>
      </c>
      <c r="C12156" t="s">
        <v>428</v>
      </c>
      <c r="D12156" t="str">
        <f>VLOOKUP(C12156,'lookup table'!$A$2:$B$19,2,FALSE)</f>
        <v>LoB</v>
      </c>
      <c r="E12156" t="str">
        <f t="shared" si="189"/>
        <v>TR216_70|LoB</v>
      </c>
    </row>
    <row r="12157" spans="1:5" x14ac:dyDescent="0.2">
      <c r="A12157" t="s">
        <v>3609</v>
      </c>
      <c r="B12157" t="s">
        <v>131</v>
      </c>
      <c r="C12157" t="s">
        <v>438</v>
      </c>
      <c r="D12157" t="str">
        <f>VLOOKUP(C12157,'lookup table'!$A$2:$B$19,2,FALSE)</f>
        <v>ToM</v>
      </c>
      <c r="E12157" t="str">
        <f t="shared" si="189"/>
        <v>TR216_70|ToM</v>
      </c>
    </row>
    <row r="12158" spans="1:5" x14ac:dyDescent="0.2">
      <c r="A12158" t="s">
        <v>3609</v>
      </c>
      <c r="B12158" t="s">
        <v>131</v>
      </c>
      <c r="C12158" t="s">
        <v>441</v>
      </c>
      <c r="D12158" t="str">
        <f>VLOOKUP(C12158,'lookup table'!$A$2:$B$19,2,FALSE)</f>
        <v>Partner Segment</v>
      </c>
      <c r="E12158" t="str">
        <f t="shared" si="189"/>
        <v>TR216_70|Partner Segment</v>
      </c>
    </row>
    <row r="12159" spans="1:5" x14ac:dyDescent="0.2">
      <c r="A12159" t="s">
        <v>3609</v>
      </c>
      <c r="B12159" t="s">
        <v>131</v>
      </c>
      <c r="C12159" t="s">
        <v>442</v>
      </c>
      <c r="D12159" t="str">
        <f>VLOOKUP(C12159,'lookup table'!$A$2:$B$19,2,FALSE)</f>
        <v>Partner Unit</v>
      </c>
      <c r="E12159" t="str">
        <f t="shared" si="189"/>
        <v>TR216_70|Partner Unit</v>
      </c>
    </row>
    <row r="12160" spans="1:5" x14ac:dyDescent="0.2">
      <c r="A12160" t="s">
        <v>3609</v>
      </c>
      <c r="B12160" t="s">
        <v>131</v>
      </c>
      <c r="C12160" t="s">
        <v>451</v>
      </c>
      <c r="D12160" t="str">
        <f>VLOOKUP(C12160,'lookup table'!$A$2:$B$19,2,FALSE)</f>
        <v>Segment</v>
      </c>
      <c r="E12160" t="str">
        <f t="shared" si="189"/>
        <v>TR216_70|Segment</v>
      </c>
    </row>
    <row r="12161" spans="1:5" x14ac:dyDescent="0.2">
      <c r="A12161" t="s">
        <v>3609</v>
      </c>
      <c r="B12161" t="s">
        <v>131</v>
      </c>
      <c r="C12161" t="s">
        <v>461</v>
      </c>
      <c r="D12161" t="str">
        <f>VLOOKUP(C12161,'lookup table'!$A$2:$B$19,2,FALSE)</f>
        <v>Posting Level</v>
      </c>
      <c r="E12161" t="str">
        <f t="shared" si="189"/>
        <v>TR216_70|Posting Level</v>
      </c>
    </row>
    <row r="12162" spans="1:5" x14ac:dyDescent="0.2">
      <c r="A12162" t="s">
        <v>3610</v>
      </c>
      <c r="B12162" t="s">
        <v>130</v>
      </c>
      <c r="C12162" t="s">
        <v>20</v>
      </c>
      <c r="D12162" t="str">
        <f>VLOOKUP(C12162,'lookup table'!$A$2:$B$19,2,FALSE)</f>
        <v>AY</v>
      </c>
      <c r="E12162" t="str">
        <f t="shared" si="189"/>
        <v>TR217_70|AY</v>
      </c>
    </row>
    <row r="12163" spans="1:5" x14ac:dyDescent="0.2">
      <c r="A12163" t="s">
        <v>3610</v>
      </c>
      <c r="B12163" t="s">
        <v>130</v>
      </c>
      <c r="C12163" t="s">
        <v>331</v>
      </c>
      <c r="D12163" t="str">
        <f>VLOOKUP(C12163,'lookup table'!$A$2:$B$19,2,FALSE)</f>
        <v>FS Item</v>
      </c>
      <c r="E12163" t="str">
        <f t="shared" ref="E12163:E12226" si="190">IF(ISNA(D12163),"",IF(A12163="","",A12163) &amp; "|" &amp; D12163)</f>
        <v>TR217_70|FS Item</v>
      </c>
    </row>
    <row r="12164" spans="1:5" x14ac:dyDescent="0.2">
      <c r="A12164" t="s">
        <v>3610</v>
      </c>
      <c r="B12164" t="s">
        <v>130</v>
      </c>
      <c r="C12164" t="s">
        <v>423</v>
      </c>
      <c r="D12164" t="str">
        <f>VLOOKUP(C12164,'lookup table'!$A$2:$B$19,2,FALSE)</f>
        <v>ignore</v>
      </c>
      <c r="E12164" t="str">
        <f t="shared" si="190"/>
        <v>TR217_70|ignore</v>
      </c>
    </row>
    <row r="12165" spans="1:5" x14ac:dyDescent="0.2">
      <c r="A12165" t="s">
        <v>3610</v>
      </c>
      <c r="B12165" t="s">
        <v>130</v>
      </c>
      <c r="C12165" t="s">
        <v>428</v>
      </c>
      <c r="D12165" t="str">
        <f>VLOOKUP(C12165,'lookup table'!$A$2:$B$19,2,FALSE)</f>
        <v>LoB</v>
      </c>
      <c r="E12165" t="str">
        <f t="shared" si="190"/>
        <v>TR217_70|LoB</v>
      </c>
    </row>
    <row r="12166" spans="1:5" x14ac:dyDescent="0.2">
      <c r="A12166" t="s">
        <v>3610</v>
      </c>
      <c r="B12166" t="s">
        <v>130</v>
      </c>
      <c r="C12166" t="s">
        <v>438</v>
      </c>
      <c r="D12166" t="str">
        <f>VLOOKUP(C12166,'lookup table'!$A$2:$B$19,2,FALSE)</f>
        <v>ToM</v>
      </c>
      <c r="E12166" t="str">
        <f t="shared" si="190"/>
        <v>TR217_70|ToM</v>
      </c>
    </row>
    <row r="12167" spans="1:5" x14ac:dyDescent="0.2">
      <c r="A12167" t="s">
        <v>3610</v>
      </c>
      <c r="B12167" t="s">
        <v>130</v>
      </c>
      <c r="C12167" t="s">
        <v>441</v>
      </c>
      <c r="D12167" t="str">
        <f>VLOOKUP(C12167,'lookup table'!$A$2:$B$19,2,FALSE)</f>
        <v>Partner Segment</v>
      </c>
      <c r="E12167" t="str">
        <f t="shared" si="190"/>
        <v>TR217_70|Partner Segment</v>
      </c>
    </row>
    <row r="12168" spans="1:5" x14ac:dyDescent="0.2">
      <c r="A12168" t="s">
        <v>3610</v>
      </c>
      <c r="B12168" t="s">
        <v>130</v>
      </c>
      <c r="C12168" t="s">
        <v>442</v>
      </c>
      <c r="D12168" t="str">
        <f>VLOOKUP(C12168,'lookup table'!$A$2:$B$19,2,FALSE)</f>
        <v>Partner Unit</v>
      </c>
      <c r="E12168" t="str">
        <f t="shared" si="190"/>
        <v>TR217_70|Partner Unit</v>
      </c>
    </row>
    <row r="12169" spans="1:5" x14ac:dyDescent="0.2">
      <c r="A12169" t="s">
        <v>3610</v>
      </c>
      <c r="B12169" t="s">
        <v>130</v>
      </c>
      <c r="C12169" t="s">
        <v>451</v>
      </c>
      <c r="D12169" t="str">
        <f>VLOOKUP(C12169,'lookup table'!$A$2:$B$19,2,FALSE)</f>
        <v>Segment</v>
      </c>
      <c r="E12169" t="str">
        <f t="shared" si="190"/>
        <v>TR217_70|Segment</v>
      </c>
    </row>
    <row r="12170" spans="1:5" x14ac:dyDescent="0.2">
      <c r="A12170" t="s">
        <v>3610</v>
      </c>
      <c r="B12170" t="s">
        <v>130</v>
      </c>
      <c r="C12170" t="s">
        <v>461</v>
      </c>
      <c r="D12170" t="str">
        <f>VLOOKUP(C12170,'lookup table'!$A$2:$B$19,2,FALSE)</f>
        <v>Posting Level</v>
      </c>
      <c r="E12170" t="str">
        <f t="shared" si="190"/>
        <v>TR217_70|Posting Level</v>
      </c>
    </row>
    <row r="12171" spans="1:5" x14ac:dyDescent="0.2">
      <c r="A12171" t="s">
        <v>3611</v>
      </c>
      <c r="B12171" t="s">
        <v>3547</v>
      </c>
      <c r="C12171" t="s">
        <v>331</v>
      </c>
      <c r="D12171" t="str">
        <f>VLOOKUP(C12171,'lookup table'!$A$2:$B$19,2,FALSE)</f>
        <v>FS Item</v>
      </c>
      <c r="E12171" t="str">
        <f t="shared" si="190"/>
        <v>TR301_17|FS Item</v>
      </c>
    </row>
    <row r="12172" spans="1:5" x14ac:dyDescent="0.2">
      <c r="A12172" t="s">
        <v>3611</v>
      </c>
      <c r="B12172" t="s">
        <v>3547</v>
      </c>
      <c r="C12172" t="s">
        <v>423</v>
      </c>
      <c r="D12172" t="str">
        <f>VLOOKUP(C12172,'lookup table'!$A$2:$B$19,2,FALSE)</f>
        <v>ignore</v>
      </c>
      <c r="E12172" t="str">
        <f t="shared" si="190"/>
        <v>TR301_17|ignore</v>
      </c>
    </row>
    <row r="12173" spans="1:5" x14ac:dyDescent="0.2">
      <c r="A12173" t="s">
        <v>3611</v>
      </c>
      <c r="B12173" t="s">
        <v>3547</v>
      </c>
      <c r="C12173" t="s">
        <v>438</v>
      </c>
      <c r="D12173" t="str">
        <f>VLOOKUP(C12173,'lookup table'!$A$2:$B$19,2,FALSE)</f>
        <v>ToM</v>
      </c>
      <c r="E12173" t="str">
        <f t="shared" si="190"/>
        <v>TR301_17|ToM</v>
      </c>
    </row>
    <row r="12174" spans="1:5" x14ac:dyDescent="0.2">
      <c r="A12174" t="s">
        <v>3611</v>
      </c>
      <c r="B12174" t="s">
        <v>3547</v>
      </c>
      <c r="C12174" t="s">
        <v>449</v>
      </c>
      <c r="D12174" t="e">
        <f>VLOOKUP(C12174,'lookup table'!$A$2:$B$19,2,FALSE)</f>
        <v>#N/A</v>
      </c>
      <c r="E12174" t="str">
        <f t="shared" si="190"/>
        <v/>
      </c>
    </row>
    <row r="12175" spans="1:5" x14ac:dyDescent="0.2">
      <c r="A12175" t="s">
        <v>3611</v>
      </c>
      <c r="B12175" t="s">
        <v>3547</v>
      </c>
      <c r="C12175" t="s">
        <v>451</v>
      </c>
      <c r="D12175" t="str">
        <f>VLOOKUP(C12175,'lookup table'!$A$2:$B$19,2,FALSE)</f>
        <v>Segment</v>
      </c>
      <c r="E12175" t="str">
        <f t="shared" si="190"/>
        <v>TR301_17|Segment</v>
      </c>
    </row>
    <row r="12176" spans="1:5" x14ac:dyDescent="0.2">
      <c r="A12176" t="s">
        <v>3612</v>
      </c>
      <c r="B12176" t="s">
        <v>3613</v>
      </c>
      <c r="C12176" t="s">
        <v>331</v>
      </c>
      <c r="D12176" t="str">
        <f>VLOOKUP(C12176,'lookup table'!$A$2:$B$19,2,FALSE)</f>
        <v>FS Item</v>
      </c>
      <c r="E12176" t="str">
        <f t="shared" si="190"/>
        <v>TR301_70|FS Item</v>
      </c>
    </row>
    <row r="12177" spans="1:5" x14ac:dyDescent="0.2">
      <c r="A12177" t="s">
        <v>3612</v>
      </c>
      <c r="B12177" t="s">
        <v>3613</v>
      </c>
      <c r="C12177" t="s">
        <v>423</v>
      </c>
      <c r="D12177" t="str">
        <f>VLOOKUP(C12177,'lookup table'!$A$2:$B$19,2,FALSE)</f>
        <v>ignore</v>
      </c>
      <c r="E12177" t="str">
        <f t="shared" si="190"/>
        <v>TR301_70|ignore</v>
      </c>
    </row>
    <row r="12178" spans="1:5" x14ac:dyDescent="0.2">
      <c r="A12178" t="s">
        <v>3612</v>
      </c>
      <c r="B12178" t="s">
        <v>3613</v>
      </c>
      <c r="C12178" t="s">
        <v>438</v>
      </c>
      <c r="D12178" t="str">
        <f>VLOOKUP(C12178,'lookup table'!$A$2:$B$19,2,FALSE)</f>
        <v>ToM</v>
      </c>
      <c r="E12178" t="str">
        <f t="shared" si="190"/>
        <v>TR301_70|ToM</v>
      </c>
    </row>
    <row r="12179" spans="1:5" x14ac:dyDescent="0.2">
      <c r="A12179" t="s">
        <v>3612</v>
      </c>
      <c r="B12179" t="s">
        <v>3613</v>
      </c>
      <c r="C12179" t="s">
        <v>449</v>
      </c>
      <c r="D12179" t="e">
        <f>VLOOKUP(C12179,'lookup table'!$A$2:$B$19,2,FALSE)</f>
        <v>#N/A</v>
      </c>
      <c r="E12179" t="str">
        <f t="shared" si="190"/>
        <v/>
      </c>
    </row>
    <row r="12180" spans="1:5" x14ac:dyDescent="0.2">
      <c r="A12180" t="s">
        <v>3612</v>
      </c>
      <c r="B12180" t="s">
        <v>3613</v>
      </c>
      <c r="C12180" t="s">
        <v>461</v>
      </c>
      <c r="D12180" t="str">
        <f>VLOOKUP(C12180,'lookup table'!$A$2:$B$19,2,FALSE)</f>
        <v>Posting Level</v>
      </c>
      <c r="E12180" t="str">
        <f t="shared" si="190"/>
        <v>TR301_70|Posting Level</v>
      </c>
    </row>
    <row r="12181" spans="1:5" x14ac:dyDescent="0.2">
      <c r="A12181" t="s">
        <v>3614</v>
      </c>
      <c r="B12181" t="s">
        <v>3403</v>
      </c>
      <c r="C12181" t="s">
        <v>331</v>
      </c>
      <c r="D12181" t="str">
        <f>VLOOKUP(C12181,'lookup table'!$A$2:$B$19,2,FALSE)</f>
        <v>FS Item</v>
      </c>
      <c r="E12181" t="str">
        <f t="shared" si="190"/>
        <v>TR302_17|FS Item</v>
      </c>
    </row>
    <row r="12182" spans="1:5" x14ac:dyDescent="0.2">
      <c r="A12182" t="s">
        <v>3614</v>
      </c>
      <c r="B12182" t="s">
        <v>3403</v>
      </c>
      <c r="C12182" t="s">
        <v>423</v>
      </c>
      <c r="D12182" t="str">
        <f>VLOOKUP(C12182,'lookup table'!$A$2:$B$19,2,FALSE)</f>
        <v>ignore</v>
      </c>
      <c r="E12182" t="str">
        <f t="shared" si="190"/>
        <v>TR302_17|ignore</v>
      </c>
    </row>
    <row r="12183" spans="1:5" x14ac:dyDescent="0.2">
      <c r="A12183" t="s">
        <v>3614</v>
      </c>
      <c r="B12183" t="s">
        <v>3403</v>
      </c>
      <c r="C12183" t="s">
        <v>449</v>
      </c>
      <c r="D12183" t="e">
        <f>VLOOKUP(C12183,'lookup table'!$A$2:$B$19,2,FALSE)</f>
        <v>#N/A</v>
      </c>
      <c r="E12183" t="str">
        <f t="shared" si="190"/>
        <v/>
      </c>
    </row>
    <row r="12184" spans="1:5" x14ac:dyDescent="0.2">
      <c r="A12184" t="s">
        <v>3614</v>
      </c>
      <c r="B12184" t="s">
        <v>3403</v>
      </c>
      <c r="C12184" t="s">
        <v>451</v>
      </c>
      <c r="D12184" t="str">
        <f>VLOOKUP(C12184,'lookup table'!$A$2:$B$19,2,FALSE)</f>
        <v>Segment</v>
      </c>
      <c r="E12184" t="str">
        <f t="shared" si="190"/>
        <v>TR302_17|Segment</v>
      </c>
    </row>
    <row r="12185" spans="1:5" x14ac:dyDescent="0.2">
      <c r="A12185" t="s">
        <v>3615</v>
      </c>
      <c r="B12185" t="s">
        <v>3616</v>
      </c>
      <c r="C12185" t="s">
        <v>331</v>
      </c>
      <c r="D12185" t="str">
        <f>VLOOKUP(C12185,'lookup table'!$A$2:$B$19,2,FALSE)</f>
        <v>FS Item</v>
      </c>
      <c r="E12185" t="str">
        <f t="shared" si="190"/>
        <v>TR302_70|FS Item</v>
      </c>
    </row>
    <row r="12186" spans="1:5" x14ac:dyDescent="0.2">
      <c r="A12186" t="s">
        <v>3615</v>
      </c>
      <c r="B12186" t="s">
        <v>3616</v>
      </c>
      <c r="C12186" t="s">
        <v>423</v>
      </c>
      <c r="D12186" t="str">
        <f>VLOOKUP(C12186,'lookup table'!$A$2:$B$19,2,FALSE)</f>
        <v>ignore</v>
      </c>
      <c r="E12186" t="str">
        <f t="shared" si="190"/>
        <v>TR302_70|ignore</v>
      </c>
    </row>
    <row r="12187" spans="1:5" x14ac:dyDescent="0.2">
      <c r="A12187" t="s">
        <v>3615</v>
      </c>
      <c r="B12187" t="s">
        <v>3616</v>
      </c>
      <c r="C12187" t="s">
        <v>449</v>
      </c>
      <c r="D12187" t="e">
        <f>VLOOKUP(C12187,'lookup table'!$A$2:$B$19,2,FALSE)</f>
        <v>#N/A</v>
      </c>
      <c r="E12187" t="str">
        <f t="shared" si="190"/>
        <v/>
      </c>
    </row>
    <row r="12188" spans="1:5" x14ac:dyDescent="0.2">
      <c r="A12188" t="s">
        <v>3615</v>
      </c>
      <c r="B12188" t="s">
        <v>3616</v>
      </c>
      <c r="C12188" t="s">
        <v>461</v>
      </c>
      <c r="D12188" t="str">
        <f>VLOOKUP(C12188,'lookup table'!$A$2:$B$19,2,FALSE)</f>
        <v>Posting Level</v>
      </c>
      <c r="E12188" t="str">
        <f t="shared" si="190"/>
        <v>TR302_70|Posting Level</v>
      </c>
    </row>
    <row r="12189" spans="1:5" x14ac:dyDescent="0.2">
      <c r="A12189" t="s">
        <v>3617</v>
      </c>
      <c r="B12189" t="s">
        <v>105</v>
      </c>
      <c r="C12189" t="s">
        <v>20</v>
      </c>
      <c r="D12189" t="str">
        <f>VLOOKUP(C12189,'lookup table'!$A$2:$B$19,2,FALSE)</f>
        <v>AY</v>
      </c>
      <c r="E12189" t="str">
        <f t="shared" si="190"/>
        <v>TR304_17|AY</v>
      </c>
    </row>
    <row r="12190" spans="1:5" x14ac:dyDescent="0.2">
      <c r="A12190" t="s">
        <v>3617</v>
      </c>
      <c r="B12190" t="s">
        <v>105</v>
      </c>
      <c r="C12190" t="s">
        <v>331</v>
      </c>
      <c r="D12190" t="str">
        <f>VLOOKUP(C12190,'lookup table'!$A$2:$B$19,2,FALSE)</f>
        <v>FS Item</v>
      </c>
      <c r="E12190" t="str">
        <f t="shared" si="190"/>
        <v>TR304_17|FS Item</v>
      </c>
    </row>
    <row r="12191" spans="1:5" x14ac:dyDescent="0.2">
      <c r="A12191" t="s">
        <v>3617</v>
      </c>
      <c r="B12191" t="s">
        <v>105</v>
      </c>
      <c r="C12191" t="s">
        <v>423</v>
      </c>
      <c r="D12191" t="str">
        <f>VLOOKUP(C12191,'lookup table'!$A$2:$B$19,2,FALSE)</f>
        <v>ignore</v>
      </c>
      <c r="E12191" t="str">
        <f t="shared" si="190"/>
        <v>TR304_17|ignore</v>
      </c>
    </row>
    <row r="12192" spans="1:5" x14ac:dyDescent="0.2">
      <c r="A12192" t="s">
        <v>3617</v>
      </c>
      <c r="B12192" t="s">
        <v>105</v>
      </c>
      <c r="C12192" t="s">
        <v>428</v>
      </c>
      <c r="D12192" t="str">
        <f>VLOOKUP(C12192,'lookup table'!$A$2:$B$19,2,FALSE)</f>
        <v>LoB</v>
      </c>
      <c r="E12192" t="str">
        <f t="shared" si="190"/>
        <v>TR304_17|LoB</v>
      </c>
    </row>
    <row r="12193" spans="1:5" x14ac:dyDescent="0.2">
      <c r="A12193" t="s">
        <v>3617</v>
      </c>
      <c r="B12193" t="s">
        <v>105</v>
      </c>
      <c r="C12193" t="s">
        <v>441</v>
      </c>
      <c r="D12193" t="str">
        <f>VLOOKUP(C12193,'lookup table'!$A$2:$B$19,2,FALSE)</f>
        <v>Partner Segment</v>
      </c>
      <c r="E12193" t="str">
        <f t="shared" si="190"/>
        <v>TR304_17|Partner Segment</v>
      </c>
    </row>
    <row r="12194" spans="1:5" x14ac:dyDescent="0.2">
      <c r="A12194" t="s">
        <v>3617</v>
      </c>
      <c r="B12194" t="s">
        <v>105</v>
      </c>
      <c r="C12194" t="s">
        <v>442</v>
      </c>
      <c r="D12194" t="str">
        <f>VLOOKUP(C12194,'lookup table'!$A$2:$B$19,2,FALSE)</f>
        <v>Partner Unit</v>
      </c>
      <c r="E12194" t="str">
        <f t="shared" si="190"/>
        <v>TR304_17|Partner Unit</v>
      </c>
    </row>
    <row r="12195" spans="1:5" x14ac:dyDescent="0.2">
      <c r="A12195" t="s">
        <v>3617</v>
      </c>
      <c r="B12195" t="s">
        <v>105</v>
      </c>
      <c r="C12195" t="s">
        <v>449</v>
      </c>
      <c r="D12195" t="e">
        <f>VLOOKUP(C12195,'lookup table'!$A$2:$B$19,2,FALSE)</f>
        <v>#N/A</v>
      </c>
      <c r="E12195" t="str">
        <f t="shared" si="190"/>
        <v/>
      </c>
    </row>
    <row r="12196" spans="1:5" x14ac:dyDescent="0.2">
      <c r="A12196" t="s">
        <v>3617</v>
      </c>
      <c r="B12196" t="s">
        <v>105</v>
      </c>
      <c r="C12196" t="s">
        <v>451</v>
      </c>
      <c r="D12196" t="str">
        <f>VLOOKUP(C12196,'lookup table'!$A$2:$B$19,2,FALSE)</f>
        <v>Segment</v>
      </c>
      <c r="E12196" t="str">
        <f t="shared" si="190"/>
        <v>TR304_17|Segment</v>
      </c>
    </row>
    <row r="12197" spans="1:5" x14ac:dyDescent="0.2">
      <c r="A12197" t="s">
        <v>3617</v>
      </c>
      <c r="B12197" t="s">
        <v>105</v>
      </c>
      <c r="C12197" t="s">
        <v>461</v>
      </c>
      <c r="D12197" t="str">
        <f>VLOOKUP(C12197,'lookup table'!$A$2:$B$19,2,FALSE)</f>
        <v>Posting Level</v>
      </c>
      <c r="E12197" t="str">
        <f t="shared" si="190"/>
        <v>TR304_17|Posting Level</v>
      </c>
    </row>
    <row r="12198" spans="1:5" x14ac:dyDescent="0.2">
      <c r="A12198" t="s">
        <v>3618</v>
      </c>
      <c r="B12198" t="s">
        <v>3619</v>
      </c>
      <c r="C12198" t="s">
        <v>20</v>
      </c>
      <c r="D12198" t="str">
        <f>VLOOKUP(C12198,'lookup table'!$A$2:$B$19,2,FALSE)</f>
        <v>AY</v>
      </c>
      <c r="E12198" t="str">
        <f t="shared" si="190"/>
        <v>TR304_70|AY</v>
      </c>
    </row>
    <row r="12199" spans="1:5" x14ac:dyDescent="0.2">
      <c r="A12199" t="s">
        <v>3618</v>
      </c>
      <c r="B12199" t="s">
        <v>3619</v>
      </c>
      <c r="C12199" t="s">
        <v>136</v>
      </c>
      <c r="D12199" t="str">
        <f>VLOOKUP(C12199,'lookup table'!$A$2:$B$19,2,FALSE)</f>
        <v>BBA Set</v>
      </c>
      <c r="E12199" t="str">
        <f t="shared" si="190"/>
        <v>TR304_70|BBA Set</v>
      </c>
    </row>
    <row r="12200" spans="1:5" x14ac:dyDescent="0.2">
      <c r="A12200" t="s">
        <v>3618</v>
      </c>
      <c r="B12200" t="s">
        <v>3619</v>
      </c>
      <c r="C12200" t="s">
        <v>331</v>
      </c>
      <c r="D12200" t="str">
        <f>VLOOKUP(C12200,'lookup table'!$A$2:$B$19,2,FALSE)</f>
        <v>FS Item</v>
      </c>
      <c r="E12200" t="str">
        <f t="shared" si="190"/>
        <v>TR304_70|FS Item</v>
      </c>
    </row>
    <row r="12201" spans="1:5" x14ac:dyDescent="0.2">
      <c r="A12201" t="s">
        <v>3618</v>
      </c>
      <c r="B12201" t="s">
        <v>3619</v>
      </c>
      <c r="C12201" t="s">
        <v>423</v>
      </c>
      <c r="D12201" t="str">
        <f>VLOOKUP(C12201,'lookup table'!$A$2:$B$19,2,FALSE)</f>
        <v>ignore</v>
      </c>
      <c r="E12201" t="str">
        <f t="shared" si="190"/>
        <v>TR304_70|ignore</v>
      </c>
    </row>
    <row r="12202" spans="1:5" x14ac:dyDescent="0.2">
      <c r="A12202" t="s">
        <v>3618</v>
      </c>
      <c r="B12202" t="s">
        <v>3619</v>
      </c>
      <c r="C12202" t="s">
        <v>428</v>
      </c>
      <c r="D12202" t="str">
        <f>VLOOKUP(C12202,'lookup table'!$A$2:$B$19,2,FALSE)</f>
        <v>LoB</v>
      </c>
      <c r="E12202" t="str">
        <f t="shared" si="190"/>
        <v>TR304_70|LoB</v>
      </c>
    </row>
    <row r="12203" spans="1:5" x14ac:dyDescent="0.2">
      <c r="A12203" t="s">
        <v>3618</v>
      </c>
      <c r="B12203" t="s">
        <v>3619</v>
      </c>
      <c r="C12203" t="s">
        <v>441</v>
      </c>
      <c r="D12203" t="str">
        <f>VLOOKUP(C12203,'lookup table'!$A$2:$B$19,2,FALSE)</f>
        <v>Partner Segment</v>
      </c>
      <c r="E12203" t="str">
        <f t="shared" si="190"/>
        <v>TR304_70|Partner Segment</v>
      </c>
    </row>
    <row r="12204" spans="1:5" x14ac:dyDescent="0.2">
      <c r="A12204" t="s">
        <v>3618</v>
      </c>
      <c r="B12204" t="s">
        <v>3619</v>
      </c>
      <c r="C12204" t="s">
        <v>442</v>
      </c>
      <c r="D12204" t="str">
        <f>VLOOKUP(C12204,'lookup table'!$A$2:$B$19,2,FALSE)</f>
        <v>Partner Unit</v>
      </c>
      <c r="E12204" t="str">
        <f t="shared" si="190"/>
        <v>TR304_70|Partner Unit</v>
      </c>
    </row>
    <row r="12205" spans="1:5" x14ac:dyDescent="0.2">
      <c r="A12205" t="s">
        <v>3618</v>
      </c>
      <c r="B12205" t="s">
        <v>3619</v>
      </c>
      <c r="C12205" t="s">
        <v>449</v>
      </c>
      <c r="D12205" t="e">
        <f>VLOOKUP(C12205,'lookup table'!$A$2:$B$19,2,FALSE)</f>
        <v>#N/A</v>
      </c>
      <c r="E12205" t="str">
        <f t="shared" si="190"/>
        <v/>
      </c>
    </row>
    <row r="12206" spans="1:5" x14ac:dyDescent="0.2">
      <c r="A12206" t="s">
        <v>3618</v>
      </c>
      <c r="B12206" t="s">
        <v>3619</v>
      </c>
      <c r="C12206" t="s">
        <v>461</v>
      </c>
      <c r="D12206" t="str">
        <f>VLOOKUP(C12206,'lookup table'!$A$2:$B$19,2,FALSE)</f>
        <v>Posting Level</v>
      </c>
      <c r="E12206" t="str">
        <f t="shared" si="190"/>
        <v>TR304_70|Posting Level</v>
      </c>
    </row>
    <row r="12207" spans="1:5" x14ac:dyDescent="0.2">
      <c r="A12207" t="s">
        <v>3620</v>
      </c>
      <c r="B12207" t="s">
        <v>3410</v>
      </c>
      <c r="C12207" t="s">
        <v>331</v>
      </c>
      <c r="D12207" t="str">
        <f>VLOOKUP(C12207,'lookup table'!$A$2:$B$19,2,FALSE)</f>
        <v>FS Item</v>
      </c>
      <c r="E12207" t="str">
        <f t="shared" si="190"/>
        <v>TR305_17|FS Item</v>
      </c>
    </row>
    <row r="12208" spans="1:5" x14ac:dyDescent="0.2">
      <c r="A12208" t="s">
        <v>3620</v>
      </c>
      <c r="B12208" t="s">
        <v>3410</v>
      </c>
      <c r="C12208" t="s">
        <v>423</v>
      </c>
      <c r="D12208" t="str">
        <f>VLOOKUP(C12208,'lookup table'!$A$2:$B$19,2,FALSE)</f>
        <v>ignore</v>
      </c>
      <c r="E12208" t="str">
        <f t="shared" si="190"/>
        <v>TR305_17|ignore</v>
      </c>
    </row>
    <row r="12209" spans="1:5" x14ac:dyDescent="0.2">
      <c r="A12209" t="s">
        <v>3620</v>
      </c>
      <c r="B12209" t="s">
        <v>3410</v>
      </c>
      <c r="C12209" t="s">
        <v>438</v>
      </c>
      <c r="D12209" t="str">
        <f>VLOOKUP(C12209,'lookup table'!$A$2:$B$19,2,FALSE)</f>
        <v>ToM</v>
      </c>
      <c r="E12209" t="str">
        <f t="shared" si="190"/>
        <v>TR305_17|ToM</v>
      </c>
    </row>
    <row r="12210" spans="1:5" x14ac:dyDescent="0.2">
      <c r="A12210" t="s">
        <v>3620</v>
      </c>
      <c r="B12210" t="s">
        <v>3410</v>
      </c>
      <c r="C12210" t="s">
        <v>449</v>
      </c>
      <c r="D12210" t="e">
        <f>VLOOKUP(C12210,'lookup table'!$A$2:$B$19,2,FALSE)</f>
        <v>#N/A</v>
      </c>
      <c r="E12210" t="str">
        <f t="shared" si="190"/>
        <v/>
      </c>
    </row>
    <row r="12211" spans="1:5" x14ac:dyDescent="0.2">
      <c r="A12211" t="s">
        <v>3620</v>
      </c>
      <c r="B12211" t="s">
        <v>3410</v>
      </c>
      <c r="C12211" t="s">
        <v>451</v>
      </c>
      <c r="D12211" t="str">
        <f>VLOOKUP(C12211,'lookup table'!$A$2:$B$19,2,FALSE)</f>
        <v>Segment</v>
      </c>
      <c r="E12211" t="str">
        <f t="shared" si="190"/>
        <v>TR305_17|Segment</v>
      </c>
    </row>
    <row r="12212" spans="1:5" x14ac:dyDescent="0.2">
      <c r="A12212" t="s">
        <v>3621</v>
      </c>
      <c r="B12212" t="s">
        <v>3622</v>
      </c>
      <c r="C12212" t="s">
        <v>331</v>
      </c>
      <c r="D12212" t="str">
        <f>VLOOKUP(C12212,'lookup table'!$A$2:$B$19,2,FALSE)</f>
        <v>FS Item</v>
      </c>
      <c r="E12212" t="str">
        <f t="shared" si="190"/>
        <v>TR305_70|FS Item</v>
      </c>
    </row>
    <row r="12213" spans="1:5" x14ac:dyDescent="0.2">
      <c r="A12213" t="s">
        <v>3621</v>
      </c>
      <c r="B12213" t="s">
        <v>3622</v>
      </c>
      <c r="C12213" t="s">
        <v>423</v>
      </c>
      <c r="D12213" t="str">
        <f>VLOOKUP(C12213,'lookup table'!$A$2:$B$19,2,FALSE)</f>
        <v>ignore</v>
      </c>
      <c r="E12213" t="str">
        <f t="shared" si="190"/>
        <v>TR305_70|ignore</v>
      </c>
    </row>
    <row r="12214" spans="1:5" x14ac:dyDescent="0.2">
      <c r="A12214" t="s">
        <v>3621</v>
      </c>
      <c r="B12214" t="s">
        <v>3622</v>
      </c>
      <c r="C12214" t="s">
        <v>438</v>
      </c>
      <c r="D12214" t="str">
        <f>VLOOKUP(C12214,'lookup table'!$A$2:$B$19,2,FALSE)</f>
        <v>ToM</v>
      </c>
      <c r="E12214" t="str">
        <f t="shared" si="190"/>
        <v>TR305_70|ToM</v>
      </c>
    </row>
    <row r="12215" spans="1:5" x14ac:dyDescent="0.2">
      <c r="A12215" t="s">
        <v>3621</v>
      </c>
      <c r="B12215" t="s">
        <v>3622</v>
      </c>
      <c r="C12215" t="s">
        <v>449</v>
      </c>
      <c r="D12215" t="e">
        <f>VLOOKUP(C12215,'lookup table'!$A$2:$B$19,2,FALSE)</f>
        <v>#N/A</v>
      </c>
      <c r="E12215" t="str">
        <f t="shared" si="190"/>
        <v/>
      </c>
    </row>
    <row r="12216" spans="1:5" x14ac:dyDescent="0.2">
      <c r="A12216" t="s">
        <v>3621</v>
      </c>
      <c r="B12216" t="s">
        <v>3622</v>
      </c>
      <c r="C12216" t="s">
        <v>461</v>
      </c>
      <c r="D12216" t="str">
        <f>VLOOKUP(C12216,'lookup table'!$A$2:$B$19,2,FALSE)</f>
        <v>Posting Level</v>
      </c>
      <c r="E12216" t="str">
        <f t="shared" si="190"/>
        <v>TR305_70|Posting Level</v>
      </c>
    </row>
    <row r="12217" spans="1:5" x14ac:dyDescent="0.2">
      <c r="A12217" t="s">
        <v>3623</v>
      </c>
      <c r="B12217" t="s">
        <v>3412</v>
      </c>
      <c r="C12217" t="s">
        <v>20</v>
      </c>
      <c r="D12217" t="str">
        <f>VLOOKUP(C12217,'lookup table'!$A$2:$B$19,2,FALSE)</f>
        <v>AY</v>
      </c>
      <c r="E12217" t="str">
        <f t="shared" si="190"/>
        <v>TR306_17|AY</v>
      </c>
    </row>
    <row r="12218" spans="1:5" x14ac:dyDescent="0.2">
      <c r="A12218" t="s">
        <v>3623</v>
      </c>
      <c r="B12218" t="s">
        <v>3412</v>
      </c>
      <c r="C12218" t="s">
        <v>331</v>
      </c>
      <c r="D12218" t="str">
        <f>VLOOKUP(C12218,'lookup table'!$A$2:$B$19,2,FALSE)</f>
        <v>FS Item</v>
      </c>
      <c r="E12218" t="str">
        <f t="shared" si="190"/>
        <v>TR306_17|FS Item</v>
      </c>
    </row>
    <row r="12219" spans="1:5" x14ac:dyDescent="0.2">
      <c r="A12219" t="s">
        <v>3623</v>
      </c>
      <c r="B12219" t="s">
        <v>3412</v>
      </c>
      <c r="C12219" t="s">
        <v>423</v>
      </c>
      <c r="D12219" t="str">
        <f>VLOOKUP(C12219,'lookup table'!$A$2:$B$19,2,FALSE)</f>
        <v>ignore</v>
      </c>
      <c r="E12219" t="str">
        <f t="shared" si="190"/>
        <v>TR306_17|ignore</v>
      </c>
    </row>
    <row r="12220" spans="1:5" x14ac:dyDescent="0.2">
      <c r="A12220" t="s">
        <v>3623</v>
      </c>
      <c r="B12220" t="s">
        <v>3412</v>
      </c>
      <c r="C12220" t="s">
        <v>428</v>
      </c>
      <c r="D12220" t="str">
        <f>VLOOKUP(C12220,'lookup table'!$A$2:$B$19,2,FALSE)</f>
        <v>LoB</v>
      </c>
      <c r="E12220" t="str">
        <f t="shared" si="190"/>
        <v>TR306_17|LoB</v>
      </c>
    </row>
    <row r="12221" spans="1:5" x14ac:dyDescent="0.2">
      <c r="A12221" t="s">
        <v>3623</v>
      </c>
      <c r="B12221" t="s">
        <v>3412</v>
      </c>
      <c r="C12221" t="s">
        <v>449</v>
      </c>
      <c r="D12221" t="e">
        <f>VLOOKUP(C12221,'lookup table'!$A$2:$B$19,2,FALSE)</f>
        <v>#N/A</v>
      </c>
      <c r="E12221" t="str">
        <f t="shared" si="190"/>
        <v/>
      </c>
    </row>
    <row r="12222" spans="1:5" x14ac:dyDescent="0.2">
      <c r="A12222" t="s">
        <v>3623</v>
      </c>
      <c r="B12222" t="s">
        <v>3412</v>
      </c>
      <c r="C12222" t="s">
        <v>451</v>
      </c>
      <c r="D12222" t="str">
        <f>VLOOKUP(C12222,'lookup table'!$A$2:$B$19,2,FALSE)</f>
        <v>Segment</v>
      </c>
      <c r="E12222" t="str">
        <f t="shared" si="190"/>
        <v>TR306_17|Segment</v>
      </c>
    </row>
    <row r="12223" spans="1:5" x14ac:dyDescent="0.2">
      <c r="A12223" t="s">
        <v>3624</v>
      </c>
      <c r="B12223" t="s">
        <v>133</v>
      </c>
      <c r="C12223" t="s">
        <v>20</v>
      </c>
      <c r="D12223" t="str">
        <f>VLOOKUP(C12223,'lookup table'!$A$2:$B$19,2,FALSE)</f>
        <v>AY</v>
      </c>
      <c r="E12223" t="str">
        <f t="shared" si="190"/>
        <v>TR306_70|AY</v>
      </c>
    </row>
    <row r="12224" spans="1:5" x14ac:dyDescent="0.2">
      <c r="A12224" t="s">
        <v>3624</v>
      </c>
      <c r="B12224" t="s">
        <v>133</v>
      </c>
      <c r="C12224" t="s">
        <v>136</v>
      </c>
      <c r="D12224" t="str">
        <f>VLOOKUP(C12224,'lookup table'!$A$2:$B$19,2,FALSE)</f>
        <v>BBA Set</v>
      </c>
      <c r="E12224" t="str">
        <f t="shared" si="190"/>
        <v>TR306_70|BBA Set</v>
      </c>
    </row>
    <row r="12225" spans="1:5" x14ac:dyDescent="0.2">
      <c r="A12225" t="s">
        <v>3624</v>
      </c>
      <c r="B12225" t="s">
        <v>133</v>
      </c>
      <c r="C12225" t="s">
        <v>331</v>
      </c>
      <c r="D12225" t="str">
        <f>VLOOKUP(C12225,'lookup table'!$A$2:$B$19,2,FALSE)</f>
        <v>FS Item</v>
      </c>
      <c r="E12225" t="str">
        <f t="shared" si="190"/>
        <v>TR306_70|FS Item</v>
      </c>
    </row>
    <row r="12226" spans="1:5" x14ac:dyDescent="0.2">
      <c r="A12226" t="s">
        <v>3624</v>
      </c>
      <c r="B12226" t="s">
        <v>133</v>
      </c>
      <c r="C12226" t="s">
        <v>423</v>
      </c>
      <c r="D12226" t="str">
        <f>VLOOKUP(C12226,'lookup table'!$A$2:$B$19,2,FALSE)</f>
        <v>ignore</v>
      </c>
      <c r="E12226" t="str">
        <f t="shared" si="190"/>
        <v>TR306_70|ignore</v>
      </c>
    </row>
    <row r="12227" spans="1:5" x14ac:dyDescent="0.2">
      <c r="A12227" t="s">
        <v>3624</v>
      </c>
      <c r="B12227" t="s">
        <v>133</v>
      </c>
      <c r="C12227" t="s">
        <v>428</v>
      </c>
      <c r="D12227" t="str">
        <f>VLOOKUP(C12227,'lookup table'!$A$2:$B$19,2,FALSE)</f>
        <v>LoB</v>
      </c>
      <c r="E12227" t="str">
        <f t="shared" ref="E12227:E12290" si="191">IF(ISNA(D12227),"",IF(A12227="","",A12227) &amp; "|" &amp; D12227)</f>
        <v>TR306_70|LoB</v>
      </c>
    </row>
    <row r="12228" spans="1:5" x14ac:dyDescent="0.2">
      <c r="A12228" t="s">
        <v>3624</v>
      </c>
      <c r="B12228" t="s">
        <v>133</v>
      </c>
      <c r="C12228" t="s">
        <v>441</v>
      </c>
      <c r="D12228" t="str">
        <f>VLOOKUP(C12228,'lookup table'!$A$2:$B$19,2,FALSE)</f>
        <v>Partner Segment</v>
      </c>
      <c r="E12228" t="str">
        <f t="shared" si="191"/>
        <v>TR306_70|Partner Segment</v>
      </c>
    </row>
    <row r="12229" spans="1:5" x14ac:dyDescent="0.2">
      <c r="A12229" t="s">
        <v>3624</v>
      </c>
      <c r="B12229" t="s">
        <v>133</v>
      </c>
      <c r="C12229" t="s">
        <v>442</v>
      </c>
      <c r="D12229" t="str">
        <f>VLOOKUP(C12229,'lookup table'!$A$2:$B$19,2,FALSE)</f>
        <v>Partner Unit</v>
      </c>
      <c r="E12229" t="str">
        <f t="shared" si="191"/>
        <v>TR306_70|Partner Unit</v>
      </c>
    </row>
    <row r="12230" spans="1:5" x14ac:dyDescent="0.2">
      <c r="A12230" t="s">
        <v>3624</v>
      </c>
      <c r="B12230" t="s">
        <v>133</v>
      </c>
      <c r="C12230" t="s">
        <v>449</v>
      </c>
      <c r="D12230" t="e">
        <f>VLOOKUP(C12230,'lookup table'!$A$2:$B$19,2,FALSE)</f>
        <v>#N/A</v>
      </c>
      <c r="E12230" t="str">
        <f t="shared" si="191"/>
        <v/>
      </c>
    </row>
    <row r="12231" spans="1:5" x14ac:dyDescent="0.2">
      <c r="A12231" t="s">
        <v>3624</v>
      </c>
      <c r="B12231" t="s">
        <v>133</v>
      </c>
      <c r="C12231" t="s">
        <v>461</v>
      </c>
      <c r="D12231" t="str">
        <f>VLOOKUP(C12231,'lookup table'!$A$2:$B$19,2,FALSE)</f>
        <v>Posting Level</v>
      </c>
      <c r="E12231" t="str">
        <f t="shared" si="191"/>
        <v>TR306_70|Posting Level</v>
      </c>
    </row>
    <row r="12232" spans="1:5" x14ac:dyDescent="0.2">
      <c r="A12232" t="s">
        <v>3625</v>
      </c>
      <c r="B12232" t="s">
        <v>3563</v>
      </c>
      <c r="C12232" t="s">
        <v>20</v>
      </c>
      <c r="D12232" t="str">
        <f>VLOOKUP(C12232,'lookup table'!$A$2:$B$19,2,FALSE)</f>
        <v>AY</v>
      </c>
      <c r="E12232" t="str">
        <f t="shared" si="191"/>
        <v>TR307_17|AY</v>
      </c>
    </row>
    <row r="12233" spans="1:5" x14ac:dyDescent="0.2">
      <c r="A12233" t="s">
        <v>3625</v>
      </c>
      <c r="B12233" t="s">
        <v>3563</v>
      </c>
      <c r="C12233" t="s">
        <v>331</v>
      </c>
      <c r="D12233" t="str">
        <f>VLOOKUP(C12233,'lookup table'!$A$2:$B$19,2,FALSE)</f>
        <v>FS Item</v>
      </c>
      <c r="E12233" t="str">
        <f t="shared" si="191"/>
        <v>TR307_17|FS Item</v>
      </c>
    </row>
    <row r="12234" spans="1:5" x14ac:dyDescent="0.2">
      <c r="A12234" t="s">
        <v>3625</v>
      </c>
      <c r="B12234" t="s">
        <v>3563</v>
      </c>
      <c r="C12234" t="s">
        <v>423</v>
      </c>
      <c r="D12234" t="str">
        <f>VLOOKUP(C12234,'lookup table'!$A$2:$B$19,2,FALSE)</f>
        <v>ignore</v>
      </c>
      <c r="E12234" t="str">
        <f t="shared" si="191"/>
        <v>TR307_17|ignore</v>
      </c>
    </row>
    <row r="12235" spans="1:5" x14ac:dyDescent="0.2">
      <c r="A12235" t="s">
        <v>3625</v>
      </c>
      <c r="B12235" t="s">
        <v>3563</v>
      </c>
      <c r="C12235" t="s">
        <v>428</v>
      </c>
      <c r="D12235" t="str">
        <f>VLOOKUP(C12235,'lookup table'!$A$2:$B$19,2,FALSE)</f>
        <v>LoB</v>
      </c>
      <c r="E12235" t="str">
        <f t="shared" si="191"/>
        <v>TR307_17|LoB</v>
      </c>
    </row>
    <row r="12236" spans="1:5" x14ac:dyDescent="0.2">
      <c r="A12236" t="s">
        <v>3625</v>
      </c>
      <c r="B12236" t="s">
        <v>3563</v>
      </c>
      <c r="C12236" t="s">
        <v>449</v>
      </c>
      <c r="D12236" t="e">
        <f>VLOOKUP(C12236,'lookup table'!$A$2:$B$19,2,FALSE)</f>
        <v>#N/A</v>
      </c>
      <c r="E12236" t="str">
        <f t="shared" si="191"/>
        <v/>
      </c>
    </row>
    <row r="12237" spans="1:5" x14ac:dyDescent="0.2">
      <c r="A12237" t="s">
        <v>3625</v>
      </c>
      <c r="B12237" t="s">
        <v>3563</v>
      </c>
      <c r="C12237" t="s">
        <v>451</v>
      </c>
      <c r="D12237" t="str">
        <f>VLOOKUP(C12237,'lookup table'!$A$2:$B$19,2,FALSE)</f>
        <v>Segment</v>
      </c>
      <c r="E12237" t="str">
        <f t="shared" si="191"/>
        <v>TR307_17|Segment</v>
      </c>
    </row>
    <row r="12238" spans="1:5" x14ac:dyDescent="0.2">
      <c r="A12238" t="s">
        <v>3626</v>
      </c>
      <c r="B12238" t="s">
        <v>134</v>
      </c>
      <c r="C12238" t="s">
        <v>20</v>
      </c>
      <c r="D12238" t="str">
        <f>VLOOKUP(C12238,'lookup table'!$A$2:$B$19,2,FALSE)</f>
        <v>AY</v>
      </c>
      <c r="E12238" t="str">
        <f t="shared" si="191"/>
        <v>TR307_70|AY</v>
      </c>
    </row>
    <row r="12239" spans="1:5" x14ac:dyDescent="0.2">
      <c r="A12239" t="s">
        <v>3626</v>
      </c>
      <c r="B12239" t="s">
        <v>134</v>
      </c>
      <c r="C12239" t="s">
        <v>136</v>
      </c>
      <c r="D12239" t="str">
        <f>VLOOKUP(C12239,'lookup table'!$A$2:$B$19,2,FALSE)</f>
        <v>BBA Set</v>
      </c>
      <c r="E12239" t="str">
        <f t="shared" si="191"/>
        <v>TR307_70|BBA Set</v>
      </c>
    </row>
    <row r="12240" spans="1:5" x14ac:dyDescent="0.2">
      <c r="A12240" t="s">
        <v>3626</v>
      </c>
      <c r="B12240" t="s">
        <v>134</v>
      </c>
      <c r="C12240" t="s">
        <v>331</v>
      </c>
      <c r="D12240" t="str">
        <f>VLOOKUP(C12240,'lookup table'!$A$2:$B$19,2,FALSE)</f>
        <v>FS Item</v>
      </c>
      <c r="E12240" t="str">
        <f t="shared" si="191"/>
        <v>TR307_70|FS Item</v>
      </c>
    </row>
    <row r="12241" spans="1:5" x14ac:dyDescent="0.2">
      <c r="A12241" t="s">
        <v>3626</v>
      </c>
      <c r="B12241" t="s">
        <v>134</v>
      </c>
      <c r="C12241" t="s">
        <v>423</v>
      </c>
      <c r="D12241" t="str">
        <f>VLOOKUP(C12241,'lookup table'!$A$2:$B$19,2,FALSE)</f>
        <v>ignore</v>
      </c>
      <c r="E12241" t="str">
        <f t="shared" si="191"/>
        <v>TR307_70|ignore</v>
      </c>
    </row>
    <row r="12242" spans="1:5" x14ac:dyDescent="0.2">
      <c r="A12242" t="s">
        <v>3626</v>
      </c>
      <c r="B12242" t="s">
        <v>134</v>
      </c>
      <c r="C12242" t="s">
        <v>428</v>
      </c>
      <c r="D12242" t="str">
        <f>VLOOKUP(C12242,'lookup table'!$A$2:$B$19,2,FALSE)</f>
        <v>LoB</v>
      </c>
      <c r="E12242" t="str">
        <f t="shared" si="191"/>
        <v>TR307_70|LoB</v>
      </c>
    </row>
    <row r="12243" spans="1:5" x14ac:dyDescent="0.2">
      <c r="A12243" t="s">
        <v>3626</v>
      </c>
      <c r="B12243" t="s">
        <v>134</v>
      </c>
      <c r="C12243" t="s">
        <v>441</v>
      </c>
      <c r="D12243" t="str">
        <f>VLOOKUP(C12243,'lookup table'!$A$2:$B$19,2,FALSE)</f>
        <v>Partner Segment</v>
      </c>
      <c r="E12243" t="str">
        <f t="shared" si="191"/>
        <v>TR307_70|Partner Segment</v>
      </c>
    </row>
    <row r="12244" spans="1:5" x14ac:dyDescent="0.2">
      <c r="A12244" t="s">
        <v>3626</v>
      </c>
      <c r="B12244" t="s">
        <v>134</v>
      </c>
      <c r="C12244" t="s">
        <v>442</v>
      </c>
      <c r="D12244" t="str">
        <f>VLOOKUP(C12244,'lookup table'!$A$2:$B$19,2,FALSE)</f>
        <v>Partner Unit</v>
      </c>
      <c r="E12244" t="str">
        <f t="shared" si="191"/>
        <v>TR307_70|Partner Unit</v>
      </c>
    </row>
    <row r="12245" spans="1:5" x14ac:dyDescent="0.2">
      <c r="A12245" t="s">
        <v>3626</v>
      </c>
      <c r="B12245" t="s">
        <v>134</v>
      </c>
      <c r="C12245" t="s">
        <v>449</v>
      </c>
      <c r="D12245" t="e">
        <f>VLOOKUP(C12245,'lookup table'!$A$2:$B$19,2,FALSE)</f>
        <v>#N/A</v>
      </c>
      <c r="E12245" t="str">
        <f t="shared" si="191"/>
        <v/>
      </c>
    </row>
    <row r="12246" spans="1:5" x14ac:dyDescent="0.2">
      <c r="A12246" t="s">
        <v>3626</v>
      </c>
      <c r="B12246" t="s">
        <v>134</v>
      </c>
      <c r="C12246" t="s">
        <v>461</v>
      </c>
      <c r="D12246" t="str">
        <f>VLOOKUP(C12246,'lookup table'!$A$2:$B$19,2,FALSE)</f>
        <v>Posting Level</v>
      </c>
      <c r="E12246" t="str">
        <f t="shared" si="191"/>
        <v>TR307_70|Posting Level</v>
      </c>
    </row>
    <row r="12247" spans="1:5" x14ac:dyDescent="0.2">
      <c r="A12247" t="s">
        <v>3627</v>
      </c>
      <c r="B12247" t="s">
        <v>3420</v>
      </c>
      <c r="C12247" t="s">
        <v>20</v>
      </c>
      <c r="D12247" t="str">
        <f>VLOOKUP(C12247,'lookup table'!$A$2:$B$19,2,FALSE)</f>
        <v>AY</v>
      </c>
      <c r="E12247" t="str">
        <f t="shared" si="191"/>
        <v>TR308_17|AY</v>
      </c>
    </row>
    <row r="12248" spans="1:5" x14ac:dyDescent="0.2">
      <c r="A12248" t="s">
        <v>3627</v>
      </c>
      <c r="B12248" t="s">
        <v>3420</v>
      </c>
      <c r="C12248" t="s">
        <v>136</v>
      </c>
      <c r="D12248" t="str">
        <f>VLOOKUP(C12248,'lookup table'!$A$2:$B$19,2,FALSE)</f>
        <v>BBA Set</v>
      </c>
      <c r="E12248" t="str">
        <f t="shared" si="191"/>
        <v>TR308_17|BBA Set</v>
      </c>
    </row>
    <row r="12249" spans="1:5" x14ac:dyDescent="0.2">
      <c r="A12249" t="s">
        <v>3627</v>
      </c>
      <c r="B12249" t="s">
        <v>3420</v>
      </c>
      <c r="C12249" t="s">
        <v>331</v>
      </c>
      <c r="D12249" t="str">
        <f>VLOOKUP(C12249,'lookup table'!$A$2:$B$19,2,FALSE)</f>
        <v>FS Item</v>
      </c>
      <c r="E12249" t="str">
        <f t="shared" si="191"/>
        <v>TR308_17|FS Item</v>
      </c>
    </row>
    <row r="12250" spans="1:5" x14ac:dyDescent="0.2">
      <c r="A12250" t="s">
        <v>3627</v>
      </c>
      <c r="B12250" t="s">
        <v>3420</v>
      </c>
      <c r="C12250" t="s">
        <v>423</v>
      </c>
      <c r="D12250" t="str">
        <f>VLOOKUP(C12250,'lookup table'!$A$2:$B$19,2,FALSE)</f>
        <v>ignore</v>
      </c>
      <c r="E12250" t="str">
        <f t="shared" si="191"/>
        <v>TR308_17|ignore</v>
      </c>
    </row>
    <row r="12251" spans="1:5" x14ac:dyDescent="0.2">
      <c r="A12251" t="s">
        <v>3627</v>
      </c>
      <c r="B12251" t="s">
        <v>3420</v>
      </c>
      <c r="C12251" t="s">
        <v>425</v>
      </c>
      <c r="D12251" t="str">
        <f>VLOOKUP(C12251,'lookup table'!$A$2:$B$19,2,FALSE)</f>
        <v>Investee Segment</v>
      </c>
      <c r="E12251" t="str">
        <f t="shared" si="191"/>
        <v>TR308_17|Investee Segment</v>
      </c>
    </row>
    <row r="12252" spans="1:5" x14ac:dyDescent="0.2">
      <c r="A12252" t="s">
        <v>3627</v>
      </c>
      <c r="B12252" t="s">
        <v>3420</v>
      </c>
      <c r="C12252" t="s">
        <v>426</v>
      </c>
      <c r="D12252" t="str">
        <f>VLOOKUP(C12252,'lookup table'!$A$2:$B$19,2,FALSE)</f>
        <v>Investee Unit</v>
      </c>
      <c r="E12252" t="str">
        <f t="shared" si="191"/>
        <v>TR308_17|Investee Unit</v>
      </c>
    </row>
    <row r="12253" spans="1:5" x14ac:dyDescent="0.2">
      <c r="A12253" t="s">
        <v>3627</v>
      </c>
      <c r="B12253" t="s">
        <v>3420</v>
      </c>
      <c r="C12253" t="s">
        <v>428</v>
      </c>
      <c r="D12253" t="str">
        <f>VLOOKUP(C12253,'lookup table'!$A$2:$B$19,2,FALSE)</f>
        <v>LoB</v>
      </c>
      <c r="E12253" t="str">
        <f t="shared" si="191"/>
        <v>TR308_17|LoB</v>
      </c>
    </row>
    <row r="12254" spans="1:5" x14ac:dyDescent="0.2">
      <c r="A12254" t="s">
        <v>3627</v>
      </c>
      <c r="B12254" t="s">
        <v>3420</v>
      </c>
      <c r="C12254" t="s">
        <v>438</v>
      </c>
      <c r="D12254" t="str">
        <f>VLOOKUP(C12254,'lookup table'!$A$2:$B$19,2,FALSE)</f>
        <v>ToM</v>
      </c>
      <c r="E12254" t="str">
        <f t="shared" si="191"/>
        <v>TR308_17|ToM</v>
      </c>
    </row>
    <row r="12255" spans="1:5" x14ac:dyDescent="0.2">
      <c r="A12255" t="s">
        <v>3627</v>
      </c>
      <c r="B12255" t="s">
        <v>3420</v>
      </c>
      <c r="C12255" t="s">
        <v>441</v>
      </c>
      <c r="D12255" t="str">
        <f>VLOOKUP(C12255,'lookup table'!$A$2:$B$19,2,FALSE)</f>
        <v>Partner Segment</v>
      </c>
      <c r="E12255" t="str">
        <f t="shared" si="191"/>
        <v>TR308_17|Partner Segment</v>
      </c>
    </row>
    <row r="12256" spans="1:5" x14ac:dyDescent="0.2">
      <c r="A12256" t="s">
        <v>3627</v>
      </c>
      <c r="B12256" t="s">
        <v>3420</v>
      </c>
      <c r="C12256" t="s">
        <v>442</v>
      </c>
      <c r="D12256" t="str">
        <f>VLOOKUP(C12256,'lookup table'!$A$2:$B$19,2,FALSE)</f>
        <v>Partner Unit</v>
      </c>
      <c r="E12256" t="str">
        <f t="shared" si="191"/>
        <v>TR308_17|Partner Unit</v>
      </c>
    </row>
    <row r="12257" spans="1:5" x14ac:dyDescent="0.2">
      <c r="A12257" t="s">
        <v>3627</v>
      </c>
      <c r="B12257" t="s">
        <v>3420</v>
      </c>
      <c r="C12257" t="s">
        <v>449</v>
      </c>
      <c r="D12257" t="e">
        <f>VLOOKUP(C12257,'lookup table'!$A$2:$B$19,2,FALSE)</f>
        <v>#N/A</v>
      </c>
      <c r="E12257" t="str">
        <f t="shared" si="191"/>
        <v/>
      </c>
    </row>
    <row r="12258" spans="1:5" x14ac:dyDescent="0.2">
      <c r="A12258" t="s">
        <v>3627</v>
      </c>
      <c r="B12258" t="s">
        <v>3420</v>
      </c>
      <c r="C12258" t="s">
        <v>451</v>
      </c>
      <c r="D12258" t="str">
        <f>VLOOKUP(C12258,'lookup table'!$A$2:$B$19,2,FALSE)</f>
        <v>Segment</v>
      </c>
      <c r="E12258" t="str">
        <f t="shared" si="191"/>
        <v>TR308_17|Segment</v>
      </c>
    </row>
    <row r="12259" spans="1:5" x14ac:dyDescent="0.2">
      <c r="A12259" t="s">
        <v>3628</v>
      </c>
      <c r="B12259" t="s">
        <v>416</v>
      </c>
      <c r="C12259" t="s">
        <v>331</v>
      </c>
      <c r="D12259" t="str">
        <f>VLOOKUP(C12259,'lookup table'!$A$2:$B$19,2,FALSE)</f>
        <v>FS Item</v>
      </c>
      <c r="E12259" t="str">
        <f t="shared" si="191"/>
        <v>TR308_70|FS Item</v>
      </c>
    </row>
    <row r="12260" spans="1:5" x14ac:dyDescent="0.2">
      <c r="A12260" t="s">
        <v>3628</v>
      </c>
      <c r="B12260" t="s">
        <v>416</v>
      </c>
      <c r="C12260" t="s">
        <v>423</v>
      </c>
      <c r="D12260" t="str">
        <f>VLOOKUP(C12260,'lookup table'!$A$2:$B$19,2,FALSE)</f>
        <v>ignore</v>
      </c>
      <c r="E12260" t="str">
        <f t="shared" si="191"/>
        <v>TR308_70|ignore</v>
      </c>
    </row>
    <row r="12261" spans="1:5" x14ac:dyDescent="0.2">
      <c r="A12261" t="s">
        <v>3628</v>
      </c>
      <c r="B12261" t="s">
        <v>416</v>
      </c>
      <c r="C12261" t="s">
        <v>438</v>
      </c>
      <c r="D12261" t="str">
        <f>VLOOKUP(C12261,'lookup table'!$A$2:$B$19,2,FALSE)</f>
        <v>ToM</v>
      </c>
      <c r="E12261" t="str">
        <f t="shared" si="191"/>
        <v>TR308_70|ToM</v>
      </c>
    </row>
    <row r="12262" spans="1:5" x14ac:dyDescent="0.2">
      <c r="A12262" t="s">
        <v>3628</v>
      </c>
      <c r="B12262" t="s">
        <v>416</v>
      </c>
      <c r="C12262" t="s">
        <v>449</v>
      </c>
      <c r="D12262" t="e">
        <f>VLOOKUP(C12262,'lookup table'!$A$2:$B$19,2,FALSE)</f>
        <v>#N/A</v>
      </c>
      <c r="E12262" t="str">
        <f t="shared" si="191"/>
        <v/>
      </c>
    </row>
    <row r="12263" spans="1:5" x14ac:dyDescent="0.2">
      <c r="A12263" t="s">
        <v>3628</v>
      </c>
      <c r="B12263" t="s">
        <v>416</v>
      </c>
      <c r="C12263" t="s">
        <v>461</v>
      </c>
      <c r="D12263" t="str">
        <f>VLOOKUP(C12263,'lookup table'!$A$2:$B$19,2,FALSE)</f>
        <v>Posting Level</v>
      </c>
      <c r="E12263" t="str">
        <f t="shared" si="191"/>
        <v>TR308_70|Posting Level</v>
      </c>
    </row>
    <row r="12264" spans="1:5" x14ac:dyDescent="0.2">
      <c r="A12264" t="s">
        <v>3629</v>
      </c>
      <c r="B12264" t="s">
        <v>3424</v>
      </c>
      <c r="C12264" t="s">
        <v>331</v>
      </c>
      <c r="D12264" t="str">
        <f>VLOOKUP(C12264,'lookup table'!$A$2:$B$19,2,FALSE)</f>
        <v>FS Item</v>
      </c>
      <c r="E12264" t="str">
        <f t="shared" si="191"/>
        <v>TR309_17|FS Item</v>
      </c>
    </row>
    <row r="12265" spans="1:5" x14ac:dyDescent="0.2">
      <c r="A12265" t="s">
        <v>3629</v>
      </c>
      <c r="B12265" t="s">
        <v>3424</v>
      </c>
      <c r="C12265" t="s">
        <v>423</v>
      </c>
      <c r="D12265" t="str">
        <f>VLOOKUP(C12265,'lookup table'!$A$2:$B$19,2,FALSE)</f>
        <v>ignore</v>
      </c>
      <c r="E12265" t="str">
        <f t="shared" si="191"/>
        <v>TR309_17|ignore</v>
      </c>
    </row>
    <row r="12266" spans="1:5" x14ac:dyDescent="0.2">
      <c r="A12266" t="s">
        <v>3629</v>
      </c>
      <c r="B12266" t="s">
        <v>3424</v>
      </c>
      <c r="C12266" t="s">
        <v>438</v>
      </c>
      <c r="D12266" t="str">
        <f>VLOOKUP(C12266,'lookup table'!$A$2:$B$19,2,FALSE)</f>
        <v>ToM</v>
      </c>
      <c r="E12266" t="str">
        <f t="shared" si="191"/>
        <v>TR309_17|ToM</v>
      </c>
    </row>
    <row r="12267" spans="1:5" x14ac:dyDescent="0.2">
      <c r="A12267" t="s">
        <v>3629</v>
      </c>
      <c r="B12267" t="s">
        <v>3424</v>
      </c>
      <c r="C12267" t="s">
        <v>449</v>
      </c>
      <c r="D12267" t="e">
        <f>VLOOKUP(C12267,'lookup table'!$A$2:$B$19,2,FALSE)</f>
        <v>#N/A</v>
      </c>
      <c r="E12267" t="str">
        <f t="shared" si="191"/>
        <v/>
      </c>
    </row>
    <row r="12268" spans="1:5" x14ac:dyDescent="0.2">
      <c r="A12268" t="s">
        <v>3629</v>
      </c>
      <c r="B12268" t="s">
        <v>3424</v>
      </c>
      <c r="C12268" t="s">
        <v>461</v>
      </c>
      <c r="D12268" t="str">
        <f>VLOOKUP(C12268,'lookup table'!$A$2:$B$19,2,FALSE)</f>
        <v>Posting Level</v>
      </c>
      <c r="E12268" t="str">
        <f t="shared" si="191"/>
        <v>TR309_17|Posting Level</v>
      </c>
    </row>
    <row r="12269" spans="1:5" x14ac:dyDescent="0.2">
      <c r="A12269" t="s">
        <v>3630</v>
      </c>
      <c r="B12269" t="s">
        <v>3631</v>
      </c>
      <c r="C12269" t="s">
        <v>331</v>
      </c>
      <c r="D12269" t="str">
        <f>VLOOKUP(C12269,'lookup table'!$A$2:$B$19,2,FALSE)</f>
        <v>FS Item</v>
      </c>
      <c r="E12269" t="str">
        <f t="shared" si="191"/>
        <v>TR309_70|FS Item</v>
      </c>
    </row>
    <row r="12270" spans="1:5" x14ac:dyDescent="0.2">
      <c r="A12270" t="s">
        <v>3630</v>
      </c>
      <c r="B12270" t="s">
        <v>3631</v>
      </c>
      <c r="C12270" t="s">
        <v>423</v>
      </c>
      <c r="D12270" t="str">
        <f>VLOOKUP(C12270,'lookup table'!$A$2:$B$19,2,FALSE)</f>
        <v>ignore</v>
      </c>
      <c r="E12270" t="str">
        <f t="shared" si="191"/>
        <v>TR309_70|ignore</v>
      </c>
    </row>
    <row r="12271" spans="1:5" x14ac:dyDescent="0.2">
      <c r="A12271" t="s">
        <v>3630</v>
      </c>
      <c r="B12271" t="s">
        <v>3631</v>
      </c>
      <c r="C12271" t="s">
        <v>438</v>
      </c>
      <c r="D12271" t="str">
        <f>VLOOKUP(C12271,'lookup table'!$A$2:$B$19,2,FALSE)</f>
        <v>ToM</v>
      </c>
      <c r="E12271" t="str">
        <f t="shared" si="191"/>
        <v>TR309_70|ToM</v>
      </c>
    </row>
    <row r="12272" spans="1:5" x14ac:dyDescent="0.2">
      <c r="A12272" t="s">
        <v>3630</v>
      </c>
      <c r="B12272" t="s">
        <v>3631</v>
      </c>
      <c r="C12272" t="s">
        <v>449</v>
      </c>
      <c r="D12272" t="e">
        <f>VLOOKUP(C12272,'lookup table'!$A$2:$B$19,2,FALSE)</f>
        <v>#N/A</v>
      </c>
      <c r="E12272" t="str">
        <f t="shared" si="191"/>
        <v/>
      </c>
    </row>
    <row r="12273" spans="1:5" x14ac:dyDescent="0.2">
      <c r="A12273" t="s">
        <v>3630</v>
      </c>
      <c r="B12273" t="s">
        <v>3631</v>
      </c>
      <c r="C12273" t="s">
        <v>461</v>
      </c>
      <c r="D12273" t="str">
        <f>VLOOKUP(C12273,'lookup table'!$A$2:$B$19,2,FALSE)</f>
        <v>Posting Level</v>
      </c>
      <c r="E12273" t="str">
        <f t="shared" si="191"/>
        <v>TR309_70|Posting Level</v>
      </c>
    </row>
    <row r="12274" spans="1:5" x14ac:dyDescent="0.2">
      <c r="A12274" t="s">
        <v>3632</v>
      </c>
      <c r="B12274" t="s">
        <v>3430</v>
      </c>
      <c r="C12274" t="s">
        <v>20</v>
      </c>
      <c r="D12274" t="str">
        <f>VLOOKUP(C12274,'lookup table'!$A$2:$B$19,2,FALSE)</f>
        <v>AY</v>
      </c>
      <c r="E12274" t="str">
        <f t="shared" si="191"/>
        <v>TR310_17|AY</v>
      </c>
    </row>
    <row r="12275" spans="1:5" x14ac:dyDescent="0.2">
      <c r="A12275" t="s">
        <v>3632</v>
      </c>
      <c r="B12275" t="s">
        <v>3430</v>
      </c>
      <c r="C12275" t="s">
        <v>331</v>
      </c>
      <c r="D12275" t="str">
        <f>VLOOKUP(C12275,'lookup table'!$A$2:$B$19,2,FALSE)</f>
        <v>FS Item</v>
      </c>
      <c r="E12275" t="str">
        <f t="shared" si="191"/>
        <v>TR310_17|FS Item</v>
      </c>
    </row>
    <row r="12276" spans="1:5" x14ac:dyDescent="0.2">
      <c r="A12276" t="s">
        <v>3632</v>
      </c>
      <c r="B12276" t="s">
        <v>3430</v>
      </c>
      <c r="C12276" t="s">
        <v>423</v>
      </c>
      <c r="D12276" t="str">
        <f>VLOOKUP(C12276,'lookup table'!$A$2:$B$19,2,FALSE)</f>
        <v>ignore</v>
      </c>
      <c r="E12276" t="str">
        <f t="shared" si="191"/>
        <v>TR310_17|ignore</v>
      </c>
    </row>
    <row r="12277" spans="1:5" x14ac:dyDescent="0.2">
      <c r="A12277" t="s">
        <v>3632</v>
      </c>
      <c r="B12277" t="s">
        <v>3430</v>
      </c>
      <c r="C12277" t="s">
        <v>428</v>
      </c>
      <c r="D12277" t="str">
        <f>VLOOKUP(C12277,'lookup table'!$A$2:$B$19,2,FALSE)</f>
        <v>LoB</v>
      </c>
      <c r="E12277" t="str">
        <f t="shared" si="191"/>
        <v>TR310_17|LoB</v>
      </c>
    </row>
    <row r="12278" spans="1:5" x14ac:dyDescent="0.2">
      <c r="A12278" t="s">
        <v>3632</v>
      </c>
      <c r="B12278" t="s">
        <v>3430</v>
      </c>
      <c r="C12278" t="s">
        <v>438</v>
      </c>
      <c r="D12278" t="str">
        <f>VLOOKUP(C12278,'lookup table'!$A$2:$B$19,2,FALSE)</f>
        <v>ToM</v>
      </c>
      <c r="E12278" t="str">
        <f t="shared" si="191"/>
        <v>TR310_17|ToM</v>
      </c>
    </row>
    <row r="12279" spans="1:5" x14ac:dyDescent="0.2">
      <c r="A12279" t="s">
        <v>3632</v>
      </c>
      <c r="B12279" t="s">
        <v>3430</v>
      </c>
      <c r="C12279" t="s">
        <v>449</v>
      </c>
      <c r="D12279" t="e">
        <f>VLOOKUP(C12279,'lookup table'!$A$2:$B$19,2,FALSE)</f>
        <v>#N/A</v>
      </c>
      <c r="E12279" t="str">
        <f t="shared" si="191"/>
        <v/>
      </c>
    </row>
    <row r="12280" spans="1:5" x14ac:dyDescent="0.2">
      <c r="A12280" t="s">
        <v>3632</v>
      </c>
      <c r="B12280" t="s">
        <v>3430</v>
      </c>
      <c r="C12280" t="s">
        <v>451</v>
      </c>
      <c r="D12280" t="str">
        <f>VLOOKUP(C12280,'lookup table'!$A$2:$B$19,2,FALSE)</f>
        <v>Segment</v>
      </c>
      <c r="E12280" t="str">
        <f t="shared" si="191"/>
        <v>TR310_17|Segment</v>
      </c>
    </row>
    <row r="12281" spans="1:5" x14ac:dyDescent="0.2">
      <c r="A12281" t="s">
        <v>3633</v>
      </c>
      <c r="B12281" t="s">
        <v>417</v>
      </c>
      <c r="C12281" t="s">
        <v>331</v>
      </c>
      <c r="D12281" t="str">
        <f>VLOOKUP(C12281,'lookup table'!$A$2:$B$19,2,FALSE)</f>
        <v>FS Item</v>
      </c>
      <c r="E12281" t="str">
        <f t="shared" si="191"/>
        <v>TR310_70|FS Item</v>
      </c>
    </row>
    <row r="12282" spans="1:5" x14ac:dyDescent="0.2">
      <c r="A12282" t="s">
        <v>3633</v>
      </c>
      <c r="B12282" t="s">
        <v>417</v>
      </c>
      <c r="C12282" t="s">
        <v>423</v>
      </c>
      <c r="D12282" t="str">
        <f>VLOOKUP(C12282,'lookup table'!$A$2:$B$19,2,FALSE)</f>
        <v>ignore</v>
      </c>
      <c r="E12282" t="str">
        <f t="shared" si="191"/>
        <v>TR310_70|ignore</v>
      </c>
    </row>
    <row r="12283" spans="1:5" x14ac:dyDescent="0.2">
      <c r="A12283" t="s">
        <v>3633</v>
      </c>
      <c r="B12283" t="s">
        <v>417</v>
      </c>
      <c r="C12283" t="s">
        <v>438</v>
      </c>
      <c r="D12283" t="str">
        <f>VLOOKUP(C12283,'lookup table'!$A$2:$B$19,2,FALSE)</f>
        <v>ToM</v>
      </c>
      <c r="E12283" t="str">
        <f t="shared" si="191"/>
        <v>TR310_70|ToM</v>
      </c>
    </row>
    <row r="12284" spans="1:5" x14ac:dyDescent="0.2">
      <c r="A12284" t="s">
        <v>3633</v>
      </c>
      <c r="B12284" t="s">
        <v>417</v>
      </c>
      <c r="C12284" t="s">
        <v>449</v>
      </c>
      <c r="D12284" t="e">
        <f>VLOOKUP(C12284,'lookup table'!$A$2:$B$19,2,FALSE)</f>
        <v>#N/A</v>
      </c>
      <c r="E12284" t="str">
        <f t="shared" si="191"/>
        <v/>
      </c>
    </row>
    <row r="12285" spans="1:5" x14ac:dyDescent="0.2">
      <c r="A12285" t="s">
        <v>3633</v>
      </c>
      <c r="B12285" t="s">
        <v>417</v>
      </c>
      <c r="C12285" t="s">
        <v>461</v>
      </c>
      <c r="D12285" t="str">
        <f>VLOOKUP(C12285,'lookup table'!$A$2:$B$19,2,FALSE)</f>
        <v>Posting Level</v>
      </c>
      <c r="E12285" t="str">
        <f t="shared" si="191"/>
        <v>TR310_70|Posting Level</v>
      </c>
    </row>
    <row r="12286" spans="1:5" x14ac:dyDescent="0.2">
      <c r="A12286" t="s">
        <v>3634</v>
      </c>
      <c r="B12286" t="s">
        <v>420</v>
      </c>
      <c r="C12286" t="s">
        <v>331</v>
      </c>
      <c r="D12286" t="str">
        <f>VLOOKUP(C12286,'lookup table'!$A$2:$B$19,2,FALSE)</f>
        <v>FS Item</v>
      </c>
      <c r="E12286" t="str">
        <f t="shared" si="191"/>
        <v>TR311_17|FS Item</v>
      </c>
    </row>
    <row r="12287" spans="1:5" x14ac:dyDescent="0.2">
      <c r="A12287" t="s">
        <v>3634</v>
      </c>
      <c r="B12287" t="s">
        <v>420</v>
      </c>
      <c r="C12287" t="s">
        <v>423</v>
      </c>
      <c r="D12287" t="str">
        <f>VLOOKUP(C12287,'lookup table'!$A$2:$B$19,2,FALSE)</f>
        <v>ignore</v>
      </c>
      <c r="E12287" t="str">
        <f t="shared" si="191"/>
        <v>TR311_17|ignore</v>
      </c>
    </row>
    <row r="12288" spans="1:5" x14ac:dyDescent="0.2">
      <c r="A12288" t="s">
        <v>3634</v>
      </c>
      <c r="B12288" t="s">
        <v>420</v>
      </c>
      <c r="C12288" t="s">
        <v>449</v>
      </c>
      <c r="D12288" t="e">
        <f>VLOOKUP(C12288,'lookup table'!$A$2:$B$19,2,FALSE)</f>
        <v>#N/A</v>
      </c>
      <c r="E12288" t="str">
        <f t="shared" si="191"/>
        <v/>
      </c>
    </row>
    <row r="12289" spans="1:5" x14ac:dyDescent="0.2">
      <c r="A12289" t="s">
        <v>3634</v>
      </c>
      <c r="B12289" t="s">
        <v>420</v>
      </c>
      <c r="C12289" t="s">
        <v>451</v>
      </c>
      <c r="D12289" t="str">
        <f>VLOOKUP(C12289,'lookup table'!$A$2:$B$19,2,FALSE)</f>
        <v>Segment</v>
      </c>
      <c r="E12289" t="str">
        <f t="shared" si="191"/>
        <v>TR311_17|Segment</v>
      </c>
    </row>
    <row r="12290" spans="1:5" x14ac:dyDescent="0.2">
      <c r="A12290" t="s">
        <v>3634</v>
      </c>
      <c r="B12290" t="s">
        <v>420</v>
      </c>
      <c r="C12290" t="s">
        <v>461</v>
      </c>
      <c r="D12290" t="str">
        <f>VLOOKUP(C12290,'lookup table'!$A$2:$B$19,2,FALSE)</f>
        <v>Posting Level</v>
      </c>
      <c r="E12290" t="str">
        <f t="shared" si="191"/>
        <v>TR311_17|Posting Level</v>
      </c>
    </row>
    <row r="12291" spans="1:5" x14ac:dyDescent="0.2">
      <c r="A12291" t="s">
        <v>3635</v>
      </c>
      <c r="B12291" t="s">
        <v>418</v>
      </c>
      <c r="C12291" t="s">
        <v>331</v>
      </c>
      <c r="D12291" t="str">
        <f>VLOOKUP(C12291,'lookup table'!$A$2:$B$19,2,FALSE)</f>
        <v>FS Item</v>
      </c>
      <c r="E12291" t="str">
        <f t="shared" ref="E12291:E12349" si="192">IF(ISNA(D12291),"",IF(A12291="","",A12291) &amp; "|" &amp; D12291)</f>
        <v>TR311_70|FS Item</v>
      </c>
    </row>
    <row r="12292" spans="1:5" x14ac:dyDescent="0.2">
      <c r="A12292" t="s">
        <v>3635</v>
      </c>
      <c r="B12292" t="s">
        <v>418</v>
      </c>
      <c r="C12292" t="s">
        <v>423</v>
      </c>
      <c r="D12292" t="str">
        <f>VLOOKUP(C12292,'lookup table'!$A$2:$B$19,2,FALSE)</f>
        <v>ignore</v>
      </c>
      <c r="E12292" t="str">
        <f t="shared" si="192"/>
        <v>TR311_70|ignore</v>
      </c>
    </row>
    <row r="12293" spans="1:5" x14ac:dyDescent="0.2">
      <c r="A12293" t="s">
        <v>3635</v>
      </c>
      <c r="B12293" t="s">
        <v>418</v>
      </c>
      <c r="C12293" t="s">
        <v>449</v>
      </c>
      <c r="D12293" t="e">
        <f>VLOOKUP(C12293,'lookup table'!$A$2:$B$19,2,FALSE)</f>
        <v>#N/A</v>
      </c>
      <c r="E12293" t="str">
        <f t="shared" si="192"/>
        <v/>
      </c>
    </row>
    <row r="12294" spans="1:5" x14ac:dyDescent="0.2">
      <c r="A12294" t="s">
        <v>3635</v>
      </c>
      <c r="B12294" t="s">
        <v>418</v>
      </c>
      <c r="C12294" t="s">
        <v>461</v>
      </c>
      <c r="D12294" t="str">
        <f>VLOOKUP(C12294,'lookup table'!$A$2:$B$19,2,FALSE)</f>
        <v>Posting Level</v>
      </c>
      <c r="E12294" t="str">
        <f t="shared" si="192"/>
        <v>TR311_70|Posting Level</v>
      </c>
    </row>
    <row r="12295" spans="1:5" x14ac:dyDescent="0.2">
      <c r="A12295" t="s">
        <v>3636</v>
      </c>
      <c r="B12295" t="s">
        <v>421</v>
      </c>
      <c r="C12295" t="s">
        <v>331</v>
      </c>
      <c r="D12295" t="str">
        <f>VLOOKUP(C12295,'lookup table'!$A$2:$B$19,2,FALSE)</f>
        <v>FS Item</v>
      </c>
      <c r="E12295" t="str">
        <f t="shared" si="192"/>
        <v>TR312_17|FS Item</v>
      </c>
    </row>
    <row r="12296" spans="1:5" x14ac:dyDescent="0.2">
      <c r="A12296" t="s">
        <v>3636</v>
      </c>
      <c r="B12296" t="s">
        <v>421</v>
      </c>
      <c r="C12296" t="s">
        <v>423</v>
      </c>
      <c r="D12296" t="str">
        <f>VLOOKUP(C12296,'lookup table'!$A$2:$B$19,2,FALSE)</f>
        <v>ignore</v>
      </c>
      <c r="E12296" t="str">
        <f t="shared" si="192"/>
        <v>TR312_17|ignore</v>
      </c>
    </row>
    <row r="12297" spans="1:5" x14ac:dyDescent="0.2">
      <c r="A12297" t="s">
        <v>3636</v>
      </c>
      <c r="B12297" t="s">
        <v>421</v>
      </c>
      <c r="C12297" t="s">
        <v>449</v>
      </c>
      <c r="D12297" t="e">
        <f>VLOOKUP(C12297,'lookup table'!$A$2:$B$19,2,FALSE)</f>
        <v>#N/A</v>
      </c>
      <c r="E12297" t="str">
        <f t="shared" si="192"/>
        <v/>
      </c>
    </row>
    <row r="12298" spans="1:5" x14ac:dyDescent="0.2">
      <c r="A12298" t="s">
        <v>3636</v>
      </c>
      <c r="B12298" t="s">
        <v>421</v>
      </c>
      <c r="C12298" t="s">
        <v>451</v>
      </c>
      <c r="D12298" t="str">
        <f>VLOOKUP(C12298,'lookup table'!$A$2:$B$19,2,FALSE)</f>
        <v>Segment</v>
      </c>
      <c r="E12298" t="str">
        <f t="shared" si="192"/>
        <v>TR312_17|Segment</v>
      </c>
    </row>
    <row r="12299" spans="1:5" x14ac:dyDescent="0.2">
      <c r="A12299" t="s">
        <v>3636</v>
      </c>
      <c r="B12299" t="s">
        <v>421</v>
      </c>
      <c r="C12299" t="s">
        <v>461</v>
      </c>
      <c r="D12299" t="str">
        <f>VLOOKUP(C12299,'lookup table'!$A$2:$B$19,2,FALSE)</f>
        <v>Posting Level</v>
      </c>
      <c r="E12299" t="str">
        <f t="shared" si="192"/>
        <v>TR312_17|Posting Level</v>
      </c>
    </row>
    <row r="12300" spans="1:5" x14ac:dyDescent="0.2">
      <c r="A12300" t="s">
        <v>3637</v>
      </c>
      <c r="B12300" t="s">
        <v>419</v>
      </c>
      <c r="C12300" t="s">
        <v>331</v>
      </c>
      <c r="D12300" t="str">
        <f>VLOOKUP(C12300,'lookup table'!$A$2:$B$19,2,FALSE)</f>
        <v>FS Item</v>
      </c>
      <c r="E12300" t="str">
        <f t="shared" si="192"/>
        <v>TR312_70|FS Item</v>
      </c>
    </row>
    <row r="12301" spans="1:5" x14ac:dyDescent="0.2">
      <c r="A12301" t="s">
        <v>3637</v>
      </c>
      <c r="B12301" t="s">
        <v>419</v>
      </c>
      <c r="C12301" t="s">
        <v>423</v>
      </c>
      <c r="D12301" t="str">
        <f>VLOOKUP(C12301,'lookup table'!$A$2:$B$19,2,FALSE)</f>
        <v>ignore</v>
      </c>
      <c r="E12301" t="str">
        <f t="shared" si="192"/>
        <v>TR312_70|ignore</v>
      </c>
    </row>
    <row r="12302" spans="1:5" x14ac:dyDescent="0.2">
      <c r="A12302" t="s">
        <v>3637</v>
      </c>
      <c r="B12302" t="s">
        <v>419</v>
      </c>
      <c r="C12302" t="s">
        <v>449</v>
      </c>
      <c r="D12302" t="e">
        <f>VLOOKUP(C12302,'lookup table'!$A$2:$B$19,2,FALSE)</f>
        <v>#N/A</v>
      </c>
      <c r="E12302" t="str">
        <f t="shared" si="192"/>
        <v/>
      </c>
    </row>
    <row r="12303" spans="1:5" x14ac:dyDescent="0.2">
      <c r="A12303" t="s">
        <v>3637</v>
      </c>
      <c r="B12303" t="s">
        <v>419</v>
      </c>
      <c r="C12303" t="s">
        <v>461</v>
      </c>
      <c r="D12303" t="str">
        <f>VLOOKUP(C12303,'lookup table'!$A$2:$B$19,2,FALSE)</f>
        <v>Posting Level</v>
      </c>
      <c r="E12303" t="str">
        <f t="shared" si="192"/>
        <v>TR312_70|Posting Level</v>
      </c>
    </row>
    <row r="12304" spans="1:5" x14ac:dyDescent="0.2">
      <c r="A12304" t="s">
        <v>3638</v>
      </c>
      <c r="B12304" t="s">
        <v>450</v>
      </c>
      <c r="C12304" t="s">
        <v>449</v>
      </c>
      <c r="D12304" t="e">
        <f>VLOOKUP(C12304,'lookup table'!$A$2:$B$19,2,FALSE)</f>
        <v>#N/A</v>
      </c>
      <c r="E12304" t="str">
        <f t="shared" si="192"/>
        <v/>
      </c>
    </row>
    <row r="12305" spans="1:5" x14ac:dyDescent="0.2">
      <c r="A12305" t="s">
        <v>3638</v>
      </c>
      <c r="B12305" t="s">
        <v>450</v>
      </c>
      <c r="C12305" t="s">
        <v>461</v>
      </c>
      <c r="D12305" t="str">
        <f>VLOOKUP(C12305,'lookup table'!$A$2:$B$19,2,FALSE)</f>
        <v>Posting Level</v>
      </c>
      <c r="E12305" t="str">
        <f t="shared" si="192"/>
        <v>TR316_17|Posting Level</v>
      </c>
    </row>
    <row r="12306" spans="1:5" x14ac:dyDescent="0.2">
      <c r="A12306" t="s">
        <v>3639</v>
      </c>
      <c r="B12306" t="s">
        <v>131</v>
      </c>
      <c r="C12306" t="s">
        <v>20</v>
      </c>
      <c r="D12306" t="str">
        <f>VLOOKUP(C12306,'lookup table'!$A$2:$B$19,2,FALSE)</f>
        <v>AY</v>
      </c>
      <c r="E12306" t="str">
        <f t="shared" si="192"/>
        <v>TR316_70|AY</v>
      </c>
    </row>
    <row r="12307" spans="1:5" x14ac:dyDescent="0.2">
      <c r="A12307" t="s">
        <v>3639</v>
      </c>
      <c r="B12307" t="s">
        <v>131</v>
      </c>
      <c r="C12307" t="s">
        <v>331</v>
      </c>
      <c r="D12307" t="str">
        <f>VLOOKUP(C12307,'lookup table'!$A$2:$B$19,2,FALSE)</f>
        <v>FS Item</v>
      </c>
      <c r="E12307" t="str">
        <f t="shared" si="192"/>
        <v>TR316_70|FS Item</v>
      </c>
    </row>
    <row r="12308" spans="1:5" x14ac:dyDescent="0.2">
      <c r="A12308" t="s">
        <v>3639</v>
      </c>
      <c r="B12308" t="s">
        <v>131</v>
      </c>
      <c r="C12308" t="s">
        <v>423</v>
      </c>
      <c r="D12308" t="str">
        <f>VLOOKUP(C12308,'lookup table'!$A$2:$B$19,2,FALSE)</f>
        <v>ignore</v>
      </c>
      <c r="E12308" t="str">
        <f t="shared" si="192"/>
        <v>TR316_70|ignore</v>
      </c>
    </row>
    <row r="12309" spans="1:5" x14ac:dyDescent="0.2">
      <c r="A12309" t="s">
        <v>3639</v>
      </c>
      <c r="B12309" t="s">
        <v>131</v>
      </c>
      <c r="C12309" t="s">
        <v>428</v>
      </c>
      <c r="D12309" t="str">
        <f>VLOOKUP(C12309,'lookup table'!$A$2:$B$19,2,FALSE)</f>
        <v>LoB</v>
      </c>
      <c r="E12309" t="str">
        <f t="shared" si="192"/>
        <v>TR316_70|LoB</v>
      </c>
    </row>
    <row r="12310" spans="1:5" x14ac:dyDescent="0.2">
      <c r="A12310" t="s">
        <v>3639</v>
      </c>
      <c r="B12310" t="s">
        <v>131</v>
      </c>
      <c r="C12310" t="s">
        <v>438</v>
      </c>
      <c r="D12310" t="str">
        <f>VLOOKUP(C12310,'lookup table'!$A$2:$B$19,2,FALSE)</f>
        <v>ToM</v>
      </c>
      <c r="E12310" t="str">
        <f t="shared" si="192"/>
        <v>TR316_70|ToM</v>
      </c>
    </row>
    <row r="12311" spans="1:5" x14ac:dyDescent="0.2">
      <c r="A12311" t="s">
        <v>3639</v>
      </c>
      <c r="B12311" t="s">
        <v>131</v>
      </c>
      <c r="C12311" t="s">
        <v>441</v>
      </c>
      <c r="D12311" t="str">
        <f>VLOOKUP(C12311,'lookup table'!$A$2:$B$19,2,FALSE)</f>
        <v>Partner Segment</v>
      </c>
      <c r="E12311" t="str">
        <f t="shared" si="192"/>
        <v>TR316_70|Partner Segment</v>
      </c>
    </row>
    <row r="12312" spans="1:5" x14ac:dyDescent="0.2">
      <c r="A12312" t="s">
        <v>3639</v>
      </c>
      <c r="B12312" t="s">
        <v>131</v>
      </c>
      <c r="C12312" t="s">
        <v>442</v>
      </c>
      <c r="D12312" t="str">
        <f>VLOOKUP(C12312,'lookup table'!$A$2:$B$19,2,FALSE)</f>
        <v>Partner Unit</v>
      </c>
      <c r="E12312" t="str">
        <f t="shared" si="192"/>
        <v>TR316_70|Partner Unit</v>
      </c>
    </row>
    <row r="12313" spans="1:5" x14ac:dyDescent="0.2">
      <c r="A12313" t="s">
        <v>3639</v>
      </c>
      <c r="B12313" t="s">
        <v>131</v>
      </c>
      <c r="C12313" t="s">
        <v>451</v>
      </c>
      <c r="D12313" t="str">
        <f>VLOOKUP(C12313,'lookup table'!$A$2:$B$19,2,FALSE)</f>
        <v>Segment</v>
      </c>
      <c r="E12313" t="str">
        <f t="shared" si="192"/>
        <v>TR316_70|Segment</v>
      </c>
    </row>
    <row r="12314" spans="1:5" x14ac:dyDescent="0.2">
      <c r="A12314" t="s">
        <v>3639</v>
      </c>
      <c r="B12314" t="s">
        <v>131</v>
      </c>
      <c r="C12314" t="s">
        <v>461</v>
      </c>
      <c r="D12314" t="str">
        <f>VLOOKUP(C12314,'lookup table'!$A$2:$B$19,2,FALSE)</f>
        <v>Posting Level</v>
      </c>
      <c r="E12314" t="str">
        <f t="shared" si="192"/>
        <v>TR316_70|Posting Level</v>
      </c>
    </row>
    <row r="12315" spans="1:5" x14ac:dyDescent="0.2">
      <c r="A12315" t="s">
        <v>3640</v>
      </c>
      <c r="B12315" t="s">
        <v>130</v>
      </c>
      <c r="C12315" t="s">
        <v>20</v>
      </c>
      <c r="D12315" t="str">
        <f>VLOOKUP(C12315,'lookup table'!$A$2:$B$19,2,FALSE)</f>
        <v>AY</v>
      </c>
      <c r="E12315" t="str">
        <f t="shared" si="192"/>
        <v>TR317_70|AY</v>
      </c>
    </row>
    <row r="12316" spans="1:5" x14ac:dyDescent="0.2">
      <c r="A12316" t="s">
        <v>3640</v>
      </c>
      <c r="B12316" t="s">
        <v>130</v>
      </c>
      <c r="C12316" t="s">
        <v>331</v>
      </c>
      <c r="D12316" t="str">
        <f>VLOOKUP(C12316,'lookup table'!$A$2:$B$19,2,FALSE)</f>
        <v>FS Item</v>
      </c>
      <c r="E12316" t="str">
        <f t="shared" si="192"/>
        <v>TR317_70|FS Item</v>
      </c>
    </row>
    <row r="12317" spans="1:5" x14ac:dyDescent="0.2">
      <c r="A12317" t="s">
        <v>3640</v>
      </c>
      <c r="B12317" t="s">
        <v>130</v>
      </c>
      <c r="C12317" t="s">
        <v>423</v>
      </c>
      <c r="D12317" t="str">
        <f>VLOOKUP(C12317,'lookup table'!$A$2:$B$19,2,FALSE)</f>
        <v>ignore</v>
      </c>
      <c r="E12317" t="str">
        <f t="shared" si="192"/>
        <v>TR317_70|ignore</v>
      </c>
    </row>
    <row r="12318" spans="1:5" x14ac:dyDescent="0.2">
      <c r="A12318" t="s">
        <v>3640</v>
      </c>
      <c r="B12318" t="s">
        <v>130</v>
      </c>
      <c r="C12318" t="s">
        <v>428</v>
      </c>
      <c r="D12318" t="str">
        <f>VLOOKUP(C12318,'lookup table'!$A$2:$B$19,2,FALSE)</f>
        <v>LoB</v>
      </c>
      <c r="E12318" t="str">
        <f t="shared" si="192"/>
        <v>TR317_70|LoB</v>
      </c>
    </row>
    <row r="12319" spans="1:5" x14ac:dyDescent="0.2">
      <c r="A12319" t="s">
        <v>3640</v>
      </c>
      <c r="B12319" t="s">
        <v>130</v>
      </c>
      <c r="C12319" t="s">
        <v>438</v>
      </c>
      <c r="D12319" t="str">
        <f>VLOOKUP(C12319,'lookup table'!$A$2:$B$19,2,FALSE)</f>
        <v>ToM</v>
      </c>
      <c r="E12319" t="str">
        <f t="shared" si="192"/>
        <v>TR317_70|ToM</v>
      </c>
    </row>
    <row r="12320" spans="1:5" x14ac:dyDescent="0.2">
      <c r="A12320" t="s">
        <v>3640</v>
      </c>
      <c r="B12320" t="s">
        <v>130</v>
      </c>
      <c r="C12320" t="s">
        <v>441</v>
      </c>
      <c r="D12320" t="str">
        <f>VLOOKUP(C12320,'lookup table'!$A$2:$B$19,2,FALSE)</f>
        <v>Partner Segment</v>
      </c>
      <c r="E12320" t="str">
        <f t="shared" si="192"/>
        <v>TR317_70|Partner Segment</v>
      </c>
    </row>
    <row r="12321" spans="1:5" x14ac:dyDescent="0.2">
      <c r="A12321" t="s">
        <v>3640</v>
      </c>
      <c r="B12321" t="s">
        <v>130</v>
      </c>
      <c r="C12321" t="s">
        <v>442</v>
      </c>
      <c r="D12321" t="str">
        <f>VLOOKUP(C12321,'lookup table'!$A$2:$B$19,2,FALSE)</f>
        <v>Partner Unit</v>
      </c>
      <c r="E12321" t="str">
        <f t="shared" si="192"/>
        <v>TR317_70|Partner Unit</v>
      </c>
    </row>
    <row r="12322" spans="1:5" x14ac:dyDescent="0.2">
      <c r="A12322" t="s">
        <v>3640</v>
      </c>
      <c r="B12322" t="s">
        <v>130</v>
      </c>
      <c r="C12322" t="s">
        <v>451</v>
      </c>
      <c r="D12322" t="str">
        <f>VLOOKUP(C12322,'lookup table'!$A$2:$B$19,2,FALSE)</f>
        <v>Segment</v>
      </c>
      <c r="E12322" t="str">
        <f t="shared" si="192"/>
        <v>TR317_70|Segment</v>
      </c>
    </row>
    <row r="12323" spans="1:5" x14ac:dyDescent="0.2">
      <c r="A12323" t="s">
        <v>3640</v>
      </c>
      <c r="B12323" t="s">
        <v>130</v>
      </c>
      <c r="C12323" t="s">
        <v>461</v>
      </c>
      <c r="D12323" t="str">
        <f>VLOOKUP(C12323,'lookup table'!$A$2:$B$19,2,FALSE)</f>
        <v>Posting Level</v>
      </c>
      <c r="E12323" t="str">
        <f t="shared" si="192"/>
        <v>TR317_70|Posting Level</v>
      </c>
    </row>
    <row r="12324" spans="1:5" x14ac:dyDescent="0.2">
      <c r="A12324" t="s">
        <v>3641</v>
      </c>
      <c r="B12324" t="s">
        <v>17</v>
      </c>
      <c r="C12324" t="s">
        <v>331</v>
      </c>
      <c r="D12324" t="str">
        <f>VLOOKUP(C12324,'lookup table'!$A$2:$B$19,2,FALSE)</f>
        <v>FS Item</v>
      </c>
      <c r="E12324" t="str">
        <f t="shared" si="192"/>
        <v>TR318_17|FS Item</v>
      </c>
    </row>
    <row r="12325" spans="1:5" x14ac:dyDescent="0.2">
      <c r="A12325" t="s">
        <v>3641</v>
      </c>
      <c r="B12325" t="s">
        <v>17</v>
      </c>
      <c r="C12325" t="s">
        <v>423</v>
      </c>
      <c r="D12325" t="str">
        <f>VLOOKUP(C12325,'lookup table'!$A$2:$B$19,2,FALSE)</f>
        <v>ignore</v>
      </c>
      <c r="E12325" t="str">
        <f t="shared" si="192"/>
        <v>TR318_17|ignore</v>
      </c>
    </row>
    <row r="12326" spans="1:5" x14ac:dyDescent="0.2">
      <c r="A12326" t="s">
        <v>3641</v>
      </c>
      <c r="B12326" t="s">
        <v>17</v>
      </c>
      <c r="C12326" t="s">
        <v>438</v>
      </c>
      <c r="D12326" t="str">
        <f>VLOOKUP(C12326,'lookup table'!$A$2:$B$19,2,FALSE)</f>
        <v>ToM</v>
      </c>
      <c r="E12326" t="str">
        <f t="shared" si="192"/>
        <v>TR318_17|ToM</v>
      </c>
    </row>
    <row r="12327" spans="1:5" x14ac:dyDescent="0.2">
      <c r="A12327" t="s">
        <v>3641</v>
      </c>
      <c r="B12327" t="s">
        <v>17</v>
      </c>
      <c r="C12327" t="s">
        <v>449</v>
      </c>
      <c r="D12327" t="e">
        <f>VLOOKUP(C12327,'lookup table'!$A$2:$B$19,2,FALSE)</f>
        <v>#N/A</v>
      </c>
      <c r="E12327" t="str">
        <f t="shared" si="192"/>
        <v/>
      </c>
    </row>
    <row r="12328" spans="1:5" x14ac:dyDescent="0.2">
      <c r="A12328" t="s">
        <v>3641</v>
      </c>
      <c r="B12328" t="s">
        <v>17</v>
      </c>
      <c r="C12328" t="s">
        <v>451</v>
      </c>
      <c r="D12328" t="str">
        <f>VLOOKUP(C12328,'lookup table'!$A$2:$B$19,2,FALSE)</f>
        <v>Segment</v>
      </c>
      <c r="E12328" t="str">
        <f t="shared" si="192"/>
        <v>TR318_17|Segment</v>
      </c>
    </row>
    <row r="12329" spans="1:5" x14ac:dyDescent="0.2">
      <c r="A12329" t="s">
        <v>3642</v>
      </c>
      <c r="B12329" t="s">
        <v>18</v>
      </c>
      <c r="C12329" t="s">
        <v>331</v>
      </c>
      <c r="D12329" t="str">
        <f>VLOOKUP(C12329,'lookup table'!$A$2:$B$19,2,FALSE)</f>
        <v>FS Item</v>
      </c>
      <c r="E12329" t="str">
        <f t="shared" si="192"/>
        <v>TR319_17|FS Item</v>
      </c>
    </row>
    <row r="12330" spans="1:5" x14ac:dyDescent="0.2">
      <c r="A12330" t="s">
        <v>3642</v>
      </c>
      <c r="B12330" t="s">
        <v>18</v>
      </c>
      <c r="C12330" t="s">
        <v>423</v>
      </c>
      <c r="D12330" t="str">
        <f>VLOOKUP(C12330,'lookup table'!$A$2:$B$19,2,FALSE)</f>
        <v>ignore</v>
      </c>
      <c r="E12330" t="str">
        <f t="shared" si="192"/>
        <v>TR319_17|ignore</v>
      </c>
    </row>
    <row r="12331" spans="1:5" x14ac:dyDescent="0.2">
      <c r="A12331" t="s">
        <v>3642</v>
      </c>
      <c r="B12331" t="s">
        <v>18</v>
      </c>
      <c r="C12331" t="s">
        <v>449</v>
      </c>
      <c r="D12331" t="e">
        <f>VLOOKUP(C12331,'lookup table'!$A$2:$B$19,2,FALSE)</f>
        <v>#N/A</v>
      </c>
      <c r="E12331" t="str">
        <f t="shared" si="192"/>
        <v/>
      </c>
    </row>
    <row r="12332" spans="1:5" x14ac:dyDescent="0.2">
      <c r="A12332" t="s">
        <v>3642</v>
      </c>
      <c r="B12332" t="s">
        <v>18</v>
      </c>
      <c r="C12332" t="s">
        <v>451</v>
      </c>
      <c r="D12332" t="str">
        <f>VLOOKUP(C12332,'lookup table'!$A$2:$B$19,2,FALSE)</f>
        <v>Segment</v>
      </c>
      <c r="E12332" t="str">
        <f t="shared" si="192"/>
        <v>TR319_17|Segment</v>
      </c>
    </row>
    <row r="12333" spans="1:5" x14ac:dyDescent="0.2">
      <c r="A12333" t="s">
        <v>3643</v>
      </c>
      <c r="B12333" t="s">
        <v>16</v>
      </c>
      <c r="C12333" t="s">
        <v>14</v>
      </c>
      <c r="D12333" t="str">
        <f>VLOOKUP(C12333,'lookup table'!$A$2:$B$19,2,FALSE)</f>
        <v>ALC</v>
      </c>
      <c r="E12333" t="str">
        <f t="shared" si="192"/>
        <v>TR320_17|ALC</v>
      </c>
    </row>
    <row r="12334" spans="1:5" x14ac:dyDescent="0.2">
      <c r="A12334" t="s">
        <v>3643</v>
      </c>
      <c r="B12334" t="s">
        <v>16</v>
      </c>
      <c r="C12334" t="s">
        <v>20</v>
      </c>
      <c r="D12334" t="str">
        <f>VLOOKUP(C12334,'lookup table'!$A$2:$B$19,2,FALSE)</f>
        <v>AY</v>
      </c>
      <c r="E12334" t="str">
        <f t="shared" si="192"/>
        <v>TR320_17|AY</v>
      </c>
    </row>
    <row r="12335" spans="1:5" x14ac:dyDescent="0.2">
      <c r="A12335" t="s">
        <v>3643</v>
      </c>
      <c r="B12335" t="s">
        <v>16</v>
      </c>
      <c r="C12335" t="s">
        <v>331</v>
      </c>
      <c r="D12335" t="str">
        <f>VLOOKUP(C12335,'lookup table'!$A$2:$B$19,2,FALSE)</f>
        <v>FS Item</v>
      </c>
      <c r="E12335" t="str">
        <f t="shared" si="192"/>
        <v>TR320_17|FS Item</v>
      </c>
    </row>
    <row r="12336" spans="1:5" x14ac:dyDescent="0.2">
      <c r="A12336" t="s">
        <v>3643</v>
      </c>
      <c r="B12336" t="s">
        <v>16</v>
      </c>
      <c r="C12336" t="s">
        <v>423</v>
      </c>
      <c r="D12336" t="str">
        <f>VLOOKUP(C12336,'lookup table'!$A$2:$B$19,2,FALSE)</f>
        <v>ignore</v>
      </c>
      <c r="E12336" t="str">
        <f t="shared" si="192"/>
        <v>TR320_17|ignore</v>
      </c>
    </row>
    <row r="12337" spans="1:5" x14ac:dyDescent="0.2">
      <c r="A12337" t="s">
        <v>3643</v>
      </c>
      <c r="B12337" t="s">
        <v>16</v>
      </c>
      <c r="C12337" t="s">
        <v>425</v>
      </c>
      <c r="D12337" t="str">
        <f>VLOOKUP(C12337,'lookup table'!$A$2:$B$19,2,FALSE)</f>
        <v>Investee Segment</v>
      </c>
      <c r="E12337" t="str">
        <f t="shared" si="192"/>
        <v>TR320_17|Investee Segment</v>
      </c>
    </row>
    <row r="12338" spans="1:5" x14ac:dyDescent="0.2">
      <c r="A12338" t="s">
        <v>3643</v>
      </c>
      <c r="B12338" t="s">
        <v>16</v>
      </c>
      <c r="C12338" t="s">
        <v>426</v>
      </c>
      <c r="D12338" t="str">
        <f>VLOOKUP(C12338,'lookup table'!$A$2:$B$19,2,FALSE)</f>
        <v>Investee Unit</v>
      </c>
      <c r="E12338" t="str">
        <f t="shared" si="192"/>
        <v>TR320_17|Investee Unit</v>
      </c>
    </row>
    <row r="12339" spans="1:5" x14ac:dyDescent="0.2">
      <c r="A12339" t="s">
        <v>3643</v>
      </c>
      <c r="B12339" t="s">
        <v>16</v>
      </c>
      <c r="C12339" t="s">
        <v>428</v>
      </c>
      <c r="D12339" t="str">
        <f>VLOOKUP(C12339,'lookup table'!$A$2:$B$19,2,FALSE)</f>
        <v>LoB</v>
      </c>
      <c r="E12339" t="str">
        <f t="shared" si="192"/>
        <v>TR320_17|LoB</v>
      </c>
    </row>
    <row r="12340" spans="1:5" x14ac:dyDescent="0.2">
      <c r="A12340" t="s">
        <v>3643</v>
      </c>
      <c r="B12340" t="s">
        <v>16</v>
      </c>
      <c r="C12340" t="s">
        <v>436</v>
      </c>
      <c r="D12340" t="str">
        <f>VLOOKUP(C12340,'lookup table'!$A$2:$B$19,2,FALSE)</f>
        <v>MAT</v>
      </c>
      <c r="E12340" t="str">
        <f t="shared" si="192"/>
        <v>TR320_17|MAT</v>
      </c>
    </row>
    <row r="12341" spans="1:5" x14ac:dyDescent="0.2">
      <c r="A12341" t="s">
        <v>3643</v>
      </c>
      <c r="B12341" t="s">
        <v>16</v>
      </c>
      <c r="C12341" t="s">
        <v>438</v>
      </c>
      <c r="D12341" t="str">
        <f>VLOOKUP(C12341,'lookup table'!$A$2:$B$19,2,FALSE)</f>
        <v>ToM</v>
      </c>
      <c r="E12341" t="str">
        <f t="shared" si="192"/>
        <v>TR320_17|ToM</v>
      </c>
    </row>
    <row r="12342" spans="1:5" x14ac:dyDescent="0.2">
      <c r="A12342" t="s">
        <v>3643</v>
      </c>
      <c r="B12342" t="s">
        <v>16</v>
      </c>
      <c r="C12342" t="s">
        <v>441</v>
      </c>
      <c r="D12342" t="str">
        <f>VLOOKUP(C12342,'lookup table'!$A$2:$B$19,2,FALSE)</f>
        <v>Partner Segment</v>
      </c>
      <c r="E12342" t="str">
        <f t="shared" si="192"/>
        <v>TR320_17|Partner Segment</v>
      </c>
    </row>
    <row r="12343" spans="1:5" x14ac:dyDescent="0.2">
      <c r="A12343" t="s">
        <v>3643</v>
      </c>
      <c r="B12343" t="s">
        <v>16</v>
      </c>
      <c r="C12343" t="s">
        <v>442</v>
      </c>
      <c r="D12343" t="str">
        <f>VLOOKUP(C12343,'lookup table'!$A$2:$B$19,2,FALSE)</f>
        <v>Partner Unit</v>
      </c>
      <c r="E12343" t="str">
        <f t="shared" si="192"/>
        <v>TR320_17|Partner Unit</v>
      </c>
    </row>
    <row r="12344" spans="1:5" x14ac:dyDescent="0.2">
      <c r="A12344" t="s">
        <v>3643</v>
      </c>
      <c r="B12344" t="s">
        <v>16</v>
      </c>
      <c r="C12344" t="s">
        <v>447</v>
      </c>
      <c r="D12344" t="str">
        <f>VLOOKUP(C12344,'lookup table'!$A$2:$B$19,2,FALSE)</f>
        <v>REX</v>
      </c>
      <c r="E12344" t="str">
        <f t="shared" si="192"/>
        <v>TR320_17|REX</v>
      </c>
    </row>
    <row r="12345" spans="1:5" x14ac:dyDescent="0.2">
      <c r="A12345" t="s">
        <v>3643</v>
      </c>
      <c r="B12345" t="s">
        <v>16</v>
      </c>
      <c r="C12345" t="s">
        <v>449</v>
      </c>
      <c r="D12345" t="e">
        <f>VLOOKUP(C12345,'lookup table'!$A$2:$B$19,2,FALSE)</f>
        <v>#N/A</v>
      </c>
      <c r="E12345" t="str">
        <f t="shared" si="192"/>
        <v/>
      </c>
    </row>
    <row r="12346" spans="1:5" x14ac:dyDescent="0.2">
      <c r="A12346" t="s">
        <v>3643</v>
      </c>
      <c r="B12346" t="s">
        <v>16</v>
      </c>
      <c r="C12346" t="s">
        <v>451</v>
      </c>
      <c r="D12346" t="str">
        <f>VLOOKUP(C12346,'lookup table'!$A$2:$B$19,2,FALSE)</f>
        <v>Segment</v>
      </c>
      <c r="E12346" t="str">
        <f t="shared" si="192"/>
        <v>TR320_17|Segment</v>
      </c>
    </row>
    <row r="12347" spans="1:5" x14ac:dyDescent="0.2">
      <c r="A12347" t="s">
        <v>3643</v>
      </c>
      <c r="B12347" t="s">
        <v>16</v>
      </c>
      <c r="C12347" t="s">
        <v>457</v>
      </c>
      <c r="D12347" t="str">
        <f>VLOOKUP(C12347,'lookup table'!$A$2:$B$19,2,FALSE)</f>
        <v>VLT</v>
      </c>
      <c r="E12347" t="str">
        <f t="shared" si="192"/>
        <v>TR320_17|VLT</v>
      </c>
    </row>
    <row r="12348" spans="1:5" x14ac:dyDescent="0.2">
      <c r="A12348" t="s">
        <v>3643</v>
      </c>
      <c r="B12348" t="s">
        <v>16</v>
      </c>
      <c r="C12348" t="s">
        <v>458</v>
      </c>
      <c r="D12348" t="str">
        <f>VLOOKUP(C12348,'lookup table'!$A$2:$B$19,2,FALSE)</f>
        <v>VAR</v>
      </c>
      <c r="E12348" t="str">
        <f t="shared" si="192"/>
        <v>TR320_17|VAR</v>
      </c>
    </row>
    <row r="12349" spans="1:5" x14ac:dyDescent="0.2">
      <c r="A12349" t="s">
        <v>3643</v>
      </c>
      <c r="B12349" t="s">
        <v>16</v>
      </c>
      <c r="C12349" t="s">
        <v>461</v>
      </c>
      <c r="D12349" t="str">
        <f>VLOOKUP(C12349,'lookup table'!$A$2:$B$19,2,FALSE)</f>
        <v>Posting Level</v>
      </c>
      <c r="E12349" t="str">
        <f t="shared" si="192"/>
        <v>TR320_17|Posting Level</v>
      </c>
    </row>
  </sheetData>
  <phoneticPr fontId="0" type="noConversion"/>
  <pageMargins left="0.75" right="0.75" top="1" bottom="1" header="0.5" footer="0.5"/>
  <headerFooter alignWithMargins="0"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8FAD-5658-404D-A48F-165F5CBF8555}">
  <sheetPr codeName="Sheet2"/>
  <dimension ref="A1:B19"/>
  <sheetViews>
    <sheetView topLeftCell="A2" workbookViewId="0">
      <selection activeCell="A8" sqref="A8"/>
    </sheetView>
  </sheetViews>
  <sheetFormatPr defaultRowHeight="12.75" x14ac:dyDescent="0.2"/>
  <cols>
    <col min="1" max="1" width="16.28515625" bestFit="1" customWidth="1"/>
  </cols>
  <sheetData>
    <row r="1" spans="1:2" x14ac:dyDescent="0.2">
      <c r="A1" t="s">
        <v>3660</v>
      </c>
      <c r="B1" t="s">
        <v>3661</v>
      </c>
    </row>
    <row r="2" spans="1:2" x14ac:dyDescent="0.2">
      <c r="A2" t="s">
        <v>14</v>
      </c>
      <c r="B2" t="s">
        <v>3662</v>
      </c>
    </row>
    <row r="3" spans="1:2" x14ac:dyDescent="0.2">
      <c r="A3" t="s">
        <v>20</v>
      </c>
      <c r="B3" t="s">
        <v>3663</v>
      </c>
    </row>
    <row r="4" spans="1:2" x14ac:dyDescent="0.2">
      <c r="A4" t="s">
        <v>136</v>
      </c>
      <c r="B4" t="s">
        <v>3664</v>
      </c>
    </row>
    <row r="5" spans="1:2" x14ac:dyDescent="0.2">
      <c r="A5" t="s">
        <v>331</v>
      </c>
      <c r="B5" t="s">
        <v>3659</v>
      </c>
    </row>
    <row r="6" spans="1:2" x14ac:dyDescent="0.2">
      <c r="A6" t="s">
        <v>424</v>
      </c>
      <c r="B6" t="s">
        <v>3665</v>
      </c>
    </row>
    <row r="7" spans="1:2" x14ac:dyDescent="0.2">
      <c r="A7" t="s">
        <v>423</v>
      </c>
      <c r="B7" t="s">
        <v>3666</v>
      </c>
    </row>
    <row r="8" spans="1:2" x14ac:dyDescent="0.2">
      <c r="A8" t="s">
        <v>425</v>
      </c>
      <c r="B8" t="s">
        <v>3667</v>
      </c>
    </row>
    <row r="9" spans="1:2" x14ac:dyDescent="0.2">
      <c r="A9" t="s">
        <v>426</v>
      </c>
      <c r="B9" t="s">
        <v>3668</v>
      </c>
    </row>
    <row r="10" spans="1:2" x14ac:dyDescent="0.2">
      <c r="A10" t="s">
        <v>428</v>
      </c>
      <c r="B10" t="s">
        <v>3669</v>
      </c>
    </row>
    <row r="11" spans="1:2" x14ac:dyDescent="0.2">
      <c r="A11" t="s">
        <v>436</v>
      </c>
      <c r="B11" t="s">
        <v>3670</v>
      </c>
    </row>
    <row r="12" spans="1:2" x14ac:dyDescent="0.2">
      <c r="A12" t="s">
        <v>441</v>
      </c>
      <c r="B12" t="s">
        <v>3671</v>
      </c>
    </row>
    <row r="13" spans="1:2" x14ac:dyDescent="0.2">
      <c r="A13" t="s">
        <v>442</v>
      </c>
      <c r="B13" t="s">
        <v>3672</v>
      </c>
    </row>
    <row r="14" spans="1:2" x14ac:dyDescent="0.2">
      <c r="A14" t="s">
        <v>461</v>
      </c>
      <c r="B14" t="s">
        <v>3673</v>
      </c>
    </row>
    <row r="15" spans="1:2" x14ac:dyDescent="0.2">
      <c r="A15" t="s">
        <v>447</v>
      </c>
      <c r="B15" t="s">
        <v>3674</v>
      </c>
    </row>
    <row r="16" spans="1:2" x14ac:dyDescent="0.2">
      <c r="A16" t="s">
        <v>451</v>
      </c>
      <c r="B16" t="s">
        <v>3675</v>
      </c>
    </row>
    <row r="17" spans="1:2" x14ac:dyDescent="0.2">
      <c r="A17" t="s">
        <v>438</v>
      </c>
      <c r="B17" t="s">
        <v>3676</v>
      </c>
    </row>
    <row r="18" spans="1:2" x14ac:dyDescent="0.2">
      <c r="A18" t="s">
        <v>458</v>
      </c>
      <c r="B18" t="s">
        <v>3677</v>
      </c>
    </row>
    <row r="19" spans="1:2" x14ac:dyDescent="0.2">
      <c r="A19" t="s">
        <v>457</v>
      </c>
      <c r="B19" t="s">
        <v>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708E-3C76-423D-8AFE-B1A80B4180A9}">
  <sheetPr codeName="Sheet3"/>
  <dimension ref="A1:J3"/>
  <sheetViews>
    <sheetView workbookViewId="0">
      <selection activeCell="I2" sqref="I2:J3"/>
    </sheetView>
  </sheetViews>
  <sheetFormatPr defaultRowHeight="12.75" x14ac:dyDescent="0.2"/>
  <cols>
    <col min="2" max="2" width="7.5703125" bestFit="1" customWidth="1"/>
    <col min="3" max="3" width="25.28515625" bestFit="1" customWidth="1"/>
    <col min="5" max="5" width="9.28515625" bestFit="1" customWidth="1"/>
    <col min="6" max="7" width="12.28515625" bestFit="1" customWidth="1"/>
    <col min="9" max="10" width="16.42578125" bestFit="1" customWidth="1"/>
  </cols>
  <sheetData>
    <row r="1" spans="1:10" ht="30" x14ac:dyDescent="0.2">
      <c r="A1" s="2" t="s">
        <v>3647</v>
      </c>
      <c r="B1" s="2" t="s">
        <v>3648</v>
      </c>
      <c r="C1" s="2" t="s">
        <v>3649</v>
      </c>
      <c r="D1" s="2" t="s">
        <v>3650</v>
      </c>
      <c r="E1" s="2" t="s">
        <v>3651</v>
      </c>
      <c r="F1" s="2" t="s">
        <v>3652</v>
      </c>
      <c r="G1" s="2" t="s">
        <v>3652</v>
      </c>
    </row>
    <row r="2" spans="1:10" x14ac:dyDescent="0.2">
      <c r="A2" s="3" t="s">
        <v>3653</v>
      </c>
      <c r="B2" s="4" t="s">
        <v>3654</v>
      </c>
      <c r="C2" s="4" t="s">
        <v>3655</v>
      </c>
      <c r="D2" s="4"/>
      <c r="E2" s="5" t="s">
        <v>678</v>
      </c>
      <c r="F2" s="3" t="s">
        <v>3656</v>
      </c>
      <c r="G2" s="3" t="s">
        <v>3659</v>
      </c>
      <c r="H2" t="s">
        <v>3676</v>
      </c>
      <c r="I2" t="str">
        <f>$E2 &amp;"|" &amp; G2</f>
        <v>A450_00|FS Item</v>
      </c>
      <c r="J2" t="str">
        <f>$E2 &amp;"|" &amp; H2</f>
        <v>A450_00|ToM</v>
      </c>
    </row>
    <row r="3" spans="1:10" x14ac:dyDescent="0.2">
      <c r="A3" s="6" t="s">
        <v>3657</v>
      </c>
      <c r="B3" s="7" t="s">
        <v>3654</v>
      </c>
      <c r="C3" s="7" t="s">
        <v>3658</v>
      </c>
      <c r="D3" s="7"/>
      <c r="E3" s="8" t="s">
        <v>1230</v>
      </c>
      <c r="F3" s="6" t="s">
        <v>3659</v>
      </c>
      <c r="G3" s="6" t="s">
        <v>3659</v>
      </c>
      <c r="I3" t="str">
        <f>$E3 &amp;"|" &amp; G3</f>
        <v>AL602_60|FS Item</v>
      </c>
    </row>
  </sheetData>
  <hyperlinks>
    <hyperlink ref="E2" location="'cross check explanations'!A284" display="'cross check explanations'!A284" xr:uid="{A99D649F-7E45-4131-8B21-CA2BAA83F7F0}"/>
    <hyperlink ref="E3" location="'cross check explanations'!A792" display="'cross check explanations'!A792" xr:uid="{4A366BCC-2E14-4BCA-B2B2-78AAF9EEFB8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97FB-6C8E-45F3-9B6A-6D647B87F931}">
  <sheetPr codeName="Sheet4"/>
  <dimension ref="A1:C4"/>
  <sheetViews>
    <sheetView tabSelected="1" workbookViewId="0">
      <selection activeCell="C4" sqref="A1:C4"/>
    </sheetView>
  </sheetViews>
  <sheetFormatPr defaultRowHeight="12.75" x14ac:dyDescent="0.2"/>
  <cols>
    <col min="1" max="2" width="16.42578125" bestFit="1" customWidth="1"/>
    <col min="3" max="3" width="11.85546875" bestFit="1" customWidth="1"/>
  </cols>
  <sheetData>
    <row r="1" spans="1:3" x14ac:dyDescent="0.2">
      <c r="A1" s="9" t="s">
        <v>3684</v>
      </c>
      <c r="B1" s="9" t="s">
        <v>3685</v>
      </c>
      <c r="C1" s="9" t="s">
        <v>3686</v>
      </c>
    </row>
    <row r="2" spans="1:3" x14ac:dyDescent="0.2">
      <c r="A2" t="s">
        <v>3681</v>
      </c>
      <c r="B2" t="str">
        <f>VLOOKUP(A2,'grouping by'!$E:$E,1,FALSE)</f>
        <v>A450_00|FS Item</v>
      </c>
      <c r="C2" t="b">
        <f>A2=B2</f>
        <v>1</v>
      </c>
    </row>
    <row r="3" spans="1:3" x14ac:dyDescent="0.2">
      <c r="A3" t="s">
        <v>3682</v>
      </c>
      <c r="B3" t="str">
        <f>VLOOKUP(A3,'grouping by'!$E:$E,1,FALSE)</f>
        <v>A450_00|ToM</v>
      </c>
      <c r="C3" t="b">
        <f t="shared" ref="C3:C4" si="0">A3=B3</f>
        <v>1</v>
      </c>
    </row>
    <row r="4" spans="1:3" x14ac:dyDescent="0.2">
      <c r="A4" t="s">
        <v>3683</v>
      </c>
      <c r="B4" t="str">
        <f>VLOOKUP(A4,'grouping by'!$E:$E,1,FALSE)</f>
        <v>AL602_60|FS Item</v>
      </c>
      <c r="C4" t="b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grouping by</vt:lpstr>
      <vt:lpstr>lookup table</vt:lpstr>
      <vt:lpstr>cross checks all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Nick Pullar</cp:lastModifiedBy>
  <cp:revision>1</cp:revision>
  <dcterms:created xsi:type="dcterms:W3CDTF">2026-06-02T12:07:00Z</dcterms:created>
  <dcterms:modified xsi:type="dcterms:W3CDTF">2026-06-08T13:15:41Z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2026-06-02T12:06:48Z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a992ec49-880f-48ee-ba78-ea419882a3c6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