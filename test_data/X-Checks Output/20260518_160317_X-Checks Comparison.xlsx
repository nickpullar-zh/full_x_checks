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4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3399"/>
      </font>
      <fill>
        <patternFill patternType="solid">
          <fgColor rgb="00DDEEFF"/>
          <bgColor rgb="00DDEE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MisMatch</t>
        </is>
      </c>
      <c r="C80" t="inlineStr">
        <is>
          <t>ABS(VAL_YTD(10591ToM206ff))&lt;=CONST(5,'USD','E')</t>
        </is>
      </c>
      <c r="D80" t="inlineStr">
        <is>
          <t>ABS(VAL_YTD(10591ToM206ff)+VAL_YTD(37431))&lt;=CONST(5,'USD','E')</t>
        </is>
      </c>
      <c r="E80" t="inlineStr">
        <is>
          <t>MisMatch</t>
        </is>
      </c>
      <c r="F80" t="inlineStr">
        <is>
          <t>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MisMatch</t>
        </is>
      </c>
      <c r="I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MisMatch</t>
        </is>
      </c>
      <c r="C81" t="inlineStr">
        <is>
          <t>ABS(VAL_YTD(10591ToM406))&lt;=CONST(5,'USD','E')</t>
        </is>
      </c>
      <c r="D81" t="inlineStr">
        <is>
          <t>ABS(VAL_YTD(10591ToM406)+VAL_YTD(39681))&lt;=CONST(5,'USD','E')</t>
        </is>
      </c>
      <c r="E81" t="inlineStr">
        <is>
          <t>MisMatch</t>
        </is>
      </c>
      <c r="F81" t="inlineStr">
        <is>
          <t>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MisMatch</t>
        </is>
      </c>
      <c r="I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VAL_YTD(23781ffToML83)=0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Name:23781ffToML83;FS Account:23781^23782^23971^23972^63781^63782^63971^63972;Movement Types:L83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MisMatch</t>
        </is>
      </c>
      <c r="C84" t="inlineStr">
        <is>
          <t>VAL_YTD(23771ffToML83ff)=0</t>
        </is>
      </c>
      <c r="D84" t="inlineStr">
        <is>
          <t>VAL_YTD(21011ffToML83ff)=0</t>
        </is>
      </c>
      <c r="E84" t="inlineStr">
        <is>
          <t>MisMatch</t>
        </is>
      </c>
      <c r="F84" t="inlineStr">
        <is>
          <t>Name:23771ffToML83ff;FS Account:23771^23772^23801^23802^23951^23952^23961^23962^63771^63772^63801^63802^63951^63952^63961^63962;Movement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MisMatch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MisMatch</t>
        </is>
      </c>
      <c r="C89" t="inlineStr">
        <is>
          <t>VAL_YTD(DELI_27000ToME58)=0</t>
        </is>
      </c>
      <c r="D89" t="inlineStr">
        <is>
          <t>VAL_YTD(DEBS_10000ffToME58)=0</t>
        </is>
      </c>
      <c r="E89" t="inlineStr">
        <is>
          <t>MisMatch</t>
        </is>
      </c>
      <c r="F89" t="inlineStr">
        <is>
          <t>Name:DELI_27000ToME58;FS Account:DELI_27000;Movement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MisMatch</t>
        </is>
      </c>
      <c r="I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MisMatch</t>
        </is>
      </c>
      <c r="C108" t="inlineStr">
        <is>
          <t>ABS(VAL_YTD(10591ToM205ff))&lt;=CONST(5,'USD','E')</t>
        </is>
      </c>
      <c r="D108" t="inlineStr">
        <is>
          <t>ABS(VAL_YTD(10591ffToM205ff)+VAL_YTD(35221ff))&lt;=CONST(5,'USD','E')</t>
        </is>
      </c>
      <c r="E108" t="inlineStr">
        <is>
          <t>MisMatch</t>
        </is>
      </c>
      <c r="F108" t="inlineStr">
        <is>
          <t>Name:10591ToM205ff;FS Account:10591;Movement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MisMatch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MisMatch</t>
        </is>
      </c>
      <c r="C115" t="inlineStr">
        <is>
          <t>ABS(VAL_YTD(10591ToM205ff))&lt;=CONST(5,'USD','E')</t>
        </is>
      </c>
      <c r="D115" t="inlineStr">
        <is>
          <t>ABS(VAL_YTD(10591ToM205ff)+VAL_YTD(36431))&lt;=CONST(5,'USD','E')</t>
        </is>
      </c>
      <c r="E115" t="inlineStr">
        <is>
          <t>MisMatch</t>
        </is>
      </c>
      <c r="F115" t="inlineStr">
        <is>
          <t>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MisMatch</t>
        </is>
      </c>
      <c r="I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MisMatch</t>
        </is>
      </c>
      <c r="C116" t="inlineStr">
        <is>
          <t>ABS(VAL_YTD(10591ToM407))&lt;=CONST(5,'USD','E')</t>
        </is>
      </c>
      <c r="D116" t="inlineStr">
        <is>
          <t>ABS(VAL_YTD(10591ToM407)+VAL_YTD(39871))&lt;=CONST(5,'USD','E')</t>
        </is>
      </c>
      <c r="E116" t="inlineStr">
        <is>
          <t>MisMatch</t>
        </is>
      </c>
      <c r="F116" t="inlineStr">
        <is>
          <t>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MisMatch</t>
        </is>
      </c>
      <c r="I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LC_YTD(29651ff)=0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Name:29651ff;FS Account:29651^29661^29671^29681^29821^29831^29841^29851;Movement Types:&lt;blank&gt;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MisMatch</t>
        </is>
      </c>
      <c r="C384" t="inlineStr">
        <is>
          <t>VAL_YTD(SST_21_1_LToML33)=0</t>
        </is>
      </c>
      <c r="D384" t="inlineStr">
        <is>
          <t>VAL_YTD(SST_0016ToML32)+VAL_YTD(SST_21_1_LToML33)=0</t>
        </is>
      </c>
      <c r="E384" t="inlineStr">
        <is>
          <t>MisMatch</t>
        </is>
      </c>
      <c r="F384" t="inlineStr">
        <is>
          <t>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MisMatch</t>
        </is>
      </c>
      <c r="I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ABS(LC_YTD(BSNToMD6Aff)-LC_YTD(SN_12895ffToMD8A))&lt;=CONST_LC(5,'USD','E')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Name:BSNToMD6Aff;FS Account:BSN;Movement Types:D6A^D8A|Name:SN_12895ffToMD8A;FS Account:SN_12895^SN_27760;Movement Types:D8A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ABS(LC_YTD(BSNToMD6Cff)-LC_YTD(SN_12895ffToMD8C))&lt;=CONST_LC(5,'USD','E')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Name:BSNToMD6Cff;FS Account:BSN;Movement Types:D6C^D8C|Name:SN_12895ffToMD8C;FS Account:SN_12895^SN_27760;Movement Types:D8C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ABS(VAL_YTD(22301ToM72Aff))&lt;=CONST(5,'USD','E')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Name:22301ToM72Aff;FS Account:22301;Movement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MisMatch</t>
        </is>
      </c>
      <c r="C393" t="inlineStr">
        <is>
          <t>ABS(VAL_YTD(22381ToML75))&lt;=CONST(5,'USD','E')</t>
        </is>
      </c>
      <c r="D393" t="inlineStr">
        <is>
          <t>ABS(VAL_YTD(22381ToML75)+VAL_YTD(43571))&lt;=CONST(5,'USD','E')</t>
        </is>
      </c>
      <c r="E393" t="inlineStr">
        <is>
          <t>MisMatch</t>
        </is>
      </c>
      <c r="F393" t="inlineStr">
        <is>
          <t>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MisMatch</t>
        </is>
      </c>
      <c r="I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MisMatch</t>
        </is>
      </c>
      <c r="C394" t="inlineStr">
        <is>
          <t>ABS(VAL_YTD(22381ToML75))&lt;=CONST(5,'USD','E')</t>
        </is>
      </c>
      <c r="D394" t="inlineStr">
        <is>
          <t>ABS(VAL_YTD(22381ToML75)+VAL_YTD(43571))&lt;=CONST(5,'USD','E')</t>
        </is>
      </c>
      <c r="E394" t="inlineStr">
        <is>
          <t>MisMatch</t>
        </is>
      </c>
      <c r="F394" t="inlineStr">
        <is>
          <t>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MisMatch</t>
        </is>
      </c>
      <c r="I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Account:SFV10151^SFV10161^SFV10171^SFV10181^SFV10191^SFV10221^SFV10381^SFV10391^SFV10461^SFV10661^SFV13101^SFV13361^SFV13503^SFV19501^SFV25191^SFV25271^SFV26231;Movement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MisMatch</t>
        </is>
      </c>
      <c r="F552" t="inlineStr">
        <is>
          <t>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MisMatch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MisMatch</t>
        </is>
      </c>
      <c r="C654" t="inlineStr">
        <is>
          <t>VAL_YTD(DELI_27000ToM975ff)=0</t>
        </is>
      </c>
      <c r="D654" t="inlineStr">
        <is>
          <t>VAL_YTD(DEBS_10000ffToM975ff)=0</t>
        </is>
      </c>
      <c r="E654" t="inlineStr">
        <is>
          <t>MisMatch</t>
        </is>
      </c>
      <c r="F654" t="inlineStr">
        <is>
          <t>Name:DELI_27000ToM975ff;FS Account:DELI_27000;Movement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MisMatch</t>
        </is>
      </c>
      <c r="I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  <cfRule type="cellIs" priority="4" operator="equal" dxfId="3">
      <formula>"Mismatch - Known Exception"</formula>
    </cfRule>
  </conditionalFormatting>
  <conditionalFormatting sqref="E2:E654">
    <cfRule type="cellIs" priority="5" operator="equal" dxfId="0">
      <formula>"Match"</formula>
    </cfRule>
    <cfRule type="cellIs" priority="6" operator="equal" dxfId="1">
      <formula>"MisMatch"</formula>
    </cfRule>
    <cfRule type="cellIs" priority="7" operator="equal" dxfId="2">
      <formula>"Not Found"</formula>
    </cfRule>
    <cfRule type="cellIs" priority="8" operator="equal" dxfId="3">
      <formula>"Mismatch - Known Exception"</formula>
    </cfRule>
  </conditionalFormatting>
  <conditionalFormatting sqref="H2:H654">
    <cfRule type="cellIs" priority="9" operator="equal" dxfId="0">
      <formula>"Match"</formula>
    </cfRule>
    <cfRule type="cellIs" priority="10" operator="equal" dxfId="1">
      <formula>"MisMatch"</formula>
    </cfRule>
    <cfRule type="cellIs" priority="11" operator="equal" dxfId="2">
      <formula>"Not Found"</formula>
    </cfRule>
    <cfRule type="cellIs" priority="12" operator="equal" dxfId="3">
      <formula>"Mismatch - Known Exception"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  <col width="45" customWidth="1" min="3" max="3"/>
    <col width="9" customWidth="1" min="4" max="4"/>
    <col width="32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2026-05-18 16:03:17</t>
        </is>
      </c>
      <c r="B2" t="inlineStr">
        <is>
          <t>System</t>
        </is>
      </c>
      <c r="C2" t="inlineStr">
        <is>
          <t>X-Check Application v0.3.4</t>
        </is>
      </c>
      <c r="D2" t="n">
        <v>0</v>
      </c>
      <c r="E2" t="inlineStr"/>
    </row>
    <row r="3">
      <c r="A3" t="inlineStr">
        <is>
          <t>2026-05-18 16:03:17</t>
        </is>
      </c>
      <c r="B3" t="inlineStr">
        <is>
          <t>System</t>
        </is>
      </c>
      <c r="C3" t="inlineStr">
        <is>
          <t>Loading files into memory...</t>
        </is>
      </c>
      <c r="D3" t="n">
        <v>0</v>
      </c>
      <c r="E3" t="inlineStr"/>
    </row>
    <row r="4">
      <c r="A4" t="inlineStr">
        <is>
          <t>2026-05-18 16:03:19</t>
        </is>
      </c>
      <c r="B4" t="inlineStr">
        <is>
          <t>20251205 EPM X-Checks - Original.xlsx</t>
        </is>
      </c>
      <c r="C4" t="inlineStr">
        <is>
          <t>Coloured rows retained</t>
        </is>
      </c>
      <c r="D4" t="n">
        <v>3056</v>
      </c>
      <c r="E4" t="inlineStr">
        <is>
          <t>Filtered from 3345 total rows</t>
        </is>
      </c>
    </row>
    <row r="5">
      <c r="A5" t="inlineStr">
        <is>
          <t>2026-05-18 16:03:40</t>
        </is>
      </c>
      <c r="B5" t="inlineStr">
        <is>
          <t>GCoA file with 13106 Data rows on sheet GCoA Base account table.xlsx</t>
        </is>
      </c>
      <c r="C5" t="inlineStr">
        <is>
          <t>Coloured rows retained</t>
        </is>
      </c>
      <c r="D5" t="n">
        <v>450</v>
      </c>
      <c r="E5" t="inlineStr">
        <is>
          <t>Filtered from 13106 total rows</t>
        </is>
      </c>
    </row>
    <row r="6">
      <c r="A6" t="inlineStr">
        <is>
          <t>2026-05-18 16:03:40</t>
        </is>
      </c>
      <c r="B6" t="inlineStr">
        <is>
          <t>System</t>
        </is>
      </c>
      <c r="C6" t="inlineStr">
        <is>
          <t>Files loaded successfully:</t>
        </is>
      </c>
      <c r="D6" t="n">
        <v>3</v>
      </c>
      <c r="E6" t="inlineStr"/>
    </row>
    <row r="7">
      <c r="A7" t="inlineStr">
        <is>
          <t>2026-05-18 16:03:40</t>
        </is>
      </c>
      <c r="B7" t="inlineStr">
        <is>
          <t xml:space="preserve">    FIP file</t>
        </is>
      </c>
      <c r="C7" t="inlineStr">
        <is>
          <t>Loaded str</t>
        </is>
      </c>
      <c r="D7" t="n">
        <v>5788650</v>
      </c>
      <c r="E7" t="inlineStr"/>
    </row>
    <row r="8">
      <c r="A8" t="inlineStr">
        <is>
          <t>2026-05-18 16:03:40</t>
        </is>
      </c>
      <c r="B8" t="inlineStr">
        <is>
          <t xml:space="preserve">    X-Checks Publication File</t>
        </is>
      </c>
      <c r="C8" t="inlineStr">
        <is>
          <t>Loaded DataFrame</t>
        </is>
      </c>
      <c r="D8" t="n">
        <v>3056</v>
      </c>
      <c r="E8" t="inlineStr"/>
    </row>
    <row r="9">
      <c r="A9" t="inlineStr">
        <is>
          <t>2026-05-18 16:03:40</t>
        </is>
      </c>
      <c r="B9" t="inlineStr">
        <is>
          <t xml:space="preserve">    GCoA Publication File</t>
        </is>
      </c>
      <c r="C9" t="inlineStr">
        <is>
          <t>Loaded DataFrame</t>
        </is>
      </c>
      <c r="D9" t="n">
        <v>450</v>
      </c>
      <c r="E9" t="inlineStr"/>
    </row>
    <row r="10">
      <c r="A10" t="inlineStr">
        <is>
          <t>2026-05-18 16:03:40</t>
        </is>
      </c>
      <c r="B10" t="inlineStr">
        <is>
          <t>System</t>
        </is>
      </c>
      <c r="C10" t="inlineStr">
        <is>
          <t>Starting X-Checks processing</t>
        </is>
      </c>
      <c r="D10" t="n">
        <v>0</v>
      </c>
      <c r="E10" t="inlineStr"/>
    </row>
    <row r="11">
      <c r="A11" t="inlineStr">
        <is>
          <t>2026-05-18 16:03:40</t>
        </is>
      </c>
      <c r="B11" t="inlineStr">
        <is>
          <t>GCoA</t>
        </is>
      </c>
      <c r="C11" t="inlineStr">
        <is>
          <t>QU accounts loaded</t>
        </is>
      </c>
      <c r="D11" t="n">
        <v>1</v>
      </c>
      <c r="E11" t="inlineStr"/>
    </row>
    <row r="12">
      <c r="A12" t="inlineStr">
        <is>
          <t>2026-05-18 16:03:40</t>
        </is>
      </c>
      <c r="B12" t="inlineStr">
        <is>
          <t>EBX</t>
        </is>
      </c>
      <c r="C12" t="inlineStr">
        <is>
          <t>Extracting from publication file...</t>
        </is>
      </c>
      <c r="D12" t="n">
        <v>0</v>
      </c>
      <c r="E12" t="inlineStr"/>
    </row>
    <row r="13">
      <c r="A13" t="inlineStr">
        <is>
          <t>2026-05-18 16:03:40</t>
        </is>
      </c>
      <c r="B13" t="inlineStr">
        <is>
          <t>EBX</t>
        </is>
      </c>
      <c r="C13" t="inlineStr">
        <is>
          <t>X-Checks extracted</t>
        </is>
      </c>
      <c r="D13" t="n">
        <v>664</v>
      </c>
      <c r="E13" t="inlineStr"/>
    </row>
    <row r="14">
      <c r="A14" t="inlineStr">
        <is>
          <t>2026-05-18 16:03:40</t>
        </is>
      </c>
      <c r="B14" t="inlineStr">
        <is>
          <t>FIP</t>
        </is>
      </c>
      <c r="C14" t="inlineStr">
        <is>
          <t>Extracting from FIP text...</t>
        </is>
      </c>
      <c r="D14" t="n">
        <v>666</v>
      </c>
      <c r="E14" t="inlineStr"/>
    </row>
    <row r="15">
      <c r="A15" t="inlineStr">
        <is>
          <t>2026-05-18 16:03:43</t>
        </is>
      </c>
      <c r="B15" t="inlineStr">
        <is>
          <t>FIP</t>
        </is>
      </c>
      <c r="C15" t="inlineStr">
        <is>
          <t>X-Checks extracted</t>
        </is>
      </c>
      <c r="D15" t="n">
        <v>650</v>
      </c>
      <c r="E15" t="inlineStr"/>
    </row>
    <row r="16">
      <c r="A16" t="inlineStr">
        <is>
          <t>2026-05-18 16:03:43</t>
        </is>
      </c>
      <c r="B16" t="inlineStr">
        <is>
          <t>Compare</t>
        </is>
      </c>
      <c r="C16" t="inlineStr">
        <is>
          <t>Comparing EBX and FIP...</t>
        </is>
      </c>
      <c r="D16" t="n">
        <v>0</v>
      </c>
      <c r="E16" t="inlineStr"/>
    </row>
    <row r="17">
      <c r="A17" t="inlineStr">
        <is>
          <t>2026-05-18 16:03:43</t>
        </is>
      </c>
      <c r="B17" t="inlineStr">
        <is>
          <t>Exceptions</t>
        </is>
      </c>
      <c r="C17" t="inlineStr">
        <is>
          <t>No Known Exception List provided — skipping</t>
        </is>
      </c>
      <c r="D17" t="n">
        <v>0</v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2026-05-18T14:03:43Z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